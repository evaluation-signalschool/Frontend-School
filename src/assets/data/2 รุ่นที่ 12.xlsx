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ลักสูตร" sheetId="1" r:id="rId5"/>
    <sheet state="visible" name="toNum" sheetId="2" r:id="rId6"/>
    <sheet state="visible" name="lookup" sheetId="3" r:id="rId7"/>
  </sheets>
  <definedNames/>
  <calcPr/>
</workbook>
</file>

<file path=xl/sharedStrings.xml><?xml version="1.0" encoding="utf-8"?>
<sst xmlns="http://schemas.openxmlformats.org/spreadsheetml/2006/main" count="618" uniqueCount="187">
  <si>
    <t>ประทับเวลา</t>
  </si>
  <si>
    <t>มีความเข้าใจวัตถุประสงค์และเนื้อหาวิชาต่างๆที่บรรจุอยู่ในหลักสูตร</t>
  </si>
  <si>
    <t>ที่อยู่อีเมล</t>
  </si>
  <si>
    <t>"ไม่มีความเข้าใจ" วัตถุประสงค์แต่เข้าใจเนื้อหาวิชาต่างๆที่บรรจุอยู่ในหลักสูตร</t>
  </si>
  <si>
    <t>"ไม่มีความเข้าใจ" วัตถุประสงค์และ "ไม่เข้าใจ" เนื้อหาวิชาต่างๆที่บรรจุอยู่ในหลักสูตร</t>
  </si>
  <si>
    <t>เนื้อหาของวิชาในหลักสูตรมีความสอดคล้องกันและมีความทันสมัย</t>
  </si>
  <si>
    <t>เนื้อหาของวิชาในหลักสูตรมีความสอดคล้องกัน "แต่ไม่มีความทันสมัย"</t>
  </si>
  <si>
    <t>เนื้อหาของวิชาในหลักสูตร "ไม่มีความสอดคล้องกัน" และ "ไม่มีความทันสมัย"</t>
  </si>
  <si>
    <t>ระยะเวลาในการฝึกปฏิบัติเพียงพอและสามารถนำความรู้ไปใช้ประโยชน์ในการปฏิบัติงานได้จริง</t>
  </si>
  <si>
    <t>ระยะเวลาในการฝึกปฏิบัติ "ไม่เพียงพอ" แต่สามารถนำความรู้ไปใช้ประโยชน์ในการปฏิบัติงานได้บางส่วน</t>
  </si>
  <si>
    <t>ระยะเวลาในการฝึกปฏิบัติ "ไม่เพียงพอ" และ "ไม่สามารถนำความรู้ไปใช้ประโยชน์" ในการปฏิบัติงานได้จริง</t>
  </si>
  <si>
    <t>การจัดกิจกรรมต่างๆ ในหลักสูตรมีความเหมาะสมอย่างมาก</t>
  </si>
  <si>
    <t>การจัดกิจกรรมต่างๆ ในหลักสูตรมีความเหมาะสม</t>
  </si>
  <si>
    <t>การจัดกิจกรรมต่างๆ ในหลักสูตรไม่มีความเหมาะสม</t>
  </si>
  <si>
    <t>มีการเตรียมความพร้อมในการใช้งานระบบสารสนเทศให้แก่ผู้เรียนอย่างเหมาะสมและเพียงพอ</t>
  </si>
  <si>
    <t>มีการเตรียมความพร้อมในการใช้งานระบบสารสนเทศให้แก่ผู้เรียนอย่างเหมาะสม "แต่ไม่เพียงพอ"</t>
  </si>
  <si>
    <t>"ไม่มีการเตรียมความพร้อม" ในการใช้งานระบบสารสนเทศให้แก่ผู้เรียน</t>
  </si>
  <si>
    <t>ระบบสารสนเทศที่ใช้ในการเรียนการสอนมีความเสถียรมาก ไม่มีปัญหาในการเรียนการสอน</t>
  </si>
  <si>
    <t>ระบบสารสนเทศที่ใช้ในการเรียนการสอนมีความเสถียร "แต่ยังมีปัญหา" ในการเรียนการสอนอยู่บ้าง</t>
  </si>
  <si>
    <t>ระบบสารสนเทศที่ใช้ในการเรียนการสอนไม่มีความเสถียร ควรได้รับการปรับปรุง</t>
  </si>
  <si>
    <t>1. ด้านวัตถุประสงค์และเนื้อหาวิชาต่างๆ</t>
  </si>
  <si>
    <t>2. ด้านความสอดคล้องของเนื้อหาวิชาในหลักสูตร</t>
  </si>
  <si>
    <t>3. ด้านนำความรู้ไปใช้ประโยชน์</t>
  </si>
  <si>
    <t>4. ด้านการจัดกิจกรรมต่างๆ ในหลักสูตร</t>
  </si>
  <si>
    <t>5. ด้านความพร้อมในการจัดหลักสูตรผ่านสื่อ (รูปแบบ E- Learning)</t>
  </si>
  <si>
    <t>6. ด้านระบบสารสนเทศ (เช่น โปรแกรม ZOOM, Google Meet, Google classroom)</t>
  </si>
  <si>
    <t>ข้อเสนอแนะอื่นๆ</t>
  </si>
  <si>
    <t>bnco0979@signalschool.ac.th</t>
  </si>
  <si>
    <t>ตรวจสอบผู้เข้าประเมิน</t>
  </si>
  <si>
    <t>เนื้อหาดีมาก</t>
  </si>
  <si>
    <t>bnco0909@signalschool.ac.th</t>
  </si>
  <si>
    <t>bnco0904@signalschool.ac.th</t>
  </si>
  <si>
    <t>bnco0936@signalschool.ac.th</t>
  </si>
  <si>
    <t>bnco0944@signalschool.ac.th</t>
  </si>
  <si>
    <t>bnco0910@signalschool.ac.th</t>
  </si>
  <si>
    <t>bnco0920@signalschool.ac.th</t>
  </si>
  <si>
    <t>/</t>
  </si>
  <si>
    <t>bnco0906@signalschool.ac.th</t>
  </si>
  <si>
    <t>bnco0955@signalschool.ac.th</t>
  </si>
  <si>
    <t>bnco0958@signalschool.ac.th</t>
  </si>
  <si>
    <t>bnco0924@signalschool.ac.th</t>
  </si>
  <si>
    <t>bnco0926@signalschool.ac.th</t>
  </si>
  <si>
    <t>bnco0908@signalschool.ac.th</t>
  </si>
  <si>
    <t>bnco0943@signalschool.ac.th</t>
  </si>
  <si>
    <t>bnco0967@signalschool.ac.th</t>
  </si>
  <si>
    <t>bnco0978@signalschool.ac.th</t>
  </si>
  <si>
    <t>bnco0932@signalschool.ac.th</t>
  </si>
  <si>
    <t>bnco0911@signalschool.ac.th</t>
  </si>
  <si>
    <t>bnco0902@signalschool.ac.th</t>
  </si>
  <si>
    <t>bnco0968@signalschool.ac.th</t>
  </si>
  <si>
    <t>bnco0960@signalschool.ac.th</t>
  </si>
  <si>
    <t>bnco0962@signalschool.ac.th</t>
  </si>
  <si>
    <t>bnco0915@signalschool.ac.th</t>
  </si>
  <si>
    <t>bnco0972@signalschool.ac.th</t>
  </si>
  <si>
    <t>bnco0935@signalschool.ac.th</t>
  </si>
  <si>
    <t>bnco0925@signalschool.ac.th</t>
  </si>
  <si>
    <t>bnco0957@signalschool.ac.th</t>
  </si>
  <si>
    <t>-</t>
  </si>
  <si>
    <t>bnco0970@signalschool.ac.th</t>
  </si>
  <si>
    <t>bnco0977@signalschool.ac.th</t>
  </si>
  <si>
    <t>bnco0919@signalschool.ac.th</t>
  </si>
  <si>
    <t>bnco0933@signalschool.ac.th</t>
  </si>
  <si>
    <t>bnco0937@signalschool.ac.th</t>
  </si>
  <si>
    <t>bnco0964@signalschool.ac.th</t>
  </si>
  <si>
    <t>bnco0950@signalschool.ac.th</t>
  </si>
  <si>
    <t>ไม่มีครับ</t>
  </si>
  <si>
    <t>bnco0963@signalschool.ac.th</t>
  </si>
  <si>
    <t>bnco0934@signalschool.ac.th</t>
  </si>
  <si>
    <t>bnco0912@signalschool.ac.th</t>
  </si>
  <si>
    <t>bnco0941@signalschool.ac.th</t>
  </si>
  <si>
    <t>bnco0949@signalschool.ac.th</t>
  </si>
  <si>
    <t>bnco0942@signalschool.ac.th</t>
  </si>
  <si>
    <t>bnco0945@signalschool.ac.th</t>
  </si>
  <si>
    <t>bnco0918@signalschool.ac.th</t>
  </si>
  <si>
    <t>bnco0901@signalschool.ac.th</t>
  </si>
  <si>
    <t>bnco0913@signalschool.ac.th</t>
  </si>
  <si>
    <t>bnco0901</t>
  </si>
  <si>
    <t>bnco0966@signalschool.ac.th</t>
  </si>
  <si>
    <t>bnco0916@signalschool.ac.th</t>
  </si>
  <si>
    <t>bnco0923@signalschool.ac.th</t>
  </si>
  <si>
    <t>bnco0947@signalschool.ac.th</t>
  </si>
  <si>
    <t>bnco0905@signalschool.ac.th</t>
  </si>
  <si>
    <t>bnco0907@signalschool.ac.th</t>
  </si>
  <si>
    <t>bnco0961@signalschool.ac.th</t>
  </si>
  <si>
    <t>bnco0956@signalschool.ac.th</t>
  </si>
  <si>
    <t>bnco0940@signalschool.ac.th</t>
  </si>
  <si>
    <t>bnco0959@signalschool.ac.th</t>
  </si>
  <si>
    <t>bnco0973@signalschool.ac.th</t>
  </si>
  <si>
    <t>bnco0969@signalschool.ac.th</t>
  </si>
  <si>
    <t>bnco0948@signalschool.ac.th</t>
  </si>
  <si>
    <t>bnco0914@signalschool.ac.th</t>
  </si>
  <si>
    <t>bnco0927@signalschool.ac.th</t>
  </si>
  <si>
    <t>bnco0952@signalschool.ac.th</t>
  </si>
  <si>
    <t>bnco0939@signalschool.ac.th</t>
  </si>
  <si>
    <t>bnco0980@signalschool.ac.th</t>
  </si>
  <si>
    <t>bnco0974@signalschool.ac.th</t>
  </si>
  <si>
    <t>bnco0902</t>
  </si>
  <si>
    <t>bnco0922@signalschool.ac.th</t>
  </si>
  <si>
    <t>bnco0976@signalschool.ac.th</t>
  </si>
  <si>
    <t>bnco0903@signalschool.ac.th</t>
  </si>
  <si>
    <t>bnco0917@signalschool.ac.th</t>
  </si>
  <si>
    <t>bnco0946@signalschool.ac.th</t>
  </si>
  <si>
    <t>bnco0954@signalschool.ac.th</t>
  </si>
  <si>
    <t>bnco0975@signalschool.ac.th</t>
  </si>
  <si>
    <t>ไม่มี</t>
  </si>
  <si>
    <t>bnco0903</t>
  </si>
  <si>
    <t>bnco0904</t>
  </si>
  <si>
    <t>bnco0905</t>
  </si>
  <si>
    <t>bnco0906</t>
  </si>
  <si>
    <t>bnco0907</t>
  </si>
  <si>
    <t>bnco0908</t>
  </si>
  <si>
    <t>bnco0909</t>
  </si>
  <si>
    <t>bnco0910</t>
  </si>
  <si>
    <t>bnco0911</t>
  </si>
  <si>
    <t>bnco0912</t>
  </si>
  <si>
    <t>bnco0913</t>
  </si>
  <si>
    <t>bnco0914</t>
  </si>
  <si>
    <t>bnco0915</t>
  </si>
  <si>
    <t>bnco0916</t>
  </si>
  <si>
    <t>bnco0917</t>
  </si>
  <si>
    <t>bnco0918</t>
  </si>
  <si>
    <t>bnco0919</t>
  </si>
  <si>
    <t>bnco0920</t>
  </si>
  <si>
    <t>bnco0921</t>
  </si>
  <si>
    <t>bnco0922</t>
  </si>
  <si>
    <t>bnco0923</t>
  </si>
  <si>
    <t>bnco0924</t>
  </si>
  <si>
    <t>bnco0925</t>
  </si>
  <si>
    <t>bnco0926</t>
  </si>
  <si>
    <t>bnco0927</t>
  </si>
  <si>
    <t>bnco0928</t>
  </si>
  <si>
    <t>bnco0929</t>
  </si>
  <si>
    <t>bnco0930</t>
  </si>
  <si>
    <t>bnco0931</t>
  </si>
  <si>
    <t>bnco0932</t>
  </si>
  <si>
    <t>bnco0933</t>
  </si>
  <si>
    <t>bnco0934</t>
  </si>
  <si>
    <t>bnco0935</t>
  </si>
  <si>
    <t>bnco0936</t>
  </si>
  <si>
    <t>bnco0937</t>
  </si>
  <si>
    <t>bnco0938</t>
  </si>
  <si>
    <t>bnco0939</t>
  </si>
  <si>
    <t>bnco0940</t>
  </si>
  <si>
    <t>bnco0941</t>
  </si>
  <si>
    <t>bnco0942</t>
  </si>
  <si>
    <t>bnco0943</t>
  </si>
  <si>
    <t>bnco0944</t>
  </si>
  <si>
    <t>bnco0945</t>
  </si>
  <si>
    <t>bnco0946</t>
  </si>
  <si>
    <t>bnco0947</t>
  </si>
  <si>
    <t>bnco0948</t>
  </si>
  <si>
    <t>bnco0949</t>
  </si>
  <si>
    <t>bnco0950</t>
  </si>
  <si>
    <t>bnco0951</t>
  </si>
  <si>
    <t>bnco0952</t>
  </si>
  <si>
    <t>bnco0953</t>
  </si>
  <si>
    <t>bnco0954</t>
  </si>
  <si>
    <t>bnco0955</t>
  </si>
  <si>
    <t>bnco0956</t>
  </si>
  <si>
    <t>bnco0957</t>
  </si>
  <si>
    <t>bnco0958</t>
  </si>
  <si>
    <t>bnco0959</t>
  </si>
  <si>
    <t>bnco0960</t>
  </si>
  <si>
    <t>bnco0961</t>
  </si>
  <si>
    <t>bnco0962</t>
  </si>
  <si>
    <t>bnco0963</t>
  </si>
  <si>
    <t>bnco0964</t>
  </si>
  <si>
    <t>bnco0965</t>
  </si>
  <si>
    <t>bnco0966</t>
  </si>
  <si>
    <t>bnco0967</t>
  </si>
  <si>
    <t>bnco0968</t>
  </si>
  <si>
    <t>bnco0969</t>
  </si>
  <si>
    <t>bnco0970</t>
  </si>
  <si>
    <t>bnco0971</t>
  </si>
  <si>
    <t>bnco0972</t>
  </si>
  <si>
    <t>bnco0973</t>
  </si>
  <si>
    <t>bnco0974</t>
  </si>
  <si>
    <t>bnco0975</t>
  </si>
  <si>
    <t>bnco0976</t>
  </si>
  <si>
    <t>bnco0977</t>
  </si>
  <si>
    <t>bnco0978</t>
  </si>
  <si>
    <t>bnco0979</t>
  </si>
  <si>
    <t>เฉลี่ยรวม</t>
  </si>
  <si>
    <t>bnco0980</t>
  </si>
  <si>
    <t>ค่าเฉลี่ย</t>
  </si>
  <si>
    <t>ยอดผู้เข้าประเมิน</t>
  </si>
  <si>
    <t>ภาพรวมร้อยละ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</si>
</sst>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Roboto"/>
    </font>
    <font>
      <sz val="12.0"/>
      <color theme="1"/>
      <name val="Arial"/>
    </font>
    <font/>
    <font>
      <color theme="1"/>
      <name val="Arial"/>
    </font>
    <font>
      <sz val="11.0"/>
      <color theme="1"/>
      <name val="Arial"/>
    </font>
    <font>
      <sz val="12.0"/>
      <color rgb="FF44444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DCE0"/>
        <bgColor rgb="FFDADCE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readingOrder="0"/>
    </xf>
    <xf borderId="3" fillId="0" fontId="1" numFmtId="0" xfId="0" applyBorder="1" applyFont="1"/>
    <xf borderId="4" fillId="0" fontId="3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4" fontId="5" numFmtId="0" xfId="0" applyAlignment="1" applyBorder="1" applyFill="1" applyFont="1">
      <alignment horizontal="right" readingOrder="0" vertical="bottom"/>
    </xf>
    <xf borderId="1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6" numFmtId="0" xfId="0" applyAlignment="1" applyFill="1" applyFont="1">
      <alignment vertical="bottom"/>
    </xf>
    <xf borderId="0" fillId="2" fontId="7" numFmtId="0" xfId="0" applyAlignment="1" applyFill="1" applyFont="1">
      <alignment horizontal="right" vertical="bottom"/>
    </xf>
    <xf borderId="0" fillId="0" fontId="5" numFmtId="0" xfId="0" applyAlignment="1" applyFont="1">
      <alignment readingOrder="0" vertical="bottom"/>
    </xf>
    <xf borderId="3" fillId="2" fontId="1" numFmtId="0" xfId="0" applyAlignment="1" applyBorder="1" applyFill="1" applyFont="1">
      <alignment horizontal="center" readingOrder="0"/>
    </xf>
    <xf borderId="0" fillId="2" fontId="6" numFmtId="0" xfId="0" applyAlignment="1" applyFill="1" applyFont="1">
      <alignment vertical="bottom"/>
    </xf>
    <xf borderId="1" fillId="5" fontId="1" numFmtId="0" xfId="0" applyAlignment="1" applyBorder="1" applyFill="1" applyFont="1">
      <alignment horizontal="center" readingOrder="0"/>
    </xf>
    <xf borderId="2" fillId="5" fontId="5" numFmtId="0" xfId="0" applyAlignment="1" applyBorder="1" applyFill="1" applyFont="1">
      <alignment horizontal="center" readingOrder="0" vertical="bottom"/>
    </xf>
    <xf borderId="6" fillId="0" fontId="4" numFmtId="0" xfId="0" applyBorder="1" applyFont="1"/>
    <xf borderId="1" fillId="4" fontId="5" numFmtId="2" xfId="0" applyAlignment="1" applyBorder="1" applyFill="1" applyFont="1" applyNumberFormat="1">
      <alignment horizontal="right" vertical="bottom"/>
    </xf>
    <xf borderId="1" fillId="6" fontId="5" numFmtId="2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88"/>
  </cols>
  <sheetData>
    <row r="1">
      <c r="A1" s="1" t="s">
        <v>0</v>
      </c>
      <c r="B1" s="6" t="s">
        <v>2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</row>
    <row r="2">
      <c r="A2" s="8">
        <v>46181.40947106481</v>
      </c>
      <c r="B2" s="3" t="s">
        <v>27</v>
      </c>
      <c r="C2" s="3" t="s">
        <v>1</v>
      </c>
      <c r="D2" s="3" t="s">
        <v>5</v>
      </c>
      <c r="E2" s="3" t="s">
        <v>8</v>
      </c>
      <c r="F2" s="3" t="s">
        <v>11</v>
      </c>
      <c r="G2" s="3" t="s">
        <v>14</v>
      </c>
      <c r="H2" s="3" t="s">
        <v>17</v>
      </c>
      <c r="I2" s="3" t="s">
        <v>29</v>
      </c>
    </row>
    <row r="3">
      <c r="A3" s="8">
        <v>46181.41651086806</v>
      </c>
      <c r="B3" s="3" t="s">
        <v>30</v>
      </c>
      <c r="C3" s="3" t="s">
        <v>1</v>
      </c>
      <c r="D3" s="3" t="s">
        <v>5</v>
      </c>
      <c r="E3" s="3" t="s">
        <v>8</v>
      </c>
      <c r="F3" s="3" t="s">
        <v>11</v>
      </c>
      <c r="G3" s="3" t="s">
        <v>14</v>
      </c>
      <c r="H3" s="3" t="s">
        <v>17</v>
      </c>
    </row>
    <row r="4">
      <c r="A4" s="8">
        <v>46182.36013804398</v>
      </c>
      <c r="B4" s="3" t="s">
        <v>31</v>
      </c>
      <c r="C4" s="3" t="s">
        <v>1</v>
      </c>
      <c r="D4" s="3" t="s">
        <v>5</v>
      </c>
      <c r="E4" s="3" t="s">
        <v>8</v>
      </c>
      <c r="F4" s="3" t="s">
        <v>11</v>
      </c>
      <c r="G4" s="3" t="s">
        <v>14</v>
      </c>
      <c r="H4" s="3" t="s">
        <v>17</v>
      </c>
    </row>
    <row r="5">
      <c r="A5" s="8">
        <v>46189.42675109954</v>
      </c>
      <c r="B5" s="3" t="s">
        <v>32</v>
      </c>
      <c r="C5" s="3" t="s">
        <v>1</v>
      </c>
      <c r="D5" s="3" t="s">
        <v>5</v>
      </c>
      <c r="E5" s="3" t="s">
        <v>8</v>
      </c>
      <c r="F5" s="3" t="s">
        <v>11</v>
      </c>
      <c r="G5" s="3" t="s">
        <v>14</v>
      </c>
      <c r="H5" s="3" t="s">
        <v>18</v>
      </c>
    </row>
    <row r="6">
      <c r="A6" s="8">
        <v>46198.057897962964</v>
      </c>
      <c r="B6" s="3" t="s">
        <v>33</v>
      </c>
      <c r="C6" s="3" t="s">
        <v>1</v>
      </c>
      <c r="D6" s="3" t="s">
        <v>5</v>
      </c>
      <c r="E6" s="3" t="s">
        <v>8</v>
      </c>
      <c r="F6" s="3" t="s">
        <v>11</v>
      </c>
      <c r="G6" s="3" t="s">
        <v>14</v>
      </c>
      <c r="H6" s="3" t="s">
        <v>17</v>
      </c>
    </row>
    <row r="7">
      <c r="A7" s="8">
        <v>46203.706347430554</v>
      </c>
      <c r="B7" s="3" t="s">
        <v>34</v>
      </c>
      <c r="C7" s="3" t="s">
        <v>1</v>
      </c>
      <c r="D7" s="3" t="s">
        <v>5</v>
      </c>
      <c r="E7" s="3" t="s">
        <v>8</v>
      </c>
      <c r="F7" s="3" t="s">
        <v>11</v>
      </c>
      <c r="G7" s="3" t="s">
        <v>14</v>
      </c>
      <c r="H7" s="3" t="s">
        <v>17</v>
      </c>
    </row>
    <row r="8">
      <c r="A8" s="8">
        <v>46206.60398400463</v>
      </c>
      <c r="B8" s="3" t="s">
        <v>35</v>
      </c>
      <c r="C8" s="3" t="s">
        <v>1</v>
      </c>
      <c r="D8" s="3" t="s">
        <v>5</v>
      </c>
      <c r="E8" s="3" t="s">
        <v>8</v>
      </c>
      <c r="F8" s="3" t="s">
        <v>11</v>
      </c>
      <c r="G8" s="3" t="s">
        <v>14</v>
      </c>
      <c r="H8" s="3" t="s">
        <v>17</v>
      </c>
      <c r="I8" s="3" t="s">
        <v>36</v>
      </c>
    </row>
    <row r="9">
      <c r="A9" s="8">
        <v>46212.59470556713</v>
      </c>
      <c r="B9" s="3" t="s">
        <v>37</v>
      </c>
      <c r="C9" s="3" t="s">
        <v>3</v>
      </c>
      <c r="D9" s="3" t="s">
        <v>6</v>
      </c>
      <c r="E9" s="3" t="s">
        <v>9</v>
      </c>
      <c r="F9" s="3" t="s">
        <v>12</v>
      </c>
      <c r="G9" s="3" t="s">
        <v>15</v>
      </c>
      <c r="H9" s="3" t="s">
        <v>18</v>
      </c>
    </row>
    <row r="10">
      <c r="A10" s="8">
        <v>46212.62259663195</v>
      </c>
      <c r="B10" s="3" t="s">
        <v>38</v>
      </c>
      <c r="C10" s="3" t="s">
        <v>1</v>
      </c>
      <c r="D10" s="3" t="s">
        <v>5</v>
      </c>
      <c r="E10" s="3" t="s">
        <v>8</v>
      </c>
      <c r="F10" s="3" t="s">
        <v>11</v>
      </c>
      <c r="G10" s="3" t="s">
        <v>14</v>
      </c>
      <c r="H10" s="3" t="s">
        <v>17</v>
      </c>
    </row>
    <row r="11">
      <c r="A11" s="8">
        <v>46212.62413539352</v>
      </c>
      <c r="B11" s="3" t="s">
        <v>39</v>
      </c>
      <c r="C11" s="3" t="s">
        <v>1</v>
      </c>
      <c r="D11" s="3" t="s">
        <v>5</v>
      </c>
      <c r="E11" s="3" t="s">
        <v>9</v>
      </c>
      <c r="F11" s="3" t="s">
        <v>12</v>
      </c>
      <c r="G11" s="3" t="s">
        <v>14</v>
      </c>
      <c r="H11" s="3" t="s">
        <v>18</v>
      </c>
    </row>
    <row r="12">
      <c r="A12" s="8">
        <v>46212.62695637731</v>
      </c>
      <c r="B12" s="3" t="s">
        <v>40</v>
      </c>
      <c r="C12" s="3" t="s">
        <v>1</v>
      </c>
      <c r="D12" s="3" t="s">
        <v>5</v>
      </c>
      <c r="E12" s="3" t="s">
        <v>8</v>
      </c>
      <c r="F12" s="3" t="s">
        <v>11</v>
      </c>
      <c r="G12" s="3" t="s">
        <v>14</v>
      </c>
      <c r="H12" s="3" t="s">
        <v>17</v>
      </c>
    </row>
    <row r="13">
      <c r="A13" s="8">
        <v>46212.631344837966</v>
      </c>
      <c r="B13" s="3" t="s">
        <v>41</v>
      </c>
      <c r="C13" s="3" t="s">
        <v>1</v>
      </c>
      <c r="D13" s="3" t="s">
        <v>5</v>
      </c>
      <c r="E13" s="3" t="s">
        <v>8</v>
      </c>
      <c r="F13" s="3" t="s">
        <v>11</v>
      </c>
      <c r="G13" s="3" t="s">
        <v>14</v>
      </c>
      <c r="H13" s="3" t="s">
        <v>17</v>
      </c>
    </row>
    <row r="14">
      <c r="A14" s="8">
        <v>46212.63145971065</v>
      </c>
      <c r="B14" s="3" t="s">
        <v>42</v>
      </c>
      <c r="C14" s="3" t="s">
        <v>1</v>
      </c>
      <c r="D14" s="3" t="s">
        <v>5</v>
      </c>
      <c r="E14" s="3" t="s">
        <v>8</v>
      </c>
      <c r="F14" s="3" t="s">
        <v>11</v>
      </c>
      <c r="G14" s="3" t="s">
        <v>14</v>
      </c>
      <c r="H14" s="3" t="s">
        <v>17</v>
      </c>
    </row>
    <row r="15">
      <c r="A15" s="8">
        <v>46212.6321200463</v>
      </c>
      <c r="B15" s="3" t="s">
        <v>43</v>
      </c>
      <c r="C15" s="3" t="s">
        <v>1</v>
      </c>
      <c r="D15" s="3" t="s">
        <v>5</v>
      </c>
      <c r="E15" s="3" t="s">
        <v>8</v>
      </c>
      <c r="F15" s="3" t="s">
        <v>11</v>
      </c>
      <c r="G15" s="3" t="s">
        <v>14</v>
      </c>
      <c r="H15" s="3" t="s">
        <v>17</v>
      </c>
    </row>
    <row r="16">
      <c r="A16" s="8">
        <v>46212.6321434375</v>
      </c>
      <c r="B16" s="3" t="s">
        <v>44</v>
      </c>
      <c r="C16" s="3" t="s">
        <v>1</v>
      </c>
      <c r="D16" s="3" t="s">
        <v>5</v>
      </c>
      <c r="E16" s="3" t="s">
        <v>8</v>
      </c>
      <c r="F16" s="3" t="s">
        <v>11</v>
      </c>
      <c r="G16" s="3" t="s">
        <v>14</v>
      </c>
      <c r="H16" s="3" t="s">
        <v>17</v>
      </c>
    </row>
    <row r="17">
      <c r="A17" s="8">
        <v>46212.63218771991</v>
      </c>
      <c r="B17" s="3" t="s">
        <v>45</v>
      </c>
      <c r="C17" s="3" t="s">
        <v>1</v>
      </c>
      <c r="D17" s="3" t="s">
        <v>5</v>
      </c>
      <c r="E17" s="3" t="s">
        <v>8</v>
      </c>
      <c r="F17" s="3" t="s">
        <v>11</v>
      </c>
      <c r="G17" s="3" t="s">
        <v>14</v>
      </c>
      <c r="H17" s="3" t="s">
        <v>17</v>
      </c>
    </row>
    <row r="18">
      <c r="A18" s="8">
        <v>46212.632301631944</v>
      </c>
      <c r="B18" s="3" t="s">
        <v>46</v>
      </c>
      <c r="C18" s="3" t="s">
        <v>1</v>
      </c>
      <c r="D18" s="3" t="s">
        <v>5</v>
      </c>
      <c r="E18" s="3" t="s">
        <v>8</v>
      </c>
      <c r="F18" s="3" t="s">
        <v>11</v>
      </c>
      <c r="G18" s="3" t="s">
        <v>14</v>
      </c>
      <c r="H18" s="3" t="s">
        <v>17</v>
      </c>
    </row>
    <row r="19">
      <c r="A19" s="8">
        <v>46212.632311678244</v>
      </c>
      <c r="B19" s="3" t="s">
        <v>47</v>
      </c>
      <c r="C19" s="3" t="s">
        <v>1</v>
      </c>
      <c r="D19" s="3" t="s">
        <v>5</v>
      </c>
      <c r="E19" s="3" t="s">
        <v>8</v>
      </c>
      <c r="F19" s="3" t="s">
        <v>11</v>
      </c>
      <c r="G19" s="3" t="s">
        <v>14</v>
      </c>
      <c r="H19" s="3" t="s">
        <v>17</v>
      </c>
    </row>
    <row r="20">
      <c r="A20" s="8">
        <v>46212.63237854167</v>
      </c>
      <c r="B20" s="3" t="s">
        <v>48</v>
      </c>
      <c r="C20" s="3" t="s">
        <v>1</v>
      </c>
      <c r="D20" s="3" t="s">
        <v>5</v>
      </c>
      <c r="E20" s="3" t="s">
        <v>8</v>
      </c>
      <c r="F20" s="3" t="s">
        <v>11</v>
      </c>
      <c r="G20" s="3" t="s">
        <v>14</v>
      </c>
      <c r="H20" s="3" t="s">
        <v>17</v>
      </c>
    </row>
    <row r="21">
      <c r="A21" s="8">
        <v>46212.63240400463</v>
      </c>
      <c r="B21" s="3" t="s">
        <v>49</v>
      </c>
      <c r="C21" s="3" t="s">
        <v>1</v>
      </c>
      <c r="D21" s="3" t="s">
        <v>5</v>
      </c>
      <c r="E21" s="3" t="s">
        <v>8</v>
      </c>
      <c r="F21" s="3" t="s">
        <v>11</v>
      </c>
      <c r="G21" s="3" t="s">
        <v>14</v>
      </c>
      <c r="H21" s="3" t="s">
        <v>17</v>
      </c>
    </row>
    <row r="22">
      <c r="A22" s="8">
        <v>46212.63245344907</v>
      </c>
      <c r="B22" s="3" t="s">
        <v>50</v>
      </c>
      <c r="C22" s="3" t="s">
        <v>1</v>
      </c>
      <c r="D22" s="3" t="s">
        <v>5</v>
      </c>
      <c r="E22" s="3" t="s">
        <v>8</v>
      </c>
      <c r="F22" s="3" t="s">
        <v>11</v>
      </c>
      <c r="G22" s="3" t="s">
        <v>14</v>
      </c>
      <c r="H22" s="3" t="s">
        <v>17</v>
      </c>
    </row>
    <row r="23">
      <c r="A23" s="8">
        <v>46212.63246303241</v>
      </c>
      <c r="B23" s="3" t="s">
        <v>51</v>
      </c>
      <c r="C23" s="3" t="s">
        <v>1</v>
      </c>
      <c r="D23" s="3" t="s">
        <v>5</v>
      </c>
      <c r="E23" s="3" t="s">
        <v>8</v>
      </c>
      <c r="F23" s="3" t="s">
        <v>11</v>
      </c>
      <c r="G23" s="3" t="s">
        <v>14</v>
      </c>
      <c r="H23" s="3" t="s">
        <v>17</v>
      </c>
    </row>
    <row r="24">
      <c r="A24" s="8">
        <v>46212.63246388889</v>
      </c>
      <c r="B24" s="3" t="s">
        <v>52</v>
      </c>
      <c r="C24" s="3" t="s">
        <v>1</v>
      </c>
      <c r="D24" s="3" t="s">
        <v>5</v>
      </c>
      <c r="E24" s="3" t="s">
        <v>8</v>
      </c>
      <c r="F24" s="3" t="s">
        <v>11</v>
      </c>
      <c r="G24" s="3" t="s">
        <v>14</v>
      </c>
      <c r="H24" s="3" t="s">
        <v>18</v>
      </c>
    </row>
    <row r="25">
      <c r="A25" s="8">
        <v>46212.63251388889</v>
      </c>
      <c r="B25" s="3" t="s">
        <v>53</v>
      </c>
      <c r="C25" s="3" t="s">
        <v>1</v>
      </c>
      <c r="D25" s="3" t="s">
        <v>5</v>
      </c>
      <c r="E25" s="3" t="s">
        <v>8</v>
      </c>
      <c r="F25" s="3" t="s">
        <v>11</v>
      </c>
      <c r="G25" s="3" t="s">
        <v>14</v>
      </c>
      <c r="H25" s="3" t="s">
        <v>17</v>
      </c>
    </row>
    <row r="26">
      <c r="A26" s="8">
        <v>46212.632566458335</v>
      </c>
      <c r="B26" s="3" t="s">
        <v>54</v>
      </c>
      <c r="C26" s="3" t="s">
        <v>1</v>
      </c>
      <c r="D26" s="3" t="s">
        <v>5</v>
      </c>
      <c r="E26" s="3" t="s">
        <v>8</v>
      </c>
      <c r="F26" s="3" t="s">
        <v>11</v>
      </c>
      <c r="G26" s="3" t="s">
        <v>14</v>
      </c>
      <c r="H26" s="3" t="s">
        <v>17</v>
      </c>
    </row>
    <row r="27">
      <c r="A27" s="8">
        <v>46212.632641296295</v>
      </c>
      <c r="B27" s="3" t="s">
        <v>55</v>
      </c>
      <c r="C27" s="3" t="s">
        <v>1</v>
      </c>
      <c r="D27" s="3" t="s">
        <v>5</v>
      </c>
      <c r="E27" s="3" t="s">
        <v>8</v>
      </c>
      <c r="F27" s="3" t="s">
        <v>11</v>
      </c>
      <c r="G27" s="3" t="s">
        <v>14</v>
      </c>
      <c r="H27" s="3" t="s">
        <v>17</v>
      </c>
    </row>
    <row r="28">
      <c r="A28" s="8">
        <v>46212.63269936343</v>
      </c>
      <c r="B28" s="3" t="s">
        <v>56</v>
      </c>
      <c r="C28" s="3" t="s">
        <v>1</v>
      </c>
      <c r="D28" s="3" t="s">
        <v>5</v>
      </c>
      <c r="E28" s="3" t="s">
        <v>8</v>
      </c>
      <c r="F28" s="3" t="s">
        <v>11</v>
      </c>
      <c r="G28" s="3" t="s">
        <v>14</v>
      </c>
      <c r="H28" s="3" t="s">
        <v>17</v>
      </c>
      <c r="I28" s="3" t="s">
        <v>57</v>
      </c>
    </row>
    <row r="29">
      <c r="A29" s="8">
        <v>46212.632751412035</v>
      </c>
      <c r="B29" s="3" t="s">
        <v>58</v>
      </c>
      <c r="C29" s="3" t="s">
        <v>1</v>
      </c>
      <c r="D29" s="3" t="s">
        <v>5</v>
      </c>
      <c r="E29" s="3" t="s">
        <v>8</v>
      </c>
      <c r="F29" s="3" t="s">
        <v>11</v>
      </c>
      <c r="G29" s="3" t="s">
        <v>14</v>
      </c>
      <c r="H29" s="3" t="s">
        <v>17</v>
      </c>
    </row>
    <row r="30">
      <c r="A30" s="8">
        <v>46212.63276979167</v>
      </c>
      <c r="B30" s="3" t="s">
        <v>59</v>
      </c>
      <c r="C30" s="3" t="s">
        <v>1</v>
      </c>
      <c r="D30" s="3" t="s">
        <v>5</v>
      </c>
      <c r="E30" s="3" t="s">
        <v>8</v>
      </c>
      <c r="F30" s="3" t="s">
        <v>11</v>
      </c>
      <c r="G30" s="3" t="s">
        <v>14</v>
      </c>
      <c r="H30" s="3" t="s">
        <v>18</v>
      </c>
    </row>
    <row r="31">
      <c r="A31" s="8">
        <v>46212.63280028936</v>
      </c>
      <c r="B31" s="3" t="s">
        <v>60</v>
      </c>
      <c r="C31" s="3" t="s">
        <v>3</v>
      </c>
      <c r="D31" s="3" t="s">
        <v>6</v>
      </c>
      <c r="E31" s="3" t="s">
        <v>9</v>
      </c>
      <c r="F31" s="3" t="s">
        <v>12</v>
      </c>
      <c r="G31" s="3" t="s">
        <v>15</v>
      </c>
      <c r="H31" s="3" t="s">
        <v>18</v>
      </c>
    </row>
    <row r="32">
      <c r="A32" s="8">
        <v>46212.632826030094</v>
      </c>
      <c r="B32" s="3" t="s">
        <v>61</v>
      </c>
      <c r="C32" s="3" t="s">
        <v>1</v>
      </c>
      <c r="D32" s="3" t="s">
        <v>5</v>
      </c>
      <c r="E32" s="3" t="s">
        <v>8</v>
      </c>
      <c r="F32" s="3" t="s">
        <v>11</v>
      </c>
      <c r="G32" s="3" t="s">
        <v>14</v>
      </c>
      <c r="H32" s="3" t="s">
        <v>17</v>
      </c>
    </row>
    <row r="33">
      <c r="A33" s="8">
        <v>46212.63282866898</v>
      </c>
      <c r="B33" s="3" t="s">
        <v>62</v>
      </c>
      <c r="C33" s="3" t="s">
        <v>1</v>
      </c>
      <c r="D33" s="3" t="s">
        <v>5</v>
      </c>
      <c r="E33" s="3" t="s">
        <v>8</v>
      </c>
      <c r="F33" s="3" t="s">
        <v>11</v>
      </c>
      <c r="G33" s="3" t="s">
        <v>14</v>
      </c>
      <c r="H33" s="3" t="s">
        <v>17</v>
      </c>
    </row>
    <row r="34">
      <c r="A34" s="8">
        <v>46212.632853958334</v>
      </c>
      <c r="B34" s="3" t="s">
        <v>63</v>
      </c>
      <c r="C34" s="3" t="s">
        <v>1</v>
      </c>
      <c r="D34" s="3" t="s">
        <v>5</v>
      </c>
      <c r="E34" s="3" t="s">
        <v>8</v>
      </c>
      <c r="F34" s="3" t="s">
        <v>11</v>
      </c>
      <c r="G34" s="3" t="s">
        <v>14</v>
      </c>
      <c r="H34" s="3" t="s">
        <v>17</v>
      </c>
    </row>
    <row r="35">
      <c r="A35" s="8">
        <v>46212.632907141204</v>
      </c>
      <c r="B35" s="3" t="s">
        <v>64</v>
      </c>
      <c r="C35" s="3" t="s">
        <v>1</v>
      </c>
      <c r="D35" s="3" t="s">
        <v>5</v>
      </c>
      <c r="E35" s="3" t="s">
        <v>8</v>
      </c>
      <c r="F35" s="3" t="s">
        <v>11</v>
      </c>
      <c r="G35" s="3" t="s">
        <v>14</v>
      </c>
      <c r="H35" s="3" t="s">
        <v>17</v>
      </c>
      <c r="I35" s="3" t="s">
        <v>65</v>
      </c>
    </row>
    <row r="36">
      <c r="A36" s="8">
        <v>46212.63290827547</v>
      </c>
      <c r="B36" s="3" t="s">
        <v>66</v>
      </c>
      <c r="C36" s="3" t="s">
        <v>1</v>
      </c>
      <c r="D36" s="3" t="s">
        <v>5</v>
      </c>
      <c r="E36" s="3" t="s">
        <v>9</v>
      </c>
      <c r="F36" s="3" t="s">
        <v>12</v>
      </c>
      <c r="G36" s="3" t="s">
        <v>14</v>
      </c>
      <c r="H36" s="3" t="s">
        <v>18</v>
      </c>
    </row>
    <row r="37">
      <c r="A37" s="8">
        <v>46212.63294386574</v>
      </c>
      <c r="B37" s="3" t="s">
        <v>67</v>
      </c>
      <c r="C37" s="3" t="s">
        <v>1</v>
      </c>
      <c r="D37" s="3" t="s">
        <v>5</v>
      </c>
      <c r="E37" s="3" t="s">
        <v>8</v>
      </c>
      <c r="F37" s="3" t="s">
        <v>11</v>
      </c>
      <c r="G37" s="3" t="s">
        <v>14</v>
      </c>
      <c r="H37" s="3" t="s">
        <v>17</v>
      </c>
    </row>
    <row r="38">
      <c r="A38" s="8">
        <v>46212.63296785879</v>
      </c>
      <c r="B38" s="3" t="s">
        <v>68</v>
      </c>
      <c r="C38" s="3" t="s">
        <v>1</v>
      </c>
      <c r="D38" s="3" t="s">
        <v>5</v>
      </c>
      <c r="E38" s="3" t="s">
        <v>8</v>
      </c>
      <c r="F38" s="3" t="s">
        <v>11</v>
      </c>
      <c r="G38" s="3" t="s">
        <v>14</v>
      </c>
      <c r="H38" s="3" t="s">
        <v>17</v>
      </c>
    </row>
    <row r="39">
      <c r="A39" s="8">
        <v>46212.63303725694</v>
      </c>
      <c r="B39" s="3" t="s">
        <v>69</v>
      </c>
      <c r="C39" s="3" t="s">
        <v>1</v>
      </c>
      <c r="D39" s="3" t="s">
        <v>5</v>
      </c>
      <c r="E39" s="3" t="s">
        <v>8</v>
      </c>
      <c r="F39" s="3" t="s">
        <v>11</v>
      </c>
      <c r="G39" s="3" t="s">
        <v>14</v>
      </c>
      <c r="H39" s="3" t="s">
        <v>17</v>
      </c>
    </row>
    <row r="40">
      <c r="A40" s="8">
        <v>46212.633050358796</v>
      </c>
      <c r="B40" s="3" t="s">
        <v>70</v>
      </c>
      <c r="C40" s="3" t="s">
        <v>1</v>
      </c>
      <c r="D40" s="3" t="s">
        <v>5</v>
      </c>
      <c r="E40" s="3" t="s">
        <v>8</v>
      </c>
      <c r="F40" s="3" t="s">
        <v>11</v>
      </c>
      <c r="G40" s="3" t="s">
        <v>14</v>
      </c>
      <c r="H40" s="3" t="s">
        <v>17</v>
      </c>
    </row>
    <row r="41">
      <c r="A41" s="8">
        <v>46212.63305079861</v>
      </c>
      <c r="B41" s="3" t="s">
        <v>71</v>
      </c>
      <c r="C41" s="3" t="s">
        <v>1</v>
      </c>
      <c r="D41" s="3" t="s">
        <v>5</v>
      </c>
      <c r="E41" s="3" t="s">
        <v>8</v>
      </c>
      <c r="F41" s="3" t="s">
        <v>11</v>
      </c>
      <c r="G41" s="3" t="s">
        <v>14</v>
      </c>
      <c r="H41" s="3" t="s">
        <v>17</v>
      </c>
    </row>
    <row r="42">
      <c r="A42" s="8">
        <v>46212.633069664356</v>
      </c>
      <c r="B42" s="3" t="s">
        <v>72</v>
      </c>
      <c r="C42" s="3" t="s">
        <v>1</v>
      </c>
      <c r="D42" s="3" t="s">
        <v>5</v>
      </c>
      <c r="E42" s="3" t="s">
        <v>8</v>
      </c>
      <c r="F42" s="3" t="s">
        <v>11</v>
      </c>
      <c r="G42" s="3" t="s">
        <v>14</v>
      </c>
      <c r="H42" s="3" t="s">
        <v>17</v>
      </c>
    </row>
    <row r="43">
      <c r="A43" s="8">
        <v>46212.63307960649</v>
      </c>
      <c r="B43" s="3" t="s">
        <v>73</v>
      </c>
      <c r="C43" s="3" t="s">
        <v>1</v>
      </c>
      <c r="D43" s="3" t="s">
        <v>5</v>
      </c>
      <c r="E43" s="3" t="s">
        <v>8</v>
      </c>
      <c r="F43" s="3" t="s">
        <v>11</v>
      </c>
      <c r="G43" s="3" t="s">
        <v>14</v>
      </c>
      <c r="H43" s="3" t="s">
        <v>17</v>
      </c>
    </row>
    <row r="44">
      <c r="A44" s="8">
        <v>46212.63309541666</v>
      </c>
      <c r="B44" s="3" t="s">
        <v>74</v>
      </c>
      <c r="C44" s="3" t="s">
        <v>1</v>
      </c>
      <c r="D44" s="3" t="s">
        <v>5</v>
      </c>
      <c r="E44" s="3" t="s">
        <v>8</v>
      </c>
      <c r="F44" s="3" t="s">
        <v>11</v>
      </c>
      <c r="G44" s="3" t="s">
        <v>14</v>
      </c>
      <c r="H44" s="3" t="s">
        <v>17</v>
      </c>
    </row>
    <row r="45">
      <c r="A45" s="8">
        <v>46212.633128078705</v>
      </c>
      <c r="B45" s="3" t="s">
        <v>75</v>
      </c>
      <c r="C45" s="3" t="s">
        <v>1</v>
      </c>
      <c r="D45" s="3" t="s">
        <v>6</v>
      </c>
      <c r="E45" s="3" t="s">
        <v>8</v>
      </c>
      <c r="F45" s="3" t="s">
        <v>11</v>
      </c>
      <c r="G45" s="3" t="s">
        <v>14</v>
      </c>
      <c r="H45" s="3" t="s">
        <v>17</v>
      </c>
    </row>
    <row r="46">
      <c r="A46" s="8">
        <v>46212.633164803236</v>
      </c>
      <c r="B46" s="3" t="s">
        <v>77</v>
      </c>
      <c r="C46" s="3" t="s">
        <v>1</v>
      </c>
      <c r="D46" s="3" t="s">
        <v>5</v>
      </c>
      <c r="E46" s="3" t="s">
        <v>8</v>
      </c>
      <c r="F46" s="3" t="s">
        <v>11</v>
      </c>
      <c r="G46" s="3" t="s">
        <v>14</v>
      </c>
      <c r="H46" s="3" t="s">
        <v>17</v>
      </c>
    </row>
    <row r="47">
      <c r="A47" s="8">
        <v>46212.63318310185</v>
      </c>
      <c r="B47" s="3" t="s">
        <v>78</v>
      </c>
      <c r="C47" s="3" t="s">
        <v>1</v>
      </c>
      <c r="D47" s="3" t="s">
        <v>5</v>
      </c>
      <c r="E47" s="3" t="s">
        <v>8</v>
      </c>
      <c r="F47" s="3" t="s">
        <v>11</v>
      </c>
      <c r="G47" s="3" t="s">
        <v>14</v>
      </c>
      <c r="H47" s="3" t="s">
        <v>17</v>
      </c>
    </row>
    <row r="48">
      <c r="A48" s="8">
        <v>46212.63318754629</v>
      </c>
      <c r="B48" s="3" t="s">
        <v>79</v>
      </c>
      <c r="C48" s="3" t="s">
        <v>1</v>
      </c>
      <c r="D48" s="3" t="s">
        <v>5</v>
      </c>
      <c r="E48" s="3" t="s">
        <v>8</v>
      </c>
      <c r="F48" s="3" t="s">
        <v>11</v>
      </c>
      <c r="G48" s="3" t="s">
        <v>14</v>
      </c>
      <c r="H48" s="3" t="s">
        <v>19</v>
      </c>
    </row>
    <row r="49">
      <c r="A49" s="8">
        <v>46212.633190821754</v>
      </c>
      <c r="B49" s="3" t="s">
        <v>80</v>
      </c>
      <c r="C49" s="3" t="s">
        <v>1</v>
      </c>
      <c r="D49" s="3" t="s">
        <v>5</v>
      </c>
      <c r="E49" s="3" t="s">
        <v>8</v>
      </c>
      <c r="F49" s="3" t="s">
        <v>11</v>
      </c>
      <c r="G49" s="3" t="s">
        <v>14</v>
      </c>
      <c r="H49" s="3" t="s">
        <v>17</v>
      </c>
    </row>
    <row r="50">
      <c r="A50" s="8">
        <v>46212.63319263889</v>
      </c>
      <c r="B50" s="3" t="s">
        <v>81</v>
      </c>
      <c r="C50" s="3" t="s">
        <v>1</v>
      </c>
      <c r="D50" s="3" t="s">
        <v>5</v>
      </c>
      <c r="E50" s="3" t="s">
        <v>8</v>
      </c>
      <c r="F50" s="3" t="s">
        <v>11</v>
      </c>
      <c r="G50" s="3" t="s">
        <v>14</v>
      </c>
      <c r="H50" s="3" t="s">
        <v>17</v>
      </c>
    </row>
    <row r="51">
      <c r="A51" s="8">
        <v>46212.63321690972</v>
      </c>
      <c r="B51" s="3" t="s">
        <v>82</v>
      </c>
      <c r="C51" s="3" t="s">
        <v>1</v>
      </c>
      <c r="D51" s="3" t="s">
        <v>5</v>
      </c>
      <c r="E51" s="3" t="s">
        <v>8</v>
      </c>
      <c r="F51" s="3" t="s">
        <v>11</v>
      </c>
      <c r="G51" s="3" t="s">
        <v>14</v>
      </c>
      <c r="H51" s="3" t="s">
        <v>17</v>
      </c>
    </row>
    <row r="52">
      <c r="A52" s="8">
        <v>46212.63323587963</v>
      </c>
      <c r="B52" s="3" t="s">
        <v>83</v>
      </c>
      <c r="C52" s="3" t="s">
        <v>1</v>
      </c>
      <c r="D52" s="3" t="s">
        <v>5</v>
      </c>
      <c r="E52" s="3" t="s">
        <v>8</v>
      </c>
      <c r="F52" s="3" t="s">
        <v>11</v>
      </c>
      <c r="G52" s="3" t="s">
        <v>14</v>
      </c>
      <c r="H52" s="3" t="s">
        <v>17</v>
      </c>
    </row>
    <row r="53">
      <c r="A53" s="8">
        <v>46212.63325709491</v>
      </c>
      <c r="B53" s="3" t="s">
        <v>84</v>
      </c>
      <c r="C53" s="3" t="s">
        <v>1</v>
      </c>
      <c r="D53" s="3" t="s">
        <v>5</v>
      </c>
      <c r="E53" s="3" t="s">
        <v>9</v>
      </c>
      <c r="F53" s="3" t="s">
        <v>11</v>
      </c>
      <c r="G53" s="3" t="s">
        <v>14</v>
      </c>
      <c r="H53" s="3" t="s">
        <v>17</v>
      </c>
    </row>
    <row r="54">
      <c r="A54" s="8">
        <v>46212.63332450231</v>
      </c>
      <c r="B54" s="3" t="s">
        <v>85</v>
      </c>
      <c r="C54" s="3" t="s">
        <v>1</v>
      </c>
      <c r="D54" s="3" t="s">
        <v>5</v>
      </c>
      <c r="E54" s="3" t="s">
        <v>8</v>
      </c>
      <c r="F54" s="3" t="s">
        <v>11</v>
      </c>
      <c r="G54" s="3" t="s">
        <v>14</v>
      </c>
      <c r="H54" s="3" t="s">
        <v>17</v>
      </c>
      <c r="I54" s="3" t="s">
        <v>57</v>
      </c>
    </row>
    <row r="55">
      <c r="A55" s="8">
        <v>46212.6334159375</v>
      </c>
      <c r="B55" s="3" t="s">
        <v>86</v>
      </c>
      <c r="C55" s="3" t="s">
        <v>1</v>
      </c>
      <c r="D55" s="3" t="s">
        <v>5</v>
      </c>
      <c r="E55" s="3" t="s">
        <v>8</v>
      </c>
      <c r="F55" s="3" t="s">
        <v>11</v>
      </c>
      <c r="G55" s="3" t="s">
        <v>14</v>
      </c>
      <c r="H55" s="3" t="s">
        <v>17</v>
      </c>
    </row>
    <row r="56">
      <c r="A56" s="8">
        <v>46212.6334996875</v>
      </c>
      <c r="B56" s="3" t="s">
        <v>87</v>
      </c>
      <c r="C56" s="3" t="s">
        <v>1</v>
      </c>
      <c r="D56" s="3" t="s">
        <v>5</v>
      </c>
      <c r="E56" s="3" t="s">
        <v>8</v>
      </c>
      <c r="F56" s="3" t="s">
        <v>11</v>
      </c>
      <c r="G56" s="3" t="s">
        <v>14</v>
      </c>
      <c r="H56" s="3" t="s">
        <v>17</v>
      </c>
    </row>
    <row r="57">
      <c r="A57" s="8">
        <v>46212.63354833334</v>
      </c>
      <c r="B57" s="3" t="s">
        <v>88</v>
      </c>
      <c r="C57" s="3" t="s">
        <v>1</v>
      </c>
      <c r="D57" s="3" t="s">
        <v>5</v>
      </c>
      <c r="E57" s="3" t="s">
        <v>8</v>
      </c>
      <c r="F57" s="3" t="s">
        <v>11</v>
      </c>
      <c r="G57" s="3" t="s">
        <v>14</v>
      </c>
      <c r="H57" s="3" t="s">
        <v>17</v>
      </c>
    </row>
    <row r="58">
      <c r="A58" s="8">
        <v>46212.63359017362</v>
      </c>
      <c r="B58" s="3" t="s">
        <v>89</v>
      </c>
      <c r="C58" s="3" t="s">
        <v>1</v>
      </c>
      <c r="D58" s="3" t="s">
        <v>5</v>
      </c>
      <c r="E58" s="3" t="s">
        <v>8</v>
      </c>
      <c r="F58" s="3" t="s">
        <v>11</v>
      </c>
      <c r="G58" s="3" t="s">
        <v>14</v>
      </c>
      <c r="H58" s="3" t="s">
        <v>17</v>
      </c>
      <c r="I58" s="3" t="s">
        <v>65</v>
      </c>
    </row>
    <row r="59">
      <c r="A59" s="8">
        <v>46212.63363229166</v>
      </c>
      <c r="B59" s="3" t="s">
        <v>90</v>
      </c>
      <c r="C59" s="3" t="s">
        <v>1</v>
      </c>
      <c r="D59" s="3" t="s">
        <v>5</v>
      </c>
      <c r="E59" s="3" t="s">
        <v>9</v>
      </c>
      <c r="F59" s="3" t="s">
        <v>12</v>
      </c>
      <c r="G59" s="3" t="s">
        <v>14</v>
      </c>
      <c r="H59" s="3" t="s">
        <v>18</v>
      </c>
    </row>
    <row r="60">
      <c r="A60" s="8">
        <v>46212.633654108795</v>
      </c>
      <c r="B60" s="3" t="s">
        <v>91</v>
      </c>
      <c r="C60" s="3" t="s">
        <v>1</v>
      </c>
      <c r="D60" s="3" t="s">
        <v>5</v>
      </c>
      <c r="E60" s="3" t="s">
        <v>8</v>
      </c>
      <c r="F60" s="3" t="s">
        <v>11</v>
      </c>
      <c r="G60" s="3" t="s">
        <v>14</v>
      </c>
      <c r="H60" s="3" t="s">
        <v>17</v>
      </c>
    </row>
    <row r="61">
      <c r="A61" s="8">
        <v>46212.63368961806</v>
      </c>
      <c r="B61" s="3" t="s">
        <v>92</v>
      </c>
      <c r="C61" s="3" t="s">
        <v>1</v>
      </c>
      <c r="D61" s="3" t="s">
        <v>6</v>
      </c>
      <c r="E61" s="3" t="s">
        <v>9</v>
      </c>
      <c r="F61" s="3" t="s">
        <v>12</v>
      </c>
      <c r="G61" s="3" t="s">
        <v>14</v>
      </c>
      <c r="H61" s="3" t="s">
        <v>17</v>
      </c>
    </row>
    <row r="62">
      <c r="A62" s="8">
        <v>46212.63379241899</v>
      </c>
      <c r="B62" s="3" t="s">
        <v>93</v>
      </c>
      <c r="C62" s="3" t="s">
        <v>1</v>
      </c>
      <c r="D62" s="3" t="s">
        <v>5</v>
      </c>
      <c r="E62" s="3" t="s">
        <v>8</v>
      </c>
      <c r="F62" s="3" t="s">
        <v>11</v>
      </c>
      <c r="G62" s="3" t="s">
        <v>14</v>
      </c>
      <c r="H62" s="3" t="s">
        <v>17</v>
      </c>
    </row>
    <row r="63">
      <c r="A63" s="8">
        <v>46212.63384958333</v>
      </c>
      <c r="B63" s="3" t="s">
        <v>94</v>
      </c>
      <c r="C63" s="3" t="s">
        <v>1</v>
      </c>
      <c r="D63" s="3" t="s">
        <v>5</v>
      </c>
      <c r="E63" s="3" t="s">
        <v>8</v>
      </c>
      <c r="F63" s="3" t="s">
        <v>11</v>
      </c>
      <c r="G63" s="3" t="s">
        <v>14</v>
      </c>
      <c r="H63" s="3" t="s">
        <v>17</v>
      </c>
    </row>
    <row r="64">
      <c r="A64" s="8">
        <v>46212.634609375</v>
      </c>
      <c r="B64" s="3" t="s">
        <v>95</v>
      </c>
      <c r="C64" s="3" t="s">
        <v>1</v>
      </c>
      <c r="D64" s="3" t="s">
        <v>5</v>
      </c>
      <c r="E64" s="3" t="s">
        <v>8</v>
      </c>
      <c r="F64" s="3" t="s">
        <v>11</v>
      </c>
      <c r="G64" s="3" t="s">
        <v>14</v>
      </c>
      <c r="H64" s="3" t="s">
        <v>17</v>
      </c>
    </row>
    <row r="65">
      <c r="A65" s="8">
        <v>46212.634710115744</v>
      </c>
      <c r="B65" s="3" t="s">
        <v>97</v>
      </c>
      <c r="C65" s="3" t="s">
        <v>1</v>
      </c>
      <c r="D65" s="3" t="s">
        <v>5</v>
      </c>
      <c r="E65" s="3" t="s">
        <v>8</v>
      </c>
      <c r="F65" s="3" t="s">
        <v>11</v>
      </c>
      <c r="G65" s="3" t="s">
        <v>14</v>
      </c>
      <c r="H65" s="3" t="s">
        <v>17</v>
      </c>
      <c r="I65" s="3" t="s">
        <v>57</v>
      </c>
    </row>
    <row r="66">
      <c r="A66" s="8">
        <v>46212.63527668982</v>
      </c>
      <c r="B66" s="3" t="s">
        <v>98</v>
      </c>
      <c r="C66" s="3" t="s">
        <v>1</v>
      </c>
      <c r="D66" s="3" t="s">
        <v>5</v>
      </c>
      <c r="E66" s="3" t="s">
        <v>8</v>
      </c>
      <c r="F66" s="3" t="s">
        <v>11</v>
      </c>
      <c r="G66" s="3" t="s">
        <v>14</v>
      </c>
      <c r="H66" s="3" t="s">
        <v>17</v>
      </c>
    </row>
    <row r="67">
      <c r="A67" s="8">
        <v>46212.635311770835</v>
      </c>
      <c r="B67" s="3" t="s">
        <v>99</v>
      </c>
      <c r="C67" s="3" t="s">
        <v>1</v>
      </c>
      <c r="D67" s="3" t="s">
        <v>5</v>
      </c>
      <c r="E67" s="3" t="s">
        <v>8</v>
      </c>
      <c r="F67" s="3" t="s">
        <v>11</v>
      </c>
      <c r="G67" s="3" t="s">
        <v>14</v>
      </c>
      <c r="H67" s="3" t="s">
        <v>17</v>
      </c>
    </row>
    <row r="68">
      <c r="A68" s="8">
        <v>46212.6415896875</v>
      </c>
      <c r="B68" s="3" t="s">
        <v>100</v>
      </c>
      <c r="C68" s="3" t="s">
        <v>3</v>
      </c>
      <c r="D68" s="3" t="s">
        <v>6</v>
      </c>
      <c r="E68" s="3" t="s">
        <v>9</v>
      </c>
      <c r="F68" s="3" t="s">
        <v>12</v>
      </c>
      <c r="G68" s="3" t="s">
        <v>15</v>
      </c>
      <c r="H68" s="3" t="s">
        <v>18</v>
      </c>
    </row>
    <row r="69">
      <c r="A69" s="8">
        <v>46212.655656365736</v>
      </c>
      <c r="B69" s="3" t="s">
        <v>101</v>
      </c>
      <c r="C69" s="3" t="s">
        <v>1</v>
      </c>
      <c r="D69" s="3" t="s">
        <v>5</v>
      </c>
      <c r="E69" s="3" t="s">
        <v>8</v>
      </c>
      <c r="F69" s="3" t="s">
        <v>11</v>
      </c>
      <c r="G69" s="3" t="s">
        <v>14</v>
      </c>
      <c r="H69" s="3" t="s">
        <v>17</v>
      </c>
    </row>
    <row r="70">
      <c r="A70" s="8">
        <v>46212.715220046295</v>
      </c>
      <c r="B70" s="3" t="s">
        <v>102</v>
      </c>
      <c r="C70" s="3" t="s">
        <v>1</v>
      </c>
      <c r="D70" s="3" t="s">
        <v>5</v>
      </c>
      <c r="E70" s="3" t="s">
        <v>8</v>
      </c>
      <c r="F70" s="3" t="s">
        <v>11</v>
      </c>
      <c r="G70" s="3" t="s">
        <v>14</v>
      </c>
      <c r="H70" s="3" t="s">
        <v>17</v>
      </c>
    </row>
    <row r="71">
      <c r="A71" s="8">
        <v>46213.462570358795</v>
      </c>
      <c r="B71" s="3" t="s">
        <v>103</v>
      </c>
      <c r="C71" s="3" t="s">
        <v>1</v>
      </c>
      <c r="D71" s="3" t="s">
        <v>5</v>
      </c>
      <c r="E71" s="3" t="s">
        <v>8</v>
      </c>
      <c r="F71" s="3" t="s">
        <v>11</v>
      </c>
      <c r="G71" s="3" t="s">
        <v>14</v>
      </c>
      <c r="H71" s="3" t="s">
        <v>17</v>
      </c>
      <c r="I71" s="3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1.75"/>
    <col customWidth="1" min="3" max="3" width="1.88"/>
    <col customWidth="1" min="11" max="11" width="3.63"/>
    <col customWidth="1" min="12" max="12" width="20.5"/>
    <col customWidth="1" min="13" max="13" width="8.75"/>
  </cols>
  <sheetData>
    <row r="1">
      <c r="A1" s="5" t="s">
        <v>0</v>
      </c>
      <c r="B1" s="5" t="s">
        <v>2</v>
      </c>
      <c r="C1" s="5"/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7" t="s">
        <v>25</v>
      </c>
      <c r="J1" s="9"/>
      <c r="K1" s="10" t="s">
        <v>28</v>
      </c>
      <c r="L1" s="11"/>
      <c r="M1" s="12"/>
      <c r="N1" s="13"/>
      <c r="O1" s="13"/>
      <c r="P1" s="13"/>
    </row>
    <row r="2">
      <c r="A2" s="14">
        <f>'หลักสูตร'!A:A</f>
        <v>46181.40947</v>
      </c>
      <c r="B2" s="15" t="str">
        <f>'หลักสูตร'!B:B</f>
        <v>bnco0979@signalschool.ac.th</v>
      </c>
      <c r="C2" s="16">
        <v>1.0</v>
      </c>
      <c r="D2" s="17">
        <f>IFERROR(vlookup('หลักสูตร'!C:C,lookup!$A$2:$B$4,2,false),)</f>
        <v>5</v>
      </c>
      <c r="E2" s="17">
        <f>IFERROR(vlookup('หลักสูตร'!D:D,lookup!$A$6:$B$8,2,false),)</f>
        <v>5</v>
      </c>
      <c r="F2" s="17">
        <f>IFERROR(vlookup('หลักสูตร'!E:E,lookup!$A$10:$B$12,2,false),)</f>
        <v>5</v>
      </c>
      <c r="G2" s="17">
        <f>IFERROR(vlookup('หลักสูตร'!F:F,lookup!$A$14:$B$16,2,false),)</f>
        <v>5</v>
      </c>
      <c r="H2" s="17">
        <f>IFERROR(vlookup('หลักสูตร'!G:G,lookup!$A$18:$B$20,2,false),)</f>
        <v>5</v>
      </c>
      <c r="I2" s="18">
        <f>IFERROR(vlookup('หลักสูตร'!H:H,lookup!$A$22:$B$24,2,false),)</f>
        <v>5</v>
      </c>
      <c r="J2" s="9"/>
      <c r="K2" s="19">
        <v>1.0</v>
      </c>
      <c r="L2" s="20" t="str">
        <f t="shared" ref="L2:L81" si="1">CONCAT(P2,"@signalschool.ac.th")</f>
        <v>bnco0901@signalschool.ac.th</v>
      </c>
      <c r="M2" s="21">
        <f t="shared" ref="M2:M81" si="2">IFERROR(VLOOKUP(L2,B$2:C$81,2,FALSE),0)</f>
        <v>1</v>
      </c>
      <c r="N2" s="13"/>
      <c r="O2" s="13"/>
      <c r="P2" s="22" t="s">
        <v>76</v>
      </c>
    </row>
    <row r="3">
      <c r="A3" s="14">
        <f>'หลักสูตร'!A:A</f>
        <v>46181.41651</v>
      </c>
      <c r="B3" s="15" t="str">
        <f>'หลักสูตร'!B:B</f>
        <v>bnco0909@signalschool.ac.th</v>
      </c>
      <c r="C3" s="16">
        <v>1.0</v>
      </c>
      <c r="D3" s="17">
        <f>IFERROR(vlookup('หลักสูตร'!C:C,lookup!$A$2:$B$4,2,false),)</f>
        <v>5</v>
      </c>
      <c r="E3" s="17">
        <f>IFERROR(vlookup('หลักสูตร'!D:D,lookup!$A$6:$B$8,2,false),)</f>
        <v>5</v>
      </c>
      <c r="F3" s="17">
        <f>IFERROR(vlookup('หลักสูตร'!E:E,lookup!$A$10:$B$12,2,false),)</f>
        <v>5</v>
      </c>
      <c r="G3" s="17">
        <f>IFERROR(vlookup('หลักสูตร'!F:F,lookup!$A$14:$B$16,2,false),)</f>
        <v>5</v>
      </c>
      <c r="H3" s="17">
        <f>IFERROR(vlookup('หลักสูตร'!G:G,lookup!$A$18:$B$20,2,false),)</f>
        <v>5</v>
      </c>
      <c r="I3" s="18">
        <f>IFERROR(vlookup('หลักสูตร'!H:H,lookup!$A$22:$B$24,2,false),)</f>
        <v>5</v>
      </c>
      <c r="J3" s="9"/>
      <c r="K3" s="19">
        <v>2.0</v>
      </c>
      <c r="L3" s="20" t="str">
        <f t="shared" si="1"/>
        <v>bnco0902@signalschool.ac.th</v>
      </c>
      <c r="M3" s="21">
        <f t="shared" si="2"/>
        <v>1</v>
      </c>
      <c r="N3" s="13"/>
      <c r="O3" s="13"/>
      <c r="P3" s="22" t="s">
        <v>96</v>
      </c>
    </row>
    <row r="4">
      <c r="A4" s="14">
        <f>'หลักสูตร'!A:A</f>
        <v>46182.36014</v>
      </c>
      <c r="B4" s="15" t="str">
        <f>'หลักสูตร'!B:B</f>
        <v>bnco0904@signalschool.ac.th</v>
      </c>
      <c r="C4" s="16">
        <v>1.0</v>
      </c>
      <c r="D4" s="17">
        <f>IFERROR(vlookup('หลักสูตร'!C:C,lookup!$A$2:$B$4,2,false),)</f>
        <v>5</v>
      </c>
      <c r="E4" s="17">
        <f>IFERROR(vlookup('หลักสูตร'!D:D,lookup!$A$6:$B$8,2,false),)</f>
        <v>5</v>
      </c>
      <c r="F4" s="17">
        <f>IFERROR(vlookup('หลักสูตร'!E:E,lookup!$A$10:$B$12,2,false),)</f>
        <v>5</v>
      </c>
      <c r="G4" s="17">
        <f>IFERROR(vlookup('หลักสูตร'!F:F,lookup!$A$14:$B$16,2,false),)</f>
        <v>5</v>
      </c>
      <c r="H4" s="17">
        <f>IFERROR(vlookup('หลักสูตร'!G:G,lookup!$A$18:$B$20,2,false),)</f>
        <v>5</v>
      </c>
      <c r="I4" s="18">
        <f>IFERROR(vlookup('หลักสูตร'!H:H,lookup!$A$22:$B$24,2,false),)</f>
        <v>5</v>
      </c>
      <c r="J4" s="9"/>
      <c r="K4" s="19">
        <v>3.0</v>
      </c>
      <c r="L4" s="20" t="str">
        <f t="shared" si="1"/>
        <v>bnco0903@signalschool.ac.th</v>
      </c>
      <c r="M4" s="21">
        <f t="shared" si="2"/>
        <v>1</v>
      </c>
      <c r="N4" s="13"/>
      <c r="O4" s="13"/>
      <c r="P4" s="22" t="s">
        <v>105</v>
      </c>
    </row>
    <row r="5">
      <c r="A5" s="14">
        <f>'หลักสูตร'!A:A</f>
        <v>46189.42675</v>
      </c>
      <c r="B5" s="15" t="str">
        <f>'หลักสูตร'!B:B</f>
        <v>bnco0936@signalschool.ac.th</v>
      </c>
      <c r="C5" s="16">
        <v>1.0</v>
      </c>
      <c r="D5" s="17">
        <f>IFERROR(vlookup('หลักสูตร'!C:C,lookup!$A$2:$B$4,2,false),)</f>
        <v>5</v>
      </c>
      <c r="E5" s="17">
        <f>IFERROR(vlookup('หลักสูตร'!D:D,lookup!$A$6:$B$8,2,false),)</f>
        <v>5</v>
      </c>
      <c r="F5" s="17">
        <f>IFERROR(vlookup('หลักสูตร'!E:E,lookup!$A$10:$B$12,2,false),)</f>
        <v>5</v>
      </c>
      <c r="G5" s="17">
        <f>IFERROR(vlookup('หลักสูตร'!F:F,lookup!$A$14:$B$16,2,false),)</f>
        <v>5</v>
      </c>
      <c r="H5" s="17">
        <f>IFERROR(vlookup('หลักสูตร'!G:G,lookup!$A$18:$B$20,2,false),)</f>
        <v>5</v>
      </c>
      <c r="I5" s="18">
        <f>IFERROR(vlookup('หลักสูตร'!H:H,lookup!$A$22:$B$24,2,false),)</f>
        <v>3</v>
      </c>
      <c r="J5" s="9"/>
      <c r="K5" s="19">
        <v>4.0</v>
      </c>
      <c r="L5" s="20" t="str">
        <f t="shared" si="1"/>
        <v>bnco0904@signalschool.ac.th</v>
      </c>
      <c r="M5" s="21">
        <f t="shared" si="2"/>
        <v>1</v>
      </c>
      <c r="N5" s="13"/>
      <c r="O5" s="13"/>
      <c r="P5" s="22" t="s">
        <v>106</v>
      </c>
    </row>
    <row r="6">
      <c r="A6" s="14">
        <f>'หลักสูตร'!A:A</f>
        <v>46198.0579</v>
      </c>
      <c r="B6" s="15" t="str">
        <f>'หลักสูตร'!B:B</f>
        <v>bnco0944@signalschool.ac.th</v>
      </c>
      <c r="C6" s="16">
        <v>1.0</v>
      </c>
      <c r="D6" s="17">
        <f>IFERROR(vlookup('หลักสูตร'!C:C,lookup!$A$2:$B$4,2,false),)</f>
        <v>5</v>
      </c>
      <c r="E6" s="17">
        <f>IFERROR(vlookup('หลักสูตร'!D:D,lookup!$A$6:$B$8,2,false),)</f>
        <v>5</v>
      </c>
      <c r="F6" s="17">
        <f>IFERROR(vlookup('หลักสูตร'!E:E,lookup!$A$10:$B$12,2,false),)</f>
        <v>5</v>
      </c>
      <c r="G6" s="17">
        <f>IFERROR(vlookup('หลักสูตร'!F:F,lookup!$A$14:$B$16,2,false),)</f>
        <v>5</v>
      </c>
      <c r="H6" s="17">
        <f>IFERROR(vlookup('หลักสูตร'!G:G,lookup!$A$18:$B$20,2,false),)</f>
        <v>5</v>
      </c>
      <c r="I6" s="18">
        <f>IFERROR(vlookup('หลักสูตร'!H:H,lookup!$A$22:$B$24,2,false),)</f>
        <v>5</v>
      </c>
      <c r="J6" s="9"/>
      <c r="K6" s="19">
        <v>5.0</v>
      </c>
      <c r="L6" s="20" t="str">
        <f t="shared" si="1"/>
        <v>bnco0905@signalschool.ac.th</v>
      </c>
      <c r="M6" s="21">
        <f t="shared" si="2"/>
        <v>1</v>
      </c>
      <c r="N6" s="13"/>
      <c r="O6" s="13"/>
      <c r="P6" s="22" t="s">
        <v>107</v>
      </c>
    </row>
    <row r="7">
      <c r="A7" s="14">
        <f>'หลักสูตร'!A:A</f>
        <v>46203.70635</v>
      </c>
      <c r="B7" s="15" t="str">
        <f>'หลักสูตร'!B:B</f>
        <v>bnco0910@signalschool.ac.th</v>
      </c>
      <c r="C7" s="16">
        <v>1.0</v>
      </c>
      <c r="D7" s="17">
        <f>IFERROR(vlookup('หลักสูตร'!C:C,lookup!$A$2:$B$4,2,false),)</f>
        <v>5</v>
      </c>
      <c r="E7" s="17">
        <f>IFERROR(vlookup('หลักสูตร'!D:D,lookup!$A$6:$B$8,2,false),)</f>
        <v>5</v>
      </c>
      <c r="F7" s="17">
        <f>IFERROR(vlookup('หลักสูตร'!E:E,lookup!$A$10:$B$12,2,false),)</f>
        <v>5</v>
      </c>
      <c r="G7" s="17">
        <f>IFERROR(vlookup('หลักสูตร'!F:F,lookup!$A$14:$B$16,2,false),)</f>
        <v>5</v>
      </c>
      <c r="H7" s="17">
        <f>IFERROR(vlookup('หลักสูตร'!G:G,lookup!$A$18:$B$20,2,false),)</f>
        <v>5</v>
      </c>
      <c r="I7" s="18">
        <f>IFERROR(vlookup('หลักสูตร'!H:H,lookup!$A$22:$B$24,2,false),)</f>
        <v>5</v>
      </c>
      <c r="J7" s="9"/>
      <c r="K7" s="19">
        <v>6.0</v>
      </c>
      <c r="L7" s="20" t="str">
        <f t="shared" si="1"/>
        <v>bnco0906@signalschool.ac.th</v>
      </c>
      <c r="M7" s="21">
        <f t="shared" si="2"/>
        <v>1</v>
      </c>
      <c r="N7" s="13"/>
      <c r="O7" s="13"/>
      <c r="P7" s="22" t="s">
        <v>108</v>
      </c>
    </row>
    <row r="8">
      <c r="A8" s="14">
        <f>'หลักสูตร'!A:A</f>
        <v>46206.60398</v>
      </c>
      <c r="B8" s="15" t="str">
        <f>'หลักสูตร'!B:B</f>
        <v>bnco0920@signalschool.ac.th</v>
      </c>
      <c r="C8" s="16">
        <v>1.0</v>
      </c>
      <c r="D8" s="17">
        <f>IFERROR(vlookup('หลักสูตร'!C:C,lookup!$A$2:$B$4,2,false),)</f>
        <v>5</v>
      </c>
      <c r="E8" s="17">
        <f>IFERROR(vlookup('หลักสูตร'!D:D,lookup!$A$6:$B$8,2,false),)</f>
        <v>5</v>
      </c>
      <c r="F8" s="17">
        <f>IFERROR(vlookup('หลักสูตร'!E:E,lookup!$A$10:$B$12,2,false),)</f>
        <v>5</v>
      </c>
      <c r="G8" s="17">
        <f>IFERROR(vlookup('หลักสูตร'!F:F,lookup!$A$14:$B$16,2,false),)</f>
        <v>5</v>
      </c>
      <c r="H8" s="17">
        <f>IFERROR(vlookup('หลักสูตร'!G:G,lookup!$A$18:$B$20,2,false),)</f>
        <v>5</v>
      </c>
      <c r="I8" s="18">
        <f>IFERROR(vlookup('หลักสูตร'!H:H,lookup!$A$22:$B$24,2,false),)</f>
        <v>5</v>
      </c>
      <c r="J8" s="9"/>
      <c r="K8" s="19">
        <v>7.0</v>
      </c>
      <c r="L8" s="20" t="str">
        <f t="shared" si="1"/>
        <v>bnco0907@signalschool.ac.th</v>
      </c>
      <c r="M8" s="21">
        <f t="shared" si="2"/>
        <v>1</v>
      </c>
      <c r="N8" s="13"/>
      <c r="O8" s="13"/>
      <c r="P8" s="22" t="s">
        <v>109</v>
      </c>
    </row>
    <row r="9">
      <c r="A9" s="14">
        <f>'หลักสูตร'!A:A</f>
        <v>46212.59471</v>
      </c>
      <c r="B9" s="15" t="str">
        <f>'หลักสูตร'!B:B</f>
        <v>bnco0906@signalschool.ac.th</v>
      </c>
      <c r="C9" s="16">
        <v>1.0</v>
      </c>
      <c r="D9" s="17">
        <f>IFERROR(vlookup('หลักสูตร'!C:C,lookup!$A$2:$B$4,2,false),)</f>
        <v>3</v>
      </c>
      <c r="E9" s="17">
        <f>IFERROR(vlookup('หลักสูตร'!D:D,lookup!$A$6:$B$8,2,false),)</f>
        <v>3</v>
      </c>
      <c r="F9" s="17">
        <f>IFERROR(vlookup('หลักสูตร'!E:E,lookup!$A$10:$B$12,2,false),)</f>
        <v>3</v>
      </c>
      <c r="G9" s="17">
        <f>IFERROR(vlookup('หลักสูตร'!F:F,lookup!$A$14:$B$16,2,false),)</f>
        <v>3</v>
      </c>
      <c r="H9" s="17">
        <f>IFERROR(vlookup('หลักสูตร'!G:G,lookup!$A$18:$B$20,2,false),)</f>
        <v>3</v>
      </c>
      <c r="I9" s="18">
        <f>IFERROR(vlookup('หลักสูตร'!H:H,lookup!$A$22:$B$24,2,false),)</f>
        <v>3</v>
      </c>
      <c r="J9" s="9"/>
      <c r="K9" s="19">
        <v>8.0</v>
      </c>
      <c r="L9" s="20" t="str">
        <f t="shared" si="1"/>
        <v>bnco0908@signalschool.ac.th</v>
      </c>
      <c r="M9" s="21">
        <f t="shared" si="2"/>
        <v>1</v>
      </c>
      <c r="N9" s="13"/>
      <c r="O9" s="13"/>
      <c r="P9" s="22" t="s">
        <v>110</v>
      </c>
    </row>
    <row r="10">
      <c r="A10" s="14">
        <f>'หลักสูตร'!A:A</f>
        <v>46212.6226</v>
      </c>
      <c r="B10" s="15" t="str">
        <f>'หลักสูตร'!B:B</f>
        <v>bnco0955@signalschool.ac.th</v>
      </c>
      <c r="C10" s="16">
        <v>1.0</v>
      </c>
      <c r="D10" s="17">
        <f>IFERROR(vlookup('หลักสูตร'!C:C,lookup!$A$2:$B$4,2,false),)</f>
        <v>5</v>
      </c>
      <c r="E10" s="17">
        <f>IFERROR(vlookup('หลักสูตร'!D:D,lookup!$A$6:$B$8,2,false),)</f>
        <v>5</v>
      </c>
      <c r="F10" s="17">
        <f>IFERROR(vlookup('หลักสูตร'!E:E,lookup!$A$10:$B$12,2,false),)</f>
        <v>5</v>
      </c>
      <c r="G10" s="17">
        <f>IFERROR(vlookup('หลักสูตร'!F:F,lookup!$A$14:$B$16,2,false),)</f>
        <v>5</v>
      </c>
      <c r="H10" s="17">
        <f>IFERROR(vlookup('หลักสูตร'!G:G,lookup!$A$18:$B$20,2,false),)</f>
        <v>5</v>
      </c>
      <c r="I10" s="18">
        <f>IFERROR(vlookup('หลักสูตร'!H:H,lookup!$A$22:$B$24,2,false),)</f>
        <v>5</v>
      </c>
      <c r="J10" s="9"/>
      <c r="K10" s="19">
        <v>9.0</v>
      </c>
      <c r="L10" s="20" t="str">
        <f t="shared" si="1"/>
        <v>bnco0909@signalschool.ac.th</v>
      </c>
      <c r="M10" s="21">
        <f t="shared" si="2"/>
        <v>1</v>
      </c>
      <c r="N10" s="13"/>
      <c r="O10" s="13"/>
      <c r="P10" s="22" t="s">
        <v>111</v>
      </c>
    </row>
    <row r="11">
      <c r="A11" s="14">
        <f>'หลักสูตร'!A:A</f>
        <v>46212.62414</v>
      </c>
      <c r="B11" s="15" t="str">
        <f>'หลักสูตร'!B:B</f>
        <v>bnco0958@signalschool.ac.th</v>
      </c>
      <c r="C11" s="16">
        <v>1.0</v>
      </c>
      <c r="D11" s="17">
        <f>IFERROR(vlookup('หลักสูตร'!C:C,lookup!$A$2:$B$4,2,false),)</f>
        <v>5</v>
      </c>
      <c r="E11" s="17">
        <f>IFERROR(vlookup('หลักสูตร'!D:D,lookup!$A$6:$B$8,2,false),)</f>
        <v>5</v>
      </c>
      <c r="F11" s="17">
        <f>IFERROR(vlookup('หลักสูตร'!E:E,lookup!$A$10:$B$12,2,false),)</f>
        <v>3</v>
      </c>
      <c r="G11" s="17">
        <f>IFERROR(vlookup('หลักสูตร'!F:F,lookup!$A$14:$B$16,2,false),)</f>
        <v>3</v>
      </c>
      <c r="H11" s="17">
        <f>IFERROR(vlookup('หลักสูตร'!G:G,lookup!$A$18:$B$20,2,false),)</f>
        <v>5</v>
      </c>
      <c r="I11" s="18">
        <f>IFERROR(vlookup('หลักสูตร'!H:H,lookup!$A$22:$B$24,2,false),)</f>
        <v>3</v>
      </c>
      <c r="J11" s="9"/>
      <c r="K11" s="19">
        <v>10.0</v>
      </c>
      <c r="L11" s="20" t="str">
        <f t="shared" si="1"/>
        <v>bnco0910@signalschool.ac.th</v>
      </c>
      <c r="M11" s="21">
        <f t="shared" si="2"/>
        <v>1</v>
      </c>
      <c r="N11" s="13"/>
      <c r="O11" s="13"/>
      <c r="P11" s="22" t="s">
        <v>112</v>
      </c>
    </row>
    <row r="12">
      <c r="A12" s="14">
        <f>'หลักสูตร'!A:A</f>
        <v>46212.62696</v>
      </c>
      <c r="B12" s="15" t="str">
        <f>'หลักสูตร'!B:B</f>
        <v>bnco0924@signalschool.ac.th</v>
      </c>
      <c r="C12" s="16">
        <v>1.0</v>
      </c>
      <c r="D12" s="17">
        <f>IFERROR(vlookup('หลักสูตร'!C:C,lookup!$A$2:$B$4,2,false),)</f>
        <v>5</v>
      </c>
      <c r="E12" s="17">
        <f>IFERROR(vlookup('หลักสูตร'!D:D,lookup!$A$6:$B$8,2,false),)</f>
        <v>5</v>
      </c>
      <c r="F12" s="17">
        <f>IFERROR(vlookup('หลักสูตร'!E:E,lookup!$A$10:$B$12,2,false),)</f>
        <v>5</v>
      </c>
      <c r="G12" s="17">
        <f>IFERROR(vlookup('หลักสูตร'!F:F,lookup!$A$14:$B$16,2,false),)</f>
        <v>5</v>
      </c>
      <c r="H12" s="17">
        <f>IFERROR(vlookup('หลักสูตร'!G:G,lookup!$A$18:$B$20,2,false),)</f>
        <v>5</v>
      </c>
      <c r="I12" s="18">
        <f>IFERROR(vlookup('หลักสูตร'!H:H,lookup!$A$22:$B$24,2,false),)</f>
        <v>5</v>
      </c>
      <c r="J12" s="9"/>
      <c r="K12" s="19">
        <v>11.0</v>
      </c>
      <c r="L12" s="20" t="str">
        <f t="shared" si="1"/>
        <v>bnco0911@signalschool.ac.th</v>
      </c>
      <c r="M12" s="21">
        <f t="shared" si="2"/>
        <v>1</v>
      </c>
      <c r="N12" s="13"/>
      <c r="O12" s="13"/>
      <c r="P12" s="22" t="s">
        <v>113</v>
      </c>
    </row>
    <row r="13">
      <c r="A13" s="14">
        <f>'หลักสูตร'!A:A</f>
        <v>46212.63134</v>
      </c>
      <c r="B13" s="15" t="str">
        <f>'หลักสูตร'!B:B</f>
        <v>bnco0926@signalschool.ac.th</v>
      </c>
      <c r="C13" s="16">
        <v>1.0</v>
      </c>
      <c r="D13" s="17">
        <f>IFERROR(vlookup('หลักสูตร'!C:C,lookup!$A$2:$B$4,2,false),)</f>
        <v>5</v>
      </c>
      <c r="E13" s="17">
        <f>IFERROR(vlookup('หลักสูตร'!D:D,lookup!$A$6:$B$8,2,false),)</f>
        <v>5</v>
      </c>
      <c r="F13" s="17">
        <f>IFERROR(vlookup('หลักสูตร'!E:E,lookup!$A$10:$B$12,2,false),)</f>
        <v>5</v>
      </c>
      <c r="G13" s="17">
        <f>IFERROR(vlookup('หลักสูตร'!F:F,lookup!$A$14:$B$16,2,false),)</f>
        <v>5</v>
      </c>
      <c r="H13" s="17">
        <f>IFERROR(vlookup('หลักสูตร'!G:G,lookup!$A$18:$B$20,2,false),)</f>
        <v>5</v>
      </c>
      <c r="I13" s="18">
        <f>IFERROR(vlookup('หลักสูตร'!H:H,lookup!$A$22:$B$24,2,false),)</f>
        <v>5</v>
      </c>
      <c r="J13" s="9"/>
      <c r="K13" s="19">
        <v>12.0</v>
      </c>
      <c r="L13" s="20" t="str">
        <f t="shared" si="1"/>
        <v>bnco0912@signalschool.ac.th</v>
      </c>
      <c r="M13" s="21">
        <f t="shared" si="2"/>
        <v>1</v>
      </c>
      <c r="N13" s="13"/>
      <c r="O13" s="13"/>
      <c r="P13" s="22" t="s">
        <v>114</v>
      </c>
    </row>
    <row r="14">
      <c r="A14" s="14">
        <f>'หลักสูตร'!A:A</f>
        <v>46212.63146</v>
      </c>
      <c r="B14" s="15" t="str">
        <f>'หลักสูตร'!B:B</f>
        <v>bnco0908@signalschool.ac.th</v>
      </c>
      <c r="C14" s="16">
        <v>1.0</v>
      </c>
      <c r="D14" s="17">
        <f>IFERROR(vlookup('หลักสูตร'!C:C,lookup!$A$2:$B$4,2,false),)</f>
        <v>5</v>
      </c>
      <c r="E14" s="17">
        <f>IFERROR(vlookup('หลักสูตร'!D:D,lookup!$A$6:$B$8,2,false),)</f>
        <v>5</v>
      </c>
      <c r="F14" s="17">
        <f>IFERROR(vlookup('หลักสูตร'!E:E,lookup!$A$10:$B$12,2,false),)</f>
        <v>5</v>
      </c>
      <c r="G14" s="17">
        <f>IFERROR(vlookup('หลักสูตร'!F:F,lookup!$A$14:$B$16,2,false),)</f>
        <v>5</v>
      </c>
      <c r="H14" s="17">
        <f>IFERROR(vlookup('หลักสูตร'!G:G,lookup!$A$18:$B$20,2,false),)</f>
        <v>5</v>
      </c>
      <c r="I14" s="18">
        <f>IFERROR(vlookup('หลักสูตร'!H:H,lookup!$A$22:$B$24,2,false),)</f>
        <v>5</v>
      </c>
      <c r="J14" s="9"/>
      <c r="K14" s="19">
        <v>13.0</v>
      </c>
      <c r="L14" s="20" t="str">
        <f t="shared" si="1"/>
        <v>bnco0913@signalschool.ac.th</v>
      </c>
      <c r="M14" s="21">
        <f t="shared" si="2"/>
        <v>1</v>
      </c>
      <c r="N14" s="13"/>
      <c r="O14" s="13"/>
      <c r="P14" s="22" t="s">
        <v>115</v>
      </c>
    </row>
    <row r="15">
      <c r="A15" s="14">
        <f>'หลักสูตร'!A:A</f>
        <v>46212.63212</v>
      </c>
      <c r="B15" s="15" t="str">
        <f>'หลักสูตร'!B:B</f>
        <v>bnco0943@signalschool.ac.th</v>
      </c>
      <c r="C15" s="16">
        <v>1.0</v>
      </c>
      <c r="D15" s="17">
        <f>IFERROR(vlookup('หลักสูตร'!C:C,lookup!$A$2:$B$4,2,false),)</f>
        <v>5</v>
      </c>
      <c r="E15" s="17">
        <f>IFERROR(vlookup('หลักสูตร'!D:D,lookup!$A$6:$B$8,2,false),)</f>
        <v>5</v>
      </c>
      <c r="F15" s="17">
        <f>IFERROR(vlookup('หลักสูตร'!E:E,lookup!$A$10:$B$12,2,false),)</f>
        <v>5</v>
      </c>
      <c r="G15" s="17">
        <f>IFERROR(vlookup('หลักสูตร'!F:F,lookup!$A$14:$B$16,2,false),)</f>
        <v>5</v>
      </c>
      <c r="H15" s="17">
        <f>IFERROR(vlookup('หลักสูตร'!G:G,lookup!$A$18:$B$20,2,false),)</f>
        <v>5</v>
      </c>
      <c r="I15" s="18">
        <f>IFERROR(vlookup('หลักสูตร'!H:H,lookup!$A$22:$B$24,2,false),)</f>
        <v>5</v>
      </c>
      <c r="J15" s="9"/>
      <c r="K15" s="19">
        <v>14.0</v>
      </c>
      <c r="L15" s="20" t="str">
        <f t="shared" si="1"/>
        <v>bnco0914@signalschool.ac.th</v>
      </c>
      <c r="M15" s="21">
        <f t="shared" si="2"/>
        <v>1</v>
      </c>
      <c r="N15" s="13"/>
      <c r="O15" s="13"/>
      <c r="P15" s="22" t="s">
        <v>116</v>
      </c>
    </row>
    <row r="16">
      <c r="A16" s="14">
        <f>'หลักสูตร'!A:A</f>
        <v>46212.63214</v>
      </c>
      <c r="B16" s="15" t="str">
        <f>'หลักสูตร'!B:B</f>
        <v>bnco0967@signalschool.ac.th</v>
      </c>
      <c r="C16" s="16">
        <v>1.0</v>
      </c>
      <c r="D16" s="17">
        <f>IFERROR(vlookup('หลักสูตร'!C:C,lookup!$A$2:$B$4,2,false),)</f>
        <v>5</v>
      </c>
      <c r="E16" s="17">
        <f>IFERROR(vlookup('หลักสูตร'!D:D,lookup!$A$6:$B$8,2,false),)</f>
        <v>5</v>
      </c>
      <c r="F16" s="17">
        <f>IFERROR(vlookup('หลักสูตร'!E:E,lookup!$A$10:$B$12,2,false),)</f>
        <v>5</v>
      </c>
      <c r="G16" s="17">
        <f>IFERROR(vlookup('หลักสูตร'!F:F,lookup!$A$14:$B$16,2,false),)</f>
        <v>5</v>
      </c>
      <c r="H16" s="17">
        <f>IFERROR(vlookup('หลักสูตร'!G:G,lookup!$A$18:$B$20,2,false),)</f>
        <v>5</v>
      </c>
      <c r="I16" s="18">
        <f>IFERROR(vlookup('หลักสูตร'!H:H,lookup!$A$22:$B$24,2,false),)</f>
        <v>5</v>
      </c>
      <c r="J16" s="9"/>
      <c r="K16" s="19">
        <v>15.0</v>
      </c>
      <c r="L16" s="20" t="str">
        <f t="shared" si="1"/>
        <v>bnco0915@signalschool.ac.th</v>
      </c>
      <c r="M16" s="21">
        <f t="shared" si="2"/>
        <v>1</v>
      </c>
      <c r="N16" s="13"/>
      <c r="O16" s="13"/>
      <c r="P16" s="22" t="s">
        <v>117</v>
      </c>
    </row>
    <row r="17">
      <c r="A17" s="14">
        <f>'หลักสูตร'!A:A</f>
        <v>46212.63219</v>
      </c>
      <c r="B17" s="15" t="str">
        <f>'หลักสูตร'!B:B</f>
        <v>bnco0978@signalschool.ac.th</v>
      </c>
      <c r="C17" s="16">
        <v>1.0</v>
      </c>
      <c r="D17" s="17">
        <f>IFERROR(vlookup('หลักสูตร'!C:C,lookup!$A$2:$B$4,2,false),)</f>
        <v>5</v>
      </c>
      <c r="E17" s="17">
        <f>IFERROR(vlookup('หลักสูตร'!D:D,lookup!$A$6:$B$8,2,false),)</f>
        <v>5</v>
      </c>
      <c r="F17" s="17">
        <f>IFERROR(vlookup('หลักสูตร'!E:E,lookup!$A$10:$B$12,2,false),)</f>
        <v>5</v>
      </c>
      <c r="G17" s="17">
        <f>IFERROR(vlookup('หลักสูตร'!F:F,lookup!$A$14:$B$16,2,false),)</f>
        <v>5</v>
      </c>
      <c r="H17" s="17">
        <f>IFERROR(vlookup('หลักสูตร'!G:G,lookup!$A$18:$B$20,2,false),)</f>
        <v>5</v>
      </c>
      <c r="I17" s="18">
        <f>IFERROR(vlookup('หลักสูตร'!H:H,lookup!$A$22:$B$24,2,false),)</f>
        <v>5</v>
      </c>
      <c r="J17" s="9"/>
      <c r="K17" s="19">
        <v>16.0</v>
      </c>
      <c r="L17" s="20" t="str">
        <f t="shared" si="1"/>
        <v>bnco0916@signalschool.ac.th</v>
      </c>
      <c r="M17" s="21">
        <f t="shared" si="2"/>
        <v>1</v>
      </c>
      <c r="N17" s="13"/>
      <c r="O17" s="13"/>
      <c r="P17" s="22" t="s">
        <v>118</v>
      </c>
    </row>
    <row r="18">
      <c r="A18" s="14">
        <f>'หลักสูตร'!A:A</f>
        <v>46212.6323</v>
      </c>
      <c r="B18" s="15" t="str">
        <f>'หลักสูตร'!B:B</f>
        <v>bnco0932@signalschool.ac.th</v>
      </c>
      <c r="C18" s="16">
        <v>1.0</v>
      </c>
      <c r="D18" s="17">
        <f>IFERROR(vlookup('หลักสูตร'!C:C,lookup!$A$2:$B$4,2,false),)</f>
        <v>5</v>
      </c>
      <c r="E18" s="17">
        <f>IFERROR(vlookup('หลักสูตร'!D:D,lookup!$A$6:$B$8,2,false),)</f>
        <v>5</v>
      </c>
      <c r="F18" s="17">
        <f>IFERROR(vlookup('หลักสูตร'!E:E,lookup!$A$10:$B$12,2,false),)</f>
        <v>5</v>
      </c>
      <c r="G18" s="17">
        <f>IFERROR(vlookup('หลักสูตร'!F:F,lookup!$A$14:$B$16,2,false),)</f>
        <v>5</v>
      </c>
      <c r="H18" s="17">
        <f>IFERROR(vlookup('หลักสูตร'!G:G,lookup!$A$18:$B$20,2,false),)</f>
        <v>5</v>
      </c>
      <c r="I18" s="18">
        <f>IFERROR(vlookup('หลักสูตร'!H:H,lookup!$A$22:$B$24,2,false),)</f>
        <v>5</v>
      </c>
      <c r="J18" s="9"/>
      <c r="K18" s="19">
        <v>17.0</v>
      </c>
      <c r="L18" s="20" t="str">
        <f t="shared" si="1"/>
        <v>bnco0917@signalschool.ac.th</v>
      </c>
      <c r="M18" s="21">
        <f t="shared" si="2"/>
        <v>1</v>
      </c>
      <c r="N18" s="13"/>
      <c r="O18" s="13"/>
      <c r="P18" s="22" t="s">
        <v>119</v>
      </c>
    </row>
    <row r="19">
      <c r="A19" s="14">
        <f>'หลักสูตร'!A:A</f>
        <v>46212.63231</v>
      </c>
      <c r="B19" s="15" t="str">
        <f>'หลักสูตร'!B:B</f>
        <v>bnco0911@signalschool.ac.th</v>
      </c>
      <c r="C19" s="16">
        <v>1.0</v>
      </c>
      <c r="D19" s="17">
        <f>IFERROR(vlookup('หลักสูตร'!C:C,lookup!$A$2:$B$4,2,false),)</f>
        <v>5</v>
      </c>
      <c r="E19" s="17">
        <f>IFERROR(vlookup('หลักสูตร'!D:D,lookup!$A$6:$B$8,2,false),)</f>
        <v>5</v>
      </c>
      <c r="F19" s="17">
        <f>IFERROR(vlookup('หลักสูตร'!E:E,lookup!$A$10:$B$12,2,false),)</f>
        <v>5</v>
      </c>
      <c r="G19" s="17">
        <f>IFERROR(vlookup('หลักสูตร'!F:F,lookup!$A$14:$B$16,2,false),)</f>
        <v>5</v>
      </c>
      <c r="H19" s="17">
        <f>IFERROR(vlookup('หลักสูตร'!G:G,lookup!$A$18:$B$20,2,false),)</f>
        <v>5</v>
      </c>
      <c r="I19" s="18">
        <f>IFERROR(vlookup('หลักสูตร'!H:H,lookup!$A$22:$B$24,2,false),)</f>
        <v>5</v>
      </c>
      <c r="J19" s="9"/>
      <c r="K19" s="19">
        <v>18.0</v>
      </c>
      <c r="L19" s="20" t="str">
        <f t="shared" si="1"/>
        <v>bnco0918@signalschool.ac.th</v>
      </c>
      <c r="M19" s="21">
        <f t="shared" si="2"/>
        <v>1</v>
      </c>
      <c r="N19" s="13"/>
      <c r="O19" s="13"/>
      <c r="P19" s="22" t="s">
        <v>120</v>
      </c>
    </row>
    <row r="20">
      <c r="A20" s="14">
        <f>'หลักสูตร'!A:A</f>
        <v>46212.63238</v>
      </c>
      <c r="B20" s="15" t="str">
        <f>'หลักสูตร'!B:B</f>
        <v>bnco0902@signalschool.ac.th</v>
      </c>
      <c r="C20" s="16">
        <v>1.0</v>
      </c>
      <c r="D20" s="17">
        <f>IFERROR(vlookup('หลักสูตร'!C:C,lookup!$A$2:$B$4,2,false),)</f>
        <v>5</v>
      </c>
      <c r="E20" s="17">
        <f>IFERROR(vlookup('หลักสูตร'!D:D,lookup!$A$6:$B$8,2,false),)</f>
        <v>5</v>
      </c>
      <c r="F20" s="17">
        <f>IFERROR(vlookup('หลักสูตร'!E:E,lookup!$A$10:$B$12,2,false),)</f>
        <v>5</v>
      </c>
      <c r="G20" s="17">
        <f>IFERROR(vlookup('หลักสูตร'!F:F,lookup!$A$14:$B$16,2,false),)</f>
        <v>5</v>
      </c>
      <c r="H20" s="17">
        <f>IFERROR(vlookup('หลักสูตร'!G:G,lookup!$A$18:$B$20,2,false),)</f>
        <v>5</v>
      </c>
      <c r="I20" s="18">
        <f>IFERROR(vlookup('หลักสูตร'!H:H,lookup!$A$22:$B$24,2,false),)</f>
        <v>5</v>
      </c>
      <c r="J20" s="9"/>
      <c r="K20" s="19">
        <v>19.0</v>
      </c>
      <c r="L20" s="20" t="str">
        <f t="shared" si="1"/>
        <v>bnco0919@signalschool.ac.th</v>
      </c>
      <c r="M20" s="21">
        <f t="shared" si="2"/>
        <v>1</v>
      </c>
      <c r="N20" s="13"/>
      <c r="O20" s="13"/>
      <c r="P20" s="22" t="s">
        <v>121</v>
      </c>
    </row>
    <row r="21">
      <c r="A21" s="14">
        <f>'หลักสูตร'!A:A</f>
        <v>46212.6324</v>
      </c>
      <c r="B21" s="15" t="str">
        <f>'หลักสูตร'!B:B</f>
        <v>bnco0968@signalschool.ac.th</v>
      </c>
      <c r="C21" s="16">
        <v>1.0</v>
      </c>
      <c r="D21" s="17">
        <f>IFERROR(vlookup('หลักสูตร'!C:C,lookup!$A$2:$B$4,2,false),)</f>
        <v>5</v>
      </c>
      <c r="E21" s="17">
        <f>IFERROR(vlookup('หลักสูตร'!D:D,lookup!$A$6:$B$8,2,false),)</f>
        <v>5</v>
      </c>
      <c r="F21" s="17">
        <f>IFERROR(vlookup('หลักสูตร'!E:E,lookup!$A$10:$B$12,2,false),)</f>
        <v>5</v>
      </c>
      <c r="G21" s="17">
        <f>IFERROR(vlookup('หลักสูตร'!F:F,lookup!$A$14:$B$16,2,false),)</f>
        <v>5</v>
      </c>
      <c r="H21" s="17">
        <f>IFERROR(vlookup('หลักสูตร'!G:G,lookup!$A$18:$B$20,2,false),)</f>
        <v>5</v>
      </c>
      <c r="I21" s="18">
        <f>IFERROR(vlookup('หลักสูตร'!H:H,lookup!$A$22:$B$24,2,false),)</f>
        <v>5</v>
      </c>
      <c r="J21" s="9"/>
      <c r="K21" s="19">
        <v>20.0</v>
      </c>
      <c r="L21" s="20" t="str">
        <f t="shared" si="1"/>
        <v>bnco0920@signalschool.ac.th</v>
      </c>
      <c r="M21" s="21">
        <f t="shared" si="2"/>
        <v>1</v>
      </c>
      <c r="N21" s="13"/>
      <c r="O21" s="13"/>
      <c r="P21" s="22" t="s">
        <v>122</v>
      </c>
    </row>
    <row r="22">
      <c r="A22" s="14">
        <f>'หลักสูตร'!A:A</f>
        <v>46212.63245</v>
      </c>
      <c r="B22" s="15" t="str">
        <f>'หลักสูตร'!B:B</f>
        <v>bnco0960@signalschool.ac.th</v>
      </c>
      <c r="C22" s="16">
        <v>1.0</v>
      </c>
      <c r="D22" s="17">
        <f>IFERROR(vlookup('หลักสูตร'!C:C,lookup!$A$2:$B$4,2,false),)</f>
        <v>5</v>
      </c>
      <c r="E22" s="17">
        <f>IFERROR(vlookup('หลักสูตร'!D:D,lookup!$A$6:$B$8,2,false),)</f>
        <v>5</v>
      </c>
      <c r="F22" s="17">
        <f>IFERROR(vlookup('หลักสูตร'!E:E,lookup!$A$10:$B$12,2,false),)</f>
        <v>5</v>
      </c>
      <c r="G22" s="17">
        <f>IFERROR(vlookup('หลักสูตร'!F:F,lookup!$A$14:$B$16,2,false),)</f>
        <v>5</v>
      </c>
      <c r="H22" s="17">
        <f>IFERROR(vlookup('หลักสูตร'!G:G,lookup!$A$18:$B$20,2,false),)</f>
        <v>5</v>
      </c>
      <c r="I22" s="18">
        <f>IFERROR(vlookup('หลักสูตร'!H:H,lookup!$A$22:$B$24,2,false),)</f>
        <v>5</v>
      </c>
      <c r="J22" s="9"/>
      <c r="K22" s="19">
        <v>21.0</v>
      </c>
      <c r="L22" s="20" t="str">
        <f t="shared" si="1"/>
        <v>bnco0921@signalschool.ac.th</v>
      </c>
      <c r="M22" s="21">
        <f t="shared" si="2"/>
        <v>0</v>
      </c>
      <c r="N22" s="13"/>
      <c r="O22" s="13"/>
      <c r="P22" s="22" t="s">
        <v>123</v>
      </c>
    </row>
    <row r="23">
      <c r="A23" s="14">
        <f>'หลักสูตร'!A:A</f>
        <v>46212.63246</v>
      </c>
      <c r="B23" s="15" t="str">
        <f>'หลักสูตร'!B:B</f>
        <v>bnco0962@signalschool.ac.th</v>
      </c>
      <c r="C23" s="16">
        <v>1.0</v>
      </c>
      <c r="D23" s="17">
        <f>IFERROR(vlookup('หลักสูตร'!C:C,lookup!$A$2:$B$4,2,false),)</f>
        <v>5</v>
      </c>
      <c r="E23" s="17">
        <f>IFERROR(vlookup('หลักสูตร'!D:D,lookup!$A$6:$B$8,2,false),)</f>
        <v>5</v>
      </c>
      <c r="F23" s="17">
        <f>IFERROR(vlookup('หลักสูตร'!E:E,lookup!$A$10:$B$12,2,false),)</f>
        <v>5</v>
      </c>
      <c r="G23" s="17">
        <f>IFERROR(vlookup('หลักสูตร'!F:F,lookup!$A$14:$B$16,2,false),)</f>
        <v>5</v>
      </c>
      <c r="H23" s="17">
        <f>IFERROR(vlookup('หลักสูตร'!G:G,lookup!$A$18:$B$20,2,false),)</f>
        <v>5</v>
      </c>
      <c r="I23" s="18">
        <f>IFERROR(vlookup('หลักสูตร'!H:H,lookup!$A$22:$B$24,2,false),)</f>
        <v>5</v>
      </c>
      <c r="J23" s="9"/>
      <c r="K23" s="19">
        <v>22.0</v>
      </c>
      <c r="L23" s="20" t="str">
        <f t="shared" si="1"/>
        <v>bnco0922@signalschool.ac.th</v>
      </c>
      <c r="M23" s="21">
        <f t="shared" si="2"/>
        <v>1</v>
      </c>
      <c r="N23" s="13"/>
      <c r="O23" s="13"/>
      <c r="P23" s="22" t="s">
        <v>124</v>
      </c>
    </row>
    <row r="24">
      <c r="A24" s="14">
        <f>'หลักสูตร'!A:A</f>
        <v>46212.63246</v>
      </c>
      <c r="B24" s="15" t="str">
        <f>'หลักสูตร'!B:B</f>
        <v>bnco0915@signalschool.ac.th</v>
      </c>
      <c r="C24" s="16">
        <v>1.0</v>
      </c>
      <c r="D24" s="17">
        <f>IFERROR(vlookup('หลักสูตร'!C:C,lookup!$A$2:$B$4,2,false),)</f>
        <v>5</v>
      </c>
      <c r="E24" s="17">
        <f>IFERROR(vlookup('หลักสูตร'!D:D,lookup!$A$6:$B$8,2,false),)</f>
        <v>5</v>
      </c>
      <c r="F24" s="17">
        <f>IFERROR(vlookup('หลักสูตร'!E:E,lookup!$A$10:$B$12,2,false),)</f>
        <v>5</v>
      </c>
      <c r="G24" s="17">
        <f>IFERROR(vlookup('หลักสูตร'!F:F,lookup!$A$14:$B$16,2,false),)</f>
        <v>5</v>
      </c>
      <c r="H24" s="17">
        <f>IFERROR(vlookup('หลักสูตร'!G:G,lookup!$A$18:$B$20,2,false),)</f>
        <v>5</v>
      </c>
      <c r="I24" s="18">
        <f>IFERROR(vlookup('หลักสูตร'!H:H,lookup!$A$22:$B$24,2,false),)</f>
        <v>3</v>
      </c>
      <c r="J24" s="9"/>
      <c r="K24" s="19">
        <v>23.0</v>
      </c>
      <c r="L24" s="20" t="str">
        <f t="shared" si="1"/>
        <v>bnco0923@signalschool.ac.th</v>
      </c>
      <c r="M24" s="21">
        <f t="shared" si="2"/>
        <v>1</v>
      </c>
      <c r="N24" s="13"/>
      <c r="O24" s="13"/>
      <c r="P24" s="22" t="s">
        <v>125</v>
      </c>
    </row>
    <row r="25">
      <c r="A25" s="14">
        <f>'หลักสูตร'!A:A</f>
        <v>46212.63251</v>
      </c>
      <c r="B25" s="15" t="str">
        <f>'หลักสูตร'!B:B</f>
        <v>bnco0972@signalschool.ac.th</v>
      </c>
      <c r="C25" s="16">
        <v>1.0</v>
      </c>
      <c r="D25" s="17">
        <f>IFERROR(vlookup('หลักสูตร'!C:C,lookup!$A$2:$B$4,2,false),)</f>
        <v>5</v>
      </c>
      <c r="E25" s="17">
        <f>IFERROR(vlookup('หลักสูตร'!D:D,lookup!$A$6:$B$8,2,false),)</f>
        <v>5</v>
      </c>
      <c r="F25" s="17">
        <f>IFERROR(vlookup('หลักสูตร'!E:E,lookup!$A$10:$B$12,2,false),)</f>
        <v>5</v>
      </c>
      <c r="G25" s="17">
        <f>IFERROR(vlookup('หลักสูตร'!F:F,lookup!$A$14:$B$16,2,false),)</f>
        <v>5</v>
      </c>
      <c r="H25" s="17">
        <f>IFERROR(vlookup('หลักสูตร'!G:G,lookup!$A$18:$B$20,2,false),)</f>
        <v>5</v>
      </c>
      <c r="I25" s="18">
        <f>IFERROR(vlookup('หลักสูตร'!H:H,lookup!$A$22:$B$24,2,false),)</f>
        <v>5</v>
      </c>
      <c r="J25" s="9"/>
      <c r="K25" s="19">
        <v>24.0</v>
      </c>
      <c r="L25" s="20" t="str">
        <f t="shared" si="1"/>
        <v>bnco0924@signalschool.ac.th</v>
      </c>
      <c r="M25" s="21">
        <f t="shared" si="2"/>
        <v>1</v>
      </c>
      <c r="N25" s="13"/>
      <c r="O25" s="13"/>
      <c r="P25" s="22" t="s">
        <v>126</v>
      </c>
    </row>
    <row r="26">
      <c r="A26" s="14">
        <f>'หลักสูตร'!A:A</f>
        <v>46212.63257</v>
      </c>
      <c r="B26" s="15" t="str">
        <f>'หลักสูตร'!B:B</f>
        <v>bnco0935@signalschool.ac.th</v>
      </c>
      <c r="C26" s="16">
        <v>1.0</v>
      </c>
      <c r="D26" s="17">
        <f>IFERROR(vlookup('หลักสูตร'!C:C,lookup!$A$2:$B$4,2,false),)</f>
        <v>5</v>
      </c>
      <c r="E26" s="17">
        <f>IFERROR(vlookup('หลักสูตร'!D:D,lookup!$A$6:$B$8,2,false),)</f>
        <v>5</v>
      </c>
      <c r="F26" s="17">
        <f>IFERROR(vlookup('หลักสูตร'!E:E,lookup!$A$10:$B$12,2,false),)</f>
        <v>5</v>
      </c>
      <c r="G26" s="17">
        <f>IFERROR(vlookup('หลักสูตร'!F:F,lookup!$A$14:$B$16,2,false),)</f>
        <v>5</v>
      </c>
      <c r="H26" s="17">
        <f>IFERROR(vlookup('หลักสูตร'!G:G,lookup!$A$18:$B$20,2,false),)</f>
        <v>5</v>
      </c>
      <c r="I26" s="18">
        <f>IFERROR(vlookup('หลักสูตร'!H:H,lookup!$A$22:$B$24,2,false),)</f>
        <v>5</v>
      </c>
      <c r="J26" s="9"/>
      <c r="K26" s="19">
        <v>25.0</v>
      </c>
      <c r="L26" s="20" t="str">
        <f t="shared" si="1"/>
        <v>bnco0925@signalschool.ac.th</v>
      </c>
      <c r="M26" s="21">
        <f t="shared" si="2"/>
        <v>1</v>
      </c>
      <c r="N26" s="13"/>
      <c r="O26" s="13"/>
      <c r="P26" s="22" t="s">
        <v>127</v>
      </c>
    </row>
    <row r="27">
      <c r="A27" s="14">
        <f>'หลักสูตร'!A:A</f>
        <v>46212.63264</v>
      </c>
      <c r="B27" s="15" t="str">
        <f>'หลักสูตร'!B:B</f>
        <v>bnco0925@signalschool.ac.th</v>
      </c>
      <c r="C27" s="16">
        <v>1.0</v>
      </c>
      <c r="D27" s="17">
        <f>IFERROR(vlookup('หลักสูตร'!C:C,lookup!$A$2:$B$4,2,false),)</f>
        <v>5</v>
      </c>
      <c r="E27" s="17">
        <f>IFERROR(vlookup('หลักสูตร'!D:D,lookup!$A$6:$B$8,2,false),)</f>
        <v>5</v>
      </c>
      <c r="F27" s="17">
        <f>IFERROR(vlookup('หลักสูตร'!E:E,lookup!$A$10:$B$12,2,false),)</f>
        <v>5</v>
      </c>
      <c r="G27" s="17">
        <f>IFERROR(vlookup('หลักสูตร'!F:F,lookup!$A$14:$B$16,2,false),)</f>
        <v>5</v>
      </c>
      <c r="H27" s="17">
        <f>IFERROR(vlookup('หลักสูตร'!G:G,lookup!$A$18:$B$20,2,false),)</f>
        <v>5</v>
      </c>
      <c r="I27" s="18">
        <f>IFERROR(vlookup('หลักสูตร'!H:H,lookup!$A$22:$B$24,2,false),)</f>
        <v>5</v>
      </c>
      <c r="J27" s="9"/>
      <c r="K27" s="19">
        <v>26.0</v>
      </c>
      <c r="L27" s="20" t="str">
        <f t="shared" si="1"/>
        <v>bnco0926@signalschool.ac.th</v>
      </c>
      <c r="M27" s="21">
        <f t="shared" si="2"/>
        <v>1</v>
      </c>
      <c r="N27" s="13"/>
      <c r="O27" s="13"/>
      <c r="P27" s="22" t="s">
        <v>128</v>
      </c>
    </row>
    <row r="28">
      <c r="A28" s="14">
        <f>'หลักสูตร'!A:A</f>
        <v>46212.6327</v>
      </c>
      <c r="B28" s="15" t="str">
        <f>'หลักสูตร'!B:B</f>
        <v>bnco0957@signalschool.ac.th</v>
      </c>
      <c r="C28" s="16">
        <v>1.0</v>
      </c>
      <c r="D28" s="17">
        <f>IFERROR(vlookup('หลักสูตร'!C:C,lookup!$A$2:$B$4,2,false),)</f>
        <v>5</v>
      </c>
      <c r="E28" s="17">
        <f>IFERROR(vlookup('หลักสูตร'!D:D,lookup!$A$6:$B$8,2,false),)</f>
        <v>5</v>
      </c>
      <c r="F28" s="17">
        <f>IFERROR(vlookup('หลักสูตร'!E:E,lookup!$A$10:$B$12,2,false),)</f>
        <v>5</v>
      </c>
      <c r="G28" s="17">
        <f>IFERROR(vlookup('หลักสูตร'!F:F,lookup!$A$14:$B$16,2,false),)</f>
        <v>5</v>
      </c>
      <c r="H28" s="17">
        <f>IFERROR(vlookup('หลักสูตร'!G:G,lookup!$A$18:$B$20,2,false),)</f>
        <v>5</v>
      </c>
      <c r="I28" s="18">
        <f>IFERROR(vlookup('หลักสูตร'!H:H,lookup!$A$22:$B$24,2,false),)</f>
        <v>5</v>
      </c>
      <c r="J28" s="9"/>
      <c r="K28" s="19">
        <v>27.0</v>
      </c>
      <c r="L28" s="20" t="str">
        <f t="shared" si="1"/>
        <v>bnco0927@signalschool.ac.th</v>
      </c>
      <c r="M28" s="21">
        <f t="shared" si="2"/>
        <v>1</v>
      </c>
      <c r="N28" s="13"/>
      <c r="O28" s="13"/>
      <c r="P28" s="22" t="s">
        <v>129</v>
      </c>
    </row>
    <row r="29">
      <c r="A29" s="14">
        <f>'หลักสูตร'!A:A</f>
        <v>46212.63275</v>
      </c>
      <c r="B29" s="15" t="str">
        <f>'หลักสูตร'!B:B</f>
        <v>bnco0970@signalschool.ac.th</v>
      </c>
      <c r="C29" s="16">
        <v>1.0</v>
      </c>
      <c r="D29" s="17">
        <f>IFERROR(vlookup('หลักสูตร'!C:C,lookup!$A$2:$B$4,2,false),)</f>
        <v>5</v>
      </c>
      <c r="E29" s="17">
        <f>IFERROR(vlookup('หลักสูตร'!D:D,lookup!$A$6:$B$8,2,false),)</f>
        <v>5</v>
      </c>
      <c r="F29" s="17">
        <f>IFERROR(vlookup('หลักสูตร'!E:E,lookup!$A$10:$B$12,2,false),)</f>
        <v>5</v>
      </c>
      <c r="G29" s="17">
        <f>IFERROR(vlookup('หลักสูตร'!F:F,lookup!$A$14:$B$16,2,false),)</f>
        <v>5</v>
      </c>
      <c r="H29" s="17">
        <f>IFERROR(vlookup('หลักสูตร'!G:G,lookup!$A$18:$B$20,2,false),)</f>
        <v>5</v>
      </c>
      <c r="I29" s="18">
        <f>IFERROR(vlookup('หลักสูตร'!H:H,lookup!$A$22:$B$24,2,false),)</f>
        <v>5</v>
      </c>
      <c r="J29" s="9"/>
      <c r="K29" s="19">
        <v>28.0</v>
      </c>
      <c r="L29" s="20" t="str">
        <f t="shared" si="1"/>
        <v>bnco0928@signalschool.ac.th</v>
      </c>
      <c r="M29" s="21">
        <f t="shared" si="2"/>
        <v>0</v>
      </c>
      <c r="N29" s="13"/>
      <c r="O29" s="13"/>
      <c r="P29" s="22" t="s">
        <v>130</v>
      </c>
    </row>
    <row r="30">
      <c r="A30" s="14">
        <f>'หลักสูตร'!A:A</f>
        <v>46212.63277</v>
      </c>
      <c r="B30" s="15" t="str">
        <f>'หลักสูตร'!B:B</f>
        <v>bnco0977@signalschool.ac.th</v>
      </c>
      <c r="C30" s="16">
        <v>1.0</v>
      </c>
      <c r="D30" s="17">
        <f>IFERROR(vlookup('หลักสูตร'!C:C,lookup!$A$2:$B$4,2,false),)</f>
        <v>5</v>
      </c>
      <c r="E30" s="17">
        <f>IFERROR(vlookup('หลักสูตร'!D:D,lookup!$A$6:$B$8,2,false),)</f>
        <v>5</v>
      </c>
      <c r="F30" s="17">
        <f>IFERROR(vlookup('หลักสูตร'!E:E,lookup!$A$10:$B$12,2,false),)</f>
        <v>5</v>
      </c>
      <c r="G30" s="17">
        <f>IFERROR(vlookup('หลักสูตร'!F:F,lookup!$A$14:$B$16,2,false),)</f>
        <v>5</v>
      </c>
      <c r="H30" s="17">
        <f>IFERROR(vlookup('หลักสูตร'!G:G,lookup!$A$18:$B$20,2,false),)</f>
        <v>5</v>
      </c>
      <c r="I30" s="18">
        <f>IFERROR(vlookup('หลักสูตร'!H:H,lookup!$A$22:$B$24,2,false),)</f>
        <v>3</v>
      </c>
      <c r="J30" s="9"/>
      <c r="K30" s="19">
        <v>29.0</v>
      </c>
      <c r="L30" s="20" t="str">
        <f t="shared" si="1"/>
        <v>bnco0929@signalschool.ac.th</v>
      </c>
      <c r="M30" s="21">
        <f t="shared" si="2"/>
        <v>0</v>
      </c>
      <c r="N30" s="13"/>
      <c r="O30" s="13"/>
      <c r="P30" s="22" t="s">
        <v>131</v>
      </c>
    </row>
    <row r="31">
      <c r="A31" s="14">
        <f>'หลักสูตร'!A:A</f>
        <v>46212.6328</v>
      </c>
      <c r="B31" s="15" t="str">
        <f>'หลักสูตร'!B:B</f>
        <v>bnco0919@signalschool.ac.th</v>
      </c>
      <c r="C31" s="16">
        <v>1.0</v>
      </c>
      <c r="D31" s="17">
        <f>IFERROR(vlookup('หลักสูตร'!C:C,lookup!$A$2:$B$4,2,false),)</f>
        <v>3</v>
      </c>
      <c r="E31" s="17">
        <f>IFERROR(vlookup('หลักสูตร'!D:D,lookup!$A$6:$B$8,2,false),)</f>
        <v>3</v>
      </c>
      <c r="F31" s="17">
        <f>IFERROR(vlookup('หลักสูตร'!E:E,lookup!$A$10:$B$12,2,false),)</f>
        <v>3</v>
      </c>
      <c r="G31" s="17">
        <f>IFERROR(vlookup('หลักสูตร'!F:F,lookup!$A$14:$B$16,2,false),)</f>
        <v>3</v>
      </c>
      <c r="H31" s="17">
        <f>IFERROR(vlookup('หลักสูตร'!G:G,lookup!$A$18:$B$20,2,false),)</f>
        <v>3</v>
      </c>
      <c r="I31" s="18">
        <f>IFERROR(vlookup('หลักสูตร'!H:H,lookup!$A$22:$B$24,2,false),)</f>
        <v>3</v>
      </c>
      <c r="J31" s="9"/>
      <c r="K31" s="19">
        <v>30.0</v>
      </c>
      <c r="L31" s="20" t="str">
        <f t="shared" si="1"/>
        <v>bnco0930@signalschool.ac.th</v>
      </c>
      <c r="M31" s="21">
        <f t="shared" si="2"/>
        <v>0</v>
      </c>
      <c r="N31" s="13"/>
      <c r="O31" s="13"/>
      <c r="P31" s="22" t="s">
        <v>132</v>
      </c>
    </row>
    <row r="32">
      <c r="A32" s="14">
        <f>'หลักสูตร'!A:A</f>
        <v>46212.63283</v>
      </c>
      <c r="B32" s="15" t="str">
        <f>'หลักสูตร'!B:B</f>
        <v>bnco0933@signalschool.ac.th</v>
      </c>
      <c r="C32" s="16">
        <v>1.0</v>
      </c>
      <c r="D32" s="17">
        <f>IFERROR(vlookup('หลักสูตร'!C:C,lookup!$A$2:$B$4,2,false),)</f>
        <v>5</v>
      </c>
      <c r="E32" s="17">
        <f>IFERROR(vlookup('หลักสูตร'!D:D,lookup!$A$6:$B$8,2,false),)</f>
        <v>5</v>
      </c>
      <c r="F32" s="17">
        <f>IFERROR(vlookup('หลักสูตร'!E:E,lookup!$A$10:$B$12,2,false),)</f>
        <v>5</v>
      </c>
      <c r="G32" s="17">
        <f>IFERROR(vlookup('หลักสูตร'!F:F,lookup!$A$14:$B$16,2,false),)</f>
        <v>5</v>
      </c>
      <c r="H32" s="17">
        <f>IFERROR(vlookup('หลักสูตร'!G:G,lookup!$A$18:$B$20,2,false),)</f>
        <v>5</v>
      </c>
      <c r="I32" s="18">
        <f>IFERROR(vlookup('หลักสูตร'!H:H,lookup!$A$22:$B$24,2,false),)</f>
        <v>5</v>
      </c>
      <c r="J32" s="9"/>
      <c r="K32" s="19">
        <v>31.0</v>
      </c>
      <c r="L32" s="20" t="str">
        <f t="shared" si="1"/>
        <v>bnco0931@signalschool.ac.th</v>
      </c>
      <c r="M32" s="21">
        <f t="shared" si="2"/>
        <v>0</v>
      </c>
      <c r="N32" s="13"/>
      <c r="O32" s="13"/>
      <c r="P32" s="22" t="s">
        <v>133</v>
      </c>
    </row>
    <row r="33">
      <c r="A33" s="14">
        <f>'หลักสูตร'!A:A</f>
        <v>46212.63283</v>
      </c>
      <c r="B33" s="15" t="str">
        <f>'หลักสูตร'!B:B</f>
        <v>bnco0937@signalschool.ac.th</v>
      </c>
      <c r="C33" s="16">
        <v>1.0</v>
      </c>
      <c r="D33" s="17">
        <f>IFERROR(vlookup('หลักสูตร'!C:C,lookup!$A$2:$B$4,2,false),)</f>
        <v>5</v>
      </c>
      <c r="E33" s="17">
        <f>IFERROR(vlookup('หลักสูตร'!D:D,lookup!$A$6:$B$8,2,false),)</f>
        <v>5</v>
      </c>
      <c r="F33" s="17">
        <f>IFERROR(vlookup('หลักสูตร'!E:E,lookup!$A$10:$B$12,2,false),)</f>
        <v>5</v>
      </c>
      <c r="G33" s="17">
        <f>IFERROR(vlookup('หลักสูตร'!F:F,lookup!$A$14:$B$16,2,false),)</f>
        <v>5</v>
      </c>
      <c r="H33" s="17">
        <f>IFERROR(vlookup('หลักสูตร'!G:G,lookup!$A$18:$B$20,2,false),)</f>
        <v>5</v>
      </c>
      <c r="I33" s="18">
        <f>IFERROR(vlookup('หลักสูตร'!H:H,lookup!$A$22:$B$24,2,false),)</f>
        <v>5</v>
      </c>
      <c r="J33" s="9"/>
      <c r="K33" s="19">
        <v>32.0</v>
      </c>
      <c r="L33" s="20" t="str">
        <f t="shared" si="1"/>
        <v>bnco0932@signalschool.ac.th</v>
      </c>
      <c r="M33" s="21">
        <f t="shared" si="2"/>
        <v>1</v>
      </c>
      <c r="N33" s="13"/>
      <c r="O33" s="13"/>
      <c r="P33" s="22" t="s">
        <v>134</v>
      </c>
    </row>
    <row r="34">
      <c r="A34" s="14">
        <f>'หลักสูตร'!A:A</f>
        <v>46212.63285</v>
      </c>
      <c r="B34" s="15" t="str">
        <f>'หลักสูตร'!B:B</f>
        <v>bnco0964@signalschool.ac.th</v>
      </c>
      <c r="C34" s="16">
        <v>1.0</v>
      </c>
      <c r="D34" s="17">
        <f>IFERROR(vlookup('หลักสูตร'!C:C,lookup!$A$2:$B$4,2,false),)</f>
        <v>5</v>
      </c>
      <c r="E34" s="17">
        <f>IFERROR(vlookup('หลักสูตร'!D:D,lookup!$A$6:$B$8,2,false),)</f>
        <v>5</v>
      </c>
      <c r="F34" s="17">
        <f>IFERROR(vlookup('หลักสูตร'!E:E,lookup!$A$10:$B$12,2,false),)</f>
        <v>5</v>
      </c>
      <c r="G34" s="17">
        <f>IFERROR(vlookup('หลักสูตร'!F:F,lookup!$A$14:$B$16,2,false),)</f>
        <v>5</v>
      </c>
      <c r="H34" s="17">
        <f>IFERROR(vlookup('หลักสูตร'!G:G,lookup!$A$18:$B$20,2,false),)</f>
        <v>5</v>
      </c>
      <c r="I34" s="18">
        <f>IFERROR(vlookup('หลักสูตร'!H:H,lookup!$A$22:$B$24,2,false),)</f>
        <v>5</v>
      </c>
      <c r="J34" s="23"/>
      <c r="K34" s="19">
        <v>33.0</v>
      </c>
      <c r="L34" s="20" t="str">
        <f t="shared" si="1"/>
        <v>bnco0933@signalschool.ac.th</v>
      </c>
      <c r="M34" s="21">
        <f t="shared" si="2"/>
        <v>1</v>
      </c>
      <c r="N34" s="13"/>
      <c r="O34" s="13"/>
      <c r="P34" s="22" t="s">
        <v>135</v>
      </c>
    </row>
    <row r="35">
      <c r="A35" s="14">
        <f>'หลักสูตร'!A:A</f>
        <v>46212.63291</v>
      </c>
      <c r="B35" s="15" t="str">
        <f>'หลักสูตร'!B:B</f>
        <v>bnco0950@signalschool.ac.th</v>
      </c>
      <c r="C35" s="16">
        <v>1.0</v>
      </c>
      <c r="D35" s="17">
        <f>IFERROR(vlookup('หลักสูตร'!C:C,lookup!$A$2:$B$4,2,false),)</f>
        <v>5</v>
      </c>
      <c r="E35" s="17">
        <f>IFERROR(vlookup('หลักสูตร'!D:D,lookup!$A$6:$B$8,2,false),)</f>
        <v>5</v>
      </c>
      <c r="F35" s="17">
        <f>IFERROR(vlookup('หลักสูตร'!E:E,lookup!$A$10:$B$12,2,false),)</f>
        <v>5</v>
      </c>
      <c r="G35" s="17">
        <f>IFERROR(vlookup('หลักสูตร'!F:F,lookup!$A$14:$B$16,2,false),)</f>
        <v>5</v>
      </c>
      <c r="H35" s="17">
        <f>IFERROR(vlookup('หลักสูตร'!G:G,lookup!$A$18:$B$20,2,false),)</f>
        <v>5</v>
      </c>
      <c r="I35" s="18">
        <f>IFERROR(vlookup('หลักสูตร'!H:H,lookup!$A$22:$B$24,2,false),)</f>
        <v>5</v>
      </c>
      <c r="J35" s="23"/>
      <c r="K35" s="19">
        <v>34.0</v>
      </c>
      <c r="L35" s="24" t="str">
        <f t="shared" si="1"/>
        <v>bnco0934@signalschool.ac.th</v>
      </c>
      <c r="M35" s="21">
        <f t="shared" si="2"/>
        <v>1</v>
      </c>
      <c r="N35" s="13"/>
      <c r="O35" s="13"/>
      <c r="P35" s="22" t="s">
        <v>136</v>
      </c>
    </row>
    <row r="36">
      <c r="A36" s="14">
        <f>'หลักสูตร'!A:A</f>
        <v>46212.63291</v>
      </c>
      <c r="B36" s="15" t="str">
        <f>'หลักสูตร'!B:B</f>
        <v>bnco0963@signalschool.ac.th</v>
      </c>
      <c r="C36" s="16">
        <v>1.0</v>
      </c>
      <c r="D36" s="17">
        <f>IFERROR(vlookup('หลักสูตร'!C:C,lookup!$A$2:$B$4,2,false),)</f>
        <v>5</v>
      </c>
      <c r="E36" s="17">
        <f>IFERROR(vlookup('หลักสูตร'!D:D,lookup!$A$6:$B$8,2,false),)</f>
        <v>5</v>
      </c>
      <c r="F36" s="17">
        <f>IFERROR(vlookup('หลักสูตร'!E:E,lookup!$A$10:$B$12,2,false),)</f>
        <v>3</v>
      </c>
      <c r="G36" s="17">
        <f>IFERROR(vlookup('หลักสูตร'!F:F,lookup!$A$14:$B$16,2,false),)</f>
        <v>3</v>
      </c>
      <c r="H36" s="17">
        <f>IFERROR(vlookup('หลักสูตร'!G:G,lookup!$A$18:$B$20,2,false),)</f>
        <v>5</v>
      </c>
      <c r="I36" s="18">
        <f>IFERROR(vlookup('หลักสูตร'!H:H,lookup!$A$22:$B$24,2,false),)</f>
        <v>3</v>
      </c>
      <c r="J36" s="23"/>
      <c r="K36" s="19">
        <v>35.0</v>
      </c>
      <c r="L36" s="24" t="str">
        <f t="shared" si="1"/>
        <v>bnco0935@signalschool.ac.th</v>
      </c>
      <c r="M36" s="21">
        <f t="shared" si="2"/>
        <v>1</v>
      </c>
      <c r="N36" s="13"/>
      <c r="O36" s="13"/>
      <c r="P36" s="22" t="s">
        <v>137</v>
      </c>
    </row>
    <row r="37">
      <c r="A37" s="14">
        <f>'หลักสูตร'!A:A</f>
        <v>46212.63294</v>
      </c>
      <c r="B37" s="15" t="str">
        <f>'หลักสูตร'!B:B</f>
        <v>bnco0934@signalschool.ac.th</v>
      </c>
      <c r="C37" s="16">
        <v>1.0</v>
      </c>
      <c r="D37" s="17">
        <f>IFERROR(vlookup('หลักสูตร'!C:C,lookup!$A$2:$B$4,2,false),)</f>
        <v>5</v>
      </c>
      <c r="E37" s="17">
        <f>IFERROR(vlookup('หลักสูตร'!D:D,lookup!$A$6:$B$8,2,false),)</f>
        <v>5</v>
      </c>
      <c r="F37" s="17">
        <f>IFERROR(vlookup('หลักสูตร'!E:E,lookup!$A$10:$B$12,2,false),)</f>
        <v>5</v>
      </c>
      <c r="G37" s="17">
        <f>IFERROR(vlookup('หลักสูตร'!F:F,lookup!$A$14:$B$16,2,false),)</f>
        <v>5</v>
      </c>
      <c r="H37" s="17">
        <f>IFERROR(vlookup('หลักสูตร'!G:G,lookup!$A$18:$B$20,2,false),)</f>
        <v>5</v>
      </c>
      <c r="I37" s="18">
        <f>IFERROR(vlookup('หลักสูตร'!H:H,lookup!$A$22:$B$24,2,false),)</f>
        <v>5</v>
      </c>
      <c r="J37" s="23"/>
      <c r="K37" s="19">
        <v>36.0</v>
      </c>
      <c r="L37" s="24" t="str">
        <f t="shared" si="1"/>
        <v>bnco0936@signalschool.ac.th</v>
      </c>
      <c r="M37" s="21">
        <f t="shared" si="2"/>
        <v>1</v>
      </c>
      <c r="N37" s="13"/>
      <c r="O37" s="13"/>
      <c r="P37" s="22" t="s">
        <v>138</v>
      </c>
    </row>
    <row r="38">
      <c r="A38" s="14">
        <f>'หลักสูตร'!A:A</f>
        <v>46212.63297</v>
      </c>
      <c r="B38" s="15" t="str">
        <f>'หลักสูตร'!B:B</f>
        <v>bnco0912@signalschool.ac.th</v>
      </c>
      <c r="C38" s="16">
        <v>1.0</v>
      </c>
      <c r="D38" s="17">
        <f>IFERROR(vlookup('หลักสูตร'!C:C,lookup!$A$2:$B$4,2,false),)</f>
        <v>5</v>
      </c>
      <c r="E38" s="17">
        <f>IFERROR(vlookup('หลักสูตร'!D:D,lookup!$A$6:$B$8,2,false),)</f>
        <v>5</v>
      </c>
      <c r="F38" s="17">
        <f>IFERROR(vlookup('หลักสูตร'!E:E,lookup!$A$10:$B$12,2,false),)</f>
        <v>5</v>
      </c>
      <c r="G38" s="17">
        <f>IFERROR(vlookup('หลักสูตร'!F:F,lookup!$A$14:$B$16,2,false),)</f>
        <v>5</v>
      </c>
      <c r="H38" s="17">
        <f>IFERROR(vlookup('หลักสูตร'!G:G,lookup!$A$18:$B$20,2,false),)</f>
        <v>5</v>
      </c>
      <c r="I38" s="18">
        <f>IFERROR(vlookup('หลักสูตร'!H:H,lookup!$A$22:$B$24,2,false),)</f>
        <v>5</v>
      </c>
      <c r="J38" s="23"/>
      <c r="K38" s="19">
        <v>37.0</v>
      </c>
      <c r="L38" s="24" t="str">
        <f t="shared" si="1"/>
        <v>bnco0937@signalschool.ac.th</v>
      </c>
      <c r="M38" s="21">
        <f t="shared" si="2"/>
        <v>1</v>
      </c>
      <c r="N38" s="13"/>
      <c r="O38" s="13"/>
      <c r="P38" s="22" t="s">
        <v>139</v>
      </c>
    </row>
    <row r="39">
      <c r="A39" s="14">
        <f>'หลักสูตร'!A:A</f>
        <v>46212.63304</v>
      </c>
      <c r="B39" s="15" t="str">
        <f>'หลักสูตร'!B:B</f>
        <v>bnco0941@signalschool.ac.th</v>
      </c>
      <c r="C39" s="16">
        <v>1.0</v>
      </c>
      <c r="D39" s="17">
        <f>IFERROR(vlookup('หลักสูตร'!C:C,lookup!$A$2:$B$4,2,false),)</f>
        <v>5</v>
      </c>
      <c r="E39" s="17">
        <f>IFERROR(vlookup('หลักสูตร'!D:D,lookup!$A$6:$B$8,2,false),)</f>
        <v>5</v>
      </c>
      <c r="F39" s="17">
        <f>IFERROR(vlookup('หลักสูตร'!E:E,lookup!$A$10:$B$12,2,false),)</f>
        <v>5</v>
      </c>
      <c r="G39" s="17">
        <f>IFERROR(vlookup('หลักสูตร'!F:F,lookup!$A$14:$B$16,2,false),)</f>
        <v>5</v>
      </c>
      <c r="H39" s="17">
        <f>IFERROR(vlookup('หลักสูตร'!G:G,lookup!$A$18:$B$20,2,false),)</f>
        <v>5</v>
      </c>
      <c r="I39" s="18">
        <f>IFERROR(vlookup('หลักสูตร'!H:H,lookup!$A$22:$B$24,2,false),)</f>
        <v>5</v>
      </c>
      <c r="J39" s="23"/>
      <c r="K39" s="19">
        <v>38.0</v>
      </c>
      <c r="L39" s="24" t="str">
        <f t="shared" si="1"/>
        <v>bnco0938@signalschool.ac.th</v>
      </c>
      <c r="M39" s="21">
        <f t="shared" si="2"/>
        <v>0</v>
      </c>
      <c r="N39" s="13"/>
      <c r="O39" s="13"/>
      <c r="P39" s="22" t="s">
        <v>140</v>
      </c>
    </row>
    <row r="40">
      <c r="A40" s="14">
        <f>'หลักสูตร'!A:A</f>
        <v>46212.63305</v>
      </c>
      <c r="B40" s="15" t="str">
        <f>'หลักสูตร'!B:B</f>
        <v>bnco0949@signalschool.ac.th</v>
      </c>
      <c r="C40" s="16">
        <v>1.0</v>
      </c>
      <c r="D40" s="17">
        <f>IFERROR(vlookup('หลักสูตร'!C:C,lookup!$A$2:$B$4,2,false),)</f>
        <v>5</v>
      </c>
      <c r="E40" s="17">
        <f>IFERROR(vlookup('หลักสูตร'!D:D,lookup!$A$6:$B$8,2,false),)</f>
        <v>5</v>
      </c>
      <c r="F40" s="17">
        <f>IFERROR(vlookup('หลักสูตร'!E:E,lookup!$A$10:$B$12,2,false),)</f>
        <v>5</v>
      </c>
      <c r="G40" s="17">
        <f>IFERROR(vlookup('หลักสูตร'!F:F,lookup!$A$14:$B$16,2,false),)</f>
        <v>5</v>
      </c>
      <c r="H40" s="17">
        <f>IFERROR(vlookup('หลักสูตร'!G:G,lookup!$A$18:$B$20,2,false),)</f>
        <v>5</v>
      </c>
      <c r="I40" s="18">
        <f>IFERROR(vlookup('หลักสูตร'!H:H,lookup!$A$22:$B$24,2,false),)</f>
        <v>5</v>
      </c>
      <c r="J40" s="23"/>
      <c r="K40" s="19">
        <v>39.0</v>
      </c>
      <c r="L40" s="24" t="str">
        <f t="shared" si="1"/>
        <v>bnco0939@signalschool.ac.th</v>
      </c>
      <c r="M40" s="21">
        <f t="shared" si="2"/>
        <v>1</v>
      </c>
      <c r="N40" s="13"/>
      <c r="O40" s="13"/>
      <c r="P40" s="22" t="s">
        <v>141</v>
      </c>
    </row>
    <row r="41">
      <c r="A41" s="14">
        <f>'หลักสูตร'!A:A</f>
        <v>46212.63305</v>
      </c>
      <c r="B41" s="15" t="str">
        <f>'หลักสูตร'!B:B</f>
        <v>bnco0942@signalschool.ac.th</v>
      </c>
      <c r="C41" s="16">
        <v>1.0</v>
      </c>
      <c r="D41" s="17">
        <f>IFERROR(vlookup('หลักสูตร'!C:C,lookup!$A$2:$B$4,2,false),)</f>
        <v>5</v>
      </c>
      <c r="E41" s="17">
        <f>IFERROR(vlookup('หลักสูตร'!D:D,lookup!$A$6:$B$8,2,false),)</f>
        <v>5</v>
      </c>
      <c r="F41" s="17">
        <f>IFERROR(vlookup('หลักสูตร'!E:E,lookup!$A$10:$B$12,2,false),)</f>
        <v>5</v>
      </c>
      <c r="G41" s="17">
        <f>IFERROR(vlookup('หลักสูตร'!F:F,lookup!$A$14:$B$16,2,false),)</f>
        <v>5</v>
      </c>
      <c r="H41" s="17">
        <f>IFERROR(vlookup('หลักสูตร'!G:G,lookup!$A$18:$B$20,2,false),)</f>
        <v>5</v>
      </c>
      <c r="I41" s="18">
        <f>IFERROR(vlookup('หลักสูตร'!H:H,lookup!$A$22:$B$24,2,false),)</f>
        <v>5</v>
      </c>
      <c r="J41" s="23"/>
      <c r="K41" s="19">
        <v>40.0</v>
      </c>
      <c r="L41" s="24" t="str">
        <f t="shared" si="1"/>
        <v>bnco0940@signalschool.ac.th</v>
      </c>
      <c r="M41" s="21">
        <f t="shared" si="2"/>
        <v>1</v>
      </c>
      <c r="N41" s="13"/>
      <c r="O41" s="13"/>
      <c r="P41" s="22" t="s">
        <v>142</v>
      </c>
    </row>
    <row r="42">
      <c r="A42" s="14">
        <f>'หลักสูตร'!A:A</f>
        <v>46212.63307</v>
      </c>
      <c r="B42" s="15" t="str">
        <f>'หลักสูตร'!B:B</f>
        <v>bnco0945@signalschool.ac.th</v>
      </c>
      <c r="C42" s="16">
        <v>1.0</v>
      </c>
      <c r="D42" s="17">
        <f>IFERROR(vlookup('หลักสูตร'!C:C,lookup!$A$2:$B$4,2,false),)</f>
        <v>5</v>
      </c>
      <c r="E42" s="17">
        <f>IFERROR(vlookup('หลักสูตร'!D:D,lookup!$A$6:$B$8,2,false),)</f>
        <v>5</v>
      </c>
      <c r="F42" s="17">
        <f>IFERROR(vlookup('หลักสูตร'!E:E,lookup!$A$10:$B$12,2,false),)</f>
        <v>5</v>
      </c>
      <c r="G42" s="17">
        <f>IFERROR(vlookup('หลักสูตร'!F:F,lookup!$A$14:$B$16,2,false),)</f>
        <v>5</v>
      </c>
      <c r="H42" s="17">
        <f>IFERROR(vlookup('หลักสูตร'!G:G,lookup!$A$18:$B$20,2,false),)</f>
        <v>5</v>
      </c>
      <c r="I42" s="18">
        <f>IFERROR(vlookup('หลักสูตร'!H:H,lookup!$A$22:$B$24,2,false),)</f>
        <v>5</v>
      </c>
      <c r="J42" s="23"/>
      <c r="K42" s="19">
        <v>41.0</v>
      </c>
      <c r="L42" s="24" t="str">
        <f t="shared" si="1"/>
        <v>bnco0941@signalschool.ac.th</v>
      </c>
      <c r="M42" s="21">
        <f t="shared" si="2"/>
        <v>1</v>
      </c>
      <c r="N42" s="13"/>
      <c r="O42" s="13"/>
      <c r="P42" s="22" t="s">
        <v>143</v>
      </c>
    </row>
    <row r="43">
      <c r="A43" s="14">
        <f>'หลักสูตร'!A:A</f>
        <v>46212.63308</v>
      </c>
      <c r="B43" s="15" t="str">
        <f>'หลักสูตร'!B:B</f>
        <v>bnco0918@signalschool.ac.th</v>
      </c>
      <c r="C43" s="16">
        <v>1.0</v>
      </c>
      <c r="D43" s="17">
        <f>IFERROR(vlookup('หลักสูตร'!C:C,lookup!$A$2:$B$4,2,false),)</f>
        <v>5</v>
      </c>
      <c r="E43" s="17">
        <f>IFERROR(vlookup('หลักสูตร'!D:D,lookup!$A$6:$B$8,2,false),)</f>
        <v>5</v>
      </c>
      <c r="F43" s="17">
        <f>IFERROR(vlookup('หลักสูตร'!E:E,lookup!$A$10:$B$12,2,false),)</f>
        <v>5</v>
      </c>
      <c r="G43" s="17">
        <f>IFERROR(vlookup('หลักสูตร'!F:F,lookup!$A$14:$B$16,2,false),)</f>
        <v>5</v>
      </c>
      <c r="H43" s="17">
        <f>IFERROR(vlookup('หลักสูตร'!G:G,lookup!$A$18:$B$20,2,false),)</f>
        <v>5</v>
      </c>
      <c r="I43" s="18">
        <f>IFERROR(vlookup('หลักสูตร'!H:H,lookup!$A$22:$B$24,2,false),)</f>
        <v>5</v>
      </c>
      <c r="J43" s="23"/>
      <c r="K43" s="19">
        <v>42.0</v>
      </c>
      <c r="L43" s="24" t="str">
        <f t="shared" si="1"/>
        <v>bnco0942@signalschool.ac.th</v>
      </c>
      <c r="M43" s="21">
        <f t="shared" si="2"/>
        <v>1</v>
      </c>
      <c r="N43" s="13"/>
      <c r="O43" s="13"/>
      <c r="P43" s="22" t="s">
        <v>144</v>
      </c>
    </row>
    <row r="44">
      <c r="A44" s="14">
        <f>'หลักสูตร'!A:A</f>
        <v>46212.6331</v>
      </c>
      <c r="B44" s="15" t="str">
        <f>'หลักสูตร'!B:B</f>
        <v>bnco0901@signalschool.ac.th</v>
      </c>
      <c r="C44" s="16">
        <v>1.0</v>
      </c>
      <c r="D44" s="17">
        <f>IFERROR(vlookup('หลักสูตร'!C:C,lookup!$A$2:$B$4,2,false),)</f>
        <v>5</v>
      </c>
      <c r="E44" s="17">
        <f>IFERROR(vlookup('หลักสูตร'!D:D,lookup!$A$6:$B$8,2,false),)</f>
        <v>5</v>
      </c>
      <c r="F44" s="17">
        <f>IFERROR(vlookup('หลักสูตร'!E:E,lookup!$A$10:$B$12,2,false),)</f>
        <v>5</v>
      </c>
      <c r="G44" s="17">
        <f>IFERROR(vlookup('หลักสูตร'!F:F,lookup!$A$14:$B$16,2,false),)</f>
        <v>5</v>
      </c>
      <c r="H44" s="17">
        <f>IFERROR(vlookup('หลักสูตร'!G:G,lookup!$A$18:$B$20,2,false),)</f>
        <v>5</v>
      </c>
      <c r="I44" s="18">
        <f>IFERROR(vlookup('หลักสูตร'!H:H,lookup!$A$22:$B$24,2,false),)</f>
        <v>5</v>
      </c>
      <c r="J44" s="23"/>
      <c r="K44" s="19">
        <v>43.0</v>
      </c>
      <c r="L44" s="24" t="str">
        <f t="shared" si="1"/>
        <v>bnco0943@signalschool.ac.th</v>
      </c>
      <c r="M44" s="21">
        <f t="shared" si="2"/>
        <v>1</v>
      </c>
      <c r="N44" s="13"/>
      <c r="O44" s="13"/>
      <c r="P44" s="22" t="s">
        <v>145</v>
      </c>
    </row>
    <row r="45">
      <c r="A45" s="14">
        <f>'หลักสูตร'!A:A</f>
        <v>46212.63313</v>
      </c>
      <c r="B45" s="15" t="str">
        <f>'หลักสูตร'!B:B</f>
        <v>bnco0913@signalschool.ac.th</v>
      </c>
      <c r="C45" s="16">
        <v>1.0</v>
      </c>
      <c r="D45" s="17">
        <f>IFERROR(vlookup('หลักสูตร'!C:C,lookup!$A$2:$B$4,2,false),)</f>
        <v>5</v>
      </c>
      <c r="E45" s="17">
        <f>IFERROR(vlookup('หลักสูตร'!D:D,lookup!$A$6:$B$8,2,false),)</f>
        <v>3</v>
      </c>
      <c r="F45" s="17">
        <f>IFERROR(vlookup('หลักสูตร'!E:E,lookup!$A$10:$B$12,2,false),)</f>
        <v>5</v>
      </c>
      <c r="G45" s="17">
        <f>IFERROR(vlookup('หลักสูตร'!F:F,lookup!$A$14:$B$16,2,false),)</f>
        <v>5</v>
      </c>
      <c r="H45" s="17">
        <f>IFERROR(vlookup('หลักสูตร'!G:G,lookup!$A$18:$B$20,2,false),)</f>
        <v>5</v>
      </c>
      <c r="I45" s="18">
        <f>IFERROR(vlookup('หลักสูตร'!H:H,lookup!$A$22:$B$24,2,false),)</f>
        <v>5</v>
      </c>
      <c r="J45" s="23"/>
      <c r="K45" s="19">
        <v>44.0</v>
      </c>
      <c r="L45" s="24" t="str">
        <f t="shared" si="1"/>
        <v>bnco0944@signalschool.ac.th</v>
      </c>
      <c r="M45" s="21">
        <f t="shared" si="2"/>
        <v>1</v>
      </c>
      <c r="N45" s="13"/>
      <c r="O45" s="13"/>
      <c r="P45" s="22" t="s">
        <v>146</v>
      </c>
    </row>
    <row r="46">
      <c r="A46" s="14">
        <f>'หลักสูตร'!A:A</f>
        <v>46212.63316</v>
      </c>
      <c r="B46" s="15" t="str">
        <f>'หลักสูตร'!B:B</f>
        <v>bnco0966@signalschool.ac.th</v>
      </c>
      <c r="C46" s="16">
        <v>1.0</v>
      </c>
      <c r="D46" s="17">
        <f>IFERROR(vlookup('หลักสูตร'!C:C,lookup!$A$2:$B$4,2,false),)</f>
        <v>5</v>
      </c>
      <c r="E46" s="17">
        <f>IFERROR(vlookup('หลักสูตร'!D:D,lookup!$A$6:$B$8,2,false),)</f>
        <v>5</v>
      </c>
      <c r="F46" s="17">
        <f>IFERROR(vlookup('หลักสูตร'!E:E,lookup!$A$10:$B$12,2,false),)</f>
        <v>5</v>
      </c>
      <c r="G46" s="17">
        <f>IFERROR(vlookup('หลักสูตร'!F:F,lookup!$A$14:$B$16,2,false),)</f>
        <v>5</v>
      </c>
      <c r="H46" s="17">
        <f>IFERROR(vlookup('หลักสูตร'!G:G,lookup!$A$18:$B$20,2,false),)</f>
        <v>5</v>
      </c>
      <c r="I46" s="18">
        <f>IFERROR(vlookup('หลักสูตร'!H:H,lookup!$A$22:$B$24,2,false),)</f>
        <v>5</v>
      </c>
      <c r="J46" s="23"/>
      <c r="K46" s="19">
        <v>45.0</v>
      </c>
      <c r="L46" s="24" t="str">
        <f t="shared" si="1"/>
        <v>bnco0945@signalschool.ac.th</v>
      </c>
      <c r="M46" s="21">
        <f t="shared" si="2"/>
        <v>1</v>
      </c>
      <c r="N46" s="13"/>
      <c r="O46" s="13"/>
      <c r="P46" s="22" t="s">
        <v>147</v>
      </c>
    </row>
    <row r="47">
      <c r="A47" s="14">
        <f>'หลักสูตร'!A:A</f>
        <v>46212.63318</v>
      </c>
      <c r="B47" s="15" t="str">
        <f>'หลักสูตร'!B:B</f>
        <v>bnco0916@signalschool.ac.th</v>
      </c>
      <c r="C47" s="16">
        <v>1.0</v>
      </c>
      <c r="D47" s="17">
        <f>IFERROR(vlookup('หลักสูตร'!C:C,lookup!$A$2:$B$4,2,false),)</f>
        <v>5</v>
      </c>
      <c r="E47" s="17">
        <f>IFERROR(vlookup('หลักสูตร'!D:D,lookup!$A$6:$B$8,2,false),)</f>
        <v>5</v>
      </c>
      <c r="F47" s="17">
        <f>IFERROR(vlookup('หลักสูตร'!E:E,lookup!$A$10:$B$12,2,false),)</f>
        <v>5</v>
      </c>
      <c r="G47" s="17">
        <f>IFERROR(vlookup('หลักสูตร'!F:F,lookup!$A$14:$B$16,2,false),)</f>
        <v>5</v>
      </c>
      <c r="H47" s="17">
        <f>IFERROR(vlookup('หลักสูตร'!G:G,lookup!$A$18:$B$20,2,false),)</f>
        <v>5</v>
      </c>
      <c r="I47" s="18">
        <f>IFERROR(vlookup('หลักสูตร'!H:H,lookup!$A$22:$B$24,2,false),)</f>
        <v>5</v>
      </c>
      <c r="J47" s="23"/>
      <c r="K47" s="19">
        <v>46.0</v>
      </c>
      <c r="L47" s="24" t="str">
        <f t="shared" si="1"/>
        <v>bnco0946@signalschool.ac.th</v>
      </c>
      <c r="M47" s="21">
        <f t="shared" si="2"/>
        <v>1</v>
      </c>
      <c r="N47" s="13"/>
      <c r="O47" s="13"/>
      <c r="P47" s="22" t="s">
        <v>148</v>
      </c>
    </row>
    <row r="48">
      <c r="A48" s="14">
        <f>'หลักสูตร'!A:A</f>
        <v>46212.63319</v>
      </c>
      <c r="B48" s="15" t="str">
        <f>'หลักสูตร'!B:B</f>
        <v>bnco0923@signalschool.ac.th</v>
      </c>
      <c r="C48" s="16">
        <v>1.0</v>
      </c>
      <c r="D48" s="17">
        <f>IFERROR(vlookup('หลักสูตร'!C:C,lookup!$A$2:$B$4,2,false),)</f>
        <v>5</v>
      </c>
      <c r="E48" s="17">
        <f>IFERROR(vlookup('หลักสูตร'!D:D,lookup!$A$6:$B$8,2,false),)</f>
        <v>5</v>
      </c>
      <c r="F48" s="17">
        <f>IFERROR(vlookup('หลักสูตร'!E:E,lookup!$A$10:$B$12,2,false),)</f>
        <v>5</v>
      </c>
      <c r="G48" s="17">
        <f>IFERROR(vlookup('หลักสูตร'!F:F,lookup!$A$14:$B$16,2,false),)</f>
        <v>5</v>
      </c>
      <c r="H48" s="17">
        <f>IFERROR(vlookup('หลักสูตร'!G:G,lookup!$A$18:$B$20,2,false),)</f>
        <v>5</v>
      </c>
      <c r="I48" s="18">
        <f>IFERROR(vlookup('หลักสูตร'!H:H,lookup!$A$22:$B$24,2,false),)</f>
        <v>1</v>
      </c>
      <c r="J48" s="23"/>
      <c r="K48" s="19">
        <v>47.0</v>
      </c>
      <c r="L48" s="24" t="str">
        <f t="shared" si="1"/>
        <v>bnco0947@signalschool.ac.th</v>
      </c>
      <c r="M48" s="21">
        <f t="shared" si="2"/>
        <v>1</v>
      </c>
      <c r="N48" s="13"/>
      <c r="O48" s="13"/>
      <c r="P48" s="22" t="s">
        <v>149</v>
      </c>
    </row>
    <row r="49">
      <c r="A49" s="14">
        <f>'หลักสูตร'!A:A</f>
        <v>46212.63319</v>
      </c>
      <c r="B49" s="15" t="str">
        <f>'หลักสูตร'!B:B</f>
        <v>bnco0947@signalschool.ac.th</v>
      </c>
      <c r="C49" s="16">
        <v>1.0</v>
      </c>
      <c r="D49" s="17">
        <f>IFERROR(vlookup('หลักสูตร'!C:C,lookup!$A$2:$B$4,2,false),)</f>
        <v>5</v>
      </c>
      <c r="E49" s="17">
        <f>IFERROR(vlookup('หลักสูตร'!D:D,lookup!$A$6:$B$8,2,false),)</f>
        <v>5</v>
      </c>
      <c r="F49" s="17">
        <f>IFERROR(vlookup('หลักสูตร'!E:E,lookup!$A$10:$B$12,2,false),)</f>
        <v>5</v>
      </c>
      <c r="G49" s="17">
        <f>IFERROR(vlookup('หลักสูตร'!F:F,lookup!$A$14:$B$16,2,false),)</f>
        <v>5</v>
      </c>
      <c r="H49" s="17">
        <f>IFERROR(vlookup('หลักสูตร'!G:G,lookup!$A$18:$B$20,2,false),)</f>
        <v>5</v>
      </c>
      <c r="I49" s="18">
        <f>IFERROR(vlookup('หลักสูตร'!H:H,lookup!$A$22:$B$24,2,false),)</f>
        <v>5</v>
      </c>
      <c r="J49" s="23"/>
      <c r="K49" s="19">
        <v>48.0</v>
      </c>
      <c r="L49" s="24" t="str">
        <f t="shared" si="1"/>
        <v>bnco0948@signalschool.ac.th</v>
      </c>
      <c r="M49" s="21">
        <f t="shared" si="2"/>
        <v>1</v>
      </c>
      <c r="N49" s="13"/>
      <c r="O49" s="13"/>
      <c r="P49" s="22" t="s">
        <v>150</v>
      </c>
    </row>
    <row r="50">
      <c r="A50" s="14">
        <f>'หลักสูตร'!A:A</f>
        <v>46212.63319</v>
      </c>
      <c r="B50" s="15" t="str">
        <f>'หลักสูตร'!B:B</f>
        <v>bnco0905@signalschool.ac.th</v>
      </c>
      <c r="C50" s="16">
        <v>1.0</v>
      </c>
      <c r="D50" s="17">
        <f>IFERROR(vlookup('หลักสูตร'!C:C,lookup!$A$2:$B$4,2,false),)</f>
        <v>5</v>
      </c>
      <c r="E50" s="17">
        <f>IFERROR(vlookup('หลักสูตร'!D:D,lookup!$A$6:$B$8,2,false),)</f>
        <v>5</v>
      </c>
      <c r="F50" s="17">
        <f>IFERROR(vlookup('หลักสูตร'!E:E,lookup!$A$10:$B$12,2,false),)</f>
        <v>5</v>
      </c>
      <c r="G50" s="17">
        <f>IFERROR(vlookup('หลักสูตร'!F:F,lookup!$A$14:$B$16,2,false),)</f>
        <v>5</v>
      </c>
      <c r="H50" s="17">
        <f>IFERROR(vlookup('หลักสูตร'!G:G,lookup!$A$18:$B$20,2,false),)</f>
        <v>5</v>
      </c>
      <c r="I50" s="18">
        <f>IFERROR(vlookup('หลักสูตร'!H:H,lookup!$A$22:$B$24,2,false),)</f>
        <v>5</v>
      </c>
      <c r="J50" s="23"/>
      <c r="K50" s="19">
        <v>49.0</v>
      </c>
      <c r="L50" s="24" t="str">
        <f t="shared" si="1"/>
        <v>bnco0949@signalschool.ac.th</v>
      </c>
      <c r="M50" s="21">
        <f t="shared" si="2"/>
        <v>1</v>
      </c>
      <c r="N50" s="13"/>
      <c r="O50" s="13"/>
      <c r="P50" s="22" t="s">
        <v>151</v>
      </c>
    </row>
    <row r="51">
      <c r="A51" s="14">
        <f>'หลักสูตร'!A:A</f>
        <v>46212.63322</v>
      </c>
      <c r="B51" s="15" t="str">
        <f>'หลักสูตร'!B:B</f>
        <v>bnco0907@signalschool.ac.th</v>
      </c>
      <c r="C51" s="16">
        <v>1.0</v>
      </c>
      <c r="D51" s="17">
        <f>IFERROR(vlookup('หลักสูตร'!C:C,lookup!$A$2:$B$4,2,false),)</f>
        <v>5</v>
      </c>
      <c r="E51" s="17">
        <f>IFERROR(vlookup('หลักสูตร'!D:D,lookup!$A$6:$B$8,2,false),)</f>
        <v>5</v>
      </c>
      <c r="F51" s="17">
        <f>IFERROR(vlookup('หลักสูตร'!E:E,lookup!$A$10:$B$12,2,false),)</f>
        <v>5</v>
      </c>
      <c r="G51" s="17">
        <f>IFERROR(vlookup('หลักสูตร'!F:F,lookup!$A$14:$B$16,2,false),)</f>
        <v>5</v>
      </c>
      <c r="H51" s="17">
        <f>IFERROR(vlookup('หลักสูตร'!G:G,lookup!$A$18:$B$20,2,false),)</f>
        <v>5</v>
      </c>
      <c r="I51" s="18">
        <f>IFERROR(vlookup('หลักสูตร'!H:H,lookup!$A$22:$B$24,2,false),)</f>
        <v>5</v>
      </c>
      <c r="J51" s="23"/>
      <c r="K51" s="19">
        <v>50.0</v>
      </c>
      <c r="L51" s="24" t="str">
        <f t="shared" si="1"/>
        <v>bnco0950@signalschool.ac.th</v>
      </c>
      <c r="M51" s="21">
        <f t="shared" si="2"/>
        <v>1</v>
      </c>
      <c r="N51" s="13"/>
      <c r="O51" s="13"/>
      <c r="P51" s="22" t="s">
        <v>152</v>
      </c>
    </row>
    <row r="52">
      <c r="A52" s="14">
        <f>'หลักสูตร'!A:A</f>
        <v>46212.63324</v>
      </c>
      <c r="B52" s="15" t="str">
        <f>'หลักสูตร'!B:B</f>
        <v>bnco0961@signalschool.ac.th</v>
      </c>
      <c r="C52" s="16">
        <v>1.0</v>
      </c>
      <c r="D52" s="17">
        <f>IFERROR(vlookup('หลักสูตร'!C:C,lookup!$A$2:$B$4,2,false),)</f>
        <v>5</v>
      </c>
      <c r="E52" s="17">
        <f>IFERROR(vlookup('หลักสูตร'!D:D,lookup!$A$6:$B$8,2,false),)</f>
        <v>5</v>
      </c>
      <c r="F52" s="17">
        <f>IFERROR(vlookup('หลักสูตร'!E:E,lookup!$A$10:$B$12,2,false),)</f>
        <v>5</v>
      </c>
      <c r="G52" s="17">
        <f>IFERROR(vlookup('หลักสูตร'!F:F,lookup!$A$14:$B$16,2,false),)</f>
        <v>5</v>
      </c>
      <c r="H52" s="17">
        <f>IFERROR(vlookup('หลักสูตร'!G:G,lookup!$A$18:$B$20,2,false),)</f>
        <v>5</v>
      </c>
      <c r="I52" s="18">
        <f>IFERROR(vlookup('หลักสูตร'!H:H,lookup!$A$22:$B$24,2,false),)</f>
        <v>5</v>
      </c>
      <c r="J52" s="23"/>
      <c r="K52" s="19">
        <v>51.0</v>
      </c>
      <c r="L52" s="24" t="str">
        <f t="shared" si="1"/>
        <v>bnco0951@signalschool.ac.th</v>
      </c>
      <c r="M52" s="21">
        <f t="shared" si="2"/>
        <v>0</v>
      </c>
      <c r="N52" s="13"/>
      <c r="O52" s="13"/>
      <c r="P52" s="22" t="s">
        <v>153</v>
      </c>
    </row>
    <row r="53">
      <c r="A53" s="14">
        <f>'หลักสูตร'!A:A</f>
        <v>46212.63326</v>
      </c>
      <c r="B53" s="15" t="str">
        <f>'หลักสูตร'!B:B</f>
        <v>bnco0956@signalschool.ac.th</v>
      </c>
      <c r="C53" s="16">
        <v>1.0</v>
      </c>
      <c r="D53" s="17">
        <f>IFERROR(vlookup('หลักสูตร'!C:C,lookup!$A$2:$B$4,2,false),)</f>
        <v>5</v>
      </c>
      <c r="E53" s="17">
        <f>IFERROR(vlookup('หลักสูตร'!D:D,lookup!$A$6:$B$8,2,false),)</f>
        <v>5</v>
      </c>
      <c r="F53" s="17">
        <f>IFERROR(vlookup('หลักสูตร'!E:E,lookup!$A$10:$B$12,2,false),)</f>
        <v>3</v>
      </c>
      <c r="G53" s="17">
        <f>IFERROR(vlookup('หลักสูตร'!F:F,lookup!$A$14:$B$16,2,false),)</f>
        <v>5</v>
      </c>
      <c r="H53" s="17">
        <f>IFERROR(vlookup('หลักสูตร'!G:G,lookup!$A$18:$B$20,2,false),)</f>
        <v>5</v>
      </c>
      <c r="I53" s="18">
        <f>IFERROR(vlookup('หลักสูตร'!H:H,lookup!$A$22:$B$24,2,false),)</f>
        <v>5</v>
      </c>
      <c r="J53" s="23"/>
      <c r="K53" s="19">
        <v>52.0</v>
      </c>
      <c r="L53" s="24" t="str">
        <f t="shared" si="1"/>
        <v>bnco0952@signalschool.ac.th</v>
      </c>
      <c r="M53" s="21">
        <f t="shared" si="2"/>
        <v>1</v>
      </c>
      <c r="N53" s="13"/>
      <c r="O53" s="13"/>
      <c r="P53" s="22" t="s">
        <v>154</v>
      </c>
    </row>
    <row r="54">
      <c r="A54" s="14">
        <f>'หลักสูตร'!A:A</f>
        <v>46212.63332</v>
      </c>
      <c r="B54" s="15" t="str">
        <f>'หลักสูตร'!B:B</f>
        <v>bnco0940@signalschool.ac.th</v>
      </c>
      <c r="C54" s="16">
        <v>1.0</v>
      </c>
      <c r="D54" s="17">
        <f>IFERROR(vlookup('หลักสูตร'!C:C,lookup!$A$2:$B$4,2,false),)</f>
        <v>5</v>
      </c>
      <c r="E54" s="17">
        <f>IFERROR(vlookup('หลักสูตร'!D:D,lookup!$A$6:$B$8,2,false),)</f>
        <v>5</v>
      </c>
      <c r="F54" s="17">
        <f>IFERROR(vlookup('หลักสูตร'!E:E,lookup!$A$10:$B$12,2,false),)</f>
        <v>5</v>
      </c>
      <c r="G54" s="17">
        <f>IFERROR(vlookup('หลักสูตร'!F:F,lookup!$A$14:$B$16,2,false),)</f>
        <v>5</v>
      </c>
      <c r="H54" s="17">
        <f>IFERROR(vlookup('หลักสูตร'!G:G,lookup!$A$18:$B$20,2,false),)</f>
        <v>5</v>
      </c>
      <c r="I54" s="18">
        <f>IFERROR(vlookup('หลักสูตร'!H:H,lookup!$A$22:$B$24,2,false),)</f>
        <v>5</v>
      </c>
      <c r="J54" s="23"/>
      <c r="K54" s="19">
        <v>53.0</v>
      </c>
      <c r="L54" s="24" t="str">
        <f t="shared" si="1"/>
        <v>bnco0953@signalschool.ac.th</v>
      </c>
      <c r="M54" s="21">
        <f t="shared" si="2"/>
        <v>0</v>
      </c>
      <c r="N54" s="13"/>
      <c r="O54" s="13"/>
      <c r="P54" s="22" t="s">
        <v>155</v>
      </c>
    </row>
    <row r="55">
      <c r="A55" s="14">
        <f>'หลักสูตร'!A:A</f>
        <v>46212.63342</v>
      </c>
      <c r="B55" s="15" t="str">
        <f>'หลักสูตร'!B:B</f>
        <v>bnco0959@signalschool.ac.th</v>
      </c>
      <c r="C55" s="16">
        <v>1.0</v>
      </c>
      <c r="D55" s="17">
        <f>IFERROR(vlookup('หลักสูตร'!C:C,lookup!$A$2:$B$4,2,false),)</f>
        <v>5</v>
      </c>
      <c r="E55" s="17">
        <f>IFERROR(vlookup('หลักสูตร'!D:D,lookup!$A$6:$B$8,2,false),)</f>
        <v>5</v>
      </c>
      <c r="F55" s="17">
        <f>IFERROR(vlookup('หลักสูตร'!E:E,lookup!$A$10:$B$12,2,false),)</f>
        <v>5</v>
      </c>
      <c r="G55" s="17">
        <f>IFERROR(vlookup('หลักสูตร'!F:F,lookup!$A$14:$B$16,2,false),)</f>
        <v>5</v>
      </c>
      <c r="H55" s="17">
        <f>IFERROR(vlookup('หลักสูตร'!G:G,lookup!$A$18:$B$20,2,false),)</f>
        <v>5</v>
      </c>
      <c r="I55" s="18">
        <f>IFERROR(vlookup('หลักสูตร'!H:H,lookup!$A$22:$B$24,2,false),)</f>
        <v>5</v>
      </c>
      <c r="J55" s="23"/>
      <c r="K55" s="19">
        <v>54.0</v>
      </c>
      <c r="L55" s="24" t="str">
        <f t="shared" si="1"/>
        <v>bnco0954@signalschool.ac.th</v>
      </c>
      <c r="M55" s="21">
        <f t="shared" si="2"/>
        <v>1</v>
      </c>
      <c r="N55" s="13"/>
      <c r="O55" s="13"/>
      <c r="P55" s="22" t="s">
        <v>156</v>
      </c>
    </row>
    <row r="56">
      <c r="A56" s="14">
        <f>'หลักสูตร'!A:A</f>
        <v>46212.6335</v>
      </c>
      <c r="B56" s="15" t="str">
        <f>'หลักสูตร'!B:B</f>
        <v>bnco0973@signalschool.ac.th</v>
      </c>
      <c r="C56" s="16">
        <v>1.0</v>
      </c>
      <c r="D56" s="17">
        <f>IFERROR(vlookup('หลักสูตร'!C:C,lookup!$A$2:$B$4,2,false),)</f>
        <v>5</v>
      </c>
      <c r="E56" s="17">
        <f>IFERROR(vlookup('หลักสูตร'!D:D,lookup!$A$6:$B$8,2,false),)</f>
        <v>5</v>
      </c>
      <c r="F56" s="17">
        <f>IFERROR(vlookup('หลักสูตร'!E:E,lookup!$A$10:$B$12,2,false),)</f>
        <v>5</v>
      </c>
      <c r="G56" s="17">
        <f>IFERROR(vlookup('หลักสูตร'!F:F,lookup!$A$14:$B$16,2,false),)</f>
        <v>5</v>
      </c>
      <c r="H56" s="17">
        <f>IFERROR(vlookup('หลักสูตร'!G:G,lookup!$A$18:$B$20,2,false),)</f>
        <v>5</v>
      </c>
      <c r="I56" s="18">
        <f>IFERROR(vlookup('หลักสูตร'!H:H,lookup!$A$22:$B$24,2,false),)</f>
        <v>5</v>
      </c>
      <c r="J56" s="23"/>
      <c r="K56" s="19">
        <v>55.0</v>
      </c>
      <c r="L56" s="24" t="str">
        <f t="shared" si="1"/>
        <v>bnco0955@signalschool.ac.th</v>
      </c>
      <c r="M56" s="21">
        <f t="shared" si="2"/>
        <v>1</v>
      </c>
      <c r="N56" s="13"/>
      <c r="O56" s="13"/>
      <c r="P56" s="22" t="s">
        <v>157</v>
      </c>
    </row>
    <row r="57">
      <c r="A57" s="14">
        <f>'หลักสูตร'!A:A</f>
        <v>46212.63355</v>
      </c>
      <c r="B57" s="15" t="str">
        <f>'หลักสูตร'!B:B</f>
        <v>bnco0969@signalschool.ac.th</v>
      </c>
      <c r="C57" s="16">
        <v>1.0</v>
      </c>
      <c r="D57" s="17">
        <f>IFERROR(vlookup('หลักสูตร'!C:C,lookup!$A$2:$B$4,2,false),)</f>
        <v>5</v>
      </c>
      <c r="E57" s="17">
        <f>IFERROR(vlookup('หลักสูตร'!D:D,lookup!$A$6:$B$8,2,false),)</f>
        <v>5</v>
      </c>
      <c r="F57" s="17">
        <f>IFERROR(vlookup('หลักสูตร'!E:E,lookup!$A$10:$B$12,2,false),)</f>
        <v>5</v>
      </c>
      <c r="G57" s="17">
        <f>IFERROR(vlookup('หลักสูตร'!F:F,lookup!$A$14:$B$16,2,false),)</f>
        <v>5</v>
      </c>
      <c r="H57" s="17">
        <f>IFERROR(vlookup('หลักสูตร'!G:G,lookup!$A$18:$B$20,2,false),)</f>
        <v>5</v>
      </c>
      <c r="I57" s="18">
        <f>IFERROR(vlookup('หลักสูตร'!H:H,lookup!$A$22:$B$24,2,false),)</f>
        <v>5</v>
      </c>
      <c r="J57" s="23"/>
      <c r="K57" s="19">
        <v>56.0</v>
      </c>
      <c r="L57" s="24" t="str">
        <f t="shared" si="1"/>
        <v>bnco0956@signalschool.ac.th</v>
      </c>
      <c r="M57" s="21">
        <f t="shared" si="2"/>
        <v>1</v>
      </c>
      <c r="N57" s="13"/>
      <c r="O57" s="13"/>
      <c r="P57" s="22" t="s">
        <v>158</v>
      </c>
    </row>
    <row r="58">
      <c r="A58" s="14">
        <f>'หลักสูตร'!A:A</f>
        <v>46212.63359</v>
      </c>
      <c r="B58" s="15" t="str">
        <f>'หลักสูตร'!B:B</f>
        <v>bnco0948@signalschool.ac.th</v>
      </c>
      <c r="C58" s="16">
        <v>1.0</v>
      </c>
      <c r="D58" s="17">
        <f>IFERROR(vlookup('หลักสูตร'!C:C,lookup!$A$2:$B$4,2,false),)</f>
        <v>5</v>
      </c>
      <c r="E58" s="17">
        <f>IFERROR(vlookup('หลักสูตร'!D:D,lookup!$A$6:$B$8,2,false),)</f>
        <v>5</v>
      </c>
      <c r="F58" s="17">
        <f>IFERROR(vlookup('หลักสูตร'!E:E,lookup!$A$10:$B$12,2,false),)</f>
        <v>5</v>
      </c>
      <c r="G58" s="17">
        <f>IFERROR(vlookup('หลักสูตร'!F:F,lookup!$A$14:$B$16,2,false),)</f>
        <v>5</v>
      </c>
      <c r="H58" s="17">
        <f>IFERROR(vlookup('หลักสูตร'!G:G,lookup!$A$18:$B$20,2,false),)</f>
        <v>5</v>
      </c>
      <c r="I58" s="18">
        <f>IFERROR(vlookup('หลักสูตร'!H:H,lookup!$A$22:$B$24,2,false),)</f>
        <v>5</v>
      </c>
      <c r="J58" s="23"/>
      <c r="K58" s="19">
        <v>57.0</v>
      </c>
      <c r="L58" s="24" t="str">
        <f t="shared" si="1"/>
        <v>bnco0957@signalschool.ac.th</v>
      </c>
      <c r="M58" s="21">
        <f t="shared" si="2"/>
        <v>1</v>
      </c>
      <c r="N58" s="13"/>
      <c r="O58" s="13"/>
      <c r="P58" s="22" t="s">
        <v>159</v>
      </c>
    </row>
    <row r="59">
      <c r="A59" s="14">
        <f>'หลักสูตร'!A:A</f>
        <v>46212.63363</v>
      </c>
      <c r="B59" s="15" t="str">
        <f>'หลักสูตร'!B:B</f>
        <v>bnco0914@signalschool.ac.th</v>
      </c>
      <c r="C59" s="16">
        <v>1.0</v>
      </c>
      <c r="D59" s="17">
        <f>IFERROR(vlookup('หลักสูตร'!C:C,lookup!$A$2:$B$4,2,false),)</f>
        <v>5</v>
      </c>
      <c r="E59" s="17">
        <f>IFERROR(vlookup('หลักสูตร'!D:D,lookup!$A$6:$B$8,2,false),)</f>
        <v>5</v>
      </c>
      <c r="F59" s="17">
        <f>IFERROR(vlookup('หลักสูตร'!E:E,lookup!$A$10:$B$12,2,false),)</f>
        <v>3</v>
      </c>
      <c r="G59" s="17">
        <f>IFERROR(vlookup('หลักสูตร'!F:F,lookup!$A$14:$B$16,2,false),)</f>
        <v>3</v>
      </c>
      <c r="H59" s="17">
        <f>IFERROR(vlookup('หลักสูตร'!G:G,lookup!$A$18:$B$20,2,false),)</f>
        <v>5</v>
      </c>
      <c r="I59" s="18">
        <f>IFERROR(vlookup('หลักสูตร'!H:H,lookup!$A$22:$B$24,2,false),)</f>
        <v>3</v>
      </c>
      <c r="J59" s="23"/>
      <c r="K59" s="19">
        <v>58.0</v>
      </c>
      <c r="L59" s="24" t="str">
        <f t="shared" si="1"/>
        <v>bnco0958@signalschool.ac.th</v>
      </c>
      <c r="M59" s="21">
        <f t="shared" si="2"/>
        <v>1</v>
      </c>
      <c r="N59" s="13"/>
      <c r="O59" s="13"/>
      <c r="P59" s="22" t="s">
        <v>160</v>
      </c>
    </row>
    <row r="60">
      <c r="A60" s="14">
        <f>'หลักสูตร'!A:A</f>
        <v>46212.63365</v>
      </c>
      <c r="B60" s="15" t="str">
        <f>'หลักสูตร'!B:B</f>
        <v>bnco0927@signalschool.ac.th</v>
      </c>
      <c r="C60" s="16">
        <v>1.0</v>
      </c>
      <c r="D60" s="17">
        <f>IFERROR(vlookup('หลักสูตร'!C:C,lookup!$A$2:$B$4,2,false),)</f>
        <v>5</v>
      </c>
      <c r="E60" s="17">
        <f>IFERROR(vlookup('หลักสูตร'!D:D,lookup!$A$6:$B$8,2,false),)</f>
        <v>5</v>
      </c>
      <c r="F60" s="17">
        <f>IFERROR(vlookup('หลักสูตร'!E:E,lookup!$A$10:$B$12,2,false),)</f>
        <v>5</v>
      </c>
      <c r="G60" s="17">
        <f>IFERROR(vlookup('หลักสูตร'!F:F,lookup!$A$14:$B$16,2,false),)</f>
        <v>5</v>
      </c>
      <c r="H60" s="17">
        <f>IFERROR(vlookup('หลักสูตร'!G:G,lookup!$A$18:$B$20,2,false),)</f>
        <v>5</v>
      </c>
      <c r="I60" s="18">
        <f>IFERROR(vlookup('หลักสูตร'!H:H,lookup!$A$22:$B$24,2,false),)</f>
        <v>5</v>
      </c>
      <c r="J60" s="23"/>
      <c r="K60" s="19">
        <v>59.0</v>
      </c>
      <c r="L60" s="24" t="str">
        <f t="shared" si="1"/>
        <v>bnco0959@signalschool.ac.th</v>
      </c>
      <c r="M60" s="21">
        <f t="shared" si="2"/>
        <v>1</v>
      </c>
      <c r="N60" s="13"/>
      <c r="O60" s="13"/>
      <c r="P60" s="22" t="s">
        <v>161</v>
      </c>
    </row>
    <row r="61">
      <c r="A61" s="14">
        <f>'หลักสูตร'!A:A</f>
        <v>46212.63369</v>
      </c>
      <c r="B61" s="15" t="str">
        <f>'หลักสูตร'!B:B</f>
        <v>bnco0952@signalschool.ac.th</v>
      </c>
      <c r="C61" s="16">
        <v>1.0</v>
      </c>
      <c r="D61" s="17">
        <f>IFERROR(vlookup('หลักสูตร'!C:C,lookup!$A$2:$B$4,2,false),)</f>
        <v>5</v>
      </c>
      <c r="E61" s="17">
        <f>IFERROR(vlookup('หลักสูตร'!D:D,lookup!$A$6:$B$8,2,false),)</f>
        <v>3</v>
      </c>
      <c r="F61" s="17">
        <f>IFERROR(vlookup('หลักสูตร'!E:E,lookup!$A$10:$B$12,2,false),)</f>
        <v>3</v>
      </c>
      <c r="G61" s="17">
        <f>IFERROR(vlookup('หลักสูตร'!F:F,lookup!$A$14:$B$16,2,false),)</f>
        <v>3</v>
      </c>
      <c r="H61" s="17">
        <f>IFERROR(vlookup('หลักสูตร'!G:G,lookup!$A$18:$B$20,2,false),)</f>
        <v>5</v>
      </c>
      <c r="I61" s="18">
        <f>IFERROR(vlookup('หลักสูตร'!H:H,lookup!$A$22:$B$24,2,false),)</f>
        <v>5</v>
      </c>
      <c r="J61" s="23"/>
      <c r="K61" s="19">
        <v>60.0</v>
      </c>
      <c r="L61" s="24" t="str">
        <f t="shared" si="1"/>
        <v>bnco0960@signalschool.ac.th</v>
      </c>
      <c r="M61" s="21">
        <f t="shared" si="2"/>
        <v>1</v>
      </c>
      <c r="N61" s="13"/>
      <c r="O61" s="13"/>
      <c r="P61" s="22" t="s">
        <v>162</v>
      </c>
    </row>
    <row r="62">
      <c r="A62" s="14">
        <f>'หลักสูตร'!A:A</f>
        <v>46212.63379</v>
      </c>
      <c r="B62" s="15" t="str">
        <f>'หลักสูตร'!B:B</f>
        <v>bnco0939@signalschool.ac.th</v>
      </c>
      <c r="C62" s="16">
        <v>1.0</v>
      </c>
      <c r="D62" s="17">
        <f>IFERROR(vlookup('หลักสูตร'!C:C,lookup!$A$2:$B$4,2,false),)</f>
        <v>5</v>
      </c>
      <c r="E62" s="17">
        <f>IFERROR(vlookup('หลักสูตร'!D:D,lookup!$A$6:$B$8,2,false),)</f>
        <v>5</v>
      </c>
      <c r="F62" s="17">
        <f>IFERROR(vlookup('หลักสูตร'!E:E,lookup!$A$10:$B$12,2,false),)</f>
        <v>5</v>
      </c>
      <c r="G62" s="17">
        <f>IFERROR(vlookup('หลักสูตร'!F:F,lookup!$A$14:$B$16,2,false),)</f>
        <v>5</v>
      </c>
      <c r="H62" s="17">
        <f>IFERROR(vlookup('หลักสูตร'!G:G,lookup!$A$18:$B$20,2,false),)</f>
        <v>5</v>
      </c>
      <c r="I62" s="18">
        <f>IFERROR(vlookup('หลักสูตร'!H:H,lookup!$A$22:$B$24,2,false),)</f>
        <v>5</v>
      </c>
      <c r="J62" s="23"/>
      <c r="K62" s="19">
        <v>61.0</v>
      </c>
      <c r="L62" s="24" t="str">
        <f t="shared" si="1"/>
        <v>bnco0961@signalschool.ac.th</v>
      </c>
      <c r="M62" s="21">
        <f t="shared" si="2"/>
        <v>1</v>
      </c>
      <c r="N62" s="13"/>
      <c r="O62" s="13"/>
      <c r="P62" s="22" t="s">
        <v>163</v>
      </c>
    </row>
    <row r="63">
      <c r="A63" s="14">
        <f>'หลักสูตร'!A:A</f>
        <v>46212.63385</v>
      </c>
      <c r="B63" s="15" t="str">
        <f>'หลักสูตร'!B:B</f>
        <v>bnco0980@signalschool.ac.th</v>
      </c>
      <c r="C63" s="16">
        <v>1.0</v>
      </c>
      <c r="D63" s="17">
        <f>IFERROR(vlookup('หลักสูตร'!C:C,lookup!$A$2:$B$4,2,false),)</f>
        <v>5</v>
      </c>
      <c r="E63" s="17">
        <f>IFERROR(vlookup('หลักสูตร'!D:D,lookup!$A$6:$B$8,2,false),)</f>
        <v>5</v>
      </c>
      <c r="F63" s="17">
        <f>IFERROR(vlookup('หลักสูตร'!E:E,lookup!$A$10:$B$12,2,false),)</f>
        <v>5</v>
      </c>
      <c r="G63" s="17">
        <f>IFERROR(vlookup('หลักสูตร'!F:F,lookup!$A$14:$B$16,2,false),)</f>
        <v>5</v>
      </c>
      <c r="H63" s="17">
        <f>IFERROR(vlookup('หลักสูตร'!G:G,lookup!$A$18:$B$20,2,false),)</f>
        <v>5</v>
      </c>
      <c r="I63" s="18">
        <f>IFERROR(vlookup('หลักสูตร'!H:H,lookup!$A$22:$B$24,2,false),)</f>
        <v>5</v>
      </c>
      <c r="J63" s="23"/>
      <c r="K63" s="19">
        <v>62.0</v>
      </c>
      <c r="L63" s="24" t="str">
        <f t="shared" si="1"/>
        <v>bnco0962@signalschool.ac.th</v>
      </c>
      <c r="M63" s="21">
        <f t="shared" si="2"/>
        <v>1</v>
      </c>
      <c r="N63" s="13"/>
      <c r="O63" s="13"/>
      <c r="P63" s="22" t="s">
        <v>164</v>
      </c>
    </row>
    <row r="64">
      <c r="A64" s="14">
        <f>'หลักสูตร'!A:A</f>
        <v>46212.63461</v>
      </c>
      <c r="B64" s="15" t="str">
        <f>'หลักสูตร'!B:B</f>
        <v>bnco0974@signalschool.ac.th</v>
      </c>
      <c r="C64" s="16">
        <v>1.0</v>
      </c>
      <c r="D64" s="17">
        <f>IFERROR(vlookup('หลักสูตร'!C:C,lookup!$A$2:$B$4,2,false),)</f>
        <v>5</v>
      </c>
      <c r="E64" s="17">
        <f>IFERROR(vlookup('หลักสูตร'!D:D,lookup!$A$6:$B$8,2,false),)</f>
        <v>5</v>
      </c>
      <c r="F64" s="17">
        <f>IFERROR(vlookup('หลักสูตร'!E:E,lookup!$A$10:$B$12,2,false),)</f>
        <v>5</v>
      </c>
      <c r="G64" s="17">
        <f>IFERROR(vlookup('หลักสูตร'!F:F,lookup!$A$14:$B$16,2,false),)</f>
        <v>5</v>
      </c>
      <c r="H64" s="17">
        <f>IFERROR(vlookup('หลักสูตร'!G:G,lookup!$A$18:$B$20,2,false),)</f>
        <v>5</v>
      </c>
      <c r="I64" s="18">
        <f>IFERROR(vlookup('หลักสูตร'!H:H,lookup!$A$22:$B$24,2,false),)</f>
        <v>5</v>
      </c>
      <c r="J64" s="23"/>
      <c r="K64" s="19">
        <v>63.0</v>
      </c>
      <c r="L64" s="24" t="str">
        <f t="shared" si="1"/>
        <v>bnco0963@signalschool.ac.th</v>
      </c>
      <c r="M64" s="21">
        <f t="shared" si="2"/>
        <v>1</v>
      </c>
      <c r="N64" s="13"/>
      <c r="O64" s="13"/>
      <c r="P64" s="22" t="s">
        <v>165</v>
      </c>
    </row>
    <row r="65">
      <c r="A65" s="14">
        <f>'หลักสูตร'!A:A</f>
        <v>46212.63471</v>
      </c>
      <c r="B65" s="15" t="str">
        <f>'หลักสูตร'!B:B</f>
        <v>bnco0922@signalschool.ac.th</v>
      </c>
      <c r="C65" s="16">
        <v>1.0</v>
      </c>
      <c r="D65" s="17">
        <f>IFERROR(vlookup('หลักสูตร'!C:C,lookup!$A$2:$B$4,2,false),)</f>
        <v>5</v>
      </c>
      <c r="E65" s="17">
        <f>IFERROR(vlookup('หลักสูตร'!D:D,lookup!$A$6:$B$8,2,false),)</f>
        <v>5</v>
      </c>
      <c r="F65" s="17">
        <f>IFERROR(vlookup('หลักสูตร'!E:E,lookup!$A$10:$B$12,2,false),)</f>
        <v>5</v>
      </c>
      <c r="G65" s="17">
        <f>IFERROR(vlookup('หลักสูตร'!F:F,lookup!$A$14:$B$16,2,false),)</f>
        <v>5</v>
      </c>
      <c r="H65" s="17">
        <f>IFERROR(vlookup('หลักสูตร'!G:G,lookup!$A$18:$B$20,2,false),)</f>
        <v>5</v>
      </c>
      <c r="I65" s="18">
        <f>IFERROR(vlookup('หลักสูตร'!H:H,lookup!$A$22:$B$24,2,false),)</f>
        <v>5</v>
      </c>
      <c r="J65" s="23"/>
      <c r="K65" s="19">
        <v>64.0</v>
      </c>
      <c r="L65" s="24" t="str">
        <f t="shared" si="1"/>
        <v>bnco0964@signalschool.ac.th</v>
      </c>
      <c r="M65" s="21">
        <f t="shared" si="2"/>
        <v>1</v>
      </c>
      <c r="N65" s="13"/>
      <c r="O65" s="13"/>
      <c r="P65" s="22" t="s">
        <v>166</v>
      </c>
    </row>
    <row r="66">
      <c r="A66" s="14">
        <f>'หลักสูตร'!A:A</f>
        <v>46212.63528</v>
      </c>
      <c r="B66" s="15" t="str">
        <f>'หลักสูตร'!B:B</f>
        <v>bnco0976@signalschool.ac.th</v>
      </c>
      <c r="C66" s="16">
        <v>1.0</v>
      </c>
      <c r="D66" s="17">
        <f>IFERROR(vlookup('หลักสูตร'!C:C,lookup!$A$2:$B$4,2,false),)</f>
        <v>5</v>
      </c>
      <c r="E66" s="17">
        <f>IFERROR(vlookup('หลักสูตร'!D:D,lookup!$A$6:$B$8,2,false),)</f>
        <v>5</v>
      </c>
      <c r="F66" s="17">
        <f>IFERROR(vlookup('หลักสูตร'!E:E,lookup!$A$10:$B$12,2,false),)</f>
        <v>5</v>
      </c>
      <c r="G66" s="17">
        <f>IFERROR(vlookup('หลักสูตร'!F:F,lookup!$A$14:$B$16,2,false),)</f>
        <v>5</v>
      </c>
      <c r="H66" s="17">
        <f>IFERROR(vlookup('หลักสูตร'!G:G,lookup!$A$18:$B$20,2,false),)</f>
        <v>5</v>
      </c>
      <c r="I66" s="18">
        <f>IFERROR(vlookup('หลักสูตร'!H:H,lookup!$A$22:$B$24,2,false),)</f>
        <v>5</v>
      </c>
      <c r="J66" s="23"/>
      <c r="K66" s="19">
        <v>65.0</v>
      </c>
      <c r="L66" s="24" t="str">
        <f t="shared" si="1"/>
        <v>bnco0965@signalschool.ac.th</v>
      </c>
      <c r="M66" s="21">
        <f t="shared" si="2"/>
        <v>0</v>
      </c>
      <c r="N66" s="13"/>
      <c r="O66" s="13"/>
      <c r="P66" s="22" t="s">
        <v>167</v>
      </c>
    </row>
    <row r="67">
      <c r="A67" s="14">
        <f>'หลักสูตร'!A:A</f>
        <v>46212.63531</v>
      </c>
      <c r="B67" s="15" t="str">
        <f>'หลักสูตร'!B:B</f>
        <v>bnco0903@signalschool.ac.th</v>
      </c>
      <c r="C67" s="16">
        <v>1.0</v>
      </c>
      <c r="D67" s="17">
        <f>IFERROR(vlookup('หลักสูตร'!C:C,lookup!$A$2:$B$4,2,false),)</f>
        <v>5</v>
      </c>
      <c r="E67" s="17">
        <f>IFERROR(vlookup('หลักสูตร'!D:D,lookup!$A$6:$B$8,2,false),)</f>
        <v>5</v>
      </c>
      <c r="F67" s="17">
        <f>IFERROR(vlookup('หลักสูตร'!E:E,lookup!$A$10:$B$12,2,false),)</f>
        <v>5</v>
      </c>
      <c r="G67" s="17">
        <f>IFERROR(vlookup('หลักสูตร'!F:F,lookup!$A$14:$B$16,2,false),)</f>
        <v>5</v>
      </c>
      <c r="H67" s="17">
        <f>IFERROR(vlookup('หลักสูตร'!G:G,lookup!$A$18:$B$20,2,false),)</f>
        <v>5</v>
      </c>
      <c r="I67" s="18">
        <f>IFERROR(vlookup('หลักสูตร'!H:H,lookup!$A$22:$B$24,2,false),)</f>
        <v>5</v>
      </c>
      <c r="J67" s="23"/>
      <c r="K67" s="19">
        <v>66.0</v>
      </c>
      <c r="L67" s="24" t="str">
        <f t="shared" si="1"/>
        <v>bnco0966@signalschool.ac.th</v>
      </c>
      <c r="M67" s="21">
        <f t="shared" si="2"/>
        <v>1</v>
      </c>
      <c r="N67" s="13"/>
      <c r="O67" s="13"/>
      <c r="P67" s="22" t="s">
        <v>168</v>
      </c>
    </row>
    <row r="68">
      <c r="A68" s="14">
        <f>'หลักสูตร'!A:A</f>
        <v>46212.64159</v>
      </c>
      <c r="B68" s="15" t="str">
        <f>'หลักสูตร'!B:B</f>
        <v>bnco0917@signalschool.ac.th</v>
      </c>
      <c r="C68" s="16">
        <v>1.0</v>
      </c>
      <c r="D68" s="17">
        <f>IFERROR(vlookup('หลักสูตร'!C:C,lookup!$A$2:$B$4,2,false),)</f>
        <v>3</v>
      </c>
      <c r="E68" s="17">
        <f>IFERROR(vlookup('หลักสูตร'!D:D,lookup!$A$6:$B$8,2,false),)</f>
        <v>3</v>
      </c>
      <c r="F68" s="17">
        <f>IFERROR(vlookup('หลักสูตร'!E:E,lookup!$A$10:$B$12,2,false),)</f>
        <v>3</v>
      </c>
      <c r="G68" s="17">
        <f>IFERROR(vlookup('หลักสูตร'!F:F,lookup!$A$14:$B$16,2,false),)</f>
        <v>3</v>
      </c>
      <c r="H68" s="17">
        <f>IFERROR(vlookup('หลักสูตร'!G:G,lookup!$A$18:$B$20,2,false),)</f>
        <v>3</v>
      </c>
      <c r="I68" s="18">
        <f>IFERROR(vlookup('หลักสูตร'!H:H,lookup!$A$22:$B$24,2,false),)</f>
        <v>3</v>
      </c>
      <c r="J68" s="23"/>
      <c r="K68" s="19">
        <v>67.0</v>
      </c>
      <c r="L68" s="24" t="str">
        <f t="shared" si="1"/>
        <v>bnco0967@signalschool.ac.th</v>
      </c>
      <c r="M68" s="21">
        <f t="shared" si="2"/>
        <v>1</v>
      </c>
      <c r="N68" s="13"/>
      <c r="O68" s="13"/>
      <c r="P68" s="22" t="s">
        <v>169</v>
      </c>
    </row>
    <row r="69">
      <c r="A69" s="14">
        <f>'หลักสูตร'!A:A</f>
        <v>46212.65566</v>
      </c>
      <c r="B69" s="15" t="str">
        <f>'หลักสูตร'!B:B</f>
        <v>bnco0946@signalschool.ac.th</v>
      </c>
      <c r="C69" s="16">
        <v>1.0</v>
      </c>
      <c r="D69" s="17">
        <f>IFERROR(vlookup('หลักสูตร'!C:C,lookup!$A$2:$B$4,2,false),)</f>
        <v>5</v>
      </c>
      <c r="E69" s="17">
        <f>IFERROR(vlookup('หลักสูตร'!D:D,lookup!$A$6:$B$8,2,false),)</f>
        <v>5</v>
      </c>
      <c r="F69" s="17">
        <f>IFERROR(vlookup('หลักสูตร'!E:E,lookup!$A$10:$B$12,2,false),)</f>
        <v>5</v>
      </c>
      <c r="G69" s="17">
        <f>IFERROR(vlookup('หลักสูตร'!F:F,lookup!$A$14:$B$16,2,false),)</f>
        <v>5</v>
      </c>
      <c r="H69" s="17">
        <f>IFERROR(vlookup('หลักสูตร'!G:G,lookup!$A$18:$B$20,2,false),)</f>
        <v>5</v>
      </c>
      <c r="I69" s="18">
        <f>IFERROR(vlookup('หลักสูตร'!H:H,lookup!$A$22:$B$24,2,false),)</f>
        <v>5</v>
      </c>
      <c r="J69" s="23"/>
      <c r="K69" s="19">
        <v>68.0</v>
      </c>
      <c r="L69" s="24" t="str">
        <f t="shared" si="1"/>
        <v>bnco0968@signalschool.ac.th</v>
      </c>
      <c r="M69" s="21">
        <f t="shared" si="2"/>
        <v>1</v>
      </c>
      <c r="N69" s="13"/>
      <c r="O69" s="13"/>
      <c r="P69" s="22" t="s">
        <v>170</v>
      </c>
    </row>
    <row r="70">
      <c r="A70" s="14">
        <f>'หลักสูตร'!A:A</f>
        <v>46212.71522</v>
      </c>
      <c r="B70" s="15" t="str">
        <f>'หลักสูตร'!B:B</f>
        <v>bnco0954@signalschool.ac.th</v>
      </c>
      <c r="C70" s="16">
        <v>1.0</v>
      </c>
      <c r="D70" s="17">
        <f>IFERROR(vlookup('หลักสูตร'!C:C,lookup!$A$2:$B$4,2,false),)</f>
        <v>5</v>
      </c>
      <c r="E70" s="17">
        <f>IFERROR(vlookup('หลักสูตร'!D:D,lookup!$A$6:$B$8,2,false),)</f>
        <v>5</v>
      </c>
      <c r="F70" s="17">
        <f>IFERROR(vlookup('หลักสูตร'!E:E,lookup!$A$10:$B$12,2,false),)</f>
        <v>5</v>
      </c>
      <c r="G70" s="17">
        <f>IFERROR(vlookup('หลักสูตร'!F:F,lookup!$A$14:$B$16,2,false),)</f>
        <v>5</v>
      </c>
      <c r="H70" s="17">
        <f>IFERROR(vlookup('หลักสูตร'!G:G,lookup!$A$18:$B$20,2,false),)</f>
        <v>5</v>
      </c>
      <c r="I70" s="18">
        <f>IFERROR(vlookup('หลักสูตร'!H:H,lookup!$A$22:$B$24,2,false),)</f>
        <v>5</v>
      </c>
      <c r="J70" s="23"/>
      <c r="K70" s="19">
        <v>69.0</v>
      </c>
      <c r="L70" s="24" t="str">
        <f t="shared" si="1"/>
        <v>bnco0969@signalschool.ac.th</v>
      </c>
      <c r="M70" s="21">
        <f t="shared" si="2"/>
        <v>1</v>
      </c>
      <c r="N70" s="13"/>
      <c r="O70" s="13"/>
      <c r="P70" s="22" t="s">
        <v>171</v>
      </c>
    </row>
    <row r="71">
      <c r="A71" s="14">
        <f>'หลักสูตร'!A:A</f>
        <v>46213.46257</v>
      </c>
      <c r="B71" s="15" t="str">
        <f>'หลักสูตร'!B:B</f>
        <v>bnco0975@signalschool.ac.th</v>
      </c>
      <c r="C71" s="16">
        <v>1.0</v>
      </c>
      <c r="D71" s="17">
        <f>IFERROR(vlookup('หลักสูตร'!C:C,lookup!$A$2:$B$4,2,false),)</f>
        <v>5</v>
      </c>
      <c r="E71" s="17">
        <f>IFERROR(vlookup('หลักสูตร'!D:D,lookup!$A$6:$B$8,2,false),)</f>
        <v>5</v>
      </c>
      <c r="F71" s="17">
        <f>IFERROR(vlookup('หลักสูตร'!E:E,lookup!$A$10:$B$12,2,false),)</f>
        <v>5</v>
      </c>
      <c r="G71" s="17">
        <f>IFERROR(vlookup('หลักสูตร'!F:F,lookup!$A$14:$B$16,2,false),)</f>
        <v>5</v>
      </c>
      <c r="H71" s="17">
        <f>IFERROR(vlookup('หลักสูตร'!G:G,lookup!$A$18:$B$20,2,false),)</f>
        <v>5</v>
      </c>
      <c r="I71" s="18">
        <f>IFERROR(vlookup('หลักสูตร'!H:H,lookup!$A$22:$B$24,2,false),)</f>
        <v>5</v>
      </c>
      <c r="J71" s="23"/>
      <c r="K71" s="19">
        <v>70.0</v>
      </c>
      <c r="L71" s="24" t="str">
        <f t="shared" si="1"/>
        <v>bnco0970@signalschool.ac.th</v>
      </c>
      <c r="M71" s="21">
        <f t="shared" si="2"/>
        <v>1</v>
      </c>
      <c r="N71" s="13"/>
      <c r="O71" s="13"/>
      <c r="P71" s="22" t="s">
        <v>172</v>
      </c>
    </row>
    <row r="72">
      <c r="A72" s="14" t="str">
        <f>'หลักสูตร'!A:A</f>
        <v/>
      </c>
      <c r="B72" s="15" t="str">
        <f>'หลักสูตร'!B:B</f>
        <v/>
      </c>
      <c r="C72" s="16">
        <v>1.0</v>
      </c>
      <c r="D72" s="17" t="str">
        <f>IFERROR(vlookup('หลักสูตร'!C:C,lookup!$A$2:$B$4,2,false),)</f>
        <v/>
      </c>
      <c r="E72" s="17" t="str">
        <f>IFERROR(vlookup('หลักสูตร'!D:D,lookup!$A$6:$B$8,2,false),)</f>
        <v/>
      </c>
      <c r="F72" s="17" t="str">
        <f>IFERROR(vlookup('หลักสูตร'!E:E,lookup!$A$10:$B$12,2,false),)</f>
        <v/>
      </c>
      <c r="G72" s="17" t="str">
        <f>IFERROR(vlookup('หลักสูตร'!F:F,lookup!$A$14:$B$16,2,false),)</f>
        <v/>
      </c>
      <c r="H72" s="17" t="str">
        <f>IFERROR(vlookup('หลักสูตร'!G:G,lookup!$A$18:$B$20,2,false),)</f>
        <v/>
      </c>
      <c r="I72" s="18" t="str">
        <f>IFERROR(vlookup('หลักสูตร'!H:H,lookup!$A$22:$B$24,2,false),)</f>
        <v/>
      </c>
      <c r="J72" s="23"/>
      <c r="K72" s="19">
        <v>71.0</v>
      </c>
      <c r="L72" s="24" t="str">
        <f t="shared" si="1"/>
        <v>bnco0971@signalschool.ac.th</v>
      </c>
      <c r="M72" s="21">
        <f t="shared" si="2"/>
        <v>0</v>
      </c>
      <c r="N72" s="13"/>
      <c r="O72" s="13"/>
      <c r="P72" s="22" t="s">
        <v>173</v>
      </c>
    </row>
    <row r="73">
      <c r="A73" s="14" t="str">
        <f>'หลักสูตร'!A:A</f>
        <v/>
      </c>
      <c r="B73" s="15" t="str">
        <f>'หลักสูตร'!B:B</f>
        <v/>
      </c>
      <c r="C73" s="16">
        <v>1.0</v>
      </c>
      <c r="D73" s="17" t="str">
        <f>IFERROR(vlookup('หลักสูตร'!C:C,lookup!$A$2:$B$4,2,false),)</f>
        <v/>
      </c>
      <c r="E73" s="17" t="str">
        <f>IFERROR(vlookup('หลักสูตร'!D:D,lookup!$A$6:$B$8,2,false),)</f>
        <v/>
      </c>
      <c r="F73" s="17" t="str">
        <f>IFERROR(vlookup('หลักสูตร'!E:E,lookup!$A$10:$B$12,2,false),)</f>
        <v/>
      </c>
      <c r="G73" s="17" t="str">
        <f>IFERROR(vlookup('หลักสูตร'!F:F,lookup!$A$14:$B$16,2,false),)</f>
        <v/>
      </c>
      <c r="H73" s="17" t="str">
        <f>IFERROR(vlookup('หลักสูตร'!G:G,lookup!$A$18:$B$20,2,false),)</f>
        <v/>
      </c>
      <c r="I73" s="18" t="str">
        <f>IFERROR(vlookup('หลักสูตร'!H:H,lookup!$A$22:$B$24,2,false),)</f>
        <v/>
      </c>
      <c r="J73" s="23"/>
      <c r="K73" s="19">
        <v>72.0</v>
      </c>
      <c r="L73" s="24" t="str">
        <f t="shared" si="1"/>
        <v>bnco0972@signalschool.ac.th</v>
      </c>
      <c r="M73" s="21">
        <f t="shared" si="2"/>
        <v>1</v>
      </c>
      <c r="N73" s="13"/>
      <c r="O73" s="13"/>
      <c r="P73" s="22" t="s">
        <v>174</v>
      </c>
    </row>
    <row r="74">
      <c r="A74" s="14" t="str">
        <f>'หลักสูตร'!A:A</f>
        <v/>
      </c>
      <c r="B74" s="15" t="str">
        <f>'หลักสูตร'!B:B</f>
        <v/>
      </c>
      <c r="C74" s="16">
        <v>1.0</v>
      </c>
      <c r="D74" s="17" t="str">
        <f>IFERROR(vlookup('หลักสูตร'!C:C,lookup!$A$2:$B$4,2,false),)</f>
        <v/>
      </c>
      <c r="E74" s="17" t="str">
        <f>IFERROR(vlookup('หลักสูตร'!D:D,lookup!$A$6:$B$8,2,false),)</f>
        <v/>
      </c>
      <c r="F74" s="17" t="str">
        <f>IFERROR(vlookup('หลักสูตร'!E:E,lookup!$A$10:$B$12,2,false),)</f>
        <v/>
      </c>
      <c r="G74" s="17" t="str">
        <f>IFERROR(vlookup('หลักสูตร'!F:F,lookup!$A$14:$B$16,2,false),)</f>
        <v/>
      </c>
      <c r="H74" s="17" t="str">
        <f>IFERROR(vlookup('หลักสูตร'!G:G,lookup!$A$18:$B$20,2,false),)</f>
        <v/>
      </c>
      <c r="I74" s="18" t="str">
        <f>IFERROR(vlookup('หลักสูตร'!H:H,lookup!$A$22:$B$24,2,false),)</f>
        <v/>
      </c>
      <c r="J74" s="23"/>
      <c r="K74" s="19">
        <v>73.0</v>
      </c>
      <c r="L74" s="24" t="str">
        <f t="shared" si="1"/>
        <v>bnco0973@signalschool.ac.th</v>
      </c>
      <c r="M74" s="21">
        <f t="shared" si="2"/>
        <v>1</v>
      </c>
      <c r="N74" s="13"/>
      <c r="O74" s="13"/>
      <c r="P74" s="22" t="s">
        <v>175</v>
      </c>
    </row>
    <row r="75">
      <c r="A75" s="14" t="str">
        <f>'หลักสูตร'!A:A</f>
        <v/>
      </c>
      <c r="B75" s="15" t="str">
        <f>'หลักสูตร'!B:B</f>
        <v/>
      </c>
      <c r="C75" s="16">
        <v>1.0</v>
      </c>
      <c r="D75" s="17" t="str">
        <f>IFERROR(vlookup('หลักสูตร'!C:C,lookup!$A$2:$B$4,2,false),)</f>
        <v/>
      </c>
      <c r="E75" s="17" t="str">
        <f>IFERROR(vlookup('หลักสูตร'!D:D,lookup!$A$6:$B$8,2,false),)</f>
        <v/>
      </c>
      <c r="F75" s="17" t="str">
        <f>IFERROR(vlookup('หลักสูตร'!E:E,lookup!$A$10:$B$12,2,false),)</f>
        <v/>
      </c>
      <c r="G75" s="17" t="str">
        <f>IFERROR(vlookup('หลักสูตร'!F:F,lookup!$A$14:$B$16,2,false),)</f>
        <v/>
      </c>
      <c r="H75" s="17" t="str">
        <f>IFERROR(vlookup('หลักสูตร'!G:G,lookup!$A$18:$B$20,2,false),)</f>
        <v/>
      </c>
      <c r="I75" s="18" t="str">
        <f>IFERROR(vlookup('หลักสูตร'!H:H,lookup!$A$22:$B$24,2,false),)</f>
        <v/>
      </c>
      <c r="J75" s="23"/>
      <c r="K75" s="19">
        <v>74.0</v>
      </c>
      <c r="L75" s="24" t="str">
        <f t="shared" si="1"/>
        <v>bnco0974@signalschool.ac.th</v>
      </c>
      <c r="M75" s="21">
        <f t="shared" si="2"/>
        <v>1</v>
      </c>
      <c r="N75" s="13"/>
      <c r="O75" s="13"/>
      <c r="P75" s="22" t="s">
        <v>176</v>
      </c>
    </row>
    <row r="76">
      <c r="A76" s="14" t="str">
        <f>'หลักสูตร'!A:A</f>
        <v/>
      </c>
      <c r="B76" s="15" t="str">
        <f>'หลักสูตร'!B:B</f>
        <v/>
      </c>
      <c r="C76" s="16">
        <v>1.0</v>
      </c>
      <c r="D76" s="17" t="str">
        <f>IFERROR(vlookup('หลักสูตร'!C:C,lookup!$A$2:$B$4,2,false),)</f>
        <v/>
      </c>
      <c r="E76" s="17" t="str">
        <f>IFERROR(vlookup('หลักสูตร'!D:D,lookup!$A$6:$B$8,2,false),)</f>
        <v/>
      </c>
      <c r="F76" s="17" t="str">
        <f>IFERROR(vlookup('หลักสูตร'!E:E,lookup!$A$10:$B$12,2,false),)</f>
        <v/>
      </c>
      <c r="G76" s="17" t="str">
        <f>IFERROR(vlookup('หลักสูตร'!F:F,lookup!$A$14:$B$16,2,false),)</f>
        <v/>
      </c>
      <c r="H76" s="17" t="str">
        <f>IFERROR(vlookup('หลักสูตร'!G:G,lookup!$A$18:$B$20,2,false),)</f>
        <v/>
      </c>
      <c r="I76" s="18" t="str">
        <f>IFERROR(vlookup('หลักสูตร'!H:H,lookup!$A$22:$B$24,2,false),)</f>
        <v/>
      </c>
      <c r="J76" s="23"/>
      <c r="K76" s="19">
        <v>75.0</v>
      </c>
      <c r="L76" s="24" t="str">
        <f t="shared" si="1"/>
        <v>bnco0975@signalschool.ac.th</v>
      </c>
      <c r="M76" s="21">
        <f t="shared" si="2"/>
        <v>1</v>
      </c>
      <c r="N76" s="13"/>
      <c r="O76" s="13"/>
      <c r="P76" s="22" t="s">
        <v>177</v>
      </c>
    </row>
    <row r="77">
      <c r="A77" s="14" t="str">
        <f>'หลักสูตร'!A:A</f>
        <v/>
      </c>
      <c r="B77" s="15" t="str">
        <f>'หลักสูตร'!B:B</f>
        <v/>
      </c>
      <c r="C77" s="16">
        <v>1.0</v>
      </c>
      <c r="D77" s="17" t="str">
        <f>IFERROR(vlookup('หลักสูตร'!C:C,lookup!$A$2:$B$4,2,false),)</f>
        <v/>
      </c>
      <c r="E77" s="17" t="str">
        <f>IFERROR(vlookup('หลักสูตร'!D:D,lookup!$A$6:$B$8,2,false),)</f>
        <v/>
      </c>
      <c r="F77" s="17" t="str">
        <f>IFERROR(vlookup('หลักสูตร'!E:E,lookup!$A$10:$B$12,2,false),)</f>
        <v/>
      </c>
      <c r="G77" s="17" t="str">
        <f>IFERROR(vlookup('หลักสูตร'!F:F,lookup!$A$14:$B$16,2,false),)</f>
        <v/>
      </c>
      <c r="H77" s="17" t="str">
        <f>IFERROR(vlookup('หลักสูตร'!G:G,lookup!$A$18:$B$20,2,false),)</f>
        <v/>
      </c>
      <c r="I77" s="18" t="str">
        <f>IFERROR(vlookup('หลักสูตร'!H:H,lookup!$A$22:$B$24,2,false),)</f>
        <v/>
      </c>
      <c r="J77" s="23"/>
      <c r="K77" s="19">
        <v>76.0</v>
      </c>
      <c r="L77" s="24" t="str">
        <f t="shared" si="1"/>
        <v>bnco0976@signalschool.ac.th</v>
      </c>
      <c r="M77" s="21">
        <f t="shared" si="2"/>
        <v>1</v>
      </c>
      <c r="N77" s="13"/>
      <c r="O77" s="13"/>
      <c r="P77" s="22" t="s">
        <v>178</v>
      </c>
    </row>
    <row r="78">
      <c r="A78" s="14" t="str">
        <f>'หลักสูตร'!A:A</f>
        <v/>
      </c>
      <c r="B78" s="15" t="str">
        <f>'หลักสูตร'!B:B</f>
        <v/>
      </c>
      <c r="C78" s="16">
        <v>1.0</v>
      </c>
      <c r="D78" s="17" t="str">
        <f>IFERROR(vlookup('หลักสูตร'!C:C,lookup!$A$2:$B$4,2,false),)</f>
        <v/>
      </c>
      <c r="E78" s="17" t="str">
        <f>IFERROR(vlookup('หลักสูตร'!D:D,lookup!$A$6:$B$8,2,false),)</f>
        <v/>
      </c>
      <c r="F78" s="17" t="str">
        <f>IFERROR(vlookup('หลักสูตร'!E:E,lookup!$A$10:$B$12,2,false),)</f>
        <v/>
      </c>
      <c r="G78" s="17" t="str">
        <f>IFERROR(vlookup('หลักสูตร'!F:F,lookup!$A$14:$B$16,2,false),)</f>
        <v/>
      </c>
      <c r="H78" s="17" t="str">
        <f>IFERROR(vlookup('หลักสูตร'!G:G,lookup!$A$18:$B$20,2,false),)</f>
        <v/>
      </c>
      <c r="I78" s="18" t="str">
        <f>IFERROR(vlookup('หลักสูตร'!H:H,lookup!$A$22:$B$24,2,false),)</f>
        <v/>
      </c>
      <c r="J78" s="23"/>
      <c r="K78" s="19">
        <v>77.0</v>
      </c>
      <c r="L78" s="24" t="str">
        <f t="shared" si="1"/>
        <v>bnco0977@signalschool.ac.th</v>
      </c>
      <c r="M78" s="21">
        <f t="shared" si="2"/>
        <v>1</v>
      </c>
      <c r="N78" s="13"/>
      <c r="O78" s="13"/>
      <c r="P78" s="22" t="s">
        <v>179</v>
      </c>
    </row>
    <row r="79">
      <c r="A79" s="14" t="str">
        <f>'หลักสูตร'!A:A</f>
        <v/>
      </c>
      <c r="B79" s="15" t="str">
        <f>'หลักสูตร'!B:B</f>
        <v/>
      </c>
      <c r="C79" s="16">
        <v>1.0</v>
      </c>
      <c r="D79" s="17" t="str">
        <f>IFERROR(vlookup('หลักสูตร'!C:C,lookup!$A$2:$B$4,2,false),)</f>
        <v/>
      </c>
      <c r="E79" s="17" t="str">
        <f>IFERROR(vlookup('หลักสูตร'!D:D,lookup!$A$6:$B$8,2,false),)</f>
        <v/>
      </c>
      <c r="F79" s="17" t="str">
        <f>IFERROR(vlookup('หลักสูตร'!E:E,lookup!$A$10:$B$12,2,false),)</f>
        <v/>
      </c>
      <c r="G79" s="17" t="str">
        <f>IFERROR(vlookup('หลักสูตร'!F:F,lookup!$A$14:$B$16,2,false),)</f>
        <v/>
      </c>
      <c r="H79" s="17" t="str">
        <f>IFERROR(vlookup('หลักสูตร'!G:G,lookup!$A$18:$B$20,2,false),)</f>
        <v/>
      </c>
      <c r="I79" s="18" t="str">
        <f>IFERROR(vlookup('หลักสูตร'!H:H,lookup!$A$22:$B$24,2,false),)</f>
        <v/>
      </c>
      <c r="J79" s="23"/>
      <c r="K79" s="19">
        <v>78.0</v>
      </c>
      <c r="L79" s="24" t="str">
        <f t="shared" si="1"/>
        <v>bnco0978@signalschool.ac.th</v>
      </c>
      <c r="M79" s="21">
        <f t="shared" si="2"/>
        <v>1</v>
      </c>
      <c r="N79" s="13"/>
      <c r="O79" s="13"/>
      <c r="P79" s="22" t="s">
        <v>180</v>
      </c>
    </row>
    <row r="80">
      <c r="A80" s="14" t="str">
        <f>'หลักสูตร'!A:A</f>
        <v/>
      </c>
      <c r="B80" s="15" t="str">
        <f>'หลักสูตร'!B:B</f>
        <v/>
      </c>
      <c r="C80" s="16">
        <v>1.0</v>
      </c>
      <c r="D80" s="17" t="str">
        <f>IFERROR(vlookup('หลักสูตร'!C:C,lookup!$A$2:$B$4,2,false),)</f>
        <v/>
      </c>
      <c r="E80" s="17" t="str">
        <f>IFERROR(vlookup('หลักสูตร'!D:D,lookup!$A$6:$B$8,2,false),)</f>
        <v/>
      </c>
      <c r="F80" s="17" t="str">
        <f>IFERROR(vlookup('หลักสูตร'!E:E,lookup!$A$10:$B$12,2,false),)</f>
        <v/>
      </c>
      <c r="G80" s="17" t="str">
        <f>IFERROR(vlookup('หลักสูตร'!F:F,lookup!$A$14:$B$16,2,false),)</f>
        <v/>
      </c>
      <c r="H80" s="17" t="str">
        <f>IFERROR(vlookup('หลักสูตร'!G:G,lookup!$A$18:$B$20,2,false),)</f>
        <v/>
      </c>
      <c r="I80" s="18" t="str">
        <f>IFERROR(vlookup('หลักสูตร'!H:H,lookup!$A$22:$B$24,2,false),)</f>
        <v/>
      </c>
      <c r="J80" s="23"/>
      <c r="K80" s="19">
        <v>79.0</v>
      </c>
      <c r="L80" s="24" t="str">
        <f t="shared" si="1"/>
        <v>bnco0979@signalschool.ac.th</v>
      </c>
      <c r="M80" s="21">
        <f t="shared" si="2"/>
        <v>1</v>
      </c>
      <c r="N80" s="13"/>
      <c r="O80" s="13"/>
      <c r="P80" s="22" t="s">
        <v>181</v>
      </c>
    </row>
    <row r="81">
      <c r="A81" s="14" t="str">
        <f>'หลักสูตร'!A:A</f>
        <v/>
      </c>
      <c r="B81" s="15" t="str">
        <f>'หลักสูตร'!B:B</f>
        <v/>
      </c>
      <c r="C81" s="16">
        <v>1.0</v>
      </c>
      <c r="D81" s="17" t="str">
        <f>IFERROR(vlookup('หลักสูตร'!C:C,lookup!$A$2:$B$4,2,false),)</f>
        <v/>
      </c>
      <c r="E81" s="17" t="str">
        <f>IFERROR(vlookup('หลักสูตร'!D:D,lookup!$A$6:$B$8,2,false),)</f>
        <v/>
      </c>
      <c r="F81" s="17" t="str">
        <f>IFERROR(vlookup('หลักสูตร'!E:E,lookup!$A$10:$B$12,2,false),)</f>
        <v/>
      </c>
      <c r="G81" s="17" t="str">
        <f>IFERROR(vlookup('หลักสูตร'!F:F,lookup!$A$14:$B$16,2,false),)</f>
        <v/>
      </c>
      <c r="H81" s="17" t="str">
        <f>IFERROR(vlookup('หลักสูตร'!G:G,lookup!$A$18:$B$20,2,false),)</f>
        <v/>
      </c>
      <c r="I81" s="18" t="str">
        <f>IFERROR(vlookup('หลักสูตร'!H:H,lookup!$A$22:$B$24,2,false),)</f>
        <v/>
      </c>
      <c r="J81" s="25" t="s">
        <v>182</v>
      </c>
      <c r="K81" s="19">
        <v>80.0</v>
      </c>
      <c r="L81" s="24" t="str">
        <f t="shared" si="1"/>
        <v>bnco0980@signalschool.ac.th</v>
      </c>
      <c r="M81" s="21">
        <f t="shared" si="2"/>
        <v>1</v>
      </c>
      <c r="N81" s="13"/>
      <c r="O81" s="13"/>
      <c r="P81" s="22" t="s">
        <v>183</v>
      </c>
    </row>
    <row r="82">
      <c r="A82" s="26" t="s">
        <v>184</v>
      </c>
      <c r="B82" s="27"/>
      <c r="C82" s="28"/>
      <c r="D82" s="28">
        <f t="shared" ref="D82:I82" si="3">iferror(AVERAGE(D2:D81),"")</f>
        <v>4.914285714</v>
      </c>
      <c r="E82" s="28">
        <f t="shared" si="3"/>
        <v>4.857142857</v>
      </c>
      <c r="F82" s="28">
        <f t="shared" si="3"/>
        <v>4.771428571</v>
      </c>
      <c r="G82" s="28">
        <f t="shared" si="3"/>
        <v>4.8</v>
      </c>
      <c r="H82" s="28">
        <f t="shared" si="3"/>
        <v>4.914285714</v>
      </c>
      <c r="I82" s="28">
        <f t="shared" si="3"/>
        <v>4.685714286</v>
      </c>
      <c r="J82" s="29">
        <f>iferror(AVERAGE(D82:I82),"")</f>
        <v>4.823809524</v>
      </c>
      <c r="K82" s="13"/>
      <c r="L82" s="30" t="s">
        <v>185</v>
      </c>
      <c r="M82" s="19">
        <f>SUM(M2:M81)</f>
        <v>70</v>
      </c>
      <c r="N82" s="13"/>
      <c r="O82" s="13"/>
      <c r="P82" s="13"/>
    </row>
    <row r="83">
      <c r="A83" s="31"/>
      <c r="B83" s="13"/>
      <c r="C83" s="32"/>
      <c r="D83" s="32"/>
      <c r="E83" s="32"/>
      <c r="F83" s="32"/>
      <c r="G83" s="32"/>
      <c r="H83" s="32"/>
      <c r="I83" s="32"/>
      <c r="K83" s="13"/>
      <c r="L83" s="30" t="s">
        <v>186</v>
      </c>
      <c r="M83" s="19">
        <f>(M82*100)/80</f>
        <v>87.5</v>
      </c>
      <c r="N83" s="13"/>
      <c r="O83" s="13"/>
      <c r="P83" s="13"/>
    </row>
    <row r="84">
      <c r="A84" s="31"/>
      <c r="B84" s="13"/>
      <c r="C84" s="32"/>
      <c r="D84" s="32"/>
      <c r="E84" s="32"/>
      <c r="F84" s="32"/>
      <c r="G84" s="32"/>
      <c r="H84" s="32"/>
      <c r="I84" s="32"/>
    </row>
    <row r="85">
      <c r="A85" s="31"/>
      <c r="B85" s="13"/>
      <c r="C85" s="32"/>
      <c r="D85" s="32"/>
      <c r="E85" s="32"/>
      <c r="F85" s="32"/>
      <c r="G85" s="32"/>
      <c r="H85" s="32"/>
      <c r="I85" s="32"/>
    </row>
    <row r="86">
      <c r="A86" s="31"/>
      <c r="B86" s="13"/>
      <c r="C86" s="32"/>
      <c r="D86" s="32"/>
      <c r="E86" s="32"/>
      <c r="F86" s="32"/>
      <c r="G86" s="32"/>
      <c r="H86" s="32"/>
      <c r="I86" s="32"/>
    </row>
    <row r="87">
      <c r="A87" s="31"/>
      <c r="B87" s="13"/>
      <c r="C87" s="32"/>
      <c r="D87" s="32"/>
      <c r="E87" s="32"/>
      <c r="F87" s="32"/>
      <c r="G87" s="32"/>
      <c r="H87" s="32"/>
      <c r="I87" s="32"/>
    </row>
    <row r="88">
      <c r="A88" s="31"/>
      <c r="B88" s="13"/>
      <c r="C88" s="32"/>
      <c r="D88" s="32"/>
      <c r="E88" s="32"/>
      <c r="F88" s="32"/>
      <c r="G88" s="32"/>
      <c r="H88" s="32"/>
      <c r="I88" s="32"/>
    </row>
    <row r="89">
      <c r="A89" s="31"/>
      <c r="B89" s="13"/>
      <c r="C89" s="32"/>
      <c r="D89" s="32"/>
      <c r="E89" s="32"/>
      <c r="F89" s="32"/>
      <c r="G89" s="32"/>
      <c r="H89" s="32"/>
      <c r="I89" s="32"/>
    </row>
    <row r="90">
      <c r="A90" s="31"/>
      <c r="B90" s="13"/>
      <c r="C90" s="32"/>
      <c r="D90" s="32"/>
      <c r="E90" s="32"/>
      <c r="F90" s="32"/>
      <c r="G90" s="32"/>
      <c r="H90" s="32"/>
      <c r="I90" s="32"/>
    </row>
    <row r="91">
      <c r="A91" s="31"/>
      <c r="B91" s="13"/>
      <c r="C91" s="32"/>
      <c r="D91" s="32"/>
      <c r="E91" s="32"/>
      <c r="F91" s="32"/>
      <c r="G91" s="32"/>
      <c r="H91" s="32"/>
      <c r="I91" s="32"/>
    </row>
  </sheetData>
  <mergeCells count="2">
    <mergeCell ref="K1:M1"/>
    <mergeCell ref="A82:B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</cols>
  <sheetData>
    <row r="2">
      <c r="A2" s="2" t="s">
        <v>1</v>
      </c>
      <c r="B2" s="3">
        <v>5.0</v>
      </c>
    </row>
    <row r="3">
      <c r="A3" s="4" t="s">
        <v>3</v>
      </c>
      <c r="B3" s="3">
        <v>3.0</v>
      </c>
    </row>
    <row r="4">
      <c r="A4" s="4" t="s">
        <v>4</v>
      </c>
      <c r="B4" s="3">
        <v>1.0</v>
      </c>
    </row>
    <row r="6">
      <c r="A6" s="2" t="s">
        <v>5</v>
      </c>
      <c r="B6" s="3">
        <v>5.0</v>
      </c>
    </row>
    <row r="7">
      <c r="A7" s="4" t="s">
        <v>6</v>
      </c>
      <c r="B7" s="3">
        <v>3.0</v>
      </c>
    </row>
    <row r="8">
      <c r="A8" s="4" t="s">
        <v>7</v>
      </c>
      <c r="B8" s="3">
        <v>1.0</v>
      </c>
    </row>
    <row r="10">
      <c r="A10" s="2" t="s">
        <v>8</v>
      </c>
      <c r="B10" s="3">
        <v>5.0</v>
      </c>
    </row>
    <row r="11">
      <c r="A11" s="4" t="s">
        <v>9</v>
      </c>
      <c r="B11" s="3">
        <v>3.0</v>
      </c>
    </row>
    <row r="12">
      <c r="A12" s="4" t="s">
        <v>10</v>
      </c>
      <c r="B12" s="3">
        <v>1.0</v>
      </c>
    </row>
    <row r="14">
      <c r="A14" s="2" t="s">
        <v>11</v>
      </c>
      <c r="B14" s="3">
        <v>5.0</v>
      </c>
    </row>
    <row r="15">
      <c r="A15" s="4" t="s">
        <v>12</v>
      </c>
      <c r="B15" s="3">
        <v>3.0</v>
      </c>
    </row>
    <row r="16">
      <c r="A16" s="4" t="s">
        <v>13</v>
      </c>
      <c r="B16" s="3">
        <v>1.0</v>
      </c>
    </row>
    <row r="18">
      <c r="A18" s="2" t="s">
        <v>14</v>
      </c>
      <c r="B18" s="3">
        <v>5.0</v>
      </c>
    </row>
    <row r="19">
      <c r="A19" s="4" t="s">
        <v>15</v>
      </c>
      <c r="B19" s="3">
        <v>3.0</v>
      </c>
    </row>
    <row r="20">
      <c r="A20" s="4" t="s">
        <v>16</v>
      </c>
      <c r="B20" s="3">
        <v>1.0</v>
      </c>
    </row>
    <row r="22">
      <c r="A22" s="2" t="s">
        <v>17</v>
      </c>
      <c r="B22" s="3">
        <v>5.0</v>
      </c>
    </row>
    <row r="23">
      <c r="A23" s="4" t="s">
        <v>18</v>
      </c>
      <c r="B23" s="3">
        <v>3.0</v>
      </c>
    </row>
    <row r="24">
      <c r="A24" s="4" t="s">
        <v>19</v>
      </c>
      <c r="B24" s="3">
        <v>1.0</v>
      </c>
    </row>
  </sheetData>
  <drawing r:id="rId1"/>
</worksheet>
</file>