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แบบประเมินคณะกำกับหลักสูตร" sheetId="1" r:id="rId5"/>
    <sheet state="visible" name="toNum" sheetId="2" r:id="rId6"/>
    <sheet state="visible" name="Show on Web" sheetId="3" r:id="rId7"/>
    <sheet state="visible" name="lookup" sheetId="4" r:id="rId8"/>
  </sheets>
  <definedNames/>
  <calcPr/>
</workbook>
</file>

<file path=xl/sharedStrings.xml><?xml version="1.0" encoding="utf-8"?>
<sst xmlns="http://schemas.openxmlformats.org/spreadsheetml/2006/main" count="128" uniqueCount="55">
  <si>
    <t>ประทับเวลา</t>
  </si>
  <si>
    <t>ลำดับ</t>
  </si>
  <si>
    <t>มีการจัดการเรียนการสอนตรงตามหลักสูตรที่กำหนดเนื้อหาวิชาครบถ้วน</t>
  </si>
  <si>
    <t>ที่อยู่อีเมล</t>
  </si>
  <si>
    <t>ตำแหน่ง/ความรับผิดชอบในหลักสูตร เช่น เป็น อจ.กำกับหลักสูตร/ อจ.ที่ปรึกษา/ นายสิบประจำหลักสูตร ฯลฯ</t>
  </si>
  <si>
    <t>1. ด้านการจัดการเรียนรู้</t>
  </si>
  <si>
    <t>2. ด้านเนื้อหารายวิชา</t>
  </si>
  <si>
    <t>3. ด้านกิจกรรมเสริมเพื่อเพิ่มทักษะ</t>
  </si>
  <si>
    <t>4. ด้านทรัพยากรที่ใช้ในหลักสูตร</t>
  </si>
  <si>
    <t>5. ด้านการปฏิบัติตามกฎระเบียบของโรงเรียน ความมีวินัยและการตรงต่อเวลาของผู้เรียน</t>
  </si>
  <si>
    <t>ข้อเสนอแนะอื่นๆ</t>
  </si>
  <si>
    <t>รายวิชา</t>
  </si>
  <si>
    <t>signal.school01711@gmail.com</t>
  </si>
  <si>
    <t>ตรวจสอบ</t>
  </si>
  <si>
    <t>นายสิบประจำหลักสูตร (2)</t>
  </si>
  <si>
    <t>เนื้อหารายวิชามีความสอดคล้องกันและมีความทันสมัย</t>
  </si>
  <si>
    <t>มีเวลาสำหรับกิจกรรมเสริมหลักสูตรเพื่อเพิ่มทักษะให้กับผู้เรียนเพียงพอ</t>
  </si>
  <si>
    <t>มีความพร้อมของห้องเรียนและเครื่องช่วยฝึกที่ใช้ในการเรียนการสอนเพียงพอ</t>
  </si>
  <si>
    <t>ผู้เรียนมีการปฏิบัติตามกฎ ระเบียบของโรงเรียน และความมีวินัยอย่างเคร่งครัด</t>
  </si>
  <si>
    <t>edu.log@signalschool.ac.th</t>
  </si>
  <si>
    <t>ผช.อาจารย์ที่ปรึกษาหลักสูตร (1)</t>
  </si>
  <si>
    <t>มีเวลาสำหรับกิจกรรมเสริมหลักสูตรเพื่อเพิ่มทักษะให้กับผู้เรียน "ไม่เพียงพอ"</t>
  </si>
  <si>
    <t>ผู้เรียนมีการปฏิบัติตามกฎ ระเบียบของโรงเรียน และความมีวินัย</t>
  </si>
  <si>
    <t>nantipong.h@signalschool.ac.th</t>
  </si>
  <si>
    <t>ผช.อาจารย์กำกับหลักสูตร (3)</t>
  </si>
  <si>
    <t>jaroonbuasri@gmail.com</t>
  </si>
  <si>
    <t>นายสิบประจำหลักสูตร (1)</t>
  </si>
  <si>
    <t>อาจารย์กำกับหลักสูตร</t>
  </si>
  <si>
    <t>supatt89@gmail.com</t>
  </si>
  <si>
    <t>ตำแหน่ง/ความรับผิดชอบในหลักสูตร</t>
  </si>
  <si>
    <t>เห็นควรมีการพิจารณาปรับปรุงหลักสูตรโดยใช้ข้อมูล feedback จากทุกฝ่าย</t>
  </si>
  <si>
    <t>sitthisak3@signalschool.ac.th</t>
  </si>
  <si>
    <t>นายสิบประจำหลักสูตร (4)</t>
  </si>
  <si>
    <t>premmee191@gmail.com</t>
  </si>
  <si>
    <t>ผช.อาจารย์กำกับหลักสูตร (2)</t>
  </si>
  <si>
    <t>sanya.n@signalschool.ac.th</t>
  </si>
  <si>
    <t>ผช.อาจารย์ที่ปรึกษาหลักสูตร (2)</t>
  </si>
  <si>
    <t>winyu3551@gmail.com</t>
  </si>
  <si>
    <t>ผช.อาจารย์กำกับหลักสูตร (1)</t>
  </si>
  <si>
    <t>มีการจัดการเรียนการสอนตรงตามหลักสูตรที่กำหนด "แต่เนื้อหาวิชาไม่ครบถ้วน"</t>
  </si>
  <si>
    <t>ตรวจสอบผู้เข้าประเมิน</t>
  </si>
  <si>
    <t>มีการจัดการเรียนการสอน "ไม่ตรง" ตามหลักสูตรที่กำหนดและ "เนื้อหาวิชาไม่ครบถ้วน"</t>
  </si>
  <si>
    <t>เนื้อหารายวิชามีความสอดคล้องกัน "แต่ไม่มีความทันสมัย"</t>
  </si>
  <si>
    <t>เนื้อหารายวิชา "ไม่มีความสอดคล้องกัน" และ "ไม่มีความทันสมัย"</t>
  </si>
  <si>
    <t xml:space="preserve">"ไม่มีเวลา" สำหรับกิจกรรมเสริมหลักสูตรเพื่อเพิ่มทักษะให้กับผู้เรียน </t>
  </si>
  <si>
    <t xml:space="preserve">มีความพร้อมของห้องเรียนและเครื่องช่วยฝึกที่ใช้ในการเรียนการสอนเพียงพอ </t>
  </si>
  <si>
    <t xml:space="preserve">มีความพร้อมของห้องเรียนแต่เครื่องช่วยฝึกที่ใช้ในการเรียนการสอน "ไม่เพียงพอ" </t>
  </si>
  <si>
    <t xml:space="preserve">"ไม่มีความพร้อม" ของห้องเรียนและเครื่องช่วยฝึกที่ใช้ในการเรียนการสอน"ไม่เพียงพอ" </t>
  </si>
  <si>
    <t>ผู้เรียน "ไม่ปฏิบัติ" ตามกฎ ระเบียบของโรงเรียน และ "ไม่มีวินัย"</t>
  </si>
  <si>
    <t>อาจารย์ที่ปรึกษาหลักสูตร</t>
  </si>
  <si>
    <t>นายสิบประจำหลักสูตร (3)</t>
  </si>
  <si>
    <t>ยอดผู้เข้าประเมิน</t>
  </si>
  <si>
    <t>ภาพรวมร้อยละ</t>
  </si>
  <si>
    <t>เฉลี่ยรวม</t>
  </si>
  <si>
    <t>ค่าเฉลี่ย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</si>
</sst>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3.0"/>
      <color theme="1"/>
      <name val="Sarabun"/>
    </font>
    <font>
      <sz val="11.0"/>
      <color theme="1"/>
      <name val="Arial"/>
      <scheme val="minor"/>
    </font>
    <font>
      <sz val="11.0"/>
      <color rgb="FF202124"/>
      <name val="Roboto"/>
    </font>
    <font>
      <color rgb="FF000000"/>
      <name val="Arial"/>
    </font>
    <font>
      <color theme="1"/>
      <name val="Arial"/>
    </font>
    <font/>
    <font>
      <sz val="11.0"/>
      <color rgb="FFF7981D"/>
      <name val="Inconsolata"/>
    </font>
    <font>
      <color rgb="FF444444"/>
      <name val="Arial"/>
    </font>
    <font>
      <color rgb="FFFF0000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DC8BFF"/>
        <bgColor rgb="FFDC8BFF"/>
      </patternFill>
    </fill>
    <fill>
      <patternFill patternType="solid">
        <fgColor rgb="FFAD64EC"/>
        <bgColor rgb="FFAD64EC"/>
      </patternFill>
    </fill>
    <fill>
      <patternFill patternType="solid">
        <fgColor rgb="FFFFFFFF"/>
        <bgColor rgb="FFFFFFFF"/>
      </patternFill>
    </fill>
    <fill>
      <patternFill patternType="solid">
        <fgColor rgb="FF33DADC"/>
        <bgColor rgb="FF33DADC"/>
      </patternFill>
    </fill>
    <fill>
      <patternFill patternType="solid">
        <fgColor rgb="FFDADCE0"/>
        <bgColor rgb="FFDADCE0"/>
      </patternFill>
    </fill>
    <fill>
      <patternFill patternType="solid">
        <fgColor rgb="FFFFD966"/>
        <bgColor rgb="FFFFD966"/>
      </patternFill>
    </fill>
    <fill>
      <patternFill patternType="solid">
        <fgColor rgb="FFF6B26B"/>
        <bgColor rgb="FFF6B26B"/>
      </patternFill>
    </fill>
    <fill>
      <patternFill patternType="solid">
        <fgColor rgb="FF93C47D"/>
        <bgColor rgb="FF93C47D"/>
      </patternFill>
    </fill>
    <fill>
      <patternFill patternType="solid">
        <fgColor rgb="FF9FC5E8"/>
        <bgColor rgb="FF9FC5E8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readingOrder="0"/>
    </xf>
    <xf borderId="1" fillId="3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center" readingOrder="0"/>
    </xf>
    <xf borderId="0" fillId="0" fontId="3" numFmtId="0" xfId="0" applyAlignment="1" applyFont="1">
      <alignment readingOrder="0" vertical="bottom"/>
    </xf>
    <xf borderId="0" fillId="4" fontId="4" numFmtId="0" xfId="0" applyAlignment="1" applyFill="1" applyFont="1">
      <alignment vertical="bottom"/>
    </xf>
    <xf borderId="1" fillId="3" fontId="5" numFmtId="0" xfId="0" applyAlignment="1" applyBorder="1" applyFill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0" fillId="5" fontId="4" numFmtId="0" xfId="0" applyAlignment="1" applyFill="1" applyFont="1">
      <alignment vertical="bottom"/>
    </xf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0" fillId="0" fontId="6" numFmtId="0" xfId="0" applyAlignment="1" applyFont="1">
      <alignment vertical="bottom"/>
    </xf>
    <xf borderId="1" fillId="4" fontId="8" numFmtId="164" xfId="0" applyAlignment="1" applyBorder="1" applyFill="1" applyFont="1" applyNumberFormat="1">
      <alignment vertical="bottom"/>
    </xf>
    <xf borderId="1" fillId="0" fontId="2" numFmtId="0" xfId="0" applyAlignment="1" applyBorder="1" applyFont="1">
      <alignment horizontal="center"/>
    </xf>
    <xf borderId="1" fillId="0" fontId="1" numFmtId="0" xfId="0" applyAlignment="1" applyBorder="1" applyFont="1">
      <alignment readingOrder="0"/>
    </xf>
    <xf borderId="0" fillId="4" fontId="4" numFmtId="0" xfId="0" applyAlignment="1" applyFill="1" applyFont="1">
      <alignment readingOrder="0"/>
    </xf>
    <xf borderId="0" fillId="6" fontId="4" numFmtId="0" xfId="0" applyAlignment="1" applyFill="1" applyFont="1">
      <alignment readingOrder="0"/>
    </xf>
    <xf borderId="1" fillId="0" fontId="1" numFmtId="0" xfId="0" applyBorder="1" applyFont="1"/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readingOrder="0" vertical="bottom"/>
    </xf>
    <xf borderId="0" fillId="4" fontId="9" numFmtId="0" xfId="0" applyAlignment="1" applyFill="1" applyFont="1">
      <alignment horizontal="right" vertical="bottom"/>
    </xf>
    <xf borderId="5" fillId="7" fontId="2" numFmtId="0" xfId="0" applyAlignment="1" applyBorder="1" applyFill="1" applyFont="1">
      <alignment horizontal="center" vertical="bottom"/>
    </xf>
    <xf borderId="5" fillId="0" fontId="7" numFmtId="0" xfId="0" applyBorder="1" applyFont="1"/>
    <xf borderId="1" fillId="0" fontId="2" numFmtId="0" xfId="0" applyAlignment="1" applyBorder="1" applyFont="1">
      <alignment horizontal="center" vertical="bottom"/>
    </xf>
    <xf borderId="0" fillId="8" fontId="2" numFmtId="0" xfId="0" applyAlignment="1" applyFill="1" applyFont="1">
      <alignment horizontal="center" vertical="bottom"/>
    </xf>
    <xf borderId="1" fillId="0" fontId="2" numFmtId="2" xfId="0" applyAlignment="1" applyBorder="1" applyFont="1" applyNumberFormat="1">
      <alignment horizontal="center" vertical="bottom"/>
    </xf>
    <xf borderId="0" fillId="0" fontId="6" numFmtId="0" xfId="0" applyAlignment="1" applyFont="1">
      <alignment horizontal="right" readingOrder="0" vertical="bottom"/>
    </xf>
    <xf borderId="1" fillId="0" fontId="10" numFmtId="0" xfId="0" applyBorder="1" applyFont="1"/>
    <xf borderId="1" fillId="7" fontId="1" numFmtId="0" xfId="0" applyAlignment="1" applyBorder="1" applyFill="1" applyFont="1">
      <alignment horizontal="center" readingOrder="0"/>
    </xf>
    <xf borderId="0" fillId="0" fontId="1" numFmtId="0" xfId="0" applyFont="1"/>
    <xf borderId="2" fillId="7" fontId="1" numFmtId="0" xfId="0" applyAlignment="1" applyBorder="1" applyFill="1" applyFont="1">
      <alignment horizontal="center" readingOrder="0"/>
    </xf>
    <xf borderId="1" fillId="9" fontId="1" numFmtId="0" xfId="0" applyBorder="1" applyFill="1" applyFont="1"/>
    <xf borderId="1" fillId="9" fontId="1" numFmtId="2" xfId="0" applyBorder="1" applyFill="1" applyFont="1" applyNumberFormat="1"/>
    <xf borderId="1" fillId="10" fontId="1" numFmtId="2" xfId="0" applyBorder="1" applyFill="1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72.63"/>
    <col customWidth="1" min="4" max="15" width="18.88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</row>
    <row r="2">
      <c r="A2" s="3">
        <v>46213.43074988426</v>
      </c>
      <c r="B2" s="5" t="s">
        <v>12</v>
      </c>
      <c r="C2" s="5" t="s">
        <v>14</v>
      </c>
      <c r="D2" s="5" t="s">
        <v>2</v>
      </c>
      <c r="E2" s="5" t="s">
        <v>15</v>
      </c>
      <c r="F2" s="5" t="s">
        <v>16</v>
      </c>
      <c r="G2" s="5" t="s">
        <v>17</v>
      </c>
      <c r="H2" s="5" t="s">
        <v>18</v>
      </c>
    </row>
    <row r="3">
      <c r="A3" s="3">
        <v>46213.434254583335</v>
      </c>
      <c r="B3" s="5" t="s">
        <v>19</v>
      </c>
      <c r="C3" s="5" t="s">
        <v>20</v>
      </c>
      <c r="D3" s="5" t="s">
        <v>2</v>
      </c>
      <c r="E3" s="5" t="s">
        <v>15</v>
      </c>
      <c r="F3" s="5" t="s">
        <v>21</v>
      </c>
      <c r="G3" s="5" t="s">
        <v>17</v>
      </c>
      <c r="H3" s="5" t="s">
        <v>22</v>
      </c>
    </row>
    <row r="4">
      <c r="A4" s="3">
        <v>46213.435338449075</v>
      </c>
      <c r="B4" s="5" t="s">
        <v>23</v>
      </c>
      <c r="C4" s="5" t="s">
        <v>24</v>
      </c>
      <c r="D4" s="5" t="s">
        <v>2</v>
      </c>
      <c r="E4" s="5" t="s">
        <v>15</v>
      </c>
      <c r="F4" s="5" t="s">
        <v>16</v>
      </c>
      <c r="G4" s="5" t="s">
        <v>17</v>
      </c>
      <c r="H4" s="5" t="s">
        <v>18</v>
      </c>
    </row>
    <row r="5">
      <c r="A5" s="3">
        <v>46213.43553400463</v>
      </c>
      <c r="B5" s="5" t="s">
        <v>25</v>
      </c>
      <c r="C5" s="5" t="s">
        <v>26</v>
      </c>
      <c r="D5" s="5" t="s">
        <v>2</v>
      </c>
      <c r="E5" s="5" t="s">
        <v>15</v>
      </c>
      <c r="F5" s="5" t="s">
        <v>16</v>
      </c>
      <c r="G5" s="5" t="s">
        <v>17</v>
      </c>
      <c r="H5" s="5" t="s">
        <v>18</v>
      </c>
    </row>
    <row r="6">
      <c r="A6" s="3">
        <v>46213.43837777778</v>
      </c>
      <c r="B6" s="5" t="s">
        <v>28</v>
      </c>
      <c r="C6" s="5" t="s">
        <v>27</v>
      </c>
      <c r="D6" s="5" t="s">
        <v>2</v>
      </c>
      <c r="E6" s="5" t="s">
        <v>15</v>
      </c>
      <c r="F6" s="5" t="s">
        <v>16</v>
      </c>
      <c r="G6" s="5" t="s">
        <v>17</v>
      </c>
      <c r="H6" s="5" t="s">
        <v>22</v>
      </c>
      <c r="I6" s="5" t="s">
        <v>30</v>
      </c>
    </row>
    <row r="7">
      <c r="A7" s="3">
        <v>46213.44053103009</v>
      </c>
      <c r="B7" s="5" t="s">
        <v>31</v>
      </c>
      <c r="C7" s="5" t="s">
        <v>32</v>
      </c>
      <c r="D7" s="5" t="s">
        <v>2</v>
      </c>
      <c r="E7" s="5" t="s">
        <v>15</v>
      </c>
      <c r="F7" s="5" t="s">
        <v>16</v>
      </c>
      <c r="G7" s="5" t="s">
        <v>17</v>
      </c>
      <c r="H7" s="5" t="s">
        <v>18</v>
      </c>
    </row>
    <row r="8">
      <c r="A8" s="3">
        <v>46213.4561225463</v>
      </c>
      <c r="B8" s="5" t="s">
        <v>33</v>
      </c>
      <c r="C8" s="5" t="s">
        <v>34</v>
      </c>
      <c r="D8" s="5" t="s">
        <v>2</v>
      </c>
      <c r="E8" s="5" t="s">
        <v>15</v>
      </c>
      <c r="F8" s="5" t="s">
        <v>16</v>
      </c>
      <c r="G8" s="5" t="s">
        <v>17</v>
      </c>
      <c r="H8" s="5" t="s">
        <v>22</v>
      </c>
    </row>
    <row r="9">
      <c r="A9" s="3">
        <v>46213.50969652778</v>
      </c>
      <c r="B9" s="5" t="s">
        <v>35</v>
      </c>
      <c r="C9" s="5" t="s">
        <v>36</v>
      </c>
      <c r="D9" s="5" t="s">
        <v>2</v>
      </c>
      <c r="E9" s="5" t="s">
        <v>15</v>
      </c>
      <c r="F9" s="5" t="s">
        <v>16</v>
      </c>
      <c r="G9" s="5" t="s">
        <v>17</v>
      </c>
      <c r="H9" s="5" t="s">
        <v>22</v>
      </c>
    </row>
    <row r="10">
      <c r="A10" s="3">
        <v>46215.436193877315</v>
      </c>
      <c r="B10" s="5" t="s">
        <v>37</v>
      </c>
      <c r="C10" s="5" t="s">
        <v>38</v>
      </c>
      <c r="D10" s="5" t="s">
        <v>2</v>
      </c>
      <c r="E10" s="5" t="s">
        <v>15</v>
      </c>
      <c r="F10" s="5" t="s">
        <v>16</v>
      </c>
      <c r="G10" s="5" t="s">
        <v>17</v>
      </c>
      <c r="H10" s="5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2" max="2" width="25.63"/>
    <col customWidth="1" min="3" max="3" width="25.5"/>
    <col customWidth="1" min="4" max="4" width="1.88"/>
    <col customWidth="1" min="5" max="5" width="13.0"/>
    <col customWidth="1" min="9" max="9" width="14.38"/>
    <col customWidth="1" min="12" max="12" width="24.5"/>
  </cols>
  <sheetData>
    <row r="1">
      <c r="A1" s="6" t="s">
        <v>0</v>
      </c>
      <c r="B1" s="6" t="s">
        <v>3</v>
      </c>
      <c r="C1" s="10" t="s">
        <v>29</v>
      </c>
      <c r="D1" s="11"/>
      <c r="E1" s="11" t="s">
        <v>5</v>
      </c>
      <c r="F1" s="11" t="s">
        <v>6</v>
      </c>
      <c r="G1" s="11" t="s">
        <v>7</v>
      </c>
      <c r="H1" s="11" t="s">
        <v>8</v>
      </c>
      <c r="I1" s="11" t="s">
        <v>9</v>
      </c>
      <c r="K1" s="13" t="s">
        <v>40</v>
      </c>
      <c r="L1" s="14"/>
      <c r="M1" s="15"/>
    </row>
    <row r="2">
      <c r="A2" s="17">
        <f>'แบบประเมินคณะกำกับหลักสูตร'!A:A</f>
        <v>46213.43075</v>
      </c>
      <c r="B2" s="17" t="str">
        <f>'แบบประเมินคณะกำกับหลักสูตร'!B:B</f>
        <v>signal.school01711@gmail.com</v>
      </c>
      <c r="C2" s="17" t="str">
        <f>'แบบประเมินคณะกำกับหลักสูตร'!C:C</f>
        <v>นายสิบประจำหลักสูตร (2)</v>
      </c>
      <c r="D2" s="19">
        <v>1.0</v>
      </c>
      <c r="E2" s="22">
        <f>iferror(vlookup('แบบประเมินคณะกำกับหลักสูตร'!D:D,lookup!$A$2:$B$4,2,false),"")</f>
        <v>5</v>
      </c>
      <c r="F2" s="22">
        <f>iferror(vlookup('แบบประเมินคณะกำกับหลักสูตร'!E:E,lookup!$A$6:$B$8,2,false),"")</f>
        <v>5</v>
      </c>
      <c r="G2" s="22">
        <f>iferror(vlookup('แบบประเมินคณะกำกับหลักสูตร'!F:F,lookup!$A$10:$B$12,2,false),"")</f>
        <v>5</v>
      </c>
      <c r="H2" s="22">
        <f>iferror(vlookup('แบบประเมินคณะกำกับหลักสูตร'!G:G,lookup!$A$14:$B$16,2,false),"")</f>
        <v>5</v>
      </c>
      <c r="I2" s="22">
        <f>iferror(vlookup('แบบประเมินคณะกำกับหลักสูตร'!H:H,lookup!$A$18:$B$20,2,false),"")</f>
        <v>5</v>
      </c>
      <c r="K2" s="23">
        <f t="array" ref="K2:K8">SEQUENCE(7,1)</f>
        <v>1</v>
      </c>
      <c r="L2" s="24" t="s">
        <v>27</v>
      </c>
      <c r="M2" s="25">
        <f t="shared" ref="M2:M12" si="1">IFERROR(VLOOKUP(L2,C$2:D$13,2,FALSE),0)</f>
        <v>1</v>
      </c>
    </row>
    <row r="3">
      <c r="A3" s="17">
        <f>'แบบประเมินคณะกำกับหลักสูตร'!A:A</f>
        <v>46213.43425</v>
      </c>
      <c r="B3" s="17" t="str">
        <f>'แบบประเมินคณะกำกับหลักสูตร'!B:B</f>
        <v>edu.log@signalschool.ac.th</v>
      </c>
      <c r="C3" s="17" t="str">
        <f>'แบบประเมินคณะกำกับหลักสูตร'!C:C</f>
        <v>ผช.อาจารย์ที่ปรึกษาหลักสูตร (1)</v>
      </c>
      <c r="D3" s="19">
        <v>1.0</v>
      </c>
      <c r="E3" s="22">
        <f>iferror(vlookup('แบบประเมินคณะกำกับหลักสูตร'!D:D,lookup!$A$2:$B$4,2,false),"")</f>
        <v>5</v>
      </c>
      <c r="F3" s="22">
        <f>iferror(vlookup('แบบประเมินคณะกำกับหลักสูตร'!E:E,lookup!$A$6:$B$8,2,false),"")</f>
        <v>5</v>
      </c>
      <c r="G3" s="22">
        <f>iferror(vlookup('แบบประเมินคณะกำกับหลักสูตร'!F:F,lookup!$A$10:$B$12,2,false),"")</f>
        <v>3</v>
      </c>
      <c r="H3" s="22">
        <f>iferror(vlookup('แบบประเมินคณะกำกับหลักสูตร'!G:G,lookup!$A$14:$B$16,2,false),"")</f>
        <v>5</v>
      </c>
      <c r="I3" s="22">
        <f>iferror(vlookup('แบบประเมินคณะกำกับหลักสูตร'!H:H,lookup!$A$18:$B$20,2,false),"")</f>
        <v>3</v>
      </c>
      <c r="K3" s="23">
        <v>2.0</v>
      </c>
      <c r="L3" s="24" t="s">
        <v>38</v>
      </c>
      <c r="M3" s="25">
        <f t="shared" si="1"/>
        <v>1</v>
      </c>
    </row>
    <row r="4">
      <c r="A4" s="17">
        <f>'แบบประเมินคณะกำกับหลักสูตร'!A:A</f>
        <v>46213.43534</v>
      </c>
      <c r="B4" s="17" t="str">
        <f>'แบบประเมินคณะกำกับหลักสูตร'!B:B</f>
        <v>nantipong.h@signalschool.ac.th</v>
      </c>
      <c r="C4" s="17" t="str">
        <f>'แบบประเมินคณะกำกับหลักสูตร'!C:C</f>
        <v>ผช.อาจารย์กำกับหลักสูตร (3)</v>
      </c>
      <c r="D4" s="19">
        <v>1.0</v>
      </c>
      <c r="E4" s="22">
        <f>iferror(vlookup('แบบประเมินคณะกำกับหลักสูตร'!D:D,lookup!$A$2:$B$4,2,false),"")</f>
        <v>5</v>
      </c>
      <c r="F4" s="22">
        <f>iferror(vlookup('แบบประเมินคณะกำกับหลักสูตร'!E:E,lookup!$A$6:$B$8,2,false),"")</f>
        <v>5</v>
      </c>
      <c r="G4" s="22">
        <f>iferror(vlookup('แบบประเมินคณะกำกับหลักสูตร'!F:F,lookup!$A$10:$B$12,2,false),"")</f>
        <v>5</v>
      </c>
      <c r="H4" s="22">
        <f>iferror(vlookup('แบบประเมินคณะกำกับหลักสูตร'!G:G,lookup!$A$14:$B$16,2,false),"")</f>
        <v>5</v>
      </c>
      <c r="I4" s="22">
        <f>iferror(vlookup('แบบประเมินคณะกำกับหลักสูตร'!H:H,lookup!$A$18:$B$20,2,false),"")</f>
        <v>5</v>
      </c>
      <c r="K4" s="23">
        <v>3.0</v>
      </c>
      <c r="L4" s="24" t="s">
        <v>34</v>
      </c>
      <c r="M4" s="25">
        <f t="shared" si="1"/>
        <v>1</v>
      </c>
    </row>
    <row r="5">
      <c r="A5" s="17">
        <f>'แบบประเมินคณะกำกับหลักสูตร'!A:A</f>
        <v>46213.43553</v>
      </c>
      <c r="B5" s="17" t="str">
        <f>'แบบประเมินคณะกำกับหลักสูตร'!B:B</f>
        <v>jaroonbuasri@gmail.com</v>
      </c>
      <c r="C5" s="17" t="str">
        <f>'แบบประเมินคณะกำกับหลักสูตร'!C:C</f>
        <v>นายสิบประจำหลักสูตร (1)</v>
      </c>
      <c r="D5" s="19">
        <v>1.0</v>
      </c>
      <c r="E5" s="22">
        <f>iferror(vlookup('แบบประเมินคณะกำกับหลักสูตร'!D:D,lookup!$A$2:$B$4,2,false),"")</f>
        <v>5</v>
      </c>
      <c r="F5" s="22">
        <f>iferror(vlookup('แบบประเมินคณะกำกับหลักสูตร'!E:E,lookup!$A$6:$B$8,2,false),"")</f>
        <v>5</v>
      </c>
      <c r="G5" s="22">
        <f>iferror(vlookup('แบบประเมินคณะกำกับหลักสูตร'!F:F,lookup!$A$10:$B$12,2,false),"")</f>
        <v>5</v>
      </c>
      <c r="H5" s="22">
        <f>iferror(vlookup('แบบประเมินคณะกำกับหลักสูตร'!G:G,lookup!$A$14:$B$16,2,false),"")</f>
        <v>5</v>
      </c>
      <c r="I5" s="22">
        <f>iferror(vlookup('แบบประเมินคณะกำกับหลักสูตร'!H:H,lookup!$A$18:$B$20,2,false),"")</f>
        <v>5</v>
      </c>
      <c r="K5" s="23">
        <v>4.0</v>
      </c>
      <c r="L5" s="24" t="s">
        <v>24</v>
      </c>
      <c r="M5" s="25">
        <f t="shared" si="1"/>
        <v>1</v>
      </c>
    </row>
    <row r="6">
      <c r="A6" s="17">
        <f>'แบบประเมินคณะกำกับหลักสูตร'!A:A</f>
        <v>46213.43838</v>
      </c>
      <c r="B6" s="17" t="str">
        <f>'แบบประเมินคณะกำกับหลักสูตร'!B:B</f>
        <v>supatt89@gmail.com</v>
      </c>
      <c r="C6" s="17" t="str">
        <f>'แบบประเมินคณะกำกับหลักสูตร'!C:C</f>
        <v>อาจารย์กำกับหลักสูตร</v>
      </c>
      <c r="D6" s="19">
        <v>1.0</v>
      </c>
      <c r="E6" s="22">
        <f>iferror(vlookup('แบบประเมินคณะกำกับหลักสูตร'!D:D,lookup!$A$2:$B$4,2,false),"")</f>
        <v>5</v>
      </c>
      <c r="F6" s="22">
        <f>iferror(vlookup('แบบประเมินคณะกำกับหลักสูตร'!E:E,lookup!$A$6:$B$8,2,false),"")</f>
        <v>5</v>
      </c>
      <c r="G6" s="22">
        <f>iferror(vlookup('แบบประเมินคณะกำกับหลักสูตร'!F:F,lookup!$A$10:$B$12,2,false),"")</f>
        <v>5</v>
      </c>
      <c r="H6" s="22">
        <f>iferror(vlookup('แบบประเมินคณะกำกับหลักสูตร'!G:G,lookup!$A$14:$B$16,2,false),"")</f>
        <v>5</v>
      </c>
      <c r="I6" s="22">
        <f>iferror(vlookup('แบบประเมินคณะกำกับหลักสูตร'!H:H,lookup!$A$18:$B$20,2,false),"")</f>
        <v>3</v>
      </c>
      <c r="K6" s="23">
        <v>5.0</v>
      </c>
      <c r="L6" s="24" t="s">
        <v>49</v>
      </c>
      <c r="M6" s="25">
        <f t="shared" si="1"/>
        <v>0</v>
      </c>
    </row>
    <row r="7">
      <c r="A7" s="17">
        <f>'แบบประเมินคณะกำกับหลักสูตร'!A:A</f>
        <v>46213.44053</v>
      </c>
      <c r="B7" s="17" t="str">
        <f>'แบบประเมินคณะกำกับหลักสูตร'!B:B</f>
        <v>sitthisak3@signalschool.ac.th</v>
      </c>
      <c r="C7" s="17" t="str">
        <f>'แบบประเมินคณะกำกับหลักสูตร'!C:C</f>
        <v>นายสิบประจำหลักสูตร (4)</v>
      </c>
      <c r="D7" s="19">
        <v>1.0</v>
      </c>
      <c r="E7" s="22">
        <f>iferror(vlookup('แบบประเมินคณะกำกับหลักสูตร'!D:D,lookup!$A$2:$B$4,2,false),"")</f>
        <v>5</v>
      </c>
      <c r="F7" s="22">
        <f>iferror(vlookup('แบบประเมินคณะกำกับหลักสูตร'!E:E,lookup!$A$6:$B$8,2,false),"")</f>
        <v>5</v>
      </c>
      <c r="G7" s="22">
        <f>iferror(vlookup('แบบประเมินคณะกำกับหลักสูตร'!F:F,lookup!$A$10:$B$12,2,false),"")</f>
        <v>5</v>
      </c>
      <c r="H7" s="22">
        <f>iferror(vlookup('แบบประเมินคณะกำกับหลักสูตร'!G:G,lookup!$A$14:$B$16,2,false),"")</f>
        <v>5</v>
      </c>
      <c r="I7" s="22">
        <f>iferror(vlookup('แบบประเมินคณะกำกับหลักสูตร'!H:H,lookup!$A$18:$B$20,2,false),"")</f>
        <v>5</v>
      </c>
      <c r="K7" s="23">
        <v>6.0</v>
      </c>
      <c r="L7" s="24" t="s">
        <v>20</v>
      </c>
      <c r="M7" s="25">
        <f t="shared" si="1"/>
        <v>1</v>
      </c>
    </row>
    <row r="8">
      <c r="A8" s="17">
        <f>'แบบประเมินคณะกำกับหลักสูตร'!A:A</f>
        <v>46213.45612</v>
      </c>
      <c r="B8" s="17" t="str">
        <f>'แบบประเมินคณะกำกับหลักสูตร'!B:B</f>
        <v>premmee191@gmail.com</v>
      </c>
      <c r="C8" s="17" t="str">
        <f>'แบบประเมินคณะกำกับหลักสูตร'!C:C</f>
        <v>ผช.อาจารย์กำกับหลักสูตร (2)</v>
      </c>
      <c r="D8" s="19">
        <v>1.0</v>
      </c>
      <c r="E8" s="22">
        <f>iferror(vlookup('แบบประเมินคณะกำกับหลักสูตร'!D:D,lookup!$A$2:$B$4,2,false),"")</f>
        <v>5</v>
      </c>
      <c r="F8" s="22">
        <f>iferror(vlookup('แบบประเมินคณะกำกับหลักสูตร'!E:E,lookup!$A$6:$B$8,2,false),"")</f>
        <v>5</v>
      </c>
      <c r="G8" s="22">
        <f>iferror(vlookup('แบบประเมินคณะกำกับหลักสูตร'!F:F,lookup!$A$10:$B$12,2,false),"")</f>
        <v>5</v>
      </c>
      <c r="H8" s="22">
        <f>iferror(vlookup('แบบประเมินคณะกำกับหลักสูตร'!G:G,lookup!$A$14:$B$16,2,false),"")</f>
        <v>5</v>
      </c>
      <c r="I8" s="22">
        <f>iferror(vlookup('แบบประเมินคณะกำกับหลักสูตร'!H:H,lookup!$A$18:$B$20,2,false),"")</f>
        <v>3</v>
      </c>
      <c r="K8" s="23">
        <v>7.0</v>
      </c>
      <c r="L8" s="24" t="s">
        <v>36</v>
      </c>
      <c r="M8" s="25">
        <f t="shared" si="1"/>
        <v>1</v>
      </c>
    </row>
    <row r="9">
      <c r="A9" s="17">
        <f>'แบบประเมินคณะกำกับหลักสูตร'!A:A</f>
        <v>46213.5097</v>
      </c>
      <c r="B9" s="17" t="str">
        <f>'แบบประเมินคณะกำกับหลักสูตร'!B:B</f>
        <v>sanya.n@signalschool.ac.th</v>
      </c>
      <c r="C9" s="17" t="str">
        <f>'แบบประเมินคณะกำกับหลักสูตร'!C:C</f>
        <v>ผช.อาจารย์ที่ปรึกษาหลักสูตร (2)</v>
      </c>
      <c r="D9" s="19">
        <v>1.0</v>
      </c>
      <c r="E9" s="22">
        <f>iferror(vlookup('แบบประเมินคณะกำกับหลักสูตร'!D:D,lookup!$A$2:$B$4,2,false),"")</f>
        <v>5</v>
      </c>
      <c r="F9" s="22">
        <f>iferror(vlookup('แบบประเมินคณะกำกับหลักสูตร'!E:E,lookup!$A$6:$B$8,2,false),"")</f>
        <v>5</v>
      </c>
      <c r="G9" s="22">
        <f>iferror(vlookup('แบบประเมินคณะกำกับหลักสูตร'!F:F,lookup!$A$10:$B$12,2,false),"")</f>
        <v>5</v>
      </c>
      <c r="H9" s="22">
        <f>iferror(vlookup('แบบประเมินคณะกำกับหลักสูตร'!G:G,lookup!$A$14:$B$16,2,false),"")</f>
        <v>5</v>
      </c>
      <c r="I9" s="22">
        <f>iferror(vlookup('แบบประเมินคณะกำกับหลักสูตร'!H:H,lookup!$A$18:$B$20,2,false),"")</f>
        <v>3</v>
      </c>
      <c r="K9" s="31">
        <v>8.0</v>
      </c>
      <c r="L9" s="24" t="s">
        <v>26</v>
      </c>
      <c r="M9" s="25">
        <f t="shared" si="1"/>
        <v>1</v>
      </c>
    </row>
    <row r="10">
      <c r="A10" s="17">
        <f>'แบบประเมินคณะกำกับหลักสูตร'!A:A</f>
        <v>46215.43619</v>
      </c>
      <c r="B10" s="17" t="str">
        <f>'แบบประเมินคณะกำกับหลักสูตร'!B:B</f>
        <v>winyu3551@gmail.com</v>
      </c>
      <c r="C10" s="17" t="str">
        <f>'แบบประเมินคณะกำกับหลักสูตร'!C:C</f>
        <v>ผช.อาจารย์กำกับหลักสูตร (1)</v>
      </c>
      <c r="D10" s="19">
        <v>1.0</v>
      </c>
      <c r="E10" s="22">
        <f>iferror(vlookup('แบบประเมินคณะกำกับหลักสูตร'!D:D,lookup!$A$2:$B$4,2,false),"")</f>
        <v>5</v>
      </c>
      <c r="F10" s="22">
        <f>iferror(vlookup('แบบประเมินคณะกำกับหลักสูตร'!E:E,lookup!$A$6:$B$8,2,false),"")</f>
        <v>5</v>
      </c>
      <c r="G10" s="22">
        <f>iferror(vlookup('แบบประเมินคณะกำกับหลักสูตร'!F:F,lookup!$A$10:$B$12,2,false),"")</f>
        <v>5</v>
      </c>
      <c r="H10" s="22">
        <f>iferror(vlookup('แบบประเมินคณะกำกับหลักสูตร'!G:G,lookup!$A$14:$B$16,2,false),"")</f>
        <v>5</v>
      </c>
      <c r="I10" s="22">
        <f>iferror(vlookup('แบบประเมินคณะกำกับหลักสูตร'!H:H,lookup!$A$18:$B$20,2,false),"")</f>
        <v>5</v>
      </c>
      <c r="K10" s="31">
        <v>9.0</v>
      </c>
      <c r="L10" s="24" t="s">
        <v>14</v>
      </c>
      <c r="M10" s="25">
        <f t="shared" si="1"/>
        <v>1</v>
      </c>
    </row>
    <row r="11">
      <c r="A11" s="17" t="str">
        <f>'แบบประเมินคณะกำกับหลักสูตร'!A:A</f>
        <v/>
      </c>
      <c r="B11" s="17" t="str">
        <f>'แบบประเมินคณะกำกับหลักสูตร'!B:B</f>
        <v/>
      </c>
      <c r="C11" s="17" t="str">
        <f>'แบบประเมินคณะกำกับหลักสูตร'!C:C</f>
        <v/>
      </c>
      <c r="D11" s="19">
        <v>1.0</v>
      </c>
      <c r="E11" s="32">
        <v>5.0</v>
      </c>
      <c r="F11" s="32">
        <v>5.0</v>
      </c>
      <c r="G11" s="32">
        <v>3.0</v>
      </c>
      <c r="H11" s="32">
        <v>5.0</v>
      </c>
      <c r="I11" s="32">
        <v>3.0</v>
      </c>
      <c r="K11" s="31">
        <v>10.0</v>
      </c>
      <c r="L11" s="24" t="s">
        <v>50</v>
      </c>
      <c r="M11" s="25">
        <f t="shared" si="1"/>
        <v>0</v>
      </c>
    </row>
    <row r="12">
      <c r="A12" s="17" t="str">
        <f>'แบบประเมินคณะกำกับหลักสูตร'!A:A</f>
        <v/>
      </c>
      <c r="B12" s="17" t="str">
        <f>'แบบประเมินคณะกำกับหลักสูตร'!B:B</f>
        <v/>
      </c>
      <c r="C12" s="17" t="str">
        <f>'แบบประเมินคณะกำกับหลักสูตร'!C:C</f>
        <v/>
      </c>
      <c r="D12" s="19">
        <v>1.0</v>
      </c>
      <c r="E12" s="32">
        <v>5.0</v>
      </c>
      <c r="F12" s="32">
        <v>5.0</v>
      </c>
      <c r="G12" s="32">
        <v>5.0</v>
      </c>
      <c r="H12" s="32">
        <v>5.0</v>
      </c>
      <c r="I12" s="32">
        <v>5.0</v>
      </c>
      <c r="K12" s="31">
        <v>11.0</v>
      </c>
      <c r="L12" s="24" t="s">
        <v>32</v>
      </c>
      <c r="M12" s="25">
        <f t="shared" si="1"/>
        <v>1</v>
      </c>
    </row>
    <row r="13">
      <c r="A13" s="17" t="str">
        <f>'แบบประเมินคณะกำกับหลักสูตร'!A:A</f>
        <v/>
      </c>
      <c r="B13" s="17" t="str">
        <f>'แบบประเมินคณะกำกับหลักสูตร'!B:B</f>
        <v/>
      </c>
      <c r="C13" s="17" t="str">
        <f>'แบบประเมินคณะกำกับหลักสูตร'!C:C</f>
        <v/>
      </c>
      <c r="D13" s="19">
        <v>1.0</v>
      </c>
      <c r="E13" s="22"/>
      <c r="F13" s="22"/>
      <c r="G13" s="22"/>
      <c r="H13" s="22"/>
      <c r="I13" s="22"/>
      <c r="J13" s="33" t="s">
        <v>53</v>
      </c>
      <c r="K13" s="23"/>
      <c r="L13" s="5" t="s">
        <v>51</v>
      </c>
      <c r="M13" s="34">
        <f>SUM(M2:M12)</f>
        <v>9</v>
      </c>
    </row>
    <row r="14">
      <c r="A14" s="35" t="s">
        <v>54</v>
      </c>
      <c r="B14" s="14"/>
      <c r="C14" s="15"/>
      <c r="D14" s="36"/>
      <c r="E14" s="37">
        <f t="shared" ref="E14:I14" si="2">IFERROR(AVERAGE(E2:E12),"")</f>
        <v>5</v>
      </c>
      <c r="F14" s="37">
        <f t="shared" si="2"/>
        <v>5</v>
      </c>
      <c r="G14" s="37">
        <f t="shared" si="2"/>
        <v>4.636363636</v>
      </c>
      <c r="H14" s="37">
        <f t="shared" si="2"/>
        <v>5</v>
      </c>
      <c r="I14" s="37">
        <f t="shared" si="2"/>
        <v>4.090909091</v>
      </c>
      <c r="J14" s="38">
        <f>IFERROR(AVERAGE(E14:I14),"")</f>
        <v>4.745454545</v>
      </c>
      <c r="K14" s="23"/>
      <c r="L14" s="5" t="s">
        <v>52</v>
      </c>
      <c r="M14" s="39">
        <f>(M13*100)/11</f>
        <v>81.81818182</v>
      </c>
    </row>
    <row r="15">
      <c r="K15" s="23"/>
    </row>
  </sheetData>
  <mergeCells count="2">
    <mergeCell ref="K1:M1"/>
    <mergeCell ref="A14:C1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6.0"/>
    <col customWidth="1" min="3" max="3" width="19.0"/>
  </cols>
  <sheetData>
    <row r="1">
      <c r="A1" s="2" t="s">
        <v>1</v>
      </c>
      <c r="B1" s="4" t="s">
        <v>11</v>
      </c>
      <c r="C1" s="2" t="s">
        <v>13</v>
      </c>
    </row>
    <row r="2">
      <c r="A2" s="7">
        <v>1.0</v>
      </c>
      <c r="B2" s="8" t="s">
        <v>27</v>
      </c>
      <c r="C2" s="18" t="str">
        <f>if(toNum!M2=1,IMAGE("https://cdn-icons-png.flaticon.com/512/716/716225.png"),IMAGE("https://cdn-icons-png.flaticon.com/512/753/753345.png"))</f>
        <v/>
      </c>
    </row>
    <row r="3">
      <c r="A3" s="7">
        <v>2.0</v>
      </c>
      <c r="B3" s="8" t="s">
        <v>38</v>
      </c>
      <c r="C3" s="18" t="str">
        <f>if(toNum!M3=1,IMAGE("https://cdn-icons-png.flaticon.com/512/716/716225.png"),IMAGE("https://cdn-icons-png.flaticon.com/512/753/753345.png"))</f>
        <v/>
      </c>
    </row>
    <row r="4">
      <c r="A4" s="7">
        <v>3.0</v>
      </c>
      <c r="B4" s="8" t="s">
        <v>34</v>
      </c>
      <c r="C4" s="18" t="str">
        <f>if(toNum!M4=1,IMAGE("https://cdn-icons-png.flaticon.com/512/716/716225.png"),IMAGE("https://cdn-icons-png.flaticon.com/512/753/753345.png"))</f>
        <v/>
      </c>
    </row>
    <row r="5">
      <c r="A5" s="7">
        <v>4.0</v>
      </c>
      <c r="B5" s="8" t="s">
        <v>24</v>
      </c>
      <c r="C5" s="18" t="str">
        <f>if(toNum!M5=1,IMAGE("https://cdn-icons-png.flaticon.com/512/716/716225.png"),IMAGE("https://cdn-icons-png.flaticon.com/512/753/753345.png"))</f>
        <v/>
      </c>
    </row>
    <row r="6">
      <c r="A6" s="7">
        <v>5.0</v>
      </c>
      <c r="B6" s="8" t="s">
        <v>49</v>
      </c>
      <c r="C6" s="18" t="str">
        <f>if(toNum!M6=1,IMAGE("https://cdn-icons-png.flaticon.com/512/716/716225.png"),IMAGE("https://cdn-icons-png.flaticon.com/512/753/753345.png"))</f>
        <v/>
      </c>
    </row>
    <row r="7">
      <c r="A7" s="7">
        <v>6.0</v>
      </c>
      <c r="B7" s="8" t="s">
        <v>20</v>
      </c>
      <c r="C7" s="18" t="str">
        <f>if(toNum!M7=1,IMAGE("https://cdn-icons-png.flaticon.com/512/716/716225.png"),IMAGE("https://cdn-icons-png.flaticon.com/512/753/753345.png"))</f>
        <v/>
      </c>
    </row>
    <row r="8">
      <c r="A8" s="7">
        <v>7.0</v>
      </c>
      <c r="B8" s="8" t="s">
        <v>36</v>
      </c>
      <c r="C8" s="18" t="str">
        <f>if(toNum!M8=1,IMAGE("https://cdn-icons-png.flaticon.com/512/716/716225.png"),IMAGE("https://cdn-icons-png.flaticon.com/512/753/753345.png"))</f>
        <v/>
      </c>
    </row>
    <row r="9">
      <c r="A9" s="7">
        <v>8.0</v>
      </c>
      <c r="B9" s="8" t="s">
        <v>26</v>
      </c>
      <c r="C9" s="18" t="str">
        <f>if(toNum!M9=1,IMAGE("https://cdn-icons-png.flaticon.com/512/716/716225.png"),IMAGE("https://cdn-icons-png.flaticon.com/512/753/753345.png"))</f>
        <v/>
      </c>
    </row>
    <row r="10">
      <c r="A10" s="7">
        <v>9.0</v>
      </c>
      <c r="B10" s="8" t="s">
        <v>14</v>
      </c>
      <c r="C10" s="18" t="str">
        <f>if(toNum!M10=1,IMAGE("https://cdn-icons-png.flaticon.com/512/716/716225.png"),IMAGE("https://cdn-icons-png.flaticon.com/512/753/753345.png"))</f>
        <v/>
      </c>
    </row>
    <row r="11">
      <c r="A11" s="7">
        <v>10.0</v>
      </c>
      <c r="B11" s="8" t="s">
        <v>50</v>
      </c>
      <c r="C11" s="18" t="str">
        <f>if(toNum!M11=1,IMAGE("https://cdn-icons-png.flaticon.com/512/716/716225.png"),IMAGE("https://cdn-icons-png.flaticon.com/512/753/753345.png"))</f>
        <v/>
      </c>
    </row>
    <row r="12">
      <c r="A12" s="7">
        <v>11.0</v>
      </c>
      <c r="B12" s="8" t="s">
        <v>32</v>
      </c>
      <c r="C12" s="18" t="str">
        <f>if(toNum!M12=1,IMAGE("https://cdn-icons-png.flaticon.com/512/716/716225.png"),IMAGE("https://cdn-icons-png.flaticon.com/512/753/753345.png"))</f>
        <v/>
      </c>
    </row>
    <row r="13">
      <c r="A13" s="26" t="s">
        <v>51</v>
      </c>
      <c r="B13" s="27"/>
      <c r="C13" s="28">
        <f>toNum!M13</f>
        <v>9</v>
      </c>
    </row>
    <row r="14">
      <c r="A14" s="29" t="s">
        <v>52</v>
      </c>
      <c r="C14" s="30">
        <f>toNum!M14</f>
        <v>81.81818182</v>
      </c>
    </row>
  </sheetData>
  <mergeCells count="2">
    <mergeCell ref="A13:B13"/>
    <mergeCell ref="A14:B14"/>
  </mergeCell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2.13"/>
  </cols>
  <sheetData>
    <row r="2">
      <c r="A2" s="9" t="s">
        <v>2</v>
      </c>
      <c r="B2" s="5">
        <v>5.0</v>
      </c>
    </row>
    <row r="3">
      <c r="A3" s="12" t="s">
        <v>39</v>
      </c>
      <c r="B3" s="5">
        <v>3.0</v>
      </c>
    </row>
    <row r="4">
      <c r="A4" s="12" t="s">
        <v>41</v>
      </c>
      <c r="B4" s="5">
        <v>1.0</v>
      </c>
    </row>
    <row r="5">
      <c r="A5" s="9"/>
      <c r="B5" s="5"/>
    </row>
    <row r="6">
      <c r="A6" s="9" t="s">
        <v>15</v>
      </c>
      <c r="B6" s="5">
        <v>5.0</v>
      </c>
    </row>
    <row r="7">
      <c r="A7" s="12" t="s">
        <v>42</v>
      </c>
      <c r="B7" s="5">
        <v>3.0</v>
      </c>
    </row>
    <row r="8">
      <c r="A8" s="12" t="s">
        <v>43</v>
      </c>
      <c r="B8" s="5">
        <v>1.0</v>
      </c>
    </row>
    <row r="9">
      <c r="A9" s="16"/>
    </row>
    <row r="10">
      <c r="A10" s="9" t="s">
        <v>16</v>
      </c>
      <c r="B10" s="5">
        <v>5.0</v>
      </c>
    </row>
    <row r="11">
      <c r="A11" s="12" t="s">
        <v>21</v>
      </c>
      <c r="B11" s="5">
        <v>3.0</v>
      </c>
    </row>
    <row r="12">
      <c r="A12" s="12" t="s">
        <v>44</v>
      </c>
      <c r="B12" s="5">
        <v>1.0</v>
      </c>
    </row>
    <row r="13">
      <c r="A13" s="16"/>
    </row>
    <row r="14">
      <c r="A14" s="9" t="s">
        <v>45</v>
      </c>
      <c r="B14" s="5">
        <v>5.0</v>
      </c>
    </row>
    <row r="15">
      <c r="A15" s="12" t="s">
        <v>46</v>
      </c>
      <c r="B15" s="5">
        <v>3.0</v>
      </c>
    </row>
    <row r="16">
      <c r="A16" s="12" t="s">
        <v>47</v>
      </c>
      <c r="B16" s="5">
        <v>1.0</v>
      </c>
    </row>
    <row r="17">
      <c r="A17" s="16"/>
    </row>
    <row r="18">
      <c r="A18" s="9" t="s">
        <v>18</v>
      </c>
      <c r="B18" s="5">
        <v>5.0</v>
      </c>
    </row>
    <row r="19">
      <c r="A19" s="12" t="s">
        <v>22</v>
      </c>
      <c r="B19" s="5">
        <v>3.0</v>
      </c>
    </row>
    <row r="20">
      <c r="A20" s="12" t="s">
        <v>48</v>
      </c>
      <c r="B20" s="5">
        <v>1.0</v>
      </c>
    </row>
    <row r="22">
      <c r="A22" s="20"/>
    </row>
    <row r="23">
      <c r="A23" s="21"/>
    </row>
    <row r="24">
      <c r="A24" s="21"/>
    </row>
    <row r="26">
      <c r="A26" s="20"/>
    </row>
    <row r="27">
      <c r="A27" s="21"/>
    </row>
    <row r="28">
      <c r="A28" s="21"/>
    </row>
  </sheetData>
  <drawing r:id="rId1"/>
</worksheet>
</file>