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แบบประเมิน" sheetId="1" r:id="rId5"/>
    <sheet state="visible" name="toNum" sheetId="2" r:id="rId6"/>
    <sheet state="visible" name="Show on Web" sheetId="3" r:id="rId7"/>
    <sheet state="visible" name="lookup" sheetId="4" r:id="rId8"/>
  </sheets>
  <definedNames/>
  <calcPr/>
</workbook>
</file>

<file path=xl/sharedStrings.xml><?xml version="1.0" encoding="utf-8"?>
<sst xmlns="http://schemas.openxmlformats.org/spreadsheetml/2006/main" count="174" uniqueCount="79">
  <si>
    <t>ลำดับ</t>
  </si>
  <si>
    <t>ประทับเวลา</t>
  </si>
  <si>
    <t>รายวิชา</t>
  </si>
  <si>
    <t xml:space="preserve">มีความตั้งใจเรียนและให้ความร่วมมือในการทำกิจกรรม </t>
  </si>
  <si>
    <t>ที่อยู่อีเมล</t>
  </si>
  <si>
    <t>ยศ - ชื่อ - สกุล ผู้สอน</t>
  </si>
  <si>
    <t>วิชาที่สอน</t>
  </si>
  <si>
    <t>ตรวจสอบ</t>
  </si>
  <si>
    <t xml:space="preserve">1. ความตั้งใจเรียนและการให้ความร่วมมือของนักเรียน </t>
  </si>
  <si>
    <t>2. ความพร้อมที่จะเรียนและความกระตือรือร้นในการเรียน</t>
  </si>
  <si>
    <t>3. การปฏิบัติตามกฏ ระเบียบของโรงเรียนและความมีวินัย</t>
  </si>
  <si>
    <t>4. ความซื่อสัตย์ในการสอบและความตรงต่อเวลาในการส่งงาน</t>
  </si>
  <si>
    <t>5. คุณลักษณะของผู้เรียน</t>
  </si>
  <si>
    <t>ข้อเสนอแนะอื่นๆ</t>
  </si>
  <si>
    <t>1. การจัดหน่วยทหารสื่อสาร</t>
  </si>
  <si>
    <t>bnco0966@signalschool.ac.th</t>
  </si>
  <si>
    <t>ส.อ.พจนันท์ ประสิทธิสัชณุกรณ์</t>
  </si>
  <si>
    <t>6 การสื่อสารประเภทสาย</t>
  </si>
  <si>
    <t>มีความตั้งใจเรียนและให้ความร่วมมือในการทำกิจกรรม</t>
  </si>
  <si>
    <t>มีความพร้อมที่จะเรียนและมีความกระตือรือร้นในการเรียนเป็นอย่างมาก</t>
  </si>
  <si>
    <t>มีความตั้งใจเรียน "แต่ไม่ค่อยให้ความร่วมมือ" ในการทำกิจกรรม</t>
  </si>
  <si>
    <t>มีการปฏิบัติตามกฏ ระเบียบของโรงเรียน และความมีวินัยอย่างเคร่งครัด</t>
  </si>
  <si>
    <t>มีความซื่อสัตย์ในการสอบและตรงต่อเวลาในการส่งงาน</t>
  </si>
  <si>
    <t>มีลักษณะทางทหารและมีความเป็นผู้นำได้อย่างดีมาก</t>
  </si>
  <si>
    <t>signal.school01711@gmail.com</t>
  </si>
  <si>
    <t>จ.ส.อ. พัลลภ  ดวงเดือน</t>
  </si>
  <si>
    <t>3 วงจรไฟฟ้า</t>
  </si>
  <si>
    <t>edu.sap@signalschool.ac.th</t>
  </si>
  <si>
    <t xml:space="preserve">"ไม่ตั้งใจเรียน" และ "ไม่ให้ความร่วมมือ" ในการทำกิจกรรม </t>
  </si>
  <si>
    <t>พ.ต. ไมตรี  บุญเหลื่อม</t>
  </si>
  <si>
    <t>10 การรักษาความปลอดภัย</t>
  </si>
  <si>
    <t>มีความพร้อมที่จะเรียนและมีความกระตือรือร้นในการเรียน</t>
  </si>
  <si>
    <t>มีการปฏิบัติตามกฏ ระเบียบของโรงเรียน และความมีวินัย</t>
  </si>
  <si>
    <t xml:space="preserve">มีความพร้อมที่จะเรียนและมีความกระตือรือร้นในการเรียนเป็นอย่างมาก </t>
  </si>
  <si>
    <t>มีลักษณะทางทหารและมีความเป็นผู้นำได้อย่างมีความเหมาะสม</t>
  </si>
  <si>
    <t>11 การป้องกันและปราบปรามการก่อความไม่สงบ</t>
  </si>
  <si>
    <t xml:space="preserve">"ไม่มีความพร้อมที่จะเรียน" และ "ไม่มีความกระตือรือร้น" ในการเรียน </t>
  </si>
  <si>
    <t>4. ความซื่อสัตย์ในการสอบและตรงต่อเวลาในการส่งงาน</t>
  </si>
  <si>
    <t xml:space="preserve">มีการปฏิบัติตามกฏ ระเบียบของโรงเรียน และความมีวินัยอย่างเคร่งครัด </t>
  </si>
  <si>
    <t>ต่รวจสอบการเข้าประเมิน</t>
  </si>
  <si>
    <t>12 ระเบียบงานสารบรรณ</t>
  </si>
  <si>
    <t xml:space="preserve">ไม่ปฏิบัติตามกฏ ระเบียบของโรงเรียน และไม่มีวินัย </t>
  </si>
  <si>
    <t xml:space="preserve">มีความซื่อสัตย์ในการสอบและตรงต่อเวลาในการส่งงาน </t>
  </si>
  <si>
    <t xml:space="preserve">มีความซื่อสัตย์ในการสอบ "แต่ไม่ตรงต่อเวลา" ในการส่งงาน </t>
  </si>
  <si>
    <t>"ไม่มีความซื่อสัตย์ในการสอบ" และ "ไม่ตรงต่อเวลา" ในการส่งงาน</t>
  </si>
  <si>
    <t>13 แผนที่เข็มทิศ</t>
  </si>
  <si>
    <t xml:space="preserve">มีลักษณะทางทหารและมีความเป็นผู้นำได้อย่างดีมาก </t>
  </si>
  <si>
    <t>ลักษณะทางทหารต้องได้รับการปรับปรุง</t>
  </si>
  <si>
    <t>14 ผู้นำหน่วย</t>
  </si>
  <si>
    <t>16 ฝึกทบทวนการใช้เครื่องมือสื่อสาร</t>
  </si>
  <si>
    <t>edu.rad@signalschool.ac.th</t>
  </si>
  <si>
    <t>จ.ส.อ.สุริวัฒน์  นาคเกตุ</t>
  </si>
  <si>
    <t>5 การสื่อสารประเภทวิทยุและการสงครามอิเล็กทรอนิกส์</t>
  </si>
  <si>
    <t>edu.gen@signalschool.ac.th</t>
  </si>
  <si>
    <t>ส.อ.ชาตรี  คำทะเนตร</t>
  </si>
  <si>
    <t>9 ภาษาอังกฤษทางทหาร</t>
  </si>
  <si>
    <t>จ.ส.อ. ชัยยุทธ  ดิษบุตร</t>
  </si>
  <si>
    <t>15 วิชาตามนโยบายที่กองทัพบกกำหนด</t>
  </si>
  <si>
    <t>edu.wir@signalschool.ac.th</t>
  </si>
  <si>
    <t>ส.อ. พจนนันท์  ประสิทธิ์สัชฌุกร , ส.อ. ศุภณัฐ  ไชยโสภา</t>
  </si>
  <si>
    <t>2. การส่งกำลังและซ่อมบำรุงสายสื่อสาร</t>
  </si>
  <si>
    <t>3. วงจรไฟฟ้า</t>
  </si>
  <si>
    <t>4. การสื่อสารทางยุทธวิธี</t>
  </si>
  <si>
    <t>5. การสื่อสารประเภทวิทยุและการสงครามอิเล็กทรอนิกส์</t>
  </si>
  <si>
    <t>6. การสื่อสารประเภทสาย</t>
  </si>
  <si>
    <t>7. การอำนวยการทางการสื่อสาร</t>
  </si>
  <si>
    <t>8. ภาษาอังกฤษทางทหาร</t>
  </si>
  <si>
    <t>9. การพัฒนาทักษะดิจิทัลที่จำเป็น ระดับต้น</t>
  </si>
  <si>
    <t>10. การรักษาความปลอดภัย</t>
  </si>
  <si>
    <t>11. การป้องกันและปราบปรามการก่อความไม่สงบ</t>
  </si>
  <si>
    <t>12. ระเบียบงานสารบรรณ</t>
  </si>
  <si>
    <t>13. แผนที่เข็มทิศ</t>
  </si>
  <si>
    <t>14. ผู้นำหน่วย</t>
  </si>
  <si>
    <t>15. วิชาตามนโยบายที่กองทัพบกกำหนด</t>
  </si>
  <si>
    <t>16. ฝึกทบทวนการใช้เครื่องมือสื่อสาร</t>
  </si>
  <si>
    <t>ยอดผู้เข้าประเมิน</t>
  </si>
  <si>
    <t>ภาพรวมร้อยละ</t>
  </si>
  <si>
    <t>เฉลี่ยรวม</t>
  </si>
  <si>
    <t>ค่าเฉลี่ย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</si>
</sst>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TH SarabunPSK"/>
    </font>
    <font>
      <sz val="11.0"/>
      <color rgb="FF202124"/>
      <name val="Roboto"/>
    </font>
    <font>
      <sz val="11.0"/>
      <color rgb="FFF7981D"/>
      <name val="Inconsolata"/>
    </font>
    <font>
      <color theme="1"/>
      <name val="Arial"/>
    </font>
    <font>
      <sz val="11.0"/>
      <color theme="1"/>
      <name val="Arial"/>
    </font>
    <font>
      <color rgb="FFFF0000"/>
      <name val="Arial"/>
      <scheme val="minor"/>
    </font>
    <font>
      <color rgb="FFFF0000"/>
      <name val="Arial"/>
    </font>
    <font/>
  </fonts>
  <fills count="9">
    <fill>
      <patternFill patternType="none"/>
    </fill>
    <fill>
      <patternFill patternType="lightGray"/>
    </fill>
    <fill>
      <patternFill patternType="solid">
        <fgColor rgb="FFDC8BFF"/>
        <bgColor rgb="FFDC8BFF"/>
      </patternFill>
    </fill>
    <fill>
      <patternFill patternType="solid">
        <fgColor rgb="FFFFFFFF"/>
        <bgColor rgb="FFFFFFFF"/>
      </patternFill>
    </fill>
    <fill>
      <patternFill patternType="solid">
        <fgColor rgb="FFDADCE0"/>
        <bgColor rgb="FFDADCE0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Font="1"/>
    <xf borderId="0" fillId="2" fontId="2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readingOrder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1" fillId="3" fontId="2" numFmtId="0" xfId="0" applyAlignment="1" applyBorder="1" applyFill="1" applyFont="1">
      <alignment readingOrder="0" vertical="bottom"/>
    </xf>
    <xf borderId="1" fillId="0" fontId="1" numFmtId="0" xfId="0" applyAlignment="1" applyBorder="1" applyFont="1">
      <alignment horizontal="center" vertical="center"/>
    </xf>
    <xf borderId="0" fillId="4" fontId="3" numFmtId="0" xfId="0" applyAlignment="1" applyFill="1" applyFont="1">
      <alignment readingOrder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/>
    </xf>
    <xf borderId="2" fillId="3" fontId="2" numFmtId="0" xfId="0" applyAlignment="1" applyBorder="1" applyFill="1" applyFont="1">
      <alignment readingOrder="0" vertical="bottom"/>
    </xf>
    <xf borderId="1" fillId="3" fontId="4" numFmtId="164" xfId="0" applyAlignment="1" applyBorder="1" applyFill="1" applyFont="1" applyNumberFormat="1">
      <alignment vertical="bottom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0" fontId="2" numFmtId="0" xfId="0" applyAlignment="1" applyBorder="1" applyFont="1">
      <alignment readingOrder="0" vertical="bottom"/>
    </xf>
    <xf borderId="0" fillId="3" fontId="2" numFmtId="0" xfId="0" applyAlignment="1" applyFill="1" applyFont="1">
      <alignment readingOrder="0" vertical="bottom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1" fillId="0" fontId="5" numFmtId="0" xfId="0" applyAlignment="1" applyBorder="1" applyFont="1">
      <alignment horizontal="right" vertical="bottom"/>
    </xf>
    <xf borderId="0" fillId="5" fontId="6" numFmtId="0" xfId="0" applyAlignment="1" applyFill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0" fillId="6" fontId="6" numFmtId="0" xfId="0" applyAlignment="1" applyFill="1" applyFont="1">
      <alignment horizontal="center" vertical="bottom"/>
    </xf>
    <xf borderId="1" fillId="0" fontId="5" numFmtId="2" xfId="0" applyAlignment="1" applyBorder="1" applyFont="1" applyNumberFormat="1">
      <alignment horizontal="center" vertical="bottom"/>
    </xf>
    <xf borderId="1" fillId="0" fontId="7" numFmtId="0" xfId="0" applyBorder="1" applyFont="1"/>
    <xf borderId="1" fillId="0" fontId="8" numFmtId="0" xfId="0" applyAlignment="1" applyBorder="1" applyFont="1">
      <alignment horizontal="right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2" xfId="0" applyAlignment="1" applyFont="1" applyNumberFormat="1">
      <alignment horizontal="right" vertical="bottom"/>
    </xf>
    <xf borderId="4" fillId="5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 vertical="bottom"/>
    </xf>
    <xf borderId="1" fillId="5" fontId="1" numFmtId="0" xfId="0" applyAlignment="1" applyBorder="1" applyFill="1" applyFont="1">
      <alignment horizontal="center" readingOrder="0"/>
    </xf>
    <xf borderId="1" fillId="7" fontId="1" numFmtId="0" xfId="0" applyBorder="1" applyFill="1" applyFont="1"/>
    <xf borderId="4" fillId="8" fontId="1" numFmtId="0" xfId="0" applyBorder="1" applyFill="1" applyFont="1"/>
    <xf borderId="5" fillId="0" fontId="9" numFmtId="0" xfId="0" applyBorder="1" applyFont="1"/>
    <xf borderId="1" fillId="7" fontId="1" numFmtId="2" xfId="0" applyBorder="1" applyFill="1" applyFont="1" applyNumberFormat="1"/>
    <xf borderId="4" fillId="8" fontId="1" numFmtId="2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6.5"/>
    <col customWidth="1" min="5" max="16" width="18.88"/>
  </cols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</row>
    <row r="2">
      <c r="A2" s="6">
        <v>46182.434828819445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21</v>
      </c>
      <c r="H2" s="8" t="s">
        <v>22</v>
      </c>
      <c r="I2" s="8" t="s">
        <v>23</v>
      </c>
    </row>
    <row r="3">
      <c r="A3" s="6">
        <v>46213.4293537037</v>
      </c>
      <c r="B3" s="8" t="s">
        <v>24</v>
      </c>
      <c r="C3" s="8" t="s">
        <v>25</v>
      </c>
      <c r="D3" s="8" t="s">
        <v>26</v>
      </c>
      <c r="E3" s="8" t="s">
        <v>18</v>
      </c>
      <c r="F3" s="8" t="s">
        <v>19</v>
      </c>
      <c r="G3" s="8" t="s">
        <v>21</v>
      </c>
      <c r="H3" s="8" t="s">
        <v>22</v>
      </c>
      <c r="I3" s="8" t="s">
        <v>23</v>
      </c>
    </row>
    <row r="4">
      <c r="A4" s="6">
        <v>46214.79638204861</v>
      </c>
      <c r="B4" s="8" t="s">
        <v>27</v>
      </c>
      <c r="C4" s="8" t="s">
        <v>29</v>
      </c>
      <c r="D4" s="8" t="s">
        <v>30</v>
      </c>
      <c r="E4" s="8" t="s">
        <v>18</v>
      </c>
      <c r="F4" s="8" t="s">
        <v>31</v>
      </c>
      <c r="G4" s="8" t="s">
        <v>32</v>
      </c>
      <c r="H4" s="8" t="s">
        <v>22</v>
      </c>
      <c r="I4" s="8" t="s">
        <v>34</v>
      </c>
    </row>
    <row r="5">
      <c r="A5" s="6">
        <v>46214.79662363426</v>
      </c>
      <c r="B5" s="8" t="s">
        <v>27</v>
      </c>
      <c r="C5" s="8" t="s">
        <v>29</v>
      </c>
      <c r="D5" s="8" t="s">
        <v>35</v>
      </c>
      <c r="E5" s="8" t="s">
        <v>18</v>
      </c>
      <c r="F5" s="8" t="s">
        <v>19</v>
      </c>
      <c r="G5" s="8" t="s">
        <v>32</v>
      </c>
      <c r="H5" s="8" t="s">
        <v>22</v>
      </c>
      <c r="I5" s="8" t="s">
        <v>34</v>
      </c>
    </row>
    <row r="6">
      <c r="A6" s="6">
        <v>46214.79683730324</v>
      </c>
      <c r="B6" s="8" t="s">
        <v>27</v>
      </c>
      <c r="C6" s="8" t="s">
        <v>29</v>
      </c>
      <c r="D6" s="8" t="s">
        <v>40</v>
      </c>
      <c r="E6" s="8" t="s">
        <v>18</v>
      </c>
      <c r="F6" s="8" t="s">
        <v>31</v>
      </c>
      <c r="G6" s="8" t="s">
        <v>21</v>
      </c>
      <c r="H6" s="8" t="s">
        <v>22</v>
      </c>
      <c r="I6" s="8" t="s">
        <v>34</v>
      </c>
    </row>
    <row r="7">
      <c r="A7" s="6">
        <v>46214.797130439816</v>
      </c>
      <c r="B7" s="8" t="s">
        <v>27</v>
      </c>
      <c r="C7" s="8" t="s">
        <v>29</v>
      </c>
      <c r="D7" s="8" t="s">
        <v>45</v>
      </c>
      <c r="E7" s="8" t="s">
        <v>18</v>
      </c>
      <c r="F7" s="8" t="s">
        <v>31</v>
      </c>
      <c r="G7" s="8" t="s">
        <v>32</v>
      </c>
      <c r="H7" s="8" t="s">
        <v>22</v>
      </c>
      <c r="I7" s="8" t="s">
        <v>23</v>
      </c>
    </row>
    <row r="8">
      <c r="A8" s="6">
        <v>46214.7973562963</v>
      </c>
      <c r="B8" s="8" t="s">
        <v>27</v>
      </c>
      <c r="C8" s="8" t="s">
        <v>29</v>
      </c>
      <c r="D8" s="8" t="s">
        <v>48</v>
      </c>
      <c r="E8" s="8" t="s">
        <v>18</v>
      </c>
      <c r="F8" s="8" t="s">
        <v>19</v>
      </c>
      <c r="G8" s="8" t="s">
        <v>21</v>
      </c>
      <c r="H8" s="8" t="s">
        <v>22</v>
      </c>
      <c r="I8" s="8" t="s">
        <v>23</v>
      </c>
    </row>
    <row r="9">
      <c r="A9" s="6">
        <v>46214.797661585646</v>
      </c>
      <c r="B9" s="8" t="s">
        <v>27</v>
      </c>
      <c r="C9" s="8" t="s">
        <v>29</v>
      </c>
      <c r="D9" s="8" t="s">
        <v>49</v>
      </c>
      <c r="E9" s="8" t="s">
        <v>18</v>
      </c>
      <c r="F9" s="8" t="s">
        <v>31</v>
      </c>
      <c r="G9" s="8" t="s">
        <v>32</v>
      </c>
      <c r="H9" s="8" t="s">
        <v>22</v>
      </c>
      <c r="I9" s="8" t="s">
        <v>34</v>
      </c>
    </row>
    <row r="10">
      <c r="A10" s="6">
        <v>46260.36218319445</v>
      </c>
      <c r="B10" s="8" t="s">
        <v>50</v>
      </c>
      <c r="C10" s="8" t="s">
        <v>51</v>
      </c>
      <c r="D10" s="8" t="s">
        <v>52</v>
      </c>
      <c r="E10" s="8" t="s">
        <v>18</v>
      </c>
      <c r="F10" s="8" t="s">
        <v>19</v>
      </c>
      <c r="G10" s="8" t="s">
        <v>21</v>
      </c>
      <c r="H10" s="8" t="s">
        <v>22</v>
      </c>
      <c r="I10" s="8" t="s">
        <v>23</v>
      </c>
    </row>
    <row r="11">
      <c r="A11" s="6">
        <v>46262.45006973379</v>
      </c>
      <c r="B11" s="8" t="s">
        <v>53</v>
      </c>
      <c r="C11" s="8" t="s">
        <v>54</v>
      </c>
      <c r="D11" s="8" t="s">
        <v>55</v>
      </c>
      <c r="E11" s="8" t="s">
        <v>18</v>
      </c>
      <c r="F11" s="8" t="s">
        <v>19</v>
      </c>
      <c r="G11" s="8" t="s">
        <v>21</v>
      </c>
      <c r="H11" s="8" t="s">
        <v>22</v>
      </c>
      <c r="I11" s="8" t="s">
        <v>23</v>
      </c>
    </row>
    <row r="12">
      <c r="A12" s="6">
        <v>46262.45055645834</v>
      </c>
      <c r="B12" s="8" t="s">
        <v>53</v>
      </c>
      <c r="C12" s="8" t="s">
        <v>56</v>
      </c>
      <c r="D12" s="8" t="s">
        <v>57</v>
      </c>
      <c r="E12" s="8" t="s">
        <v>18</v>
      </c>
      <c r="F12" s="8" t="s">
        <v>19</v>
      </c>
      <c r="G12" s="8" t="s">
        <v>21</v>
      </c>
      <c r="H12" s="8" t="s">
        <v>22</v>
      </c>
      <c r="I12" s="8" t="s">
        <v>23</v>
      </c>
    </row>
    <row r="13">
      <c r="A13" s="6">
        <v>46287.42806481481</v>
      </c>
      <c r="B13" s="8" t="s">
        <v>58</v>
      </c>
      <c r="C13" s="8" t="s">
        <v>59</v>
      </c>
      <c r="D13" s="8" t="s">
        <v>17</v>
      </c>
      <c r="E13" s="8" t="s">
        <v>18</v>
      </c>
      <c r="F13" s="8" t="s">
        <v>19</v>
      </c>
      <c r="G13" s="8" t="s">
        <v>21</v>
      </c>
      <c r="H13" s="8" t="s">
        <v>22</v>
      </c>
      <c r="I13" s="8" t="s">
        <v>23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5.63"/>
    <col customWidth="1" min="3" max="3" width="36.0"/>
    <col customWidth="1" min="4" max="4" width="1.88"/>
    <col customWidth="1" min="5" max="5" width="16.88"/>
    <col customWidth="1" min="12" max="12" width="36.0"/>
  </cols>
  <sheetData>
    <row r="1">
      <c r="A1" s="7" t="s">
        <v>1</v>
      </c>
      <c r="B1" s="7" t="s">
        <v>4</v>
      </c>
      <c r="C1" s="10" t="s">
        <v>6</v>
      </c>
      <c r="D1" s="12"/>
      <c r="E1" s="13" t="s">
        <v>8</v>
      </c>
      <c r="F1" s="13" t="s">
        <v>9</v>
      </c>
      <c r="G1" s="13" t="s">
        <v>10</v>
      </c>
      <c r="H1" s="13" t="s">
        <v>37</v>
      </c>
      <c r="I1" s="13" t="s">
        <v>12</v>
      </c>
      <c r="L1" s="14" t="s">
        <v>39</v>
      </c>
    </row>
    <row r="2">
      <c r="A2" s="17">
        <f>'แบบประเมิน'!A:A</f>
        <v>46182.43483</v>
      </c>
      <c r="B2" s="17" t="str">
        <f>'แบบประเมิน'!B:B</f>
        <v>bnco0966@signalschool.ac.th</v>
      </c>
      <c r="C2" s="17" t="str">
        <f>'แบบประเมิน'!D:D</f>
        <v>6 การสื่อสารประเภทสาย</v>
      </c>
      <c r="D2" s="18">
        <v>1.0</v>
      </c>
      <c r="E2" s="19">
        <f>iferror(vlookup('แบบประเมิน'!E:E,lookup!$A$2:$B$4,2,false),"")</f>
        <v>5</v>
      </c>
      <c r="F2" s="19">
        <f>iferror(vlookup('แบบประเมิน'!F:F,lookup!$A$6:$B$8,2,false),"")</f>
        <v>5</v>
      </c>
      <c r="G2" s="19">
        <f>iferror(vlookup('แบบประเมิน'!G:G,lookup!$A$10:$B$12,2,false),"")</f>
        <v>5</v>
      </c>
      <c r="H2" s="19">
        <f>iferror(vlookup('แบบประเมิน'!H:H,lookup!$A$14:$B$16,2,false),"")</f>
        <v>5</v>
      </c>
      <c r="I2" s="19">
        <f>iferror(vlookup('แบบประเมิน'!I:I,lookup!$A$18:$B$20,2,false),"")</f>
        <v>5</v>
      </c>
      <c r="K2" s="8" t="s">
        <v>0</v>
      </c>
      <c r="L2" s="21" t="s">
        <v>2</v>
      </c>
      <c r="M2" s="8" t="s">
        <v>7</v>
      </c>
    </row>
    <row r="3">
      <c r="A3" s="17">
        <f>'แบบประเมิน'!A:A</f>
        <v>46213.42935</v>
      </c>
      <c r="B3" s="17" t="str">
        <f>'แบบประเมิน'!B:B</f>
        <v>signal.school01711@gmail.com</v>
      </c>
      <c r="C3" s="17" t="str">
        <f>'แบบประเมิน'!D:D</f>
        <v>3 วงจรไฟฟ้า</v>
      </c>
      <c r="D3" s="18">
        <v>1.0</v>
      </c>
      <c r="E3" s="19">
        <f>iferror(vlookup('แบบประเมิน'!E:E,lookup!$A$2:$B$4,2,false),"")</f>
        <v>5</v>
      </c>
      <c r="F3" s="19">
        <f>iferror(vlookup('แบบประเมิน'!F:F,lookup!$A$6:$B$8,2,false),"")</f>
        <v>5</v>
      </c>
      <c r="G3" s="19">
        <f>iferror(vlookup('แบบประเมิน'!G:G,lookup!$A$10:$B$12,2,false),"")</f>
        <v>5</v>
      </c>
      <c r="H3" s="19">
        <f>iferror(vlookup('แบบประเมิน'!H:H,lookup!$A$14:$B$16,2,false),"")</f>
        <v>5</v>
      </c>
      <c r="I3" s="19">
        <f>iferror(vlookup('แบบประเมิน'!I:I,lookup!$A$18:$B$20,2,false),"")</f>
        <v>5</v>
      </c>
      <c r="K3" s="8">
        <v>1.0</v>
      </c>
      <c r="L3" s="9" t="s">
        <v>14</v>
      </c>
      <c r="M3" s="19">
        <f t="shared" ref="M3:M18" si="1">IFERROR(VLOOKUP(L3,C$2:D$21,2,FALSE),0)</f>
        <v>0</v>
      </c>
    </row>
    <row r="4">
      <c r="A4" s="17">
        <f>'แบบประเมิน'!A:A</f>
        <v>46214.79638</v>
      </c>
      <c r="B4" s="17" t="str">
        <f>'แบบประเมิน'!B:B</f>
        <v>edu.sap@signalschool.ac.th</v>
      </c>
      <c r="C4" s="17" t="str">
        <f>'แบบประเมิน'!D:D</f>
        <v>10 การรักษาความปลอดภัย</v>
      </c>
      <c r="D4" s="18">
        <v>1.0</v>
      </c>
      <c r="E4" s="24">
        <f>iferror(vlookup('แบบประเมิน'!E:E,lookup!$A$2:$B$4,2,false),"")</f>
        <v>5</v>
      </c>
      <c r="F4" s="24">
        <f>iferror(vlookup('แบบประเมิน'!F:F,lookup!$A$6:$B$8,2,false),"")</f>
        <v>3</v>
      </c>
      <c r="G4" s="24">
        <f>iferror(vlookup('แบบประเมิน'!G:G,lookup!$A$10:$B$12,2,false),"")</f>
        <v>3</v>
      </c>
      <c r="H4" s="24">
        <f>iferror(vlookup('แบบประเมิน'!H:H,lookup!$A$14:$B$16,2,false),"")</f>
        <v>5</v>
      </c>
      <c r="I4" s="24">
        <f>iferror(vlookup('แบบประเมิน'!I:I,lookup!$A$18:$B$20,2,false),"")</f>
        <v>3</v>
      </c>
      <c r="K4" s="8">
        <v>2.0</v>
      </c>
      <c r="L4" s="16" t="s">
        <v>60</v>
      </c>
      <c r="M4" s="19">
        <f t="shared" si="1"/>
        <v>0</v>
      </c>
    </row>
    <row r="5">
      <c r="A5" s="17">
        <f>'แบบประเมิน'!A:A</f>
        <v>46214.79662</v>
      </c>
      <c r="B5" s="17" t="str">
        <f>'แบบประเมิน'!B:B</f>
        <v>edu.sap@signalschool.ac.th</v>
      </c>
      <c r="C5" s="17" t="str">
        <f>'แบบประเมิน'!D:D</f>
        <v>11 การป้องกันและปราบปรามการก่อความไม่สงบ</v>
      </c>
      <c r="D5" s="18">
        <v>1.0</v>
      </c>
      <c r="E5" s="24">
        <f>iferror(vlookup('แบบประเมิน'!E:E,lookup!$A$2:$B$4,2,false),"")</f>
        <v>5</v>
      </c>
      <c r="F5" s="24">
        <f>iferror(vlookup('แบบประเมิน'!F:F,lookup!$A$6:$B$8,2,false),"")</f>
        <v>5</v>
      </c>
      <c r="G5" s="24">
        <f>iferror(vlookup('แบบประเมิน'!G:G,lookup!$A$10:$B$12,2,false),"")</f>
        <v>3</v>
      </c>
      <c r="H5" s="24">
        <f>iferror(vlookup('แบบประเมิน'!H:H,lookup!$A$14:$B$16,2,false),"")</f>
        <v>5</v>
      </c>
      <c r="I5" s="24">
        <f>iferror(vlookup('แบบประเมิน'!I:I,lookup!$A$18:$B$20,2,false),"")</f>
        <v>3</v>
      </c>
      <c r="K5" s="8">
        <v>3.0</v>
      </c>
      <c r="L5" s="16" t="s">
        <v>61</v>
      </c>
      <c r="M5" s="19">
        <f t="shared" si="1"/>
        <v>1</v>
      </c>
    </row>
    <row r="6">
      <c r="A6" s="17">
        <f>'แบบประเมิน'!A:A</f>
        <v>46214.79684</v>
      </c>
      <c r="B6" s="17" t="str">
        <f>'แบบประเมิน'!B:B</f>
        <v>edu.sap@signalschool.ac.th</v>
      </c>
      <c r="C6" s="17" t="str">
        <f>'แบบประเมิน'!D:D</f>
        <v>12 ระเบียบงานสารบรรณ</v>
      </c>
      <c r="D6" s="18">
        <v>1.0</v>
      </c>
      <c r="E6" s="19">
        <f>iferror(vlookup('แบบประเมิน'!E:E,lookup!$A$2:$B$4,2,false),"")</f>
        <v>5</v>
      </c>
      <c r="F6" s="19">
        <f>iferror(vlookup('แบบประเมิน'!F:F,lookup!$A$6:$B$8,2,false),"")</f>
        <v>3</v>
      </c>
      <c r="G6" s="19">
        <f>iferror(vlookup('แบบประเมิน'!G:G,lookup!$A$10:$B$12,2,false),"")</f>
        <v>5</v>
      </c>
      <c r="H6" s="19">
        <f>iferror(vlookup('แบบประเมิน'!H:H,lookup!$A$14:$B$16,2,false),"")</f>
        <v>5</v>
      </c>
      <c r="I6" s="19">
        <f>iferror(vlookup('แบบประเมิน'!I:I,lookup!$A$18:$B$20,2,false),"")</f>
        <v>3</v>
      </c>
      <c r="K6" s="8">
        <v>4.0</v>
      </c>
      <c r="L6" s="16" t="s">
        <v>62</v>
      </c>
      <c r="M6" s="19">
        <f t="shared" si="1"/>
        <v>0</v>
      </c>
    </row>
    <row r="7">
      <c r="A7" s="17">
        <f>'แบบประเมิน'!A:A</f>
        <v>46214.79713</v>
      </c>
      <c r="B7" s="17" t="str">
        <f>'แบบประเมิน'!B:B</f>
        <v>edu.sap@signalschool.ac.th</v>
      </c>
      <c r="C7" s="17" t="str">
        <f>'แบบประเมิน'!D:D</f>
        <v>13 แผนที่เข็มทิศ</v>
      </c>
      <c r="D7" s="18">
        <v>1.0</v>
      </c>
      <c r="E7" s="19">
        <f>iferror(vlookup('แบบประเมิน'!E:E,lookup!$A$2:$B$4,2,false),"")</f>
        <v>5</v>
      </c>
      <c r="F7" s="19">
        <f>iferror(vlookup('แบบประเมิน'!F:F,lookup!$A$6:$B$8,2,false),"")</f>
        <v>3</v>
      </c>
      <c r="G7" s="19">
        <f>iferror(vlookup('แบบประเมิน'!G:G,lookup!$A$10:$B$12,2,false),"")</f>
        <v>3</v>
      </c>
      <c r="H7" s="19">
        <f>iferror(vlookup('แบบประเมิน'!H:H,lookup!$A$14:$B$16,2,false),"")</f>
        <v>5</v>
      </c>
      <c r="I7" s="19">
        <f>iferror(vlookup('แบบประเมิน'!I:I,lookup!$A$18:$B$20,2,false),"")</f>
        <v>5</v>
      </c>
      <c r="K7" s="8">
        <v>5.0</v>
      </c>
      <c r="L7" s="16" t="s">
        <v>63</v>
      </c>
      <c r="M7" s="19">
        <f t="shared" si="1"/>
        <v>1</v>
      </c>
    </row>
    <row r="8">
      <c r="A8" s="17">
        <f>'แบบประเมิน'!A:A</f>
        <v>46214.79736</v>
      </c>
      <c r="B8" s="17" t="str">
        <f>'แบบประเมิน'!B:B</f>
        <v>edu.sap@signalschool.ac.th</v>
      </c>
      <c r="C8" s="17" t="str">
        <f>'แบบประเมิน'!D:D</f>
        <v>14 ผู้นำหน่วย</v>
      </c>
      <c r="D8" s="18">
        <v>1.0</v>
      </c>
      <c r="E8" s="19">
        <f>iferror(vlookup('แบบประเมิน'!E:E,lookup!$A$2:$B$4,2,false),"")</f>
        <v>5</v>
      </c>
      <c r="F8" s="19">
        <f>iferror(vlookup('แบบประเมิน'!F:F,lookup!$A$6:$B$8,2,false),"")</f>
        <v>5</v>
      </c>
      <c r="G8" s="19">
        <f>iferror(vlookup('แบบประเมิน'!G:G,lookup!$A$10:$B$12,2,false),"")</f>
        <v>5</v>
      </c>
      <c r="H8" s="19">
        <f>iferror(vlookup('แบบประเมิน'!H:H,lookup!$A$14:$B$16,2,false),"")</f>
        <v>5</v>
      </c>
      <c r="I8" s="19">
        <f>iferror(vlookup('แบบประเมิน'!I:I,lookup!$A$18:$B$20,2,false),"")</f>
        <v>5</v>
      </c>
      <c r="K8" s="8">
        <v>6.0</v>
      </c>
      <c r="L8" s="16" t="s">
        <v>64</v>
      </c>
      <c r="M8" s="19">
        <f t="shared" si="1"/>
        <v>1</v>
      </c>
    </row>
    <row r="9">
      <c r="A9" s="17">
        <f>'แบบประเมิน'!A:A</f>
        <v>46214.79766</v>
      </c>
      <c r="B9" s="17" t="str">
        <f>'แบบประเมิน'!B:B</f>
        <v>edu.sap@signalschool.ac.th</v>
      </c>
      <c r="C9" s="17" t="str">
        <f>'แบบประเมิน'!D:D</f>
        <v>16 ฝึกทบทวนการใช้เครื่องมือสื่อสาร</v>
      </c>
      <c r="D9" s="18">
        <v>1.0</v>
      </c>
      <c r="E9" s="19">
        <f>iferror(vlookup('แบบประเมิน'!E:E,lookup!$A$2:$B$4,2,false),"")</f>
        <v>5</v>
      </c>
      <c r="F9" s="19">
        <f>iferror(vlookup('แบบประเมิน'!F:F,lookup!$A$6:$B$8,2,false),"")</f>
        <v>3</v>
      </c>
      <c r="G9" s="19">
        <f>iferror(vlookup('แบบประเมิน'!G:G,lookup!$A$10:$B$12,2,false),"")</f>
        <v>3</v>
      </c>
      <c r="H9" s="19">
        <f>iferror(vlookup('แบบประเมิน'!H:H,lookup!$A$14:$B$16,2,false),"")</f>
        <v>5</v>
      </c>
      <c r="I9" s="19">
        <f>iferror(vlookup('แบบประเมิน'!I:I,lookup!$A$18:$B$20,2,false),"")</f>
        <v>3</v>
      </c>
      <c r="K9" s="8">
        <v>7.0</v>
      </c>
      <c r="L9" s="16" t="s">
        <v>65</v>
      </c>
      <c r="M9" s="19">
        <f t="shared" si="1"/>
        <v>0</v>
      </c>
    </row>
    <row r="10">
      <c r="A10" s="17">
        <f>'แบบประเมิน'!A:A</f>
        <v>46260.36218</v>
      </c>
      <c r="B10" s="17" t="str">
        <f>'แบบประเมิน'!B:B</f>
        <v>edu.rad@signalschool.ac.th</v>
      </c>
      <c r="C10" s="17" t="str">
        <f>'แบบประเมิน'!D:D</f>
        <v>5 การสื่อสารประเภทวิทยุและการสงครามอิเล็กทรอนิกส์</v>
      </c>
      <c r="D10" s="18">
        <v>1.0</v>
      </c>
      <c r="E10" s="29">
        <v>5.0</v>
      </c>
      <c r="F10" s="29">
        <v>5.0</v>
      </c>
      <c r="G10" s="29">
        <v>5.0</v>
      </c>
      <c r="H10" s="29">
        <v>5.0</v>
      </c>
      <c r="I10" s="29">
        <v>5.0</v>
      </c>
      <c r="K10" s="8">
        <v>8.0</v>
      </c>
      <c r="L10" s="20" t="s">
        <v>66</v>
      </c>
      <c r="M10" s="19">
        <f t="shared" si="1"/>
        <v>0</v>
      </c>
    </row>
    <row r="11">
      <c r="A11" s="17">
        <f>'แบบประเมิน'!A:A</f>
        <v>46262.45007</v>
      </c>
      <c r="B11" s="17" t="str">
        <f>'แบบประเมิน'!B:B</f>
        <v>edu.gen@signalschool.ac.th</v>
      </c>
      <c r="C11" s="17" t="str">
        <f>'แบบประเมิน'!D:D</f>
        <v>9 ภาษาอังกฤษทางทหาร</v>
      </c>
      <c r="D11" s="18">
        <v>1.0</v>
      </c>
      <c r="E11" s="29">
        <v>5.0</v>
      </c>
      <c r="F11" s="29">
        <v>5.0</v>
      </c>
      <c r="G11" s="29">
        <v>5.0</v>
      </c>
      <c r="H11" s="29">
        <v>5.0</v>
      </c>
      <c r="I11" s="29">
        <v>5.0</v>
      </c>
      <c r="K11" s="8">
        <v>9.0</v>
      </c>
      <c r="L11" s="20" t="s">
        <v>67</v>
      </c>
      <c r="M11" s="19">
        <f t="shared" si="1"/>
        <v>0</v>
      </c>
    </row>
    <row r="12">
      <c r="A12" s="17">
        <f>'แบบประเมิน'!A:A</f>
        <v>46262.45056</v>
      </c>
      <c r="B12" s="17" t="str">
        <f>'แบบประเมิน'!B:B</f>
        <v>edu.gen@signalschool.ac.th</v>
      </c>
      <c r="C12" s="17" t="str">
        <f>'แบบประเมิน'!D:D</f>
        <v>15 วิชาตามนโยบายที่กองทัพบกกำหนด</v>
      </c>
      <c r="D12" s="18">
        <v>1.0</v>
      </c>
      <c r="E12" s="30">
        <v>5.0</v>
      </c>
      <c r="F12" s="30">
        <v>3.0</v>
      </c>
      <c r="G12" s="30">
        <v>3.0</v>
      </c>
      <c r="H12" s="30">
        <v>5.0</v>
      </c>
      <c r="I12" s="30">
        <v>3.0</v>
      </c>
      <c r="K12" s="8">
        <v>10.0</v>
      </c>
      <c r="L12" s="16" t="s">
        <v>68</v>
      </c>
      <c r="M12" s="19">
        <f t="shared" si="1"/>
        <v>1</v>
      </c>
    </row>
    <row r="13">
      <c r="A13" s="17">
        <f>'แบบประเมิน'!A:A</f>
        <v>46287.42806</v>
      </c>
      <c r="B13" s="17" t="str">
        <f>'แบบประเมิน'!B:B</f>
        <v>edu.wir@signalschool.ac.th</v>
      </c>
      <c r="C13" s="17" t="str">
        <f>'แบบประเมิน'!D:D</f>
        <v>6 การสื่อสารประเภทสาย</v>
      </c>
      <c r="D13" s="18">
        <v>1.0</v>
      </c>
      <c r="E13" s="30">
        <v>5.0</v>
      </c>
      <c r="F13" s="30">
        <v>5.0</v>
      </c>
      <c r="G13" s="30">
        <v>3.0</v>
      </c>
      <c r="H13" s="30">
        <v>5.0</v>
      </c>
      <c r="I13" s="30">
        <v>3.0</v>
      </c>
      <c r="K13" s="8">
        <v>11.0</v>
      </c>
      <c r="L13" s="20" t="s">
        <v>69</v>
      </c>
      <c r="M13" s="19">
        <f t="shared" si="1"/>
        <v>1</v>
      </c>
    </row>
    <row r="14">
      <c r="A14" s="17" t="str">
        <f>'แบบประเมิน'!A:A</f>
        <v/>
      </c>
      <c r="B14" s="17" t="str">
        <f>'แบบประเมิน'!B:B</f>
        <v/>
      </c>
      <c r="C14" s="17" t="str">
        <f>'แบบประเมิน'!D:D</f>
        <v/>
      </c>
      <c r="D14" s="18">
        <v>1.0</v>
      </c>
      <c r="E14" s="29">
        <v>5.0</v>
      </c>
      <c r="F14" s="29">
        <v>3.0</v>
      </c>
      <c r="G14" s="29">
        <v>5.0</v>
      </c>
      <c r="H14" s="29">
        <v>5.0</v>
      </c>
      <c r="I14" s="29">
        <v>3.0</v>
      </c>
      <c r="K14" s="8">
        <v>12.0</v>
      </c>
      <c r="L14" s="16" t="s">
        <v>70</v>
      </c>
      <c r="M14" s="19">
        <f t="shared" si="1"/>
        <v>1</v>
      </c>
    </row>
    <row r="15">
      <c r="A15" s="17" t="str">
        <f>'แบบประเมิน'!A:A</f>
        <v/>
      </c>
      <c r="B15" s="17" t="str">
        <f>'แบบประเมิน'!B:B</f>
        <v/>
      </c>
      <c r="C15" s="17" t="str">
        <f>'แบบประเมิน'!D:D</f>
        <v/>
      </c>
      <c r="D15" s="18">
        <v>1.0</v>
      </c>
      <c r="E15" s="29">
        <v>5.0</v>
      </c>
      <c r="F15" s="29">
        <v>3.0</v>
      </c>
      <c r="G15" s="29">
        <v>3.0</v>
      </c>
      <c r="H15" s="29">
        <v>5.0</v>
      </c>
      <c r="I15" s="29">
        <v>5.0</v>
      </c>
      <c r="K15" s="8">
        <v>13.0</v>
      </c>
      <c r="L15" s="20" t="s">
        <v>71</v>
      </c>
      <c r="M15" s="19">
        <f t="shared" si="1"/>
        <v>1</v>
      </c>
    </row>
    <row r="16">
      <c r="A16" s="17" t="str">
        <f>'แบบประเมิน'!A:A</f>
        <v/>
      </c>
      <c r="B16" s="17" t="str">
        <f>'แบบประเมิน'!B:B</f>
        <v/>
      </c>
      <c r="C16" s="17" t="str">
        <f>'แบบประเมิน'!D:D</f>
        <v/>
      </c>
      <c r="D16" s="18">
        <v>1.0</v>
      </c>
      <c r="E16" s="29">
        <v>5.0</v>
      </c>
      <c r="F16" s="29">
        <v>5.0</v>
      </c>
      <c r="G16" s="29">
        <v>5.0</v>
      </c>
      <c r="H16" s="29">
        <v>5.0</v>
      </c>
      <c r="I16" s="29">
        <v>5.0</v>
      </c>
      <c r="K16" s="8">
        <v>14.0</v>
      </c>
      <c r="L16" s="20" t="s">
        <v>72</v>
      </c>
      <c r="M16" s="19">
        <f t="shared" si="1"/>
        <v>1</v>
      </c>
    </row>
    <row r="17">
      <c r="A17" s="17" t="str">
        <f>'แบบประเมิน'!A:A</f>
        <v/>
      </c>
      <c r="B17" s="17" t="str">
        <f>'แบบประเมิน'!B:B</f>
        <v/>
      </c>
      <c r="C17" s="17" t="str">
        <f>'แบบประเมิน'!D:D</f>
        <v/>
      </c>
      <c r="D17" s="18">
        <v>1.0</v>
      </c>
      <c r="E17" s="29">
        <v>5.0</v>
      </c>
      <c r="F17" s="29">
        <v>3.0</v>
      </c>
      <c r="G17" s="29">
        <v>3.0</v>
      </c>
      <c r="H17" s="29">
        <v>5.0</v>
      </c>
      <c r="I17" s="29">
        <v>3.0</v>
      </c>
      <c r="K17" s="8">
        <v>15.0</v>
      </c>
      <c r="L17" s="20" t="s">
        <v>73</v>
      </c>
      <c r="M17" s="19">
        <f t="shared" si="1"/>
        <v>1</v>
      </c>
    </row>
    <row r="18">
      <c r="A18" s="17" t="str">
        <f>'แบบประเมิน'!A:A</f>
        <v/>
      </c>
      <c r="B18" s="17" t="str">
        <f>'แบบประเมิน'!B:B</f>
        <v/>
      </c>
      <c r="C18" s="17" t="str">
        <f>'แบบประเมิน'!D:D</f>
        <v/>
      </c>
      <c r="D18" s="18">
        <v>1.0</v>
      </c>
      <c r="E18" s="19" t="str">
        <f>iferror(vlookup('แบบประเมิน'!E:E,lookup!$A$2:$B$4,2,false),"")</f>
        <v/>
      </c>
      <c r="F18" s="19" t="str">
        <f>iferror(vlookup('แบบประเมิน'!F:F,lookup!$A$6:$B$8,2,false),"")</f>
        <v/>
      </c>
      <c r="G18" s="19" t="str">
        <f>iferror(vlookup('แบบประเมิน'!G:G,lookup!$A$10:$B$12,2,false),"")</f>
        <v/>
      </c>
      <c r="H18" s="19" t="str">
        <f>iferror(vlookup('แบบประเมิน'!H:H,lookup!$A$14:$B$16,2,false),"")</f>
        <v/>
      </c>
      <c r="I18" s="19" t="str">
        <f>iferror(vlookup('แบบประเมิน'!I:I,lookup!$A$18:$B$20,2,false),"")</f>
        <v/>
      </c>
      <c r="K18" s="8">
        <v>16.0</v>
      </c>
      <c r="L18" s="20" t="s">
        <v>74</v>
      </c>
      <c r="M18" s="19">
        <f t="shared" si="1"/>
        <v>1</v>
      </c>
    </row>
    <row r="19">
      <c r="A19" s="17" t="str">
        <f>'แบบประเมิน'!A:A</f>
        <v/>
      </c>
      <c r="B19" s="17" t="str">
        <f>'แบบประเมิน'!B:B</f>
        <v/>
      </c>
      <c r="C19" s="17" t="str">
        <f>'แบบประเมิน'!D:D</f>
        <v/>
      </c>
      <c r="D19" s="18">
        <v>1.0</v>
      </c>
      <c r="E19" s="19" t="str">
        <f>iferror(vlookup('แบบประเมิน'!E:E,lookup!$A$2:$B$4,2,false),"")</f>
        <v/>
      </c>
      <c r="F19" s="19" t="str">
        <f>iferror(vlookup('แบบประเมิน'!F:F,lookup!$A$6:$B$8,2,false),"")</f>
        <v/>
      </c>
      <c r="G19" s="19" t="str">
        <f>iferror(vlookup('แบบประเมิน'!G:G,lookup!$A$10:$B$12,2,false),"")</f>
        <v/>
      </c>
      <c r="H19" s="19" t="str">
        <f>iferror(vlookup('แบบประเมิน'!H:H,lookup!$A$14:$B$16,2,false),"")</f>
        <v/>
      </c>
      <c r="I19" s="19" t="str">
        <f>iferror(vlookup('แบบประเมิน'!I:I,lookup!$A$18:$B$20,2,false),"")</f>
        <v/>
      </c>
      <c r="L19" s="31" t="s">
        <v>75</v>
      </c>
      <c r="M19" s="32">
        <f>SUM(M3:M18)</f>
        <v>10</v>
      </c>
    </row>
    <row r="20">
      <c r="A20" s="17" t="str">
        <f>'แบบประเมิน'!A:A</f>
        <v/>
      </c>
      <c r="B20" s="17" t="str">
        <f>'แบบประเมิน'!B:B</f>
        <v/>
      </c>
      <c r="C20" s="17" t="str">
        <f>'แบบประเมิน'!D:D</f>
        <v/>
      </c>
      <c r="D20" s="18">
        <v>1.0</v>
      </c>
      <c r="E20" s="19" t="str">
        <f>iferror(vlookup('แบบประเมิน'!E:E,lookup!$A$2:$B$4,2,false),"")</f>
        <v/>
      </c>
      <c r="F20" s="19" t="str">
        <f>iferror(vlookup('แบบประเมิน'!F:F,lookup!$A$6:$B$8,2,false),"")</f>
        <v/>
      </c>
      <c r="G20" s="19" t="str">
        <f>iferror(vlookup('แบบประเมิน'!G:G,lookup!$A$10:$B$12,2,false),"")</f>
        <v/>
      </c>
      <c r="H20" s="19" t="str">
        <f>iferror(vlookup('แบบประเมิน'!H:H,lookup!$A$14:$B$16,2,false),"")</f>
        <v/>
      </c>
      <c r="I20" s="19" t="str">
        <f>iferror(vlookup('แบบประเมิน'!I:I,lookup!$A$18:$B$20,2,false),"")</f>
        <v/>
      </c>
      <c r="L20" s="31" t="s">
        <v>76</v>
      </c>
      <c r="M20" s="33">
        <f>(M19*100)/16</f>
        <v>62.5</v>
      </c>
    </row>
    <row r="21">
      <c r="A21" s="17" t="str">
        <f>'แบบประเมิน'!A:A</f>
        <v/>
      </c>
      <c r="B21" s="17" t="str">
        <f>'แบบประเมิน'!B:B</f>
        <v/>
      </c>
      <c r="C21" s="17" t="str">
        <f>'แบบประเมิน'!D:D</f>
        <v/>
      </c>
      <c r="D21" s="18">
        <v>1.0</v>
      </c>
      <c r="E21" s="19" t="str">
        <f>iferror(vlookup('แบบประเมิน'!E:E,lookup!$A$2:$B$4,2,false),"")</f>
        <v/>
      </c>
      <c r="F21" s="19" t="str">
        <f>iferror(vlookup('แบบประเมิน'!F:F,lookup!$A$6:$B$8,2,false),"")</f>
        <v/>
      </c>
      <c r="G21" s="19" t="str">
        <f>iferror(vlookup('แบบประเมิน'!G:G,lookup!$A$10:$B$12,2,false),"")</f>
        <v/>
      </c>
      <c r="H21" s="19" t="str">
        <f>iferror(vlookup('แบบประเมิน'!H:H,lookup!$A$14:$B$16,2,false),"")</f>
        <v/>
      </c>
      <c r="I21" s="19" t="str">
        <f>iferror(vlookup('แบบประเมิน'!I:I,lookup!$A$18:$B$20,2,false),"")</f>
        <v/>
      </c>
      <c r="J21" s="34" t="s">
        <v>77</v>
      </c>
      <c r="L21" s="35"/>
    </row>
    <row r="22">
      <c r="A22" s="36"/>
      <c r="B22" s="36"/>
      <c r="C22" s="37"/>
      <c r="D22" s="37"/>
      <c r="E22" s="37"/>
      <c r="F22" s="37"/>
      <c r="G22" s="37"/>
      <c r="H22" s="37"/>
      <c r="I22" s="37"/>
      <c r="J22" s="38"/>
      <c r="L22" s="35"/>
    </row>
    <row r="23">
      <c r="A23" s="34" t="s">
        <v>78</v>
      </c>
      <c r="B23" s="39"/>
      <c r="C23" s="37"/>
      <c r="D23" s="37"/>
      <c r="E23" s="40">
        <f t="shared" ref="E23:I23" si="2">IFERROR(AVERAGE(E2:E17),"")</f>
        <v>5</v>
      </c>
      <c r="F23" s="40">
        <f t="shared" si="2"/>
        <v>4</v>
      </c>
      <c r="G23" s="40">
        <f t="shared" si="2"/>
        <v>4</v>
      </c>
      <c r="H23" s="40">
        <f t="shared" si="2"/>
        <v>5</v>
      </c>
      <c r="I23" s="40">
        <f t="shared" si="2"/>
        <v>4</v>
      </c>
      <c r="J23" s="41">
        <f>IFERROR(AVERAGE(E23:I23),"")</f>
        <v>4.4</v>
      </c>
      <c r="L23" s="35"/>
    </row>
  </sheetData>
  <mergeCells count="1">
    <mergeCell ref="A23:B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6.0"/>
    <col customWidth="1" min="3" max="3" width="19.0"/>
  </cols>
  <sheetData>
    <row r="1">
      <c r="A1" s="1" t="s">
        <v>0</v>
      </c>
      <c r="B1" s="3" t="s">
        <v>2</v>
      </c>
      <c r="C1" s="1" t="s">
        <v>7</v>
      </c>
    </row>
    <row r="2">
      <c r="A2" s="5">
        <v>1.0</v>
      </c>
      <c r="B2" s="9" t="s">
        <v>14</v>
      </c>
      <c r="C2" s="15" t="str">
        <f>if(toNum!M3=1,IMAGE("https://cdn-icons-png.flaticon.com/512/716/716225.png"),IMAGE("https://cdn-icons-png.flaticon.com/512/753/753345.png"))</f>
        <v/>
      </c>
    </row>
    <row r="3">
      <c r="A3" s="5">
        <v>2.0</v>
      </c>
      <c r="B3" s="16" t="s">
        <v>60</v>
      </c>
      <c r="C3" s="15" t="str">
        <f>if(toNum!M4=1,IMAGE("https://cdn-icons-png.flaticon.com/512/716/716225.png"),IMAGE("https://cdn-icons-png.flaticon.com/512/753/753345.png"))</f>
        <v/>
      </c>
    </row>
    <row r="4">
      <c r="A4" s="5">
        <v>3.0</v>
      </c>
      <c r="B4" s="16" t="s">
        <v>61</v>
      </c>
      <c r="C4" s="15" t="str">
        <f>if(toNum!M5=1,IMAGE("https://cdn-icons-png.flaticon.com/512/716/716225.png"),IMAGE("https://cdn-icons-png.flaticon.com/512/753/753345.png"))</f>
        <v/>
      </c>
    </row>
    <row r="5">
      <c r="A5" s="5">
        <v>4.0</v>
      </c>
      <c r="B5" s="16" t="s">
        <v>62</v>
      </c>
      <c r="C5" s="15" t="str">
        <f>if(toNum!M6=1,IMAGE("https://cdn-icons-png.flaticon.com/512/716/716225.png"),IMAGE("https://cdn-icons-png.flaticon.com/512/753/753345.png"))</f>
        <v/>
      </c>
    </row>
    <row r="6">
      <c r="A6" s="5">
        <v>5.0</v>
      </c>
      <c r="B6" s="16" t="s">
        <v>63</v>
      </c>
      <c r="C6" s="15" t="str">
        <f>if(toNum!M7=1,IMAGE("https://cdn-icons-png.flaticon.com/512/716/716225.png"),IMAGE("https://cdn-icons-png.flaticon.com/512/753/753345.png"))</f>
        <v/>
      </c>
    </row>
    <row r="7">
      <c r="A7" s="5">
        <v>6.0</v>
      </c>
      <c r="B7" s="16" t="s">
        <v>64</v>
      </c>
      <c r="C7" s="15" t="str">
        <f>if(toNum!M8=1,IMAGE("https://cdn-icons-png.flaticon.com/512/716/716225.png"),IMAGE("https://cdn-icons-png.flaticon.com/512/753/753345.png"))</f>
        <v/>
      </c>
    </row>
    <row r="8">
      <c r="A8" s="5">
        <v>7.0</v>
      </c>
      <c r="B8" s="16" t="s">
        <v>65</v>
      </c>
      <c r="C8" s="15" t="str">
        <f>if(toNum!M9=1,IMAGE("https://cdn-icons-png.flaticon.com/512/716/716225.png"),IMAGE("https://cdn-icons-png.flaticon.com/512/753/753345.png"))</f>
        <v/>
      </c>
    </row>
    <row r="9">
      <c r="A9" s="5">
        <v>8.0</v>
      </c>
      <c r="B9" s="20" t="s">
        <v>66</v>
      </c>
      <c r="C9" s="15" t="str">
        <f>if(toNum!M10=1,IMAGE("https://cdn-icons-png.flaticon.com/512/716/716225.png"),IMAGE("https://cdn-icons-png.flaticon.com/512/753/753345.png"))</f>
        <v/>
      </c>
    </row>
    <row r="10">
      <c r="A10" s="5">
        <v>9.0</v>
      </c>
      <c r="B10" s="20" t="s">
        <v>67</v>
      </c>
      <c r="C10" s="15" t="str">
        <f>if(toNum!M11=1,IMAGE("https://cdn-icons-png.flaticon.com/512/716/716225.png"),IMAGE("https://cdn-icons-png.flaticon.com/512/753/753345.png"))</f>
        <v/>
      </c>
    </row>
    <row r="11">
      <c r="A11" s="5">
        <v>10.0</v>
      </c>
      <c r="B11" s="16" t="s">
        <v>68</v>
      </c>
      <c r="C11" s="15" t="str">
        <f>if(toNum!M12=1,IMAGE("https://cdn-icons-png.flaticon.com/512/716/716225.png"),IMAGE("https://cdn-icons-png.flaticon.com/512/753/753345.png"))</f>
        <v/>
      </c>
    </row>
    <row r="12">
      <c r="A12" s="5">
        <v>11.0</v>
      </c>
      <c r="B12" s="20" t="s">
        <v>69</v>
      </c>
      <c r="C12" s="15" t="str">
        <f>if(toNum!M13=1,IMAGE("https://cdn-icons-png.flaticon.com/512/716/716225.png"),IMAGE("https://cdn-icons-png.flaticon.com/512/753/753345.png"))</f>
        <v/>
      </c>
    </row>
    <row r="13">
      <c r="A13" s="5">
        <v>12.0</v>
      </c>
      <c r="B13" s="16" t="s">
        <v>70</v>
      </c>
      <c r="C13" s="15" t="str">
        <f>if(toNum!M14=1,IMAGE("https://cdn-icons-png.flaticon.com/512/716/716225.png"),IMAGE("https://cdn-icons-png.flaticon.com/512/753/753345.png"))</f>
        <v/>
      </c>
    </row>
    <row r="14">
      <c r="A14" s="5">
        <v>13.0</v>
      </c>
      <c r="B14" s="20" t="s">
        <v>71</v>
      </c>
      <c r="C14" s="15" t="str">
        <f>if(toNum!M15=1,IMAGE("https://cdn-icons-png.flaticon.com/512/716/716225.png"),IMAGE("https://cdn-icons-png.flaticon.com/512/753/753345.png"))</f>
        <v/>
      </c>
    </row>
    <row r="15">
      <c r="A15" s="5">
        <v>14.0</v>
      </c>
      <c r="B15" s="20" t="s">
        <v>72</v>
      </c>
      <c r="C15" s="15" t="str">
        <f>if(toNum!M16=1,IMAGE("https://cdn-icons-png.flaticon.com/512/716/716225.png"),IMAGE("https://cdn-icons-png.flaticon.com/512/753/753345.png"))</f>
        <v/>
      </c>
    </row>
    <row r="16">
      <c r="A16" s="5">
        <v>15.0</v>
      </c>
      <c r="B16" s="20" t="s">
        <v>73</v>
      </c>
      <c r="C16" s="15" t="str">
        <f>if(toNum!M17=1,IMAGE("https://cdn-icons-png.flaticon.com/512/716/716225.png"),IMAGE("https://cdn-icons-png.flaticon.com/512/753/753345.png"))</f>
        <v/>
      </c>
    </row>
    <row r="17">
      <c r="A17" s="22">
        <v>16.0</v>
      </c>
      <c r="B17" s="20" t="s">
        <v>74</v>
      </c>
      <c r="C17" s="23" t="str">
        <f>if(toNum!M18=1,IMAGE("https://cdn-icons-png.flaticon.com/512/716/716225.png"),IMAGE("https://cdn-icons-png.flaticon.com/512/753/753345.png"))</f>
        <v/>
      </c>
    </row>
    <row r="18">
      <c r="A18" s="25" t="s">
        <v>75</v>
      </c>
      <c r="C18" s="26">
        <f>toNum!M19</f>
        <v>10</v>
      </c>
    </row>
    <row r="19">
      <c r="A19" s="27" t="s">
        <v>76</v>
      </c>
      <c r="C19" s="28">
        <f>toNum!M20</f>
        <v>62.5</v>
      </c>
    </row>
  </sheetData>
  <mergeCells count="2">
    <mergeCell ref="A18:B18"/>
    <mergeCell ref="A19:B1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13"/>
  </cols>
  <sheetData>
    <row r="2">
      <c r="A2" s="4" t="s">
        <v>3</v>
      </c>
      <c r="B2" s="8">
        <v>5.0</v>
      </c>
    </row>
    <row r="3">
      <c r="A3" s="11" t="s">
        <v>20</v>
      </c>
      <c r="B3" s="8">
        <v>3.0</v>
      </c>
    </row>
    <row r="4">
      <c r="A4" s="11" t="s">
        <v>28</v>
      </c>
      <c r="B4" s="8">
        <v>1.0</v>
      </c>
    </row>
    <row r="5">
      <c r="A5" s="4"/>
      <c r="B5" s="8"/>
    </row>
    <row r="6">
      <c r="A6" s="4" t="s">
        <v>33</v>
      </c>
      <c r="B6" s="8">
        <v>5.0</v>
      </c>
    </row>
    <row r="7">
      <c r="A7" s="11" t="s">
        <v>31</v>
      </c>
      <c r="B7" s="8">
        <v>3.0</v>
      </c>
    </row>
    <row r="8">
      <c r="A8" s="11" t="s">
        <v>36</v>
      </c>
      <c r="B8" s="8">
        <v>1.0</v>
      </c>
    </row>
    <row r="10">
      <c r="A10" s="4" t="s">
        <v>38</v>
      </c>
      <c r="B10" s="8">
        <v>5.0</v>
      </c>
    </row>
    <row r="11">
      <c r="A11" s="11" t="s">
        <v>32</v>
      </c>
      <c r="B11" s="8">
        <v>3.0</v>
      </c>
    </row>
    <row r="12">
      <c r="A12" s="11" t="s">
        <v>41</v>
      </c>
      <c r="B12" s="8">
        <v>1.0</v>
      </c>
    </row>
    <row r="14">
      <c r="A14" s="4" t="s">
        <v>42</v>
      </c>
      <c r="B14" s="8">
        <v>5.0</v>
      </c>
    </row>
    <row r="15">
      <c r="A15" s="11" t="s">
        <v>43</v>
      </c>
      <c r="B15" s="8">
        <v>3.0</v>
      </c>
    </row>
    <row r="16">
      <c r="A16" s="11" t="s">
        <v>44</v>
      </c>
      <c r="B16" s="8">
        <v>1.0</v>
      </c>
    </row>
    <row r="18">
      <c r="A18" s="4" t="s">
        <v>46</v>
      </c>
      <c r="B18" s="8">
        <v>5.0</v>
      </c>
    </row>
    <row r="19">
      <c r="A19" s="11" t="s">
        <v>34</v>
      </c>
      <c r="B19" s="8">
        <v>3.0</v>
      </c>
    </row>
    <row r="20">
      <c r="A20" s="11" t="s">
        <v>47</v>
      </c>
      <c r="B20" s="8">
        <v>1.0</v>
      </c>
    </row>
    <row r="22">
      <c r="A22" s="4"/>
    </row>
    <row r="23">
      <c r="A23" s="11"/>
    </row>
    <row r="24">
      <c r="A24" s="11"/>
    </row>
    <row r="26">
      <c r="A26" s="4"/>
    </row>
    <row r="27">
      <c r="A27" s="11"/>
    </row>
    <row r="28">
      <c r="A28" s="11"/>
    </row>
  </sheetData>
  <drawing r:id="rId1"/>
</worksheet>
</file>