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1" sheetId="1" r:id="rId5"/>
    <sheet state="visible" name="ค่า 1.1" sheetId="2" r:id="rId6"/>
    <sheet state="visible" name="1.2" sheetId="3" r:id="rId7"/>
    <sheet state="visible" name="ค่า 1.2" sheetId="4" r:id="rId8"/>
    <sheet state="visible" name="1.3" sheetId="5" r:id="rId9"/>
    <sheet state="visible" name="ค่า 1.3" sheetId="6" r:id="rId10"/>
    <sheet state="visible" name="1.4" sheetId="7" r:id="rId11"/>
    <sheet state="visible" name="ค่า 1.4" sheetId="8" r:id="rId12"/>
    <sheet state="visible" name="1.5" sheetId="9" r:id="rId13"/>
    <sheet state="visible" name="ค่า 1.5" sheetId="10" r:id="rId14"/>
    <sheet state="visible" name="1.6" sheetId="11" r:id="rId15"/>
    <sheet state="visible" name="ค่า 1.6" sheetId="12" r:id="rId16"/>
    <sheet state="visible" name="1.7" sheetId="13" r:id="rId17"/>
    <sheet state="visible" name="ค่า 1.7" sheetId="14" r:id="rId18"/>
    <sheet state="visible" name="1.8" sheetId="15" r:id="rId19"/>
    <sheet state="visible" name="ค่า 1.8" sheetId="16" r:id="rId20"/>
    <sheet state="visible" name="1.9" sheetId="17" r:id="rId21"/>
    <sheet state="visible" name="ค่า 1.9" sheetId="18" r:id="rId22"/>
    <sheet state="visible" name="2.1" sheetId="19" r:id="rId23"/>
    <sheet state="visible" name="ค่า 2.1" sheetId="20" r:id="rId24"/>
    <sheet state="visible" name="2.2" sheetId="21" r:id="rId25"/>
    <sheet state="visible" name="ค่า 2.2" sheetId="22" r:id="rId26"/>
    <sheet state="visible" name="2.3" sheetId="23" r:id="rId27"/>
    <sheet state="visible" name="ค่า 2.3" sheetId="24" r:id="rId28"/>
    <sheet state="visible" name="2.4" sheetId="25" r:id="rId29"/>
    <sheet state="visible" name="ค่า 2.4" sheetId="26" r:id="rId30"/>
    <sheet state="visible" name="3.1" sheetId="27" r:id="rId31"/>
    <sheet state="visible" name="ค่า 3.1" sheetId="28" r:id="rId32"/>
    <sheet state="visible" name="3.2" sheetId="29" r:id="rId33"/>
    <sheet state="visible" name="ค่า 3.2" sheetId="30" r:id="rId34"/>
    <sheet state="visible" name="4.1" sheetId="31" r:id="rId35"/>
    <sheet state="visible" name="ค่า 4.1" sheetId="32" r:id="rId36"/>
    <sheet state="visible" name="lookup" sheetId="33" r:id="rId37"/>
    <sheet state="visible" name="สรุปการเข้าประเมินรายบุคคล" sheetId="34" r:id="rId38"/>
    <sheet state="visible" name="สรุป ยอดร้อยละ" sheetId="35" r:id="rId39"/>
  </sheets>
  <definedNames/>
  <calcPr/>
</workbook>
</file>

<file path=xl/sharedStrings.xml><?xml version="1.0" encoding="utf-8"?>
<sst xmlns="http://schemas.openxmlformats.org/spreadsheetml/2006/main" count="12411" uniqueCount="721">
  <si>
    <t>ประทับเวลา</t>
  </si>
  <si>
    <t>ที่อยู่อีเมล</t>
  </si>
  <si>
    <t>ยศ ชื่อ-สกุล ครู-อาจารย์ผู้สอน</t>
  </si>
  <si>
    <t>1. บุคลิกภาพและลักษณะท่าทางของอาจารย์ผู้สอน</t>
  </si>
  <si>
    <t>2. การพูดและการใช้นํ้าเสียง</t>
  </si>
  <si>
    <t>3. การเตรียมการสอน</t>
  </si>
  <si>
    <t>4. การจัดเตรียมสื่อการสอน</t>
  </si>
  <si>
    <t>5. การถ่ายทอดความรู้และการนำเข้าสู่บทเรียน</t>
  </si>
  <si>
    <t>6. ผู้เรียนได้ฝึกทักษะการคิดวิเคราะห์ หรือการพัฒนาความคิดสร้างสรรค์จากการเรียนรายวิชานี้มากน้อยเพียงใด</t>
  </si>
  <si>
    <t>7. ผู้เรียนได้ฝึกทักษะการสื่อสาร การนำเสนอ และการใช้งานเทคโนโลยีสารสนเทศจากการเรียนรายวิชานี้มากน้อยเพียงใด</t>
  </si>
  <si>
    <t>ข้อเสนอแนะอื่นๆ</t>
  </si>
  <si>
    <t>bnco1013@signalschool.ac.th</t>
  </si>
  <si>
    <t>ส.อ.ไชยพร รักษากุล</t>
  </si>
  <si>
    <t>ลักษณะทางทหาร "ดีมาก" มีความเชื่อมั่นในตนเองเป็นแบบอย่างที่ดีแก่ผู้เรียนได้</t>
  </si>
  <si>
    <t>เสียงดังฟังชัดและจังหวะการพูดไม่ช้า/เร็วเกินไป</t>
  </si>
  <si>
    <t>ตรวจสอบผู้เข้าประเมิน</t>
  </si>
  <si>
    <t>มีประมวลรายวิชาและแนะนำเนื้อหาวิชา</t>
  </si>
  <si>
    <t>มีการจัดเตรียมสื่อการเรียนการสอนและรวบรวมแหล่งอ้างอิงไว้อย่างเหมาะสม</t>
  </si>
  <si>
    <t>มีการจัดการเรียนการสอนเป็นไปตามประมวลรายวิชาครบถ้วนและการนำเข้าสู่บทเรียนให้ข้อมูลที่เป็นประโยชน์แก่ผู้เรียนครบถ้วน</t>
  </si>
  <si>
    <t>มีการส่งเสริมให้ผู้เรียนได้ฝึกทักษะการคิดได้อย่างเหมาะสมดีมาก</t>
  </si>
  <si>
    <t>มีการส่งเสริมให้ผู้เรียนได้ฝึกทักษะการสื่อสารได้อย่างเหมาะสมดีมาก</t>
  </si>
  <si>
    <t>bnco1058@signalschool.ac.th</t>
  </si>
  <si>
    <t>ส.อ.ไชยพร  รักษากุล</t>
  </si>
  <si>
    <t>ร.อ.สุพจน์ มงคล</t>
  </si>
  <si>
    <t>bnco1009@signalschool.ac.th</t>
  </si>
  <si>
    <t>bnco1056@signalschool.ac.th</t>
  </si>
  <si>
    <t>ร.ท.ศุภรัชฏ  หมอกสุข</t>
  </si>
  <si>
    <t>ร.อ.สุพจน์  มงคล</t>
  </si>
  <si>
    <t>bnco1062@signalschool.ac.th</t>
  </si>
  <si>
    <t>ร.อ.สพจน์ มงคล</t>
  </si>
  <si>
    <t>bnco1041@signalschool.ac.th</t>
  </si>
  <si>
    <t>พ.ต.ไมตรี บุญเหลื่อม</t>
  </si>
  <si>
    <t>ขอบคุณมากครับ สำหรับความรู้ที่อาจารย์มอบให้ครับ ^_^</t>
  </si>
  <si>
    <t>bnco1012@signalschool.ac.th</t>
  </si>
  <si>
    <t>ร.ท. สุพจน์  มงคล</t>
  </si>
  <si>
    <t>ร.ท.ศุภรัชฏ หมอกสุข</t>
  </si>
  <si>
    <t>ไม่มี</t>
  </si>
  <si>
    <t>bnco1006@signalschool.ac.th</t>
  </si>
  <si>
    <t>ร.ท.ศุภรัชฎ หมอกสุข</t>
  </si>
  <si>
    <t>มีการจัดเตรียมสื่อการเรียนการสอน "แต่ไม่ปรากฏ" แหล่งอ้างอิง</t>
  </si>
  <si>
    <t>bnco1051@signalschool.ac.th</t>
  </si>
  <si>
    <t>ร.ท.สุพจน์ มงคล</t>
  </si>
  <si>
    <t>bnco1050@signalschool.ac.th</t>
  </si>
  <si>
    <t>อาจารย์สอนดีมากครับ</t>
  </si>
  <si>
    <t>bnco1052@signalschool.ac.th</t>
  </si>
  <si>
    <t>ร.ท.ศุภรัชฎ  หมอกสุข</t>
  </si>
  <si>
    <t>bnco1018@signalschool.ac.th</t>
  </si>
  <si>
    <t xml:space="preserve">ร.ท.สุพจน์ มงคล </t>
  </si>
  <si>
    <t>ไม่มีครับ</t>
  </si>
  <si>
    <t>bnco1038@signalschool.ac.th</t>
  </si>
  <si>
    <t>อาจารย์สอนดี เน้นย้ำในส่วนสำคัญให้เข้าใจมากขึ้น</t>
  </si>
  <si>
    <t>bnco1035@signalschool.ac.th</t>
  </si>
  <si>
    <t>bnco1070@signalschool.ac.th</t>
  </si>
  <si>
    <t>พ.ต.ไมตรี บุญเหลี่ยม</t>
  </si>
  <si>
    <t>มีประมวลรายวิชา "แต่ไม่มีการ" แนะนำเนื้อหาวิชา</t>
  </si>
  <si>
    <t>มีการส่งเสริมให้ผู้เรียนได้ฝึกทักษะการคิดได้อย่างเหมาะสม</t>
  </si>
  <si>
    <t>มีการส่งเสริมให้ผู้เรียนได้ฝึกทักษะการสื่อสารได้อย่างเหมาะสม</t>
  </si>
  <si>
    <t>bnco1036@signalschool.ac.th</t>
  </si>
  <si>
    <t>ร.ท.สุพจน์  มงคล</t>
  </si>
  <si>
    <t>bnco1042@signalschool.ac.th</t>
  </si>
  <si>
    <t>bnco1003@signalschool.ac.th</t>
  </si>
  <si>
    <t>bnco1079@signalschool.ac.th</t>
  </si>
  <si>
    <t xml:space="preserve"> ร.ท.ศุภรัชฎ หมอกสุข</t>
  </si>
  <si>
    <t>bnco1032@signalschool.ac.th</t>
  </si>
  <si>
    <t>อาจาร์ยสอนเข้าใจง่ายดีครับ</t>
  </si>
  <si>
    <t>อาจารย์สอนเข้าใจง่ายและยกตัวอย่างได้ชัดเจน</t>
  </si>
  <si>
    <t>bnco1060@signalschool.ac.th</t>
  </si>
  <si>
    <t>ร.ท.ศุภรัฎ หมอกสุข</t>
  </si>
  <si>
    <t>สอนเข้าใจมากครับ</t>
  </si>
  <si>
    <t>bnco1031@signalschool.ac.th</t>
  </si>
  <si>
    <t>ร.ท. ศุภรัชฎ หมอกสุข</t>
  </si>
  <si>
    <t>bnco1063@signalschool.ac.th</t>
  </si>
  <si>
    <t>bnco1066@signalschool.ac.th</t>
  </si>
  <si>
    <t>ลักษณะทางทหาร "มีความเหมาะสม" มีความเชื่อมั่นในตนเองปานกลาง</t>
  </si>
  <si>
    <t>bnco1069@signalschool.ac.th</t>
  </si>
  <si>
    <t>bnco1044@signalschool.ac.th</t>
  </si>
  <si>
    <t>ร.ท. ศุภรัชฏ หมอกสุข</t>
  </si>
  <si>
    <t>bnco1068@signalschool.ac.th</t>
  </si>
  <si>
    <t>bnco1049@signalschool.ac.th</t>
  </si>
  <si>
    <t>bnco1008@signalschool.ac.th</t>
  </si>
  <si>
    <t>bnco1022@signalschool.ac.th</t>
  </si>
  <si>
    <t>อาจาร์สอนเข้าใจง่ายครับ</t>
  </si>
  <si>
    <t>bnco1005@signalschool.ac.th</t>
  </si>
  <si>
    <t>bnco1067@signalschool.ac.th</t>
  </si>
  <si>
    <t>ร.ท. สุพจน์ มงคล</t>
  </si>
  <si>
    <t>bnco1039@signalschool.ac.th</t>
  </si>
  <si>
    <t>bnco1045@signalschool.ac.th</t>
  </si>
  <si>
    <t>มีการจัดการเรียนการสอนเป็นไปตามประมวลรายวิชาบางส่วน "หรือ" การนำเข้าสู่บทเรียนให้ข้อมูลที่เป็นประโยชน์แก่ผู้เรียน (อย่างใดอย่างหนึ่ง)</t>
  </si>
  <si>
    <t>bnco1080@signalschool.ac.th</t>
  </si>
  <si>
    <t xml:space="preserve"> ร.ท.ศุภรัฐ  หมอกสุข</t>
  </si>
  <si>
    <t>bnco1064@signalschool.ac.th</t>
  </si>
  <si>
    <t>bnco1001</t>
  </si>
  <si>
    <t>-</t>
  </si>
  <si>
    <t>bnco1021@signalschool.ac.th</t>
  </si>
  <si>
    <t>ร.อ. สุพจน์  มงคล</t>
  </si>
  <si>
    <t>bnco1027@signalschool.ac.th</t>
  </si>
  <si>
    <t>ร.อ. สุพจน์ มงคล</t>
  </si>
  <si>
    <t>bnco1072@signalschool.ac.th</t>
  </si>
  <si>
    <t>bnco1014@signalschool.ac.th</t>
  </si>
  <si>
    <t>bnco1076@signalschool.ac.th</t>
  </si>
  <si>
    <t>bnco1071@signalschool.ac.th</t>
  </si>
  <si>
    <t>bnco1061@signalschool.ac.th</t>
  </si>
  <si>
    <t>ร.ท.ศุกรัชฏ หมอกสุข</t>
  </si>
  <si>
    <t>bnco1054@signalschool.ac.th</t>
  </si>
  <si>
    <t>bnco1023@signalschool.ac.th</t>
  </si>
  <si>
    <t>bnco1015@signalschool.ac.th</t>
  </si>
  <si>
    <t>bnco1002@signalschool.ac.th</t>
  </si>
  <si>
    <t xml:space="preserve">ร.ท. ศุภรัฎ ดวงเดือน </t>
  </si>
  <si>
    <t>edu.rad@signalschool.ac.th</t>
  </si>
  <si>
    <t>ครูอาจารย์ รร.ส.สส.</t>
  </si>
  <si>
    <t>ร.อ.สุพจน์  มลคค</t>
  </si>
  <si>
    <t>bnco1059@signalschool.ac.th</t>
  </si>
  <si>
    <t>bnco1046@signalschool.ac.th</t>
  </si>
  <si>
    <t>bnco1024@signalschool.ac.th</t>
  </si>
  <si>
    <t>bnco1073@signalschool.ac.th</t>
  </si>
  <si>
    <t>bnco1078@signalschool.ac.th</t>
  </si>
  <si>
    <t>bnco1057@signalschool.ac.th</t>
  </si>
  <si>
    <t>ร.ท.ศุภรัช   หมอกสุข</t>
  </si>
  <si>
    <t>bnco1004@signalschool.ac.th</t>
  </si>
  <si>
    <t>จ่าสิบเอก อนิชิท ธิบมนทรา</t>
  </si>
  <si>
    <t>เสียงเบา "แต่" จังหวะการพูดไม่ช้า/เร็วเกินไป</t>
  </si>
  <si>
    <t>bnco1053@signalschool.ac.th</t>
  </si>
  <si>
    <t>ร.ท.ศุภรัช  หมอกสุข</t>
  </si>
  <si>
    <t>bnco1002</t>
  </si>
  <si>
    <t>bnco1047@signalschool.ac.th</t>
  </si>
  <si>
    <t>bnco1055@signalschool.ac.th</t>
  </si>
  <si>
    <t>bnco1017@signalschool.ac.th</t>
  </si>
  <si>
    <t>bnco1019@signalschool.ac.th</t>
  </si>
  <si>
    <t>ส.อ.อดิศร  ภู่ระหงษ์</t>
  </si>
  <si>
    <t>bnco1016@signalschool.ac.th</t>
  </si>
  <si>
    <t>bnco1020@signalschool.ac.th</t>
  </si>
  <si>
    <t>ครู-อาจารย์ โรงเรียนทหารสื่อสาร</t>
  </si>
  <si>
    <t>bnco1034@signalschool.ac.th</t>
  </si>
  <si>
    <t>bnco1001@signalschool.ac.th</t>
  </si>
  <si>
    <t>ครู/อาจารย์</t>
  </si>
  <si>
    <t>bnco1011@signalschool.ac.th</t>
  </si>
  <si>
    <t>bnco1043@signalschool.ac.th</t>
  </si>
  <si>
    <t>ร.ท.ศุภรัชฎ์ หมอกสุข</t>
  </si>
  <si>
    <t>bnco1026@signalschool.ac.th</t>
  </si>
  <si>
    <t>อาจารย์ผู้สอน</t>
  </si>
  <si>
    <t>bnco1040@signalschool.ac.th</t>
  </si>
  <si>
    <t>bnco1003</t>
  </si>
  <si>
    <t>จ.ส.อ.พัลลภ ดวงเดือน</t>
  </si>
  <si>
    <t>bnco1004</t>
  </si>
  <si>
    <t>bnco1005</t>
  </si>
  <si>
    <t>bnco1006</t>
  </si>
  <si>
    <t>จ.ส.อ. พัลลภ  ดวงเดือน, ส.อ. สิทธิศักดิ์  รินไธสง</t>
  </si>
  <si>
    <t>จ.ส.อ. พัลลภ  ดวงเดือน</t>
  </si>
  <si>
    <t>จ.ส.อ. พัลลภ  ดวงเดือน, ส.อ. สิทธิศักดิ์  รินไธสง</t>
  </si>
  <si>
    <t>จ.ส.อ. พัลลภ ดวงเดือน</t>
  </si>
  <si>
    <t>จ.ส.อ. พัลลภ  ดวงเดือน,ส.อ.พงษ์สิทธิ์ เทกะมล</t>
  </si>
  <si>
    <t>อยากฝึกและลองปฎิบัติจริงครับ</t>
  </si>
  <si>
    <t xml:space="preserve">ชอบอาจารย์มากครับ สอนแบบเป็นกันเองและไม่กดดัน </t>
  </si>
  <si>
    <t>อาจารย์สอนมีความเข้าใจ และสามารถนำความรู้เกี่ยวกับวิชาวงจรไฟฟ้าไปประยุกต์ใช้ในชีวิตประจำวันได้</t>
  </si>
  <si>
    <t>ส.อ.ธีรโชติ สีหะวงษ์</t>
  </si>
  <si>
    <t>bnco1007</t>
  </si>
  <si>
    <t>ส.อ.พงษ์พิสิทธิ์ สุธาทัศน์</t>
  </si>
  <si>
    <t>จ.ส.อ. พัลลภ  ดวงเดือน, ส.อ. สิทธิศักดิ์  ริน</t>
  </si>
  <si>
    <t>จ.ส.อ พัลลภ  ดวงเดือน</t>
  </si>
  <si>
    <t>ส.อ.ภูริทัต  ศิริโชติสกล</t>
  </si>
  <si>
    <t>จ.ส.อ.พัลลภ  ดวงเดือน</t>
  </si>
  <si>
    <t>ส.อ.ธนวัฒน์ เนียมชาวนา</t>
  </si>
  <si>
    <t>มีประโยชน์ต่อการใช้ชีวิตประจำวัน และมีประโยชน์ต่อการปฏิบัติงาน</t>
  </si>
  <si>
    <t>อาจารย์มีควาทเป็นกันเองกับนักเรียนมาก สอนเข้าใจและสามารถนำไปปฎิบัติได้จริงครับ</t>
  </si>
  <si>
    <t>อาจารย์สอนเข้าใจง่าย</t>
  </si>
  <si>
    <t xml:space="preserve">อาจารย์สอนสนุกเข้าใจง่ายครับ </t>
  </si>
  <si>
    <t>bnco1008</t>
  </si>
  <si>
    <t>จ.ส.อ  พัลลภ ดวงเดือน</t>
  </si>
  <si>
    <t>จ.ส.อ. พัลลภ  ดวงเดือน</t>
  </si>
  <si>
    <t>อาจารย์สอนดีครับ</t>
  </si>
  <si>
    <t>ดีมากครับ</t>
  </si>
  <si>
    <t>อาจาร์ย สอนเข้าใจง่าย ครับ</t>
  </si>
  <si>
    <t>ส.อ.ณัฐพล เรืองทัพ</t>
  </si>
  <si>
    <t>จ.ส.อ.พัลลภ ดวงเดือน  อาจารย์อู๋ครับ</t>
  </si>
  <si>
    <t>จ.ส.อ พัลลภ ดวงเดือน , ส.อ. สิทธิศักดิ์ รืนไธสง</t>
  </si>
  <si>
    <t>bnco1009</t>
  </si>
  <si>
    <t>bnco1010@signalschool.ac.th</t>
  </si>
  <si>
    <t xml:space="preserve">จ.ส.อ.พัลลภ </t>
  </si>
  <si>
    <t>bnco1030@signalschool.ac.th</t>
  </si>
  <si>
    <t>จ.ส.อ.พัลลพ ดวงเดือน</t>
  </si>
  <si>
    <t xml:space="preserve">ส.อ.ภัคณวัตร ฮวดประสิทธิ์ </t>
  </si>
  <si>
    <t>อาจารย์สอนดีมากค่าา ให้นักเรียนได้ฝึกทักษะการคิดได้อย่างเหมาะสมดีมาก</t>
  </si>
  <si>
    <t>จ.ส.อ.พัลลภ ดวงเดือน , ส.อ. สิทธิศักด์ รินไธสง</t>
  </si>
  <si>
    <t>อาจารย์สอนดีมากครับ ยกตัวอย่างเปรียบเทียบได้ชัดเจนครับ ขอบคุณมากๆครับาำหรับความรู้ที่มอบให้</t>
  </si>
  <si>
    <t>23 ส.อ.วีรภัทร  ป้อมบุญมี</t>
  </si>
  <si>
    <t>จ.ส.อ.พัลลภ ดวงเดือน  ส.อ.สิทธิศักดิ์ รินไธสง</t>
  </si>
  <si>
    <t>อาจาร์ใจดีครับ</t>
  </si>
  <si>
    <t>จ.ส.อ.พัลลภ  ดวงเดือน, ส.อ.สิทธิศักดิ์  รินไธสง</t>
  </si>
  <si>
    <t>จ.ส.อ.พัลลภ  ดวงเดือน ,ส.อ.สิทธิศักดิ์  รินไธสง</t>
  </si>
  <si>
    <t>เนื้อหาเหมาะสม สามารถนำความรู้ไปปรับใช้ในชีวิตประจำวัน</t>
  </si>
  <si>
    <t>bnco1065@signalschool.ac.th</t>
  </si>
  <si>
    <t>เป็นผู้มีความรู้และความเหมาะสมกับการเป็นอาจารย์ผู้สอนอย่างมาก</t>
  </si>
  <si>
    <t>bnco1010</t>
  </si>
  <si>
    <t xml:space="preserve">จ.ส.อ.พัลลภ ดวงเดือน </t>
  </si>
  <si>
    <t>อาจาร์ยสอนดีมากครับ อาจารย์สอนเข้าใจง่ายครับ</t>
  </si>
  <si>
    <t xml:space="preserve">ส.อ.สิทธิพร กันนุฬา </t>
  </si>
  <si>
    <t>bnco1074@signalschool.ac.th</t>
  </si>
  <si>
    <t>จ.ส.อ.พัลลภ ดวงเดือน ครับ</t>
  </si>
  <si>
    <t>จ.ส.อ. พัลลภ ดวงเดือน, ส.อ.สิทธิศักดิ์ รนไธสง</t>
  </si>
  <si>
    <t>bnco1048@signalschool.ac.th</t>
  </si>
  <si>
    <t>bnco1007@signalschool.ac.th</t>
  </si>
  <si>
    <t>bnco1037@signalschool.ac.th</t>
  </si>
  <si>
    <t>จ.ส.อ.ภัลลพ  ดวงเดือน, ส.อ.สิทธิศักดิ์  รินไธสง</t>
  </si>
  <si>
    <t>bnco1075@signalschool.ac.th</t>
  </si>
  <si>
    <t>จ.ส.อ.พัลลภ ดวงเดือน,ส.อ.สิทธิศักดิ์ รินไธสง</t>
  </si>
  <si>
    <t>bnco1025@signalschool.ac.th</t>
  </si>
  <si>
    <t>จ.ส.อ. พัลลภ  ดวงเดือน, ส.อ. สิทธิศักดิ์  รินไธสง,</t>
  </si>
  <si>
    <t>bnco1077@signalschool.ac.th</t>
  </si>
  <si>
    <t>ส.อ.ไวยวุฒิ จิตต์นิยม</t>
  </si>
  <si>
    <t>bnco1011</t>
  </si>
  <si>
    <t>bnco1033@signalschool.ac.th</t>
  </si>
  <si>
    <t>จ.ส.อ. พัลลภ ดวงเดือน, ส.อ. สิทธิ ศักดิ์ รินไธสง</t>
  </si>
  <si>
    <t>อาจารย์สอนสนุกมากๆครับ</t>
  </si>
  <si>
    <t>bnco1012</t>
  </si>
  <si>
    <t>bnco1013</t>
  </si>
  <si>
    <t>bnco1014</t>
  </si>
  <si>
    <t>จ.ส.ต.ภานุพงษ์ ใจเฉื่อย</t>
  </si>
  <si>
    <t>ร.ท.ศุภัชฎ หมอกสุข, จ.ส.ต. ภาณุพงษ์ ใจเฉือย</t>
  </si>
  <si>
    <t>ร.ท. ศุภรัชฏ  หมอกสุข</t>
  </si>
  <si>
    <t>จ.ส.ต. ภานุพงษ์ ใจเฉื่อย</t>
  </si>
  <si>
    <t>อาจารย์อธิบายได้ครบถ้วนและยกตัวอย่างให้เห็นภาพ</t>
  </si>
  <si>
    <t>bnco1015</t>
  </si>
  <si>
    <t>ร.ท.ศุภรรัชฎ  หมอกสุข</t>
  </si>
  <si>
    <t>bnco1016</t>
  </si>
  <si>
    <t>ร.ท.ศุภรัฐ  หมอกสุข</t>
  </si>
  <si>
    <t>ร.ท.ศุภัชฏ  หมอกสุข</t>
  </si>
  <si>
    <t>ร.อ.ศุภรัชฏ หมอกสุข</t>
  </si>
  <si>
    <t>ร.อ.ศุภรัชฎ  หมอกสุข</t>
  </si>
  <si>
    <t>ร.ท. ศุภรัฎ หมอกสุข</t>
  </si>
  <si>
    <t>bnco1017</t>
  </si>
  <si>
    <t>จ.ส.ต.ภาณุพงษ์ ใจเฉื่อย</t>
  </si>
  <si>
    <t>ร.อ.ศุภรัชฎ หมอกสุข</t>
  </si>
  <si>
    <t>bnco1018</t>
  </si>
  <si>
    <t>bnco1019</t>
  </si>
  <si>
    <t>bnco1020</t>
  </si>
  <si>
    <t>bnco1021</t>
  </si>
  <si>
    <t>bnco1022</t>
  </si>
  <si>
    <t>bnco1023</t>
  </si>
  <si>
    <t>bnco1024</t>
  </si>
  <si>
    <t>bnco1025</t>
  </si>
  <si>
    <t>bnco1026</t>
  </si>
  <si>
    <t>bnco1027</t>
  </si>
  <si>
    <t>bnco1028</t>
  </si>
  <si>
    <t>bnco1029</t>
  </si>
  <si>
    <t>bnco1030</t>
  </si>
  <si>
    <t>bnco1031</t>
  </si>
  <si>
    <t>bnco1032</t>
  </si>
  <si>
    <t>bnco1033</t>
  </si>
  <si>
    <t>bnco1034</t>
  </si>
  <si>
    <t>bnco1035</t>
  </si>
  <si>
    <t>bnco1036</t>
  </si>
  <si>
    <t>bnco1037</t>
  </si>
  <si>
    <t>bnco1038</t>
  </si>
  <si>
    <t>bnco1039</t>
  </si>
  <si>
    <t>bnco1040</t>
  </si>
  <si>
    <t>bnco1041</t>
  </si>
  <si>
    <t>bnco1042</t>
  </si>
  <si>
    <t>bnco1043</t>
  </si>
  <si>
    <t>bnco1044</t>
  </si>
  <si>
    <t>bnco1045</t>
  </si>
  <si>
    <t>bnco1046</t>
  </si>
  <si>
    <t>bnco1047</t>
  </si>
  <si>
    <t>bnco1048</t>
  </si>
  <si>
    <t>bnco1049</t>
  </si>
  <si>
    <t>bnco1050</t>
  </si>
  <si>
    <t>bnco1051</t>
  </si>
  <si>
    <t>bnco1052</t>
  </si>
  <si>
    <t>bnco1053</t>
  </si>
  <si>
    <t>bnco1054</t>
  </si>
  <si>
    <t>bnco1055</t>
  </si>
  <si>
    <t>bnco1056</t>
  </si>
  <si>
    <t>bnco1057</t>
  </si>
  <si>
    <t>bnco1058</t>
  </si>
  <si>
    <t>bnco1059</t>
  </si>
  <si>
    <t>bnco1060</t>
  </si>
  <si>
    <t>bnco1061</t>
  </si>
  <si>
    <t>bnco1062</t>
  </si>
  <si>
    <t>bnco1063</t>
  </si>
  <si>
    <t>bnco1064</t>
  </si>
  <si>
    <t>bnco1065</t>
  </si>
  <si>
    <t>bnco1066</t>
  </si>
  <si>
    <t>bnco1067</t>
  </si>
  <si>
    <t>bnco1068</t>
  </si>
  <si>
    <t>bnco1069</t>
  </si>
  <si>
    <t>bnco1070</t>
  </si>
  <si>
    <t>bnco1071</t>
  </si>
  <si>
    <t>bnco1072</t>
  </si>
  <si>
    <t>bnco1073</t>
  </si>
  <si>
    <t>bnco1074</t>
  </si>
  <si>
    <t>bnco1075</t>
  </si>
  <si>
    <t>bnco1076</t>
  </si>
  <si>
    <t>bnco1077</t>
  </si>
  <si>
    <t>bnco1078</t>
  </si>
  <si>
    <t>bnco1079</t>
  </si>
  <si>
    <t>bnco1080</t>
  </si>
  <si>
    <t>ยอดผู้เข้าประเมิน</t>
  </si>
  <si>
    <t>ภาพรวมร้อยละ</t>
  </si>
  <si>
    <t>ร.ต.วสันต์ ทัศนามล</t>
  </si>
  <si>
    <t>ร.ต. วสันต์  ทัศนามล</t>
  </si>
  <si>
    <t>ร.ต.วสัน ทัศนามล</t>
  </si>
  <si>
    <t>ผมชอบวิชานี้มากครับ สนุก มีเล่นเกมส์หลังเรียนบทเรียนจบ ทำให้ความรู้เข้าหัวมากครับ</t>
  </si>
  <si>
    <t xml:space="preserve">ร.ต.วสันต์ ทัศนามล </t>
  </si>
  <si>
    <t>ร.ต.วสันต์</t>
  </si>
  <si>
    <t>ร.ต.วสันต์  ทัศนามล, จ.ส.อ.ประกาศิต แซ่เจียม, จ.ส.อ.วรากร  ไตรศัพท์</t>
  </si>
  <si>
    <t>อาจารย์มีเกมส์ให้เล่นระหว่างเรียนทำให้ไม่เครียดและสนุกไปกับการเรียน</t>
  </si>
  <si>
    <t>ร.ต. วสันต์ ทัศนามล</t>
  </si>
  <si>
    <t>ร.ต.วสันต์ ทัศนามล จ.ส.อ.ประกาศิต แซ่เจียม จ.ส.อ.วรากร ไตรศัพท์ จ.ส.ท.ศุภกิตติ์ ปัญญาจักร</t>
  </si>
  <si>
    <t>ร.ต.วสัตน์  ทัศนามล</t>
  </si>
  <si>
    <t>ร.ต.วสันต์  ทัศนามล</t>
  </si>
  <si>
    <t>ร.ต.วสันต์ ทัศนามล จ.ส.อ.ประกาศิต แซ่เจียม จ.ส.อ.วรากร ไตรศัพท์จ.ส.ท.ศุภกิตติ์ ปัญญาจักร</t>
  </si>
  <si>
    <t xml:space="preserve">ร.ต.วสันต์ ทัศนามล จ.ส.อ.ประกาศิต แช่เจียม </t>
  </si>
  <si>
    <t>ร.ต. วสันต์ ทัศนามล ,จ.ส.อ. ประกาศิต แซ่เจียม ,จ.ส.อ. วรากร ไตรศัพท์ ,จ.ส.ท. ศุภกิตติ์ ปัญญาจักร</t>
  </si>
  <si>
    <t>ร.ต.วสันต์ ทัศนามล, จ.ส.อ.ประกาศิต แช่เจียม, จ.ส.อ.วรากร ไตรศัพท์, จ.ส.ท.ศุภกิตติ์ ปัญญาจักร</t>
  </si>
  <si>
    <t>ร.ต.วสันต์ ทัศนามล, จ.ส.อ.ประกาศิต เเซ่เจียม, จ.ส.อ.วรากร ไตรศัพท์, จ.ส.ท.ศุภกิตติ์ ปัญญาจักร</t>
  </si>
  <si>
    <t xml:space="preserve">ร.ต.วสันต์  ทัศนามล </t>
  </si>
  <si>
    <t>จ.ส.ท ศุภกิตติ์ ปัญหาจักร</t>
  </si>
  <si>
    <t>ร.ต.วสันน์  ทัศนามล</t>
  </si>
  <si>
    <t>ร.ต.วสันต์ ทัศนามงคล</t>
  </si>
  <si>
    <t>ร.ต. วสันต์ ทัศนามล, จ.ส.อ. ประกาศิต แซ่เจียม, จ.ส.อ. วรากร ไตรศัพท์, จ.ส.ท. ศุภกิตติ์ ปัญญาจักร</t>
  </si>
  <si>
    <t>1. ร.ต.วสันต์ ทัสนามล 2.จ.ส.อ.ประกาศิต แซ่เจียม 3.จ.ส.อ.วรากร ไตรทรัพย์ 4.จ.ส.ท.ศุภกิตต์  ปัญญาจักร</t>
  </si>
  <si>
    <t>ร.ต. วสันต์,จ.ส.อ.ประกาศิต,จ.ส.อ.วรากร,จ.ส.ท.ศุภกิตติ์</t>
  </si>
  <si>
    <t>ร.ต.วสันต์ ทัศนามล ,จ.ส.อ.ประกาศิต  แซ่เจียม, จ.ส.อ.วรากร ไตรศัพท์ ,จ.ส.ท.ศุภกิตติ์ ปัญญาจักร</t>
  </si>
  <si>
    <t>ร.ต.วสันต์ ทัศนามล, จ.ส.อ.ประกาศิต แซ่เจียม, จ.ส.อ.วรากร ไตรพงศ์, จ.ส.ท.ศุภกิตติ์ ปัญญาจักร</t>
  </si>
  <si>
    <t>ร.ต.วสันต์ ทัศนามล จ.ส.อ.ประกาศิต แซ่เจียม จ.ส.อ.วรากร ไตรศัพท์ จ.ส.ท. ศุภกิตติ์ ปัญญาจักร์</t>
  </si>
  <si>
    <t>ร.ท.วสันต์  ทัศนามล</t>
  </si>
  <si>
    <t>ร.ท.วสันต์ ทัศนามล</t>
  </si>
  <si>
    <t>.</t>
  </si>
  <si>
    <t>ส.อ.ศุภณัฐ ไชยโสภา</t>
  </si>
  <si>
    <t>ส.อ.ศุภณัฐ  ไชยโสภา</t>
  </si>
  <si>
    <t>อาจารย์เหนือ</t>
  </si>
  <si>
    <t>เวลาสอนน้อย</t>
  </si>
  <si>
    <t>ร.ท.ศุภชัย ป้องเศร้า, จ.ส.อ.พงศภัค อุ่นอนันต์, ส.อ.ศุภณัฐ ไชยโสภา</t>
  </si>
  <si>
    <t>ร.ท.ศุภรัช หมอกสุข</t>
  </si>
  <si>
    <t>ส.อ. ศุภณัฐ ไชยโสภา</t>
  </si>
  <si>
    <t>อาจารย์สอนเข้าใจง่ายและยกตัวอย่างชัดเจนครับ</t>
  </si>
  <si>
    <t>ส.อ.สหกิจ เกื้อกูลบุตร</t>
  </si>
  <si>
    <t>ส.อ. ศุภณัฐ  ไชยโสภา</t>
  </si>
  <si>
    <t>อาจารย์สอนดีมากครับผม</t>
  </si>
  <si>
    <t>ส.อ.รณกร กุนันทิ</t>
  </si>
  <si>
    <t>ส.อ ศุภณัฐ ไชยโสภา</t>
  </si>
  <si>
    <t>สิบเอก ศุภณัฐ ไชยโสภา</t>
  </si>
  <si>
    <t>ข้อเสนอไม่มีคำ มีแต่คำชมครับ ผู้สอนเก่งมากครับ</t>
  </si>
  <si>
    <t>ส.อ.ศุภนัฐ ไชยโสภา</t>
  </si>
  <si>
    <t>สอนดี เข้าใจง่ายครับ</t>
  </si>
  <si>
    <t>มีความเข้าใจดีมากครับ</t>
  </si>
  <si>
    <t>ส.อ.ศุภณัฐ    ไชยโสภา</t>
  </si>
  <si>
    <t>ส.อ.สิทธิพร กันนุฬา</t>
  </si>
  <si>
    <t>ส.อ.ศุณัฐ  ไชยโสภา</t>
  </si>
  <si>
    <t>ดีมาก</t>
  </si>
  <si>
    <t>ส.อ.พจนันท์ ประสิทธิ์สัชฌุกร, ส.อ.ศุภณัฐ ไชยโสภา</t>
  </si>
  <si>
    <t>ส.อ.ศุภณัฐ ชัยโสภา</t>
  </si>
  <si>
    <t>อาจารย์สอนดีครับ เข้าใจง่าย</t>
  </si>
  <si>
    <t>ร.ท.ศุภชัย ป้องเศร้า</t>
  </si>
  <si>
    <t>ร.ท.ศุภชัย  ป้องเศร้า</t>
  </si>
  <si>
    <t>ร.ท.ศุภชัย ป้องเศร้า, จ.ส.อ.พงศภัค อุ่นอนันต์</t>
  </si>
  <si>
    <t>สอบเข้าใจมากครับ</t>
  </si>
  <si>
    <t>ร.ท.ศุภชัย ป้องเศร้า จ.ส.อ.พงศภัค อุ่นอนันต์ พ.ท.สุทธิพงษ์ ขำดี</t>
  </si>
  <si>
    <t>ร.ท. ศุภชัย ป้องเศร้า ,จ.ส.อ. พงศภัค อุ่นอนันต์</t>
  </si>
  <si>
    <t>ร.ท.ศุภชัย ป้องเศร้า  จ.ส.อ พงศภัค  อุ่นอนันต์</t>
  </si>
  <si>
    <t>ร.ท.ศุภชัย ป้องเศร้า จ.ส.อ.พงศถัค อุ่นอนันต์ พ.ท.สุธิพงษ์ ขำดี</t>
  </si>
  <si>
    <t>ส.อ.ภูมินทร์  อ่อนไถล</t>
  </si>
  <si>
    <t>ไม่มีข้อเสนอแนะครับ</t>
  </si>
  <si>
    <t>ส.อ.นัทธพงศ์ รอดเจริญ</t>
  </si>
  <si>
    <t>อาจารย์สอนดีมากๆเลยครับ</t>
  </si>
  <si>
    <t xml:space="preserve">ร.ท.ศุภชัย ป้องเศร้า </t>
  </si>
  <si>
    <t>ส.อ.สิทธิโชค  หนูแดง</t>
  </si>
  <si>
    <t>พ.ต.ประทีป คุ้มยิ้ม</t>
  </si>
  <si>
    <t>สิบเอก ไชยพร  รักษากุล</t>
  </si>
  <si>
    <t>อาจารย์สอนดีมากกก มีกสรส่งเสริมให้ได้ฝึกทักษะการสื่อสารได้อย่างเหมาะสม</t>
  </si>
  <si>
    <t>ส.อ. ไชยพร รักษากุล</t>
  </si>
  <si>
    <t>ควรมีการส่งเสริมให้ผู้เรียนได้มีการฝึกทักษะการสื่อสารฯ</t>
  </si>
  <si>
    <t>อ. ที่ปรึกษา</t>
  </si>
  <si>
    <t>ส.อ. พงษ์พิสิทธิ์ สุธาทัศน์</t>
  </si>
  <si>
    <t>สอนดีมากเข้าใจง่ายครับ</t>
  </si>
  <si>
    <t>ส.อ.วรเดช  จิตตารมย์</t>
  </si>
  <si>
    <t>พ.ท.สุทธิพงษ์ ขำดี</t>
  </si>
  <si>
    <t>พ.ต.ประทีบ  คุ้มยิ้ม</t>
  </si>
  <si>
    <t>พ.ต. ประทีป คุ้มยิ้ม</t>
  </si>
  <si>
    <t>พ.ต.ประทีป  คุ้มยิ้ม</t>
  </si>
  <si>
    <t>อาจารย์อธิบายถึงเนื้อหาได้เข้าใจง่ายและมองภาพตามได้ครับ</t>
  </si>
  <si>
    <t>พันตรี ประทีป คุ้มยิ้ม</t>
  </si>
  <si>
    <t xml:space="preserve">พ.ต.ประทีป  คุ้มยิ้ม  </t>
  </si>
  <si>
    <t>อาจารย์สอนเข้าใจง่ายครับ กระชับไม่ยืดยาว</t>
  </si>
  <si>
    <t>พ.ต.ปะทีป คุ้มยิ้ม</t>
  </si>
  <si>
    <t>พ.ต. ประทีป  คุ้มยิ้ม</t>
  </si>
  <si>
    <t>ส.อ.ธนวัฒน์ ชนสยอง</t>
  </si>
  <si>
    <t>อาจารย์สอนดีได้รับความรู้เกี่ยวกับวิชาอำนวยการสื่อสาร</t>
  </si>
  <si>
    <t>อาจารย์สอนมีความเข้าใจดี สามารถเรียนรู้เกี่ยวกับฝ่ายอำนวยการได้เข้าใจและรู้เกี่ยวกับการปฏิบัติงานในแต่ละสายงาน ว่ามีหน้าที่ต้องทำภารกิจอะไรบ้าง สามารถนำมาปรับใช้ในหน่วยได้</t>
  </si>
  <si>
    <t>ronnakon979@gmail.com</t>
  </si>
  <si>
    <t>พ.ต. สุธิพงษ์ ขำดี</t>
  </si>
  <si>
    <t>พ.ต.ประทีบ คุ้มยิ้ม</t>
  </si>
  <si>
    <t>อาจารย์สอน และแนะนำให้นักเรียนเข้าใจได้ดีครับ</t>
  </si>
  <si>
    <t>พ.ท.สุธิพงษ์ ขำดี</t>
  </si>
  <si>
    <t>พ.ท.สุธิพงษ์  ขำดี</t>
  </si>
  <si>
    <t>ร.ท.ศุภชัย ป้องเศร้า , จ.ส.อ.พงศภัค อุ่นอนันต์ ,พ.ท.สุธิพงษ์ ขำดี</t>
  </si>
  <si>
    <t>พ.ท.สุทธิพงศ์ ขำดี</t>
  </si>
  <si>
    <t>ส.อ.มงคล บุญญะถิติ</t>
  </si>
  <si>
    <t>ส.อ.วิริทธิ์พล/จ.ส.ต.พรสุพพัต/ ส.อ.มงคล</t>
  </si>
  <si>
    <t>ส.อ.มงคล</t>
  </si>
  <si>
    <t xml:space="preserve">ส.อ.มงคล บุญญะถิติ </t>
  </si>
  <si>
    <t>จ.ส.ต.พรสุพต  วุฒิสุวรรณ, ส.อ.มงคล  บุญญะถิติ</t>
  </si>
  <si>
    <t>จ.ส.ต.พรสุพพัต วุฒิสุวรรณ</t>
  </si>
  <si>
    <t>ไมมี</t>
  </si>
  <si>
    <t>อาจารย์แสดงตัวอย่างให้ดูทำให้เห็นภาพมากขึ้นและสามารถปฏิบัติตามได้ง่าย</t>
  </si>
  <si>
    <t>ส.อ. วิริทธิ์พล แข็งธัญญะกรณ์</t>
  </si>
  <si>
    <t>จ.ส.ต.พรสุพัต วุฒิสุวรรณ</t>
  </si>
  <si>
    <t>จ.ส.ต.พรสุพพัต วุฒิสุวรรณ ส.อ.วิริทธิ์พล แข็งธัญญะกรณ์ ส.อ.มงคล บุญญะถิติ</t>
  </si>
  <si>
    <t>จ.ส.ต.พรสุพพัต  วุฒิสุวรรณ</t>
  </si>
  <si>
    <t>ส.อ.วิริทธิ์พล แข็งธัญญะกรณ์ จ.ส.ต.พรสุพพัต วุฒิสุวรรณ ส.อ.มงคล บุญญะถิติ</t>
  </si>
  <si>
    <t>จ.ส.ต.พรสุพพัต วุฒิสุวรรณ ส.อ.วิวิทธิ์พล แข็งธัญญะกรณ์ ส.อ.มงคล บุญญะถิติ</t>
  </si>
  <si>
    <t>จ.ส.ต. พรสุพพัต วุฒิสุวรรณ ,ส.อ. วิริทธิ์พล แข็งธัญญะกรณ์ ,ส.อ. มงคล บุญญะถิติ</t>
  </si>
  <si>
    <t>จ.ส.ต.พรสุพพัต วุฒิสุวรรณ, ส.อ.วิริทธิ์พล แข็งธัญญะกรณ์, ส.อ.มงคล บุญญะถิติ</t>
  </si>
  <si>
    <t>จ.ส.ต. พรสุพพัต  วุฒิสุวรรณ</t>
  </si>
  <si>
    <t>จ.ส.ต. พรสุพพัต วุฒิสุวรรณ</t>
  </si>
  <si>
    <t>จ.ส.ต.พรสุพพัต วุฒิสุวรรณ,ส.อ.วิริทธิ์พล แข็งธัญญะกรณ์,ส.อ.มงคล บุญญะถิติ</t>
  </si>
  <si>
    <t>จ.ส.ต.พรสุพพัด  วุฒิสุวรรณ</t>
  </si>
  <si>
    <t>จ.ส.ต.พรสุพพัต วุฒิสุวรรณ ส.อ.วิริทธิ์พล แข็งธัญะกรณ์  ส.อ.มงคล บุญญะถิติ</t>
  </si>
  <si>
    <t>ส.อ.มงคล บัญญะถิติ</t>
  </si>
  <si>
    <t>ส.อ.มงคล  บุญญะถิติ</t>
  </si>
  <si>
    <t>จ.ส.ต. พรสุพพัต วุฒิสุวรรณ, ส.อ. วิริทธิ์พล แข็งธัญญะกรณ์, ส.อ. มงคล บุญญะถิติ</t>
  </si>
  <si>
    <t>จ.ส.ต.พรสุพพัต วุฒิสุวรรณ ส.อ.วิริทธิ์พล แข็งธัญญะกรณ์  ส.อ.มงคล  บุญญะถิติ</t>
  </si>
  <si>
    <t>จ.ส.ต.พรสุพพัต วุฒิสุวรรณ ส.อ.วิริทธิ์พล แข็งธัญญะกรณ์ ส.อ.มงคล  บุญญะถิติ</t>
  </si>
  <si>
    <t>จ.ส.ต. พรสุพพัต,ส.อ.วิริทธิ์พล,ส.อ.มงคล</t>
  </si>
  <si>
    <t>จ.ส.ต.พรสุพพัต วุฒิสุวรรณ ,ส.อ.วิริทธิ์พล แข็งธัญญะกรณ์ ส.อ.มงคล บุญญะถิติ</t>
  </si>
  <si>
    <t xml:space="preserve">จ.ส.ต.พรสุพพัต วุฒิสุวรรณ </t>
  </si>
  <si>
    <t>จ.ส.ต.พรสุพพัต วุฒิสุวรรณ ส.อ.วิริทธิ์พล แข็งธัญญะกรณ์ ส.อ. มงคล บุญญะกิตติ์</t>
  </si>
  <si>
    <t>จ.ส.ต.พรสุพัต วุฒิสุวรรณ ส.อ.วริทธิ์พล แข็งธัญญะกรณ์ ส.อ.มงคล บุญญะถิติ</t>
  </si>
  <si>
    <t>ส.อ.ชาตรี คำทะเนตร</t>
  </si>
  <si>
    <t xml:space="preserve">พ.ต.หญิง พิมพ์ชนก </t>
  </si>
  <si>
    <t>พ.ต.หญิงพิมพ์ชนก/ร.อ.ธัญญพัทธ์</t>
  </si>
  <si>
    <t>พ.ต.หญิง.พิมพ์ชนก จิรัฏฐิตกาล</t>
  </si>
  <si>
    <t>พ.ต.หญิง พิมพ์พชนก</t>
  </si>
  <si>
    <t>พ.ต.หญิง พิมพ์ชนก จิรัฏฐิติกาล</t>
  </si>
  <si>
    <t>พ.ต.หญิงพิมพ์ชนก จิรัฏฐิติกาล</t>
  </si>
  <si>
    <t>พ.ต.หญิงพิมพ์ชนก</t>
  </si>
  <si>
    <t>พ.ต.หญิงพิมพ์ชนก จิรัฎฐิติการ</t>
  </si>
  <si>
    <t>อาจารย์สอนดีมากครับ และเน้นย้ำหัวข้อที่ใช้หลักๆในการทำงาน</t>
  </si>
  <si>
    <t>พ.ต.หญิงพิมพ์ชนก จิรัฎฐิติกาล</t>
  </si>
  <si>
    <t>พ.ต.หญิงพิมพ์ชนก  จิรัฏฐิติกาล</t>
  </si>
  <si>
    <t>พ.ต.หญิง พิมพ์ชนก จิรัฎฐิติกาล</t>
  </si>
  <si>
    <t>พ.ต.หญิง พิมพ์ชนก  จิรัฏฐิติกาล</t>
  </si>
  <si>
    <t>พ.ต.หญิงพิมพ์ชนก จิรัฎฐิติกาล, ร.อ.ธัญญพัทธ์ ตรีศักดิ์ศรี</t>
  </si>
  <si>
    <t>เสียงเบาและจังหวะการพูดช้า/เร็วเกินไป</t>
  </si>
  <si>
    <t>เสียงพูดขาดหายนิดหน่อยครับ</t>
  </si>
  <si>
    <t>พ.ต.หญฺิงพิมพ์ชนก จิรัฏฐิติกาล</t>
  </si>
  <si>
    <t>พ.ต.หญิง.พิมพ์ชนก จิรัฏฐิติกาล</t>
  </si>
  <si>
    <t>พ.ต.หญิงพิมพ์ชนก  จิรัฏฐิตฺกาล</t>
  </si>
  <si>
    <t>พ.ท.หญิง พิมพ์ชนก จิรัฏฐิติกาล</t>
  </si>
  <si>
    <t>พ.ต. หญิงพิมพ์ชนก จิรัฎฐิติกาล</t>
  </si>
  <si>
    <t>พ.ต.หญิงพิมพ์ชนก,ร.อ.ธัญญพัทธ์</t>
  </si>
  <si>
    <t>พ.ต.หญิง พิมพ์ชนก จิรัฏฐิต กาล</t>
  </si>
  <si>
    <t>พ.ต.หญิง พิมพ์ชนก จิรัฏฐิกาล</t>
  </si>
  <si>
    <t>พ.ต.หญิงพิมพ์ชนก จิรัฐฏฐิติกาล</t>
  </si>
  <si>
    <t>พ.ต.หญิงพิมชนก  จิรัฏฐิติกาล</t>
  </si>
  <si>
    <t xml:space="preserve">พ.ต.หญิงพิมพ์ชนก จิรัฏฐิติกาล </t>
  </si>
  <si>
    <t>พ.ต.หญิงพิมพ์ชนก จิรัฏฐิติการ ร.อ.ธัญญพัทธ์ ตรีศักดิ์ศรี</t>
  </si>
  <si>
    <t>พ.ต.หญิงพิมพ์ชนก จิรัฏธิติกาล</t>
  </si>
  <si>
    <t>พ.ต.หญิง พิมพ์ชนก จิรัฏฐิติกาล ร.อ.ธัญญพัทธ์ ตรีศักดิ์ศรี</t>
  </si>
  <si>
    <t>ส.อ. สรชัช ชัยสนิท</t>
  </si>
  <si>
    <t>พ.ต. ไมตรี  บุญเหลื่อม</t>
  </si>
  <si>
    <t>อาจารย์สอนดีครับเสียงดังฟังชัด</t>
  </si>
  <si>
    <t>อาจารย์สอนดีครับ เรียนเข้าใจง่าย</t>
  </si>
  <si>
    <t>พ.ต. ไมตรี บุญเหลื่อม</t>
  </si>
  <si>
    <t>อาจารย์สอบเข้าใจง่าย เสียงดัง ฟังชัด เรียนกับอาจารย์ ได้ความรู้มากครับ</t>
  </si>
  <si>
    <t>earthtynattapon@gmail.com</t>
  </si>
  <si>
    <t>ชอบวิธีที่อาจารย์ใช้สอนนักเรียนครับ มีการยกตัวอย่างให้เห็นอย่างชัดเจน ขอบคุณสำหรับความรู้ที่มอบให้นะครับ</t>
  </si>
  <si>
    <t>พ.ต.ไมตรี  บุญเหลื่อม</t>
  </si>
  <si>
    <t>อาจอรย์สอนได้สนุกมากครับ  อยากเรียนกับอาจารย์ต่อเลยครับ</t>
  </si>
  <si>
    <t>ส.อ.ภากร  จรรยาประเสริฐ</t>
  </si>
  <si>
    <t>anusonroddara861@gmail.com</t>
  </si>
  <si>
    <t>พ ต ไมตรี บุญเหลื่อม</t>
  </si>
  <si>
    <t>ขอให้อาจาร์ยสอนสนุกๆแบบนี้ตลอดไปครับ</t>
  </si>
  <si>
    <t>อาจารย์สอนมีความเข้าใจง่าย ได้เรียนรู้เกี่ยวกับกฏหมายเกี่ยวกับการรักษาความปลอดภัยเพิ่มมากขึ้นสามารถนำมาถ่ายทอดให้กำลังพลในหน่วยให้เข้าใจและปฏิบัติตามการรักษาความปลอดภัยต่างๆทางทหาร</t>
  </si>
  <si>
    <t>ส.อ.ทนงศักดิ์  ยุงรัมย์</t>
  </si>
  <si>
    <t>อาจารย์สอนสนุกทำให้ไม่เครียดในเวลาเรียนเวลาเรียนจึงมีความตั้งใจมากขึ้น</t>
  </si>
  <si>
    <t>พันตรี ไมตรี บุญเหลื่อม</t>
  </si>
  <si>
    <t>อาจาร์ยสอนดีมากครับ</t>
  </si>
  <si>
    <t>ส.อ.ชัยวัฒน์  สมอ่อน</t>
  </si>
  <si>
    <t>อาจารย์สอนดีมากครับ ไม่น่าเบื่อเลยซักนาที มีแต่ประโยชน์</t>
  </si>
  <si>
    <t>สอนดี เข้าใจเนื้อหา ไม่เบื่อ</t>
  </si>
  <si>
    <t>พ.ต.ไมตรี  บุญเหลื่ยม</t>
  </si>
  <si>
    <t>ไมตรี บุญเหลื่อม</t>
  </si>
  <si>
    <t>ส.อ. ธีรโชติ สีหะวงษ์</t>
  </si>
  <si>
    <t>อยากให้ อ.สอนทุกวิชาเลยครับ น่ารักใจดี รักลูกศิษย์ครับ มีเมตตาเหมาะสมกับการเป็นครู อาจารย์ครับ</t>
  </si>
  <si>
    <t>อาจารย์สอนเข้าใจง่ายครับ</t>
  </si>
  <si>
    <t>อาจารย์สอนดีครับสอนสนุก ได้ทั้งความรู้ในด้านการ รปภ. ได้ความรู้ในตำราแลความรู้นอกตำราแต่สามารถนํามาประยุกต์ใช้ด้วยกันได้ครับ</t>
  </si>
  <si>
    <t>ส.อ.ณัฐพงค์ ขอบพิมาย</t>
  </si>
  <si>
    <t>อาจารย์สอนสนุกไม่ง่วงเลยครับเข้าใจง่ายในเนื้อหารายวิชาที่อาจารย์สอนครับ</t>
  </si>
  <si>
    <t>สอนเข้าใจง่าย ไม่น่าเบื่อ สนุกในการเรียนมากครับ</t>
  </si>
  <si>
    <t>อาจารย์เป็นกันเอง จึงทำให้นักเรียนมาความสนใจเรียน</t>
  </si>
  <si>
    <t>พ.ต.ไมตรี บุญเหลือม</t>
  </si>
  <si>
    <t>ส.อ.ตรีทศพล สุขวัฒนา</t>
  </si>
  <si>
    <t>ส.อ.อภิเษก  แววดี</t>
  </si>
  <si>
    <t>ส.อ.วีรภัทร ป้อมบุญมี</t>
  </si>
  <si>
    <t>พ.ต. ไมตรี บุญเหลี่ยม</t>
  </si>
  <si>
    <t>ส.อ.รณกร กุนันท์</t>
  </si>
  <si>
    <t>อาจาร์ยสอนเข้าใจง่ายครับ</t>
  </si>
  <si>
    <t>เป็นอาจารย์ที่รู้สึก มีความตั้งใจในการสอน เเละพัฒนาให้นักเรียน มีความรู้เพิ่มขึ้นสนุกมากที่ได้เรียน</t>
  </si>
  <si>
    <t>ขอให้อาจารย์รักษาตัวตนแบบนี้ไว้ตลอดไปนะครับ เป็นอาจารย์ที่ทำให้ผมอยากเรียนในทุกชั่วโมงครับ</t>
  </si>
  <si>
    <t>อาจารย์สอนดีมากๆครับ</t>
  </si>
  <si>
    <t>อาจารย์สอนสนุกมากทำให้เวลาเรียนไม่เครียดและตั้งใจเรียนมากขึ้น</t>
  </si>
  <si>
    <t>อาจารย์สอนแนะนำเข้าใจสามารถนำข้อคิดที่สอนมาปรับใช้และศึกษาเรียนรู้เพื่อให้ตัวเองมีความเข้าใจมากยิ่งขึ้น</t>
  </si>
  <si>
    <t>สอนดี เข้าใจเนื้อหา ไม่น่าเบื่อ</t>
  </si>
  <si>
    <t>อาจารย์สอนได้ดี แล้วเข้าใจง่ายครับ</t>
  </si>
  <si>
    <t>10/10</t>
  </si>
  <si>
    <t>พ.ต.ไมตรี  บุญเลื่อม</t>
  </si>
  <si>
    <t>อาจารย์สอนเข้าใจง่ายสนุกมากๆครับ ไม่น่าเบื่อเลยครับ ชอบมากๆครับ</t>
  </si>
  <si>
    <t>อาจารย์สอนสนุก นร. ได้ทั้งความรู้ ไม่มีความกดดัน ไม่เครียด สิ่งที่ อาจารย์สอน สามารถนำกับมาใช้ที่หน่วยได้ครับ</t>
  </si>
  <si>
    <t>เข้าใจง่ายครับ</t>
  </si>
  <si>
    <t>พ.ต. ไมตรี บุญเหลื่ม</t>
  </si>
  <si>
    <t>พ.ต.ไมตรี   บุญเหลี่ยม</t>
  </si>
  <si>
    <t xml:space="preserve">อาจารย์สอนสนุกมากครับ  </t>
  </si>
  <si>
    <t>◌ำ</t>
  </si>
  <si>
    <t>อาจารย์สอนดีมากครับ เรียนสนุก ไม่เบื่อเลยครับ</t>
  </si>
  <si>
    <t>พ ต ไมตรี  บุญเหลื่อม</t>
  </si>
  <si>
    <t>ส.อ.สิรภพ สุขเกษม</t>
  </si>
  <si>
    <t>ไม่มีข้อเสนอแนะใดๆ เพราะอาจารย์สอนดีมากครับ</t>
  </si>
  <si>
    <t>อาจารย์สอนสนุกมากทำให้เวลาเรียนมีความตั้งใจมากขึ้นไม่เครียด</t>
  </si>
  <si>
    <t>สอนดี สนุก เข้าใจเนื้อหา ไม่น่าเบื่อ</t>
  </si>
  <si>
    <t>อาจารณ์สอนสนุกเข้าใจง่ายครับ</t>
  </si>
  <si>
    <t>เรียนวิชานี้ทำให้ได้เรียนรู้เกี่ยวกับเรื่องการทำงานเอกสารมากยิ่งขึ้น ได้เรียนรู้เกี่ยวกับเรื่องที่ไม่รู้ อาจารย์สอนมีความเข้าใจและสามารถนำความรู้มาปรับใช้ในการทำงานของหน่วยได้</t>
  </si>
  <si>
    <t>อาจารย์สอนได้ดี เข้าใจง่าย สามรถนำไปใช้ต่อยอดได้ครับ</t>
  </si>
  <si>
    <t>ได้รับความรู้ระเบียบงาน สบ. มากขึ้นครับ</t>
  </si>
  <si>
    <t>มีประโยชน์มากๆครับสามารถใช้ในการทำงานได้ทุกวันครับ</t>
  </si>
  <si>
    <t xml:space="preserve">พ.ต.ไมตรี บุญเหลื่อม </t>
  </si>
  <si>
    <t>พ.ต.ไมตรี บุญดหลื่อม</t>
  </si>
  <si>
    <t>ผมชอบการสอนของอาจารย์มากครับ  ถึงจะติดเม้ามอยนอกเรื่องไปหน่อย  แต่รายละเอียดการสอนไม่ขาดครับ</t>
  </si>
  <si>
    <t>ชอบทฤษฎีการเปรียบเทียบโลกด้วยส้มมากครับ เห็นภาพชัดเจนครับ แถมอร่อยด้วย</t>
  </si>
  <si>
    <t>ไม่มีข้อเสนอแนะใดๆ เพราะอาจารย์ สอนได้ดีมากครับ</t>
  </si>
  <si>
    <t>10/10ไม่หักถ้าได้เรียนอาวุโสอยากเรียนซ้ำอีกครับ</t>
  </si>
  <si>
    <t>ส.อ.ชัยวัฒน์ สมอ่อน</t>
  </si>
  <si>
    <t>สอนสนุกดี เข้าใจเนื้อหา ไม่น่าเบื่อ</t>
  </si>
  <si>
    <t>ชอบอาจาร์ยมากครับ</t>
  </si>
  <si>
    <t>วิชานี้เสียงไมค์ของอาจารย์เบาไปหน่อยครับ</t>
  </si>
  <si>
    <t>อาจารย์สอนเข้าใจ มีการถามตอบ และให้ฝึกทดลอง</t>
  </si>
  <si>
    <t>ได้รู้เกี่ยวกับการอ่านแผนที่ทางหาร การใช้เข็มทิศ หลังจากที่ไม่ได้เรียนรู้และใช้มาเป็นเวลานาน อาจารย์ทำให้ได้เรียนรู้การอ่านและการใช้ได้ถูกต้องรู้ว่าต้องอ่านยังไง มีวิธีการยังไงในการใช้การใช้ชอบในการที่อาจารย์สอนมากครับ</t>
  </si>
  <si>
    <t>สอนเข้าใจง่าย</t>
  </si>
  <si>
    <t>เข้าใจง่ายและสามารถปฏิบัติได้ถูกต้อง อาจารย์สอนเข้าใจง่ายครับ</t>
  </si>
  <si>
    <t>พ.ต.บุญเหลื่อม บุญเหลื่อม</t>
  </si>
  <si>
    <t>สนุกมากครับ</t>
  </si>
  <si>
    <t>สอนได้ดีมากครับ เข้าใจง่าย</t>
  </si>
  <si>
    <t xml:space="preserve">เรียนสนุกครับ อาจารย์สอนดีครับ </t>
  </si>
  <si>
    <t>อาจารย์สอนสนุก  สอนละเอียดให้เข้าใจ  อยากเรียนกับอาจาย์ต่อเลยครับ</t>
  </si>
  <si>
    <t>ชอบวิชานี้มากครับ ทำให้เรารู้ว่าผู้นำที่ดีควรทำตัวอย่างไร อยากนำความรู้จากวิชานี้ไปปรับใช้กับผู้ใต้บังคับบัญชาต่อไปครับ</t>
  </si>
  <si>
    <t>10เต็ม10สอนสนุกอารมณ์ดีตลอดคาบ</t>
  </si>
  <si>
    <t>สอนสนุก ไม่น่าเบื่อ ได้ความรู้</t>
  </si>
  <si>
    <t>อาจารย์สอนดีมากครับเข้าใจง่ายสอนสนุกไม่น่าเบื่อเลยครับ ชอบมากๆครับ</t>
  </si>
  <si>
    <t>อาจาร์ยใจดีมากครับ</t>
  </si>
  <si>
    <t xml:space="preserve">อาจารย์สอนการเป็นผู้นำ การเสียสละ </t>
  </si>
  <si>
    <t xml:space="preserve">อ.ไมตรีสอนดีมากครับ  เพิ่มเติมเรื่องสอนเกินเวลานิดเดียวครับ อื่นๆคือดีมากครับ การปฏิบัติกับนักเรียน น่ารักเอ็นดูนักเรียนดี มีจิตใจความเป็นครูที่แท้จริงครับ ดีใจที่ได้เรียนและรู้จักอาจารย์นะครับ  </t>
  </si>
  <si>
    <t>23 ส.อ.วีรภัทร ป้อมบุญมี</t>
  </si>
  <si>
    <t>จ.ส.อ.ชัยยุทธ  ดิษบุตร</t>
  </si>
  <si>
    <t>ร.อ.ธัญญาพัทธ์/จ.ส.อ.ชัยยุทธ</t>
  </si>
  <si>
    <t>ร.อ.ธัญญพัทธ์/จ.ส.อ.ชัยยุทธ</t>
  </si>
  <si>
    <t>จ.ส.อ.ชัยยุทธ</t>
  </si>
  <si>
    <t>จ.ส.อ.ชัยยุทธ ดิษบุตร</t>
  </si>
  <si>
    <t>จ.ส.อ.ชัยยุทธ ดัษบุตร</t>
  </si>
  <si>
    <t>ร.อ.ธัญญพัทธ์ ตรีศักดิ์ศรี</t>
  </si>
  <si>
    <t>จ.ส.อ ชัยยุทธ ดิษบุตร</t>
  </si>
  <si>
    <t>อาจารย์สอนพร้อมยกตัวอย่างทำให้เห็นภาพมากขึ้นครับ</t>
  </si>
  <si>
    <t>ร.อ.ธัญญพัทธ์ ตรีศักดิ์ศรี จ.ส.อ.ชัยยุทธ ดิษบุตร</t>
  </si>
  <si>
    <t>ร.อ.ธัญญพัทธ์  ตรีศักดิ์ศรี</t>
  </si>
  <si>
    <t>ร.อ.ธัญญพัทธ์ ตรีศักดิ์ศรี  จ.ส.อ.ชัยยุทธ ดิษบุตร</t>
  </si>
  <si>
    <t>ร.อ. ธัญญพัทธ์ ตรีศักดิ์ศรี ,จ.ส.อ. ชัยยุทธ ดิษบุตร</t>
  </si>
  <si>
    <t>ร.อ.ธัญญพัทธิ์ ตรีศักดิ์ศรี, จ.ส.อ.ชัยยุทธ ดิษบุตร</t>
  </si>
  <si>
    <t>ร.อ. ธัญญพัทธ์  ตรีศักดิ์ศรี</t>
  </si>
  <si>
    <t>จ.ส.อ. ชัยยุทธ ดิษบุตร</t>
  </si>
  <si>
    <t>ร.อ.ธัญญพัทธ์ ตรีศักดิ์ศรี,จ.ส.อ.ชัยยุทธ ดิษบุตร</t>
  </si>
  <si>
    <t>ร.อ.ธัญญพัทธ์ ตรีศักดิ์ศี, จ.ส.อ.ชัยยุทธ ดิษบุตร</t>
  </si>
  <si>
    <t xml:space="preserve">ร.อ.ธัญญพัทธ์ ตรีศักดิ์ศรี </t>
  </si>
  <si>
    <t>ร.อ.ธัญญพัทธ์  ตรีศักดิ์ศรี  จ.ส.อ.ชัยยุทธ  ดิษบุตร</t>
  </si>
  <si>
    <t>ร.อ. ธัญญพัทธ์ ตรีศักดิ์ศรี, จ.ส.อ. ชัยยุทธ ดิษบุตร</t>
  </si>
  <si>
    <t>ร.อ.ธัญญพัทธ์,จ.ส.อ.ชัยยุทธ</t>
  </si>
  <si>
    <t>ร.อ.ธัญญพัทธ์ ตรีศักดิ์ศรี , จ.ส.อ.ชัยยุทธ ดิษบุตร</t>
  </si>
  <si>
    <t>ร.อ. ธัญญพันทธ์ ตรีศักดิ์ศรี</t>
  </si>
  <si>
    <t>ร.อ.ธัญญพันธ์ ตรีศักดิ์ศรี</t>
  </si>
  <si>
    <t>ร.อ.ธัญญพัทธ์ ตรีศักดิ์ศรี, จ.ส.อ.ชัยยุทธ ดิษบุตร</t>
  </si>
  <si>
    <t>จ.ส.อ.ชัยยุทธ ดิษบุตร,ร.อ.ธัญญพัทธ์ ตรีศักดิ์ศรี</t>
  </si>
  <si>
    <t>.อ.ธัญญพัทธ์ ตรีศักดิ์ศรี</t>
  </si>
  <si>
    <t>พ.ต.ไมรตรี บุญเหลื่อม</t>
  </si>
  <si>
    <t>ครู/อาจารย์ รร.ส.สส.</t>
  </si>
  <si>
    <t>ครู-อาจารย์ กศ.รร.ส.สส.</t>
  </si>
  <si>
    <t>อาจารย์แสดงตัวอย่างทำให้สามารถปฏิบัติตามได้ดีมากครับ</t>
  </si>
  <si>
    <t>จ.ส.อ. พงศภัค อุ่นอนันต์  /</t>
  </si>
  <si>
    <t>ครู อาจารย์ กศ.รร.ส.สส.</t>
  </si>
  <si>
    <t>ครู-อาจาร์ย กศ.รร.ส.สส.</t>
  </si>
  <si>
    <t>ครู - อาจารย์ กศ.รร.ส.สส.</t>
  </si>
  <si>
    <t>กศ.รร.ส.สส.</t>
  </si>
  <si>
    <t>ครูอาจารย์ รร.ส.สส</t>
  </si>
  <si>
    <t>ครู - อาจาร์ กศ.รร.ส.สส.</t>
  </si>
  <si>
    <t>จ.ส.อ.ประกาศิต แซ่เจียม</t>
  </si>
  <si>
    <t>ครูอาจารย์</t>
  </si>
  <si>
    <t>ครู - อาจารย์</t>
  </si>
  <si>
    <t>คณะอาจารย์</t>
  </si>
  <si>
    <t>ครู- อาจารย์ กศ.รร.ส.สส.</t>
  </si>
  <si>
    <t>คณะครูและอาจารย์ กศ.รร.สส.</t>
  </si>
  <si>
    <t>ครู-อาจารย์  กศ.รร.ส.สส.</t>
  </si>
  <si>
    <t>จ.ส.อ.ประกาศิต  แซ่เจียม</t>
  </si>
  <si>
    <t>ครู-อาจารย์ กศ.รร.ส.สส</t>
  </si>
  <si>
    <t>คณะครู-อาจารย์ รร.ส.สส.</t>
  </si>
  <si>
    <t xml:space="preserve">ครู - อาจารย์ </t>
  </si>
  <si>
    <t>จ.ส.อ.สุริวัฒน์ นาคเกตุ</t>
  </si>
  <si>
    <t>ครู-อาจารย์ ทุกคน</t>
  </si>
  <si>
    <t xml:space="preserve">ให้คำแนะนำดีมาก </t>
  </si>
  <si>
    <t>ครู-อาจารย์ กศ รร.ส.สส</t>
  </si>
  <si>
    <t>ครู-อาจารย์กองการศึกษา</t>
  </si>
  <si>
    <t>อาจารย์ กศ.รร.ส.สส.</t>
  </si>
  <si>
    <t>ครู-อาจารย์ กส.รร.สส.</t>
  </si>
  <si>
    <t>อจ.รร.สส.</t>
  </si>
  <si>
    <t>ครู-อาจารย์.กศ.รร.ส.สส.</t>
  </si>
  <si>
    <t>ครู - อาจารย์ กศ.รร.ส.สส</t>
  </si>
  <si>
    <t>ลักษณะทางทหารต้อง "ได้รับการปรับปรุง" ขาดความเชื่อมั่นในตนเอง</t>
  </si>
  <si>
    <t>ไม่มีประมวลรายวิชา "และไม่มีการ" แนะนำเนื้อหาวิชา</t>
  </si>
  <si>
    <t>"ไม่มี" การจัดเตรียมสื่อการเรียนการสอน "และไม่ปรากฏ" แหล่งอ้างอิง</t>
  </si>
  <si>
    <t xml:space="preserve">มีการจัดการเรียนการสอนเป็นไปตามประมวลรายวิชาบางส่วน "หรือ" การนำเข้าสู่บทเรียนให้ข้อมูลที่เป็นประโยชน์แก่ผู้เรียน (อย่างใดอย่างหนึ่ง) </t>
  </si>
  <si>
    <t xml:space="preserve">มีการจัดการเรียนการสอน "ไม่เป็นไปตาม" ประมวลรายวิชาครบถ้วนและ "ไม่มี" การนำเข้าสู่บทเรียนให้ข้อมูลที่เป็นประโยชน์แก่ผู้เรียน </t>
  </si>
  <si>
    <t xml:space="preserve">มีการส่งเสริมให้ผู้เรียนได้ฝึกทักษะการคิดได้อย่างเหมาะสมดีมาก </t>
  </si>
  <si>
    <t xml:space="preserve">มีการส่งเสริมให้ผู้เรียนได้ฝึกทักษะการคิดได้อย่างเหมาะสม </t>
  </si>
  <si>
    <t>ควรมีการส่งเสริมให้ผู้เรียนได้มีการฝึกทักษะการคิด</t>
  </si>
  <si>
    <t>ลำดับ</t>
  </si>
  <si>
    <t>การจัดหน่วยทหารสื่อสาร</t>
  </si>
  <si>
    <t>การส่งกำลังและซ่อมบำรุงสายสื่อสาร</t>
  </si>
  <si>
    <t>วงจรไฟฟ้า</t>
  </si>
  <si>
    <t>การสื่อสารทางยุทธวิธี</t>
  </si>
  <si>
    <t>การสื่อสารประเภทวิทยุและการสงครามอิเล็กทรอนิกส์</t>
  </si>
  <si>
    <t>การสื่อสารประเภทสาย</t>
  </si>
  <si>
    <t>การอำนวยการทางการสื่อสาร</t>
  </si>
  <si>
    <t>ภาษาอังกฤษทางทหาร</t>
  </si>
  <si>
    <t>การพัฒนาทักษะดิจิทัลที่จำเป็นระดับต้น</t>
  </si>
  <si>
    <t>การรักษาความปลอดภัย</t>
  </si>
  <si>
    <t>การป้องกันและปราบปรามการก่อความไม่สงบ</t>
  </si>
  <si>
    <t>ระเบียบงานสารบรรณ</t>
  </si>
  <si>
    <t>แผนที่เข็มทิศ</t>
  </si>
  <si>
    <t>ผู้นำหน่วย</t>
  </si>
  <si>
    <t>วิชาตามนโยบายที่กองทัพบกกำหนด</t>
  </si>
  <si>
    <t>ฝึกทบทวนการใช้เครื่องมือสื่อสาร</t>
  </si>
  <si>
    <t>ส.อ. มนัสชนันท์  กลางการณ์</t>
  </si>
  <si>
    <t>ส.อ. อวิรุทธ์  พราหมณ์บุญมี</t>
  </si>
  <si>
    <t>ส.อ. สมิทธิ์  ศรีบรรเทา</t>
  </si>
  <si>
    <t>ส.อ. ภาณุพงษ์  กุลนอก</t>
  </si>
  <si>
    <t>ส.อ. กรรัตน์  งามวิลัย</t>
  </si>
  <si>
    <t>ส.อ. จิรภาส  พลเยี่ยม</t>
  </si>
  <si>
    <t>ส.อ. อัศวิน  จันทร์แดง</t>
  </si>
  <si>
    <t>ส.อ.หญิง ธิดา  บัวเบา</t>
  </si>
  <si>
    <t>ส.อ.หญิิง กัตติกา  อร่ามโชติ</t>
  </si>
  <si>
    <t>ส.อ. ชาญวิทย์  พรสุรัตน์</t>
  </si>
  <si>
    <t>ส.อ. สวพล  นามเขตุ</t>
  </si>
  <si>
    <t>ส.อ. ธนพันธุ์  บุญเคลิ้ม</t>
  </si>
  <si>
    <t>ส.อ. วิริทธิ์พล  แข็งธัญญะกรณ์</t>
  </si>
  <si>
    <t>ส.อ. ณรงค์ฤทธิ์  พงษ์ภา</t>
  </si>
  <si>
    <t>ส.อ. เดชทัตพงษ์  คมเดชา</t>
  </si>
  <si>
    <t>ส.อ. จักรพงษ์  รัศมีพันธ์</t>
  </si>
  <si>
    <t>ส.อ. กรกฏ  งามจรัสทรัพย์</t>
  </si>
  <si>
    <t>ส.อ. วิิรัช  แจ่มวิจิตโต</t>
  </si>
  <si>
    <t>ส.อ. อนุชิต  เทศะแพทย์</t>
  </si>
  <si>
    <t>ส.อ. สมพร  สุขคำ</t>
  </si>
  <si>
    <t>ส.อ. เสวก  เรืองฉาย</t>
  </si>
  <si>
    <t>ส.อ. ศิริวัฒน์  อ่องเอิบ</t>
  </si>
  <si>
    <t>ส.อ. ไทวิชญ์  ภารา</t>
  </si>
  <si>
    <t>ส.อ. ประสิทธิ์  แหล่งหล้า</t>
  </si>
  <si>
    <t>ส.อ. อรรถพล  ปานกลาง</t>
  </si>
  <si>
    <t>ส.อ. ชัชพิสิฐ  ยอดสง่า</t>
  </si>
  <si>
    <t>ส.อ. เจษฎา  กระจ่างโรจน์</t>
  </si>
  <si>
    <t>ส.อ. อนุุวิทย์  ไชยยศ</t>
  </si>
  <si>
    <t>ส.อ. อภิสิทธิ์  สัตภาพร</t>
  </si>
  <si>
    <t>ส.อ. เดชาวัต  สุวรรณทศ</t>
  </si>
  <si>
    <t>ส.อ. สง่างาม  เกลียวทอง</t>
  </si>
  <si>
    <t>ส.อ. ชาญวิทย์  ตุ้ยกำเหนิด</t>
  </si>
  <si>
    <t>ส.อ. นพคุณ  บัวงาม</t>
  </si>
  <si>
    <t>ส.อ. อนุรักษ์  มาวะดี</t>
  </si>
  <si>
    <t>ส.อ. นิพล  เนียมเกิด</t>
  </si>
  <si>
    <t>ส.อ. นพดล  ขุนฉายา</t>
  </si>
  <si>
    <t>ส.อ. สุรเชษฐ์  อุไรประเสริฐ</t>
  </si>
  <si>
    <t>ส.อ. วันคเนย์  ศรีต่างวงษ์</t>
  </si>
  <si>
    <t>ส.อ. วีรพล  ลิ้มศฤงคาร</t>
  </si>
  <si>
    <t>ส.อ. ศุลเชษฐ์  พลดงนอก</t>
  </si>
  <si>
    <t>ส.อ. พิภพ  สร้อยวาที</t>
  </si>
  <si>
    <t>ส.อ. จักรเพชร  ปาปะขัง</t>
  </si>
  <si>
    <t>ส.อ. ประสาร  ผาสุข</t>
  </si>
  <si>
    <t>ส.อ. ลิขิต  กวางพิจิตร</t>
  </si>
  <si>
    <t>ส.อ. อนุรัักษ์  ทองหล่อ</t>
  </si>
  <si>
    <t>ส.อ. พลวัฒน์  สุวรรณดวง</t>
  </si>
  <si>
    <t>ส.อ. อนันต์  โต๊ะเตบ</t>
  </si>
  <si>
    <t>ส.อ. พงษ์ศักดิ์  สายแก้ว</t>
  </si>
  <si>
    <t>ส.อ. ธนพััต  ไชยบาล</t>
  </si>
  <si>
    <t>ส.อ. จิรายุ  บัวใหญ่</t>
  </si>
  <si>
    <t>รายวิชา</t>
  </si>
  <si>
    <t>ยอดเข้าประเมิน</t>
  </si>
  <si>
    <t>คิดเป็นร้อยละ</t>
  </si>
  <si>
    <t>ภาพรวม ร้อยละ</t>
  </si>
  <si>
    <t>ส.อ. ธราธิป  ทองสันต์</t>
  </si>
  <si>
    <t>ส.อ. ธนะชัย  สวนตะโก</t>
  </si>
  <si>
    <t>ส.อ. จักรพันธ์  จุฬา</t>
  </si>
  <si>
    <t>ส.อ. รัฐกิตติ์  จิรโชคปิติพงศ์</t>
  </si>
  <si>
    <t>ตามนโยบายที่กองทัพบกกำหนด</t>
  </si>
  <si>
    <t>ส.อ. เสริมศักดิ์  สุกรีอนันท์</t>
  </si>
  <si>
    <t>ส.อ. ทิวากร  มาลาม</t>
  </si>
  <si>
    <t>ส.อ. จักรศราวุธ  ชูดำ</t>
  </si>
  <si>
    <t>ส.อ. นวพล  คำพินิจ</t>
  </si>
  <si>
    <t>ส.อ. อภิลักษณ์  ชาญสงคราม</t>
  </si>
  <si>
    <t>ส.อ. วีระพงษ์  ดวงแก้วเรือน</t>
  </si>
  <si>
    <t>ส.อ. ณรงค์์ศักดิ์  คล้ายมั่ง</t>
  </si>
  <si>
    <t>ส.อ. สานุพงค์  กตกุลปัญญา</t>
  </si>
  <si>
    <t>ส.อ. วีระเดช  กิตติศุภมานนท์</t>
  </si>
  <si>
    <t>ส.อ. นำโชค  สุขเสน</t>
  </si>
  <si>
    <t>ส.อ. ยุทธนา  พลอยพันธ์</t>
  </si>
  <si>
    <t>ส.อ. นิรพนธ์  พิมพ์สะอาด</t>
  </si>
  <si>
    <t>ส.อ. วิษณุ  โสภาวัง</t>
  </si>
  <si>
    <t>ส.อ. อดิศร  สุวรรณรัตน์</t>
  </si>
  <si>
    <t>ส.อ. ภาณุุวัชร ดนตรีเสนาะ</t>
  </si>
  <si>
    <r>
      <rPr>
        <rFont val="Sarabun"/>
        <color theme="1"/>
        <sz val="10.0"/>
      </rPr>
      <t xml:space="preserve">ส.อ. ศุภโชค </t>
    </r>
    <r>
      <rPr>
        <rFont val="Sarabun"/>
        <color rgb="FFFF0000"/>
        <sz val="10.0"/>
      </rPr>
      <t xml:space="preserve"> </t>
    </r>
    <r>
      <rPr>
        <rFont val="Sarabun"/>
        <color theme="1"/>
        <sz val="10.0"/>
      </rPr>
      <t>ซาวจำปา</t>
    </r>
  </si>
  <si>
    <t>ส.อ. ชยากร  งามเขียว</t>
  </si>
  <si>
    <t>ส.อ. ณัฐภัทร  แหลมคม</t>
  </si>
  <si>
    <t>ส.อ. สิทธิ์ชัย  เกิดพุ่ม</t>
  </si>
  <si>
    <t>ส.อ. คมชาญ  มณีพรหม</t>
  </si>
  <si>
    <t>ส.อ. พูนทรัพย์  ปลาศรีวงษ์</t>
  </si>
  <si>
    <t>ส.อ. ธนธรณ์  บัวบก</t>
  </si>
  <si>
    <t>ส.อ. จักราวุธ  ราชบุรี</t>
  </si>
  <si>
    <r>
      <rPr>
        <rFont val="Sarabun"/>
        <color rgb="FF000000"/>
        <sz val="10.0"/>
      </rPr>
      <t>ส.อ. ธิติพันธ์  สัญญะ</t>
    </r>
    <r>
      <rPr>
        <rFont val="Sarabun"/>
        <color rgb="FF000000"/>
        <sz val="10.0"/>
      </rPr>
      <t>วิรี</t>
    </r>
  </si>
  <si>
    <t>ส.อ. วิทยา  จันทร์เชื้อ</t>
  </si>
  <si>
    <t>ส.อ. สมรัฐ  ขอสุข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</si>
</sst>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2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  <scheme val="minor"/>
    </font>
    <font>
      <sz val="12.0"/>
      <color rgb="FF444444"/>
      <name val="Arial"/>
      <scheme val="minor"/>
    </font>
    <font>
      <sz val="12.0"/>
      <color theme="1"/>
      <name val="Arial"/>
    </font>
    <font>
      <color theme="1"/>
      <name val="Arial"/>
    </font>
    <font>
      <sz val="11.0"/>
      <color theme="1"/>
      <name val="Arial"/>
    </font>
    <font>
      <sz val="12.0"/>
      <color rgb="FF444444"/>
      <name val="Arial"/>
    </font>
    <font>
      <sz val="11.0"/>
      <color rgb="FF202124"/>
      <name val="Roboto"/>
    </font>
    <font>
      <color theme="1"/>
      <name val="Sarabun"/>
    </font>
    <font>
      <sz val="10.0"/>
      <color theme="1"/>
      <name val="Sarabun"/>
    </font>
    <font/>
    <font>
      <sz val="10.0"/>
      <color rgb="FF444444"/>
      <name val="Sarabun"/>
    </font>
    <font>
      <b/>
      <sz val="18.0"/>
      <color theme="1"/>
      <name val="TH SarabunPSK"/>
    </font>
    <font>
      <sz val="18.0"/>
      <color theme="1"/>
      <name val="TH SarabunPSK"/>
    </font>
    <font>
      <sz val="16.0"/>
      <color theme="1"/>
      <name val="TH SarabunPSK"/>
    </font>
    <font>
      <sz val="16.0"/>
      <color rgb="FF000000"/>
      <name val="TH SarabunPSK"/>
    </font>
    <font>
      <sz val="18.0"/>
      <color rgb="FF000000"/>
      <name val="TH SarabunPSK"/>
    </font>
    <font>
      <color theme="1"/>
      <name val="TH SarabunPSK"/>
    </font>
    <font>
      <sz val="10.0"/>
      <color rgb="FF000000"/>
      <name val="Sarabun"/>
    </font>
    <font>
      <sz val="11.0"/>
      <color theme="1"/>
      <name val="Sarabun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ADCE0"/>
        <bgColor rgb="FFDADCE0"/>
      </patternFill>
    </fill>
    <fill>
      <patternFill patternType="solid">
        <fgColor rgb="FFD9D9D9"/>
        <bgColor rgb="FFD9D9D9"/>
      </patternFill>
    </fill>
  </fills>
  <borders count="6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top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shrinkToFit="0" vertical="bottom" wrapText="1"/>
    </xf>
    <xf borderId="0" fillId="0" fontId="1" numFmtId="164" xfId="0" applyAlignment="1" applyFont="1" applyNumberForma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3" fontId="3" numFmtId="0" xfId="0" applyFill="1" applyFont="1"/>
    <xf borderId="0" fillId="3" fontId="4" numFmtId="0" xfId="0" applyAlignment="1" applyFill="1" applyFont="1">
      <alignment horizontal="right" vertical="bottom"/>
    </xf>
    <xf borderId="0" fillId="0" fontId="1" numFmtId="2" xfId="0" applyAlignment="1" applyFont="1" applyNumberFormat="1">
      <alignment vertical="bottom"/>
    </xf>
    <xf borderId="0" fillId="0" fontId="1" numFmtId="2" xfId="0" applyAlignment="1" applyFont="1" applyNumberFormat="1">
      <alignment horizontal="right" vertical="bottom"/>
    </xf>
    <xf borderId="0" fillId="4" fontId="1" numFmtId="0" xfId="0" applyAlignment="1" applyFill="1" applyFont="1">
      <alignment horizontal="right" vertical="bottom"/>
    </xf>
    <xf borderId="0" fillId="0" fontId="2" numFmtId="2" xfId="0" applyFont="1" applyNumberFormat="1"/>
    <xf borderId="0" fillId="0" fontId="5" numFmtId="0" xfId="0" applyAlignment="1" applyFont="1">
      <alignment vertical="bottom"/>
    </xf>
    <xf borderId="0" fillId="0" fontId="6" numFmtId="0" xfId="0" applyAlignment="1" applyFont="1">
      <alignment vertical="top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center" shrinkToFit="0" vertical="bottom" wrapText="1"/>
    </xf>
    <xf borderId="0" fillId="0" fontId="5" numFmtId="164" xfId="0" applyAlignment="1" applyFont="1" applyNumberFormat="1">
      <alignment horizontal="right" vertical="bottom"/>
    </xf>
    <xf borderId="0" fillId="2" fontId="5" numFmtId="0" xfId="0" applyAlignment="1" applyFill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3" fontId="7" numFmtId="0" xfId="0" applyAlignment="1" applyFill="1" applyFont="1">
      <alignment vertical="bottom"/>
    </xf>
    <xf borderId="0" fillId="3" fontId="8" numFmtId="0" xfId="0" applyAlignment="1" applyFill="1" applyFont="1">
      <alignment horizontal="right" vertical="bottom"/>
    </xf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vertical="bottom"/>
    </xf>
    <xf borderId="0" fillId="0" fontId="6" numFmtId="2" xfId="0" applyAlignment="1" applyFont="1" applyNumberFormat="1">
      <alignment vertical="bottom"/>
    </xf>
    <xf borderId="0" fillId="2" fontId="6" numFmtId="0" xfId="0" applyAlignment="1" applyFill="1" applyFont="1">
      <alignment vertical="bottom"/>
    </xf>
    <xf borderId="0" fillId="4" fontId="6" numFmtId="2" xfId="0" applyAlignment="1" applyFill="1" applyFont="1" applyNumberFormat="1">
      <alignment vertical="bottom"/>
    </xf>
    <xf borderId="0" fillId="4" fontId="6" numFmtId="0" xfId="0" applyAlignment="1" applyFill="1" applyFont="1">
      <alignment vertical="bottom"/>
    </xf>
    <xf borderId="0" fillId="0" fontId="5" numFmtId="2" xfId="0" applyAlignment="1" applyFont="1" applyNumberFormat="1">
      <alignment horizontal="right" vertical="bottom"/>
    </xf>
    <xf borderId="0" fillId="0" fontId="6" numFmtId="2" xfId="0" applyAlignment="1" applyFont="1" applyNumberFormat="1">
      <alignment horizontal="right" vertical="bottom"/>
    </xf>
    <xf quotePrefix="1" borderId="0" fillId="0" fontId="2" numFmtId="0" xfId="0" applyAlignment="1" applyFont="1">
      <alignment readingOrder="0"/>
    </xf>
    <xf borderId="0" fillId="3" fontId="9" numFmtId="0" xfId="0" applyFill="1" applyFont="1"/>
    <xf borderId="0" fillId="0" fontId="6" numFmtId="0" xfId="0" applyFont="1"/>
    <xf borderId="0" fillId="5" fontId="9" numFmtId="0" xfId="0" applyFill="1" applyFont="1"/>
    <xf borderId="0" fillId="6" fontId="10" numFmtId="0" xfId="0" applyAlignment="1" applyFill="1" applyFont="1">
      <alignment horizontal="center" readingOrder="0" vertical="center"/>
    </xf>
    <xf borderId="1" fillId="6" fontId="11" numFmtId="0" xfId="0" applyAlignment="1" applyBorder="1" applyFill="1" applyFont="1">
      <alignment horizontal="center" shrinkToFit="0" vertical="center" wrapText="1"/>
    </xf>
    <xf borderId="2" fillId="6" fontId="11" numFmtId="0" xfId="0" applyAlignment="1" applyBorder="1" applyFill="1" applyFont="1">
      <alignment horizontal="center" shrinkToFit="0" vertical="center" wrapText="1"/>
    </xf>
    <xf borderId="3" fillId="0" fontId="12" numFmtId="0" xfId="0" applyBorder="1" applyFont="1"/>
    <xf borderId="4" fillId="6" fontId="11" numFmtId="0" xfId="0" applyAlignment="1" applyBorder="1" applyFill="1" applyFont="1">
      <alignment horizontal="center" textRotation="90" vertical="bottom"/>
    </xf>
    <xf borderId="4" fillId="0" fontId="11" numFmtId="0" xfId="0" applyAlignment="1" applyBorder="1" applyFont="1">
      <alignment horizontal="right" vertical="bottom"/>
    </xf>
    <xf borderId="4" fillId="0" fontId="11" numFmtId="0" xfId="0" applyAlignment="1" applyBorder="1" applyFont="1">
      <alignment readingOrder="0"/>
    </xf>
    <xf borderId="4" fillId="0" fontId="11" numFmtId="0" xfId="0" applyBorder="1" applyFont="1"/>
    <xf borderId="4" fillId="3" fontId="11" numFmtId="0" xfId="0" applyAlignment="1" applyBorder="1" applyFill="1" applyFont="1">
      <alignment vertical="bottom"/>
    </xf>
    <xf borderId="4" fillId="3" fontId="13" numFmtId="0" xfId="0" applyAlignment="1" applyBorder="1" applyFill="1" applyFont="1">
      <alignment horizontal="right" vertical="bottom"/>
    </xf>
    <xf borderId="4" fillId="3" fontId="11" numFmtId="0" xfId="0" applyBorder="1" applyFill="1" applyFont="1"/>
    <xf borderId="4" fillId="0" fontId="14" numFmtId="0" xfId="0" applyAlignment="1" applyBorder="1" applyFont="1">
      <alignment horizontal="center" readingOrder="0"/>
    </xf>
    <xf borderId="4" fillId="0" fontId="15" numFmtId="0" xfId="0" applyAlignment="1" applyBorder="1" applyFont="1">
      <alignment horizontal="center" readingOrder="0"/>
    </xf>
    <xf borderId="4" fillId="0" fontId="15" numFmtId="2" xfId="0" applyAlignment="1" applyBorder="1" applyFont="1" applyNumberFormat="1">
      <alignment horizontal="center" readingOrder="0"/>
    </xf>
    <xf borderId="4" fillId="0" fontId="15" numFmtId="0" xfId="0" applyAlignment="1" applyBorder="1" applyFont="1">
      <alignment readingOrder="0"/>
    </xf>
    <xf borderId="0" fillId="0" fontId="15" numFmtId="0" xfId="0" applyAlignment="1" applyFont="1">
      <alignment readingOrder="0"/>
    </xf>
    <xf borderId="0" fillId="0" fontId="15" numFmtId="0" xfId="0" applyFont="1"/>
    <xf borderId="4" fillId="0" fontId="16" numFmtId="0" xfId="0" applyBorder="1" applyFont="1"/>
    <xf borderId="4" fillId="0" fontId="15" numFmtId="0" xfId="0" applyAlignment="1" applyBorder="1" applyFont="1">
      <alignment horizontal="center"/>
    </xf>
    <xf borderId="4" fillId="0" fontId="15" numFmtId="2" xfId="0" applyBorder="1" applyFont="1" applyNumberFormat="1"/>
    <xf borderId="0" fillId="3" fontId="17" numFmtId="0" xfId="0" applyAlignment="1" applyFill="1" applyFont="1">
      <alignment horizontal="right" vertical="center"/>
    </xf>
    <xf borderId="0" fillId="0" fontId="15" numFmtId="2" xfId="0" applyAlignment="1" applyFont="1" applyNumberFormat="1">
      <alignment vertical="center"/>
    </xf>
    <xf borderId="5" fillId="0" fontId="16" numFmtId="0" xfId="0" applyBorder="1" applyFont="1"/>
    <xf borderId="5" fillId="0" fontId="16" numFmtId="0" xfId="0" applyAlignment="1" applyBorder="1" applyFont="1">
      <alignment readingOrder="0"/>
    </xf>
    <xf borderId="4" fillId="0" fontId="18" numFmtId="0" xfId="0" applyAlignment="1" applyBorder="1" applyFont="1">
      <alignment horizontal="center"/>
    </xf>
    <xf borderId="4" fillId="0" fontId="18" numFmtId="2" xfId="0" applyBorder="1" applyFont="1" applyNumberFormat="1"/>
    <xf borderId="0" fillId="0" fontId="15" numFmtId="0" xfId="0" applyAlignment="1" applyFont="1">
      <alignment horizontal="center"/>
    </xf>
    <xf borderId="0" fillId="0" fontId="19" numFmtId="2" xfId="0" applyFont="1" applyNumberFormat="1"/>
    <xf borderId="0" fillId="0" fontId="15" numFmtId="2" xfId="0" applyFont="1" applyNumberFormat="1"/>
    <xf borderId="4" fillId="0" fontId="20" numFmtId="0" xfId="0" applyBorder="1" applyFont="1"/>
    <xf borderId="0" fillId="0" fontId="11" numFmtId="0" xfId="0" applyAlignment="1" applyFont="1">
      <alignment vertical="bottom"/>
    </xf>
    <xf borderId="0" fillId="3" fontId="13" numFmtId="0" xfId="0" applyAlignment="1" applyFill="1" applyFont="1">
      <alignment horizontal="right" vertical="bottom"/>
    </xf>
    <xf borderId="0" fillId="0" fontId="11" numFmtId="0" xfId="0" applyFont="1"/>
    <xf borderId="0" fillId="3" fontId="13" numFmtId="2" xfId="0" applyAlignment="1" applyFill="1" applyFont="1" applyNumberFormat="1">
      <alignment horizontal="right" vertical="bottom"/>
    </xf>
    <xf borderId="0" fillId="0" fontId="11" numFmtId="2" xfId="0" applyFont="1" applyNumberFormat="1"/>
    <xf borderId="0" fillId="0" fontId="21" numFmtId="0" xfId="0" applyFont="1"/>
  </cellXfs>
  <cellStyles count="1">
    <cellStyle xfId="0" name="Normal" builtinId="0"/>
  </cellStyles>
  <dxfs count="1">
    <dxf>
      <font/>
      <fill>
        <patternFill patternType="solid">
          <fgColor rgb="FF980000"/>
          <bgColor rgb="FF98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5">
        <v>46262.4103947338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</row>
    <row r="3">
      <c r="A3" s="5">
        <v>46262.412039884264</v>
      </c>
      <c r="B3" s="6" t="s">
        <v>21</v>
      </c>
      <c r="C3" s="6" t="s">
        <v>22</v>
      </c>
      <c r="D3" s="6" t="s">
        <v>13</v>
      </c>
      <c r="E3" s="6" t="s">
        <v>14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</row>
    <row r="4">
      <c r="A4" s="5">
        <v>46262.41455490741</v>
      </c>
      <c r="B4" s="6" t="s">
        <v>24</v>
      </c>
      <c r="C4" s="6" t="s">
        <v>12</v>
      </c>
      <c r="D4" s="6" t="s">
        <v>13</v>
      </c>
      <c r="E4" s="6" t="s">
        <v>14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</row>
    <row r="5">
      <c r="A5" s="5">
        <v>46262.41609482639</v>
      </c>
      <c r="B5" s="6" t="s">
        <v>25</v>
      </c>
      <c r="C5" s="6" t="s">
        <v>26</v>
      </c>
      <c r="D5" s="6" t="s">
        <v>13</v>
      </c>
      <c r="E5" s="6" t="s">
        <v>14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</row>
    <row r="6">
      <c r="A6" s="5">
        <v>46262.42190429398</v>
      </c>
      <c r="B6" s="6" t="s">
        <v>28</v>
      </c>
      <c r="C6" s="6" t="s">
        <v>12</v>
      </c>
      <c r="D6" s="6" t="s">
        <v>13</v>
      </c>
      <c r="E6" s="6" t="s">
        <v>14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20</v>
      </c>
    </row>
    <row r="7">
      <c r="A7" s="5">
        <v>46262.4248102662</v>
      </c>
      <c r="B7" s="6" t="s">
        <v>30</v>
      </c>
      <c r="C7" s="6" t="s">
        <v>31</v>
      </c>
      <c r="D7" s="6" t="s">
        <v>13</v>
      </c>
      <c r="E7" s="6" t="s">
        <v>14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32</v>
      </c>
    </row>
    <row r="8">
      <c r="A8" s="5">
        <v>46262.434066747686</v>
      </c>
      <c r="B8" s="6" t="s">
        <v>33</v>
      </c>
      <c r="C8" s="6" t="s">
        <v>35</v>
      </c>
      <c r="D8" s="6" t="s">
        <v>13</v>
      </c>
      <c r="E8" s="6" t="s">
        <v>14</v>
      </c>
      <c r="F8" s="6" t="s">
        <v>16</v>
      </c>
      <c r="G8" s="6" t="s">
        <v>17</v>
      </c>
      <c r="H8" s="6" t="s">
        <v>18</v>
      </c>
      <c r="I8" s="6" t="s">
        <v>19</v>
      </c>
      <c r="J8" s="6" t="s">
        <v>20</v>
      </c>
      <c r="K8" s="6" t="s">
        <v>36</v>
      </c>
    </row>
    <row r="9">
      <c r="A9" s="5">
        <v>46262.4358616088</v>
      </c>
      <c r="B9" s="6" t="s">
        <v>37</v>
      </c>
      <c r="C9" s="6" t="s">
        <v>38</v>
      </c>
      <c r="D9" s="6" t="s">
        <v>13</v>
      </c>
      <c r="E9" s="6" t="s">
        <v>14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>
      <c r="A10" s="5">
        <v>46262.44067984953</v>
      </c>
      <c r="B10" s="6" t="s">
        <v>40</v>
      </c>
      <c r="C10" s="6" t="s">
        <v>23</v>
      </c>
      <c r="D10" s="6" t="s">
        <v>13</v>
      </c>
      <c r="E10" s="6" t="s">
        <v>14</v>
      </c>
      <c r="F10" s="6" t="s">
        <v>16</v>
      </c>
      <c r="G10" s="6" t="s">
        <v>17</v>
      </c>
      <c r="H10" s="6" t="s">
        <v>18</v>
      </c>
      <c r="I10" s="6" t="s">
        <v>19</v>
      </c>
      <c r="J10" s="6" t="s">
        <v>20</v>
      </c>
    </row>
    <row r="11">
      <c r="A11" s="5">
        <v>46262.44102967593</v>
      </c>
      <c r="B11" s="6" t="s">
        <v>42</v>
      </c>
      <c r="C11" s="6" t="s">
        <v>23</v>
      </c>
      <c r="D11" s="6" t="s">
        <v>13</v>
      </c>
      <c r="E11" s="6" t="s">
        <v>14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20</v>
      </c>
    </row>
    <row r="12">
      <c r="A12" s="5">
        <v>46262.44231915509</v>
      </c>
      <c r="B12" s="6" t="s">
        <v>44</v>
      </c>
      <c r="C12" s="6" t="s">
        <v>45</v>
      </c>
      <c r="D12" s="6" t="s">
        <v>13</v>
      </c>
      <c r="E12" s="6" t="s">
        <v>14</v>
      </c>
      <c r="F12" s="6" t="s">
        <v>16</v>
      </c>
      <c r="G12" s="6" t="s">
        <v>17</v>
      </c>
      <c r="H12" s="6" t="s">
        <v>18</v>
      </c>
      <c r="I12" s="6" t="s">
        <v>19</v>
      </c>
      <c r="J12" s="6" t="s">
        <v>20</v>
      </c>
    </row>
    <row r="13">
      <c r="A13" s="5">
        <v>46262.44449513889</v>
      </c>
      <c r="B13" s="6" t="s">
        <v>46</v>
      </c>
      <c r="C13" s="6" t="s">
        <v>38</v>
      </c>
      <c r="D13" s="6" t="s">
        <v>13</v>
      </c>
      <c r="E13" s="6" t="s">
        <v>14</v>
      </c>
      <c r="F13" s="6" t="s">
        <v>16</v>
      </c>
      <c r="G13" s="6" t="s">
        <v>17</v>
      </c>
      <c r="H13" s="6" t="s">
        <v>18</v>
      </c>
      <c r="I13" s="6" t="s">
        <v>19</v>
      </c>
      <c r="J13" s="6" t="s">
        <v>20</v>
      </c>
      <c r="K13" s="6" t="s">
        <v>48</v>
      </c>
    </row>
    <row r="14">
      <c r="A14" s="5">
        <v>46262.44872443287</v>
      </c>
      <c r="B14" s="6" t="s">
        <v>49</v>
      </c>
      <c r="C14" s="6" t="s">
        <v>38</v>
      </c>
      <c r="D14" s="6" t="s">
        <v>13</v>
      </c>
      <c r="E14" s="6" t="s">
        <v>14</v>
      </c>
      <c r="F14" s="6" t="s">
        <v>16</v>
      </c>
      <c r="G14" s="6" t="s">
        <v>17</v>
      </c>
      <c r="H14" s="6" t="s">
        <v>18</v>
      </c>
      <c r="I14" s="6" t="s">
        <v>19</v>
      </c>
      <c r="J14" s="6" t="s">
        <v>20</v>
      </c>
      <c r="K14" s="6" t="s">
        <v>50</v>
      </c>
    </row>
    <row r="15">
      <c r="A15" s="5">
        <v>46262.45039881945</v>
      </c>
      <c r="B15" s="6" t="s">
        <v>51</v>
      </c>
      <c r="C15" s="6" t="s">
        <v>38</v>
      </c>
      <c r="D15" s="6" t="s">
        <v>13</v>
      </c>
      <c r="E15" s="6" t="s">
        <v>14</v>
      </c>
      <c r="F15" s="6" t="s">
        <v>16</v>
      </c>
      <c r="G15" s="6" t="s">
        <v>17</v>
      </c>
      <c r="H15" s="6" t="s">
        <v>18</v>
      </c>
      <c r="I15" s="6" t="s">
        <v>19</v>
      </c>
      <c r="J15" s="6" t="s">
        <v>20</v>
      </c>
    </row>
    <row r="16">
      <c r="A16" s="5">
        <v>46262.452436273146</v>
      </c>
      <c r="B16" s="6" t="s">
        <v>52</v>
      </c>
      <c r="C16" s="6" t="s">
        <v>53</v>
      </c>
      <c r="D16" s="6" t="s">
        <v>13</v>
      </c>
      <c r="E16" s="6" t="s">
        <v>14</v>
      </c>
      <c r="F16" s="6" t="s">
        <v>54</v>
      </c>
      <c r="G16" s="6" t="s">
        <v>39</v>
      </c>
      <c r="H16" s="6" t="s">
        <v>18</v>
      </c>
      <c r="I16" s="6" t="s">
        <v>55</v>
      </c>
      <c r="J16" s="6" t="s">
        <v>56</v>
      </c>
    </row>
    <row r="17">
      <c r="A17" s="5">
        <v>46262.45721399305</v>
      </c>
      <c r="B17" s="6" t="s">
        <v>57</v>
      </c>
      <c r="C17" s="6" t="s">
        <v>38</v>
      </c>
      <c r="D17" s="6" t="s">
        <v>13</v>
      </c>
      <c r="E17" s="6" t="s">
        <v>14</v>
      </c>
      <c r="F17" s="6" t="s">
        <v>16</v>
      </c>
      <c r="G17" s="6" t="s">
        <v>17</v>
      </c>
      <c r="H17" s="6" t="s">
        <v>18</v>
      </c>
      <c r="I17" s="6" t="s">
        <v>19</v>
      </c>
      <c r="J17" s="6" t="s">
        <v>20</v>
      </c>
    </row>
    <row r="18">
      <c r="A18" s="5">
        <v>46262.45937556713</v>
      </c>
      <c r="B18" s="6" t="s">
        <v>59</v>
      </c>
      <c r="C18" s="6" t="s">
        <v>45</v>
      </c>
      <c r="D18" s="6" t="s">
        <v>13</v>
      </c>
      <c r="E18" s="6" t="s">
        <v>14</v>
      </c>
      <c r="F18" s="6" t="s">
        <v>16</v>
      </c>
      <c r="G18" s="6" t="s">
        <v>17</v>
      </c>
      <c r="H18" s="6" t="s">
        <v>18</v>
      </c>
      <c r="I18" s="6" t="s">
        <v>19</v>
      </c>
      <c r="J18" s="6" t="s">
        <v>20</v>
      </c>
    </row>
    <row r="19">
      <c r="A19" s="5">
        <v>46262.46283971065</v>
      </c>
      <c r="B19" s="6" t="s">
        <v>60</v>
      </c>
      <c r="C19" s="6" t="s">
        <v>45</v>
      </c>
      <c r="D19" s="6" t="s">
        <v>13</v>
      </c>
      <c r="E19" s="6" t="s">
        <v>14</v>
      </c>
      <c r="F19" s="6" t="s">
        <v>16</v>
      </c>
      <c r="G19" s="6" t="s">
        <v>17</v>
      </c>
      <c r="H19" s="6" t="s">
        <v>18</v>
      </c>
      <c r="I19" s="6" t="s">
        <v>19</v>
      </c>
      <c r="J19" s="6" t="s">
        <v>20</v>
      </c>
    </row>
    <row r="20">
      <c r="A20" s="5">
        <v>46262.46564736111</v>
      </c>
      <c r="B20" s="6" t="s">
        <v>61</v>
      </c>
      <c r="C20" s="6" t="s">
        <v>62</v>
      </c>
      <c r="D20" s="6" t="s">
        <v>13</v>
      </c>
      <c r="E20" s="6" t="s">
        <v>14</v>
      </c>
      <c r="F20" s="6" t="s">
        <v>16</v>
      </c>
      <c r="G20" s="6" t="s">
        <v>17</v>
      </c>
      <c r="H20" s="6" t="s">
        <v>18</v>
      </c>
      <c r="I20" s="6" t="s">
        <v>19</v>
      </c>
      <c r="J20" s="6" t="s">
        <v>20</v>
      </c>
    </row>
    <row r="21">
      <c r="A21" s="5">
        <v>46262.4811621875</v>
      </c>
      <c r="B21" s="6" t="s">
        <v>63</v>
      </c>
      <c r="C21" s="6" t="s">
        <v>35</v>
      </c>
      <c r="D21" s="6" t="s">
        <v>13</v>
      </c>
      <c r="E21" s="6" t="s">
        <v>14</v>
      </c>
      <c r="F21" s="6" t="s">
        <v>16</v>
      </c>
      <c r="G21" s="6" t="s">
        <v>17</v>
      </c>
      <c r="H21" s="6" t="s">
        <v>18</v>
      </c>
      <c r="I21" s="6" t="s">
        <v>19</v>
      </c>
      <c r="J21" s="6" t="s">
        <v>20</v>
      </c>
      <c r="K21" s="6" t="s">
        <v>64</v>
      </c>
    </row>
    <row r="22">
      <c r="A22" s="5">
        <v>46262.48618319444</v>
      </c>
      <c r="B22" s="6" t="s">
        <v>66</v>
      </c>
      <c r="C22" s="6" t="s">
        <v>67</v>
      </c>
      <c r="D22" s="6" t="s">
        <v>13</v>
      </c>
      <c r="E22" s="6" t="s">
        <v>14</v>
      </c>
      <c r="F22" s="6" t="s">
        <v>16</v>
      </c>
      <c r="G22" s="6" t="s">
        <v>17</v>
      </c>
      <c r="H22" s="6" t="s">
        <v>18</v>
      </c>
      <c r="I22" s="6" t="s">
        <v>19</v>
      </c>
      <c r="J22" s="6" t="s">
        <v>20</v>
      </c>
      <c r="K22" s="6" t="s">
        <v>68</v>
      </c>
    </row>
    <row r="23">
      <c r="A23" s="5">
        <v>46262.49405274306</v>
      </c>
      <c r="B23" s="6" t="s">
        <v>69</v>
      </c>
      <c r="C23" s="6" t="s">
        <v>70</v>
      </c>
      <c r="D23" s="6" t="s">
        <v>13</v>
      </c>
      <c r="E23" s="6" t="s">
        <v>14</v>
      </c>
      <c r="F23" s="6" t="s">
        <v>16</v>
      </c>
      <c r="G23" s="6" t="s">
        <v>17</v>
      </c>
      <c r="H23" s="6" t="s">
        <v>18</v>
      </c>
      <c r="I23" s="6" t="s">
        <v>19</v>
      </c>
      <c r="J23" s="6" t="s">
        <v>20</v>
      </c>
    </row>
    <row r="24">
      <c r="A24" s="5">
        <v>46262.49941092593</v>
      </c>
      <c r="B24" s="6" t="s">
        <v>71</v>
      </c>
      <c r="C24" s="6" t="s">
        <v>38</v>
      </c>
      <c r="D24" s="6" t="s">
        <v>13</v>
      </c>
      <c r="E24" s="6" t="s">
        <v>14</v>
      </c>
      <c r="F24" s="6" t="s">
        <v>16</v>
      </c>
      <c r="G24" s="6" t="s">
        <v>17</v>
      </c>
      <c r="H24" s="6" t="s">
        <v>18</v>
      </c>
      <c r="I24" s="6" t="s">
        <v>19</v>
      </c>
      <c r="J24" s="6" t="s">
        <v>20</v>
      </c>
    </row>
    <row r="25">
      <c r="A25" s="5">
        <v>46262.521435358794</v>
      </c>
      <c r="B25" s="6" t="s">
        <v>72</v>
      </c>
      <c r="C25" s="6" t="s">
        <v>38</v>
      </c>
      <c r="D25" s="6" t="s">
        <v>13</v>
      </c>
      <c r="E25" s="6" t="s">
        <v>14</v>
      </c>
      <c r="F25" s="6" t="s">
        <v>16</v>
      </c>
      <c r="G25" s="6" t="s">
        <v>17</v>
      </c>
      <c r="H25" s="6" t="s">
        <v>18</v>
      </c>
      <c r="I25" s="6" t="s">
        <v>19</v>
      </c>
      <c r="J25" s="6" t="s">
        <v>20</v>
      </c>
    </row>
    <row r="26">
      <c r="A26" s="5">
        <v>46262.52815831019</v>
      </c>
      <c r="B26" s="6" t="s">
        <v>74</v>
      </c>
      <c r="C26" s="6" t="s">
        <v>45</v>
      </c>
      <c r="D26" s="6" t="s">
        <v>13</v>
      </c>
      <c r="E26" s="6" t="s">
        <v>14</v>
      </c>
      <c r="F26" s="6" t="s">
        <v>16</v>
      </c>
      <c r="G26" s="6" t="s">
        <v>17</v>
      </c>
      <c r="H26" s="6" t="s">
        <v>18</v>
      </c>
      <c r="I26" s="6" t="s">
        <v>19</v>
      </c>
      <c r="J26" s="6" t="s">
        <v>20</v>
      </c>
    </row>
    <row r="27">
      <c r="A27" s="5">
        <v>46262.552063807874</v>
      </c>
      <c r="B27" s="6" t="s">
        <v>75</v>
      </c>
      <c r="C27" s="6" t="s">
        <v>76</v>
      </c>
      <c r="D27" s="6" t="s">
        <v>13</v>
      </c>
      <c r="E27" s="6" t="s">
        <v>14</v>
      </c>
      <c r="F27" s="6" t="s">
        <v>16</v>
      </c>
      <c r="G27" s="6" t="s">
        <v>17</v>
      </c>
      <c r="H27" s="6" t="s">
        <v>18</v>
      </c>
      <c r="I27" s="6" t="s">
        <v>19</v>
      </c>
      <c r="J27" s="6" t="s">
        <v>20</v>
      </c>
    </row>
    <row r="28">
      <c r="A28" s="5">
        <v>46262.55302678241</v>
      </c>
      <c r="B28" s="6" t="s">
        <v>77</v>
      </c>
      <c r="C28" s="6" t="s">
        <v>38</v>
      </c>
      <c r="D28" s="6" t="s">
        <v>13</v>
      </c>
      <c r="E28" s="6" t="s">
        <v>14</v>
      </c>
      <c r="F28" s="6" t="s">
        <v>16</v>
      </c>
      <c r="G28" s="6" t="s">
        <v>17</v>
      </c>
      <c r="H28" s="6" t="s">
        <v>18</v>
      </c>
      <c r="I28" s="6" t="s">
        <v>19</v>
      </c>
      <c r="J28" s="6" t="s">
        <v>20</v>
      </c>
    </row>
    <row r="29">
      <c r="A29" s="5">
        <v>46262.55824024306</v>
      </c>
      <c r="B29" s="6" t="s">
        <v>78</v>
      </c>
      <c r="C29" s="6" t="s">
        <v>38</v>
      </c>
      <c r="D29" s="6" t="s">
        <v>13</v>
      </c>
      <c r="E29" s="6" t="s">
        <v>14</v>
      </c>
      <c r="F29" s="6" t="s">
        <v>16</v>
      </c>
      <c r="G29" s="6" t="s">
        <v>17</v>
      </c>
      <c r="H29" s="6" t="s">
        <v>18</v>
      </c>
      <c r="I29" s="6" t="s">
        <v>19</v>
      </c>
      <c r="J29" s="6" t="s">
        <v>20</v>
      </c>
    </row>
    <row r="30">
      <c r="A30" s="5">
        <v>46262.55935135417</v>
      </c>
      <c r="B30" s="6" t="s">
        <v>79</v>
      </c>
      <c r="C30" s="6" t="s">
        <v>38</v>
      </c>
      <c r="D30" s="6" t="s">
        <v>13</v>
      </c>
      <c r="E30" s="6" t="s">
        <v>14</v>
      </c>
      <c r="F30" s="6" t="s">
        <v>16</v>
      </c>
      <c r="G30" s="6" t="s">
        <v>17</v>
      </c>
      <c r="H30" s="6" t="s">
        <v>18</v>
      </c>
      <c r="I30" s="6" t="s">
        <v>19</v>
      </c>
      <c r="J30" s="6" t="s">
        <v>20</v>
      </c>
    </row>
    <row r="31">
      <c r="A31" s="5">
        <v>46262.56863328704</v>
      </c>
      <c r="B31" s="6" t="s">
        <v>80</v>
      </c>
      <c r="C31" s="6" t="s">
        <v>35</v>
      </c>
      <c r="D31" s="6" t="s">
        <v>13</v>
      </c>
      <c r="E31" s="6" t="s">
        <v>14</v>
      </c>
      <c r="F31" s="6" t="s">
        <v>16</v>
      </c>
      <c r="G31" s="6" t="s">
        <v>17</v>
      </c>
      <c r="H31" s="6" t="s">
        <v>18</v>
      </c>
      <c r="I31" s="6" t="s">
        <v>19</v>
      </c>
      <c r="J31" s="6" t="s">
        <v>20</v>
      </c>
      <c r="K31" s="6" t="s">
        <v>81</v>
      </c>
    </row>
    <row r="32">
      <c r="A32" s="5">
        <v>46262.57701819444</v>
      </c>
      <c r="B32" s="6" t="s">
        <v>82</v>
      </c>
      <c r="C32" s="6" t="s">
        <v>35</v>
      </c>
      <c r="D32" s="6" t="s">
        <v>13</v>
      </c>
      <c r="E32" s="6" t="s">
        <v>14</v>
      </c>
      <c r="F32" s="6" t="s">
        <v>16</v>
      </c>
      <c r="G32" s="6" t="s">
        <v>17</v>
      </c>
      <c r="H32" s="6" t="s">
        <v>18</v>
      </c>
      <c r="I32" s="6" t="s">
        <v>19</v>
      </c>
      <c r="J32" s="6" t="s">
        <v>20</v>
      </c>
    </row>
    <row r="33">
      <c r="A33" s="5">
        <v>46262.57720784722</v>
      </c>
      <c r="B33" s="6" t="s">
        <v>83</v>
      </c>
      <c r="C33" s="6" t="s">
        <v>35</v>
      </c>
      <c r="D33" s="6" t="s">
        <v>13</v>
      </c>
      <c r="E33" s="6" t="s">
        <v>14</v>
      </c>
      <c r="F33" s="6" t="s">
        <v>16</v>
      </c>
      <c r="G33" s="6" t="s">
        <v>17</v>
      </c>
      <c r="H33" s="6" t="s">
        <v>18</v>
      </c>
      <c r="I33" s="6" t="s">
        <v>19</v>
      </c>
      <c r="J33" s="6" t="s">
        <v>20</v>
      </c>
    </row>
    <row r="34">
      <c r="A34" s="5">
        <v>46262.585978958334</v>
      </c>
      <c r="B34" s="6" t="s">
        <v>85</v>
      </c>
      <c r="C34" s="6" t="s">
        <v>45</v>
      </c>
      <c r="D34" s="6" t="s">
        <v>13</v>
      </c>
      <c r="E34" s="6" t="s">
        <v>14</v>
      </c>
      <c r="F34" s="6" t="s">
        <v>54</v>
      </c>
      <c r="G34" s="6" t="s">
        <v>17</v>
      </c>
      <c r="H34" s="6" t="s">
        <v>18</v>
      </c>
      <c r="I34" s="6" t="s">
        <v>19</v>
      </c>
      <c r="J34" s="6" t="s">
        <v>20</v>
      </c>
    </row>
    <row r="35">
      <c r="A35" s="5">
        <v>46262.59100327546</v>
      </c>
      <c r="B35" s="6" t="s">
        <v>86</v>
      </c>
      <c r="C35" s="6" t="s">
        <v>38</v>
      </c>
      <c r="D35" s="6" t="s">
        <v>73</v>
      </c>
      <c r="E35" s="6" t="s">
        <v>14</v>
      </c>
      <c r="F35" s="6" t="s">
        <v>16</v>
      </c>
      <c r="G35" s="6" t="s">
        <v>17</v>
      </c>
      <c r="H35" s="6" t="s">
        <v>87</v>
      </c>
      <c r="I35" s="6" t="s">
        <v>19</v>
      </c>
      <c r="J35" s="6" t="s">
        <v>20</v>
      </c>
    </row>
    <row r="36">
      <c r="A36" s="5">
        <v>46262.610025393515</v>
      </c>
      <c r="B36" s="6" t="s">
        <v>88</v>
      </c>
      <c r="C36" s="6" t="s">
        <v>89</v>
      </c>
      <c r="D36" s="6" t="s">
        <v>13</v>
      </c>
      <c r="E36" s="6" t="s">
        <v>14</v>
      </c>
      <c r="F36" s="6" t="s">
        <v>16</v>
      </c>
      <c r="G36" s="6" t="s">
        <v>17</v>
      </c>
      <c r="H36" s="6" t="s">
        <v>18</v>
      </c>
      <c r="I36" s="6" t="s">
        <v>19</v>
      </c>
      <c r="J36" s="6" t="s">
        <v>20</v>
      </c>
    </row>
    <row r="37">
      <c r="A37" s="5">
        <v>46262.62507548611</v>
      </c>
      <c r="B37" s="6" t="s">
        <v>90</v>
      </c>
      <c r="C37" s="6" t="s">
        <v>26</v>
      </c>
      <c r="D37" s="6" t="s">
        <v>13</v>
      </c>
      <c r="E37" s="6" t="s">
        <v>14</v>
      </c>
      <c r="F37" s="6" t="s">
        <v>16</v>
      </c>
      <c r="G37" s="6" t="s">
        <v>17</v>
      </c>
      <c r="H37" s="6" t="s">
        <v>18</v>
      </c>
      <c r="I37" s="6" t="s">
        <v>19</v>
      </c>
      <c r="J37" s="6" t="s">
        <v>20</v>
      </c>
      <c r="K37" s="6" t="s">
        <v>92</v>
      </c>
    </row>
    <row r="38">
      <c r="A38" s="5">
        <v>46262.64164071759</v>
      </c>
      <c r="B38" s="6" t="s">
        <v>93</v>
      </c>
      <c r="C38" s="6" t="s">
        <v>38</v>
      </c>
      <c r="D38" s="6" t="s">
        <v>13</v>
      </c>
      <c r="E38" s="6" t="s">
        <v>14</v>
      </c>
      <c r="F38" s="6" t="s">
        <v>16</v>
      </c>
      <c r="G38" s="6" t="s">
        <v>17</v>
      </c>
      <c r="H38" s="6" t="s">
        <v>18</v>
      </c>
      <c r="I38" s="6" t="s">
        <v>19</v>
      </c>
      <c r="J38" s="6" t="s">
        <v>20</v>
      </c>
    </row>
    <row r="39">
      <c r="A39" s="5">
        <v>46262.64336743056</v>
      </c>
      <c r="B39" s="6" t="s">
        <v>95</v>
      </c>
      <c r="C39" s="6" t="s">
        <v>35</v>
      </c>
      <c r="D39" s="6" t="s">
        <v>13</v>
      </c>
      <c r="E39" s="6" t="s">
        <v>14</v>
      </c>
      <c r="F39" s="6" t="s">
        <v>16</v>
      </c>
      <c r="G39" s="6" t="s">
        <v>17</v>
      </c>
      <c r="H39" s="6" t="s">
        <v>18</v>
      </c>
      <c r="I39" s="6" t="s">
        <v>19</v>
      </c>
      <c r="J39" s="6" t="s">
        <v>20</v>
      </c>
      <c r="K39" s="6" t="s">
        <v>92</v>
      </c>
    </row>
    <row r="40">
      <c r="A40" s="5">
        <v>46262.736516377314</v>
      </c>
      <c r="B40" s="6" t="s">
        <v>97</v>
      </c>
      <c r="C40" s="6" t="s">
        <v>45</v>
      </c>
      <c r="D40" s="6" t="s">
        <v>13</v>
      </c>
      <c r="E40" s="6" t="s">
        <v>14</v>
      </c>
      <c r="F40" s="6" t="s">
        <v>16</v>
      </c>
      <c r="G40" s="6" t="s">
        <v>17</v>
      </c>
      <c r="H40" s="6" t="s">
        <v>18</v>
      </c>
      <c r="I40" s="6" t="s">
        <v>19</v>
      </c>
      <c r="J40" s="6" t="s">
        <v>20</v>
      </c>
    </row>
    <row r="41">
      <c r="A41" s="5">
        <v>46262.793175196755</v>
      </c>
      <c r="B41" s="6" t="s">
        <v>98</v>
      </c>
      <c r="C41" s="6" t="s">
        <v>35</v>
      </c>
      <c r="D41" s="6" t="s">
        <v>13</v>
      </c>
      <c r="E41" s="6" t="s">
        <v>14</v>
      </c>
      <c r="F41" s="6" t="s">
        <v>16</v>
      </c>
      <c r="G41" s="6" t="s">
        <v>17</v>
      </c>
      <c r="H41" s="6" t="s">
        <v>18</v>
      </c>
      <c r="I41" s="6" t="s">
        <v>19</v>
      </c>
      <c r="J41" s="6" t="s">
        <v>20</v>
      </c>
    </row>
    <row r="42">
      <c r="A42" s="5">
        <v>46262.86943358796</v>
      </c>
      <c r="B42" s="6" t="s">
        <v>99</v>
      </c>
      <c r="C42" s="6" t="s">
        <v>70</v>
      </c>
      <c r="D42" s="6" t="s">
        <v>13</v>
      </c>
      <c r="E42" s="6" t="s">
        <v>14</v>
      </c>
      <c r="F42" s="6" t="s">
        <v>16</v>
      </c>
      <c r="G42" s="6" t="s">
        <v>17</v>
      </c>
      <c r="H42" s="6" t="s">
        <v>18</v>
      </c>
      <c r="I42" s="6" t="s">
        <v>19</v>
      </c>
      <c r="J42" s="6" t="s">
        <v>20</v>
      </c>
    </row>
    <row r="43">
      <c r="A43" s="5">
        <v>46262.95413709491</v>
      </c>
      <c r="B43" s="6" t="s">
        <v>100</v>
      </c>
      <c r="C43" s="6" t="s">
        <v>35</v>
      </c>
      <c r="D43" s="6" t="s">
        <v>13</v>
      </c>
      <c r="E43" s="6" t="s">
        <v>14</v>
      </c>
      <c r="F43" s="6" t="s">
        <v>16</v>
      </c>
      <c r="G43" s="6" t="s">
        <v>17</v>
      </c>
      <c r="H43" s="6" t="s">
        <v>18</v>
      </c>
      <c r="I43" s="6" t="s">
        <v>19</v>
      </c>
      <c r="J43" s="6" t="s">
        <v>20</v>
      </c>
      <c r="K43" s="6" t="s">
        <v>48</v>
      </c>
    </row>
    <row r="44">
      <c r="A44" s="5">
        <v>46262.958502615744</v>
      </c>
      <c r="B44" s="6" t="s">
        <v>101</v>
      </c>
      <c r="C44" s="6" t="s">
        <v>102</v>
      </c>
      <c r="D44" s="6" t="s">
        <v>13</v>
      </c>
      <c r="E44" s="6" t="s">
        <v>14</v>
      </c>
      <c r="F44" s="6" t="s">
        <v>16</v>
      </c>
      <c r="G44" s="6" t="s">
        <v>17</v>
      </c>
      <c r="H44" s="6" t="s">
        <v>18</v>
      </c>
      <c r="I44" s="6" t="s">
        <v>19</v>
      </c>
      <c r="J44" s="6" t="s">
        <v>20</v>
      </c>
    </row>
    <row r="45">
      <c r="A45" s="5">
        <v>46263.60363190972</v>
      </c>
      <c r="B45" s="6" t="s">
        <v>103</v>
      </c>
      <c r="C45" s="6" t="s">
        <v>45</v>
      </c>
      <c r="D45" s="6" t="s">
        <v>13</v>
      </c>
      <c r="E45" s="6" t="s">
        <v>14</v>
      </c>
      <c r="F45" s="6" t="s">
        <v>16</v>
      </c>
      <c r="G45" s="6" t="s">
        <v>17</v>
      </c>
      <c r="H45" s="6" t="s">
        <v>18</v>
      </c>
      <c r="I45" s="6" t="s">
        <v>19</v>
      </c>
      <c r="J45" s="6" t="s">
        <v>20</v>
      </c>
      <c r="K45" s="6" t="s">
        <v>92</v>
      </c>
    </row>
    <row r="46">
      <c r="A46" s="5">
        <v>46263.69695831019</v>
      </c>
      <c r="B46" s="6" t="s">
        <v>104</v>
      </c>
      <c r="C46" s="6" t="s">
        <v>35</v>
      </c>
      <c r="D46" s="6" t="s">
        <v>13</v>
      </c>
      <c r="E46" s="6" t="s">
        <v>14</v>
      </c>
      <c r="F46" s="6" t="s">
        <v>16</v>
      </c>
      <c r="G46" s="6" t="s">
        <v>17</v>
      </c>
      <c r="H46" s="6" t="s">
        <v>18</v>
      </c>
      <c r="I46" s="6" t="s">
        <v>19</v>
      </c>
      <c r="J46" s="6" t="s">
        <v>20</v>
      </c>
    </row>
    <row r="47">
      <c r="A47" s="5">
        <v>46264.52660636574</v>
      </c>
      <c r="B47" s="6" t="s">
        <v>105</v>
      </c>
      <c r="C47" s="6" t="s">
        <v>45</v>
      </c>
      <c r="D47" s="6" t="s">
        <v>13</v>
      </c>
      <c r="E47" s="6" t="s">
        <v>14</v>
      </c>
      <c r="F47" s="6" t="s">
        <v>16</v>
      </c>
      <c r="G47" s="6" t="s">
        <v>17</v>
      </c>
      <c r="H47" s="6" t="s">
        <v>18</v>
      </c>
      <c r="I47" s="6" t="s">
        <v>19</v>
      </c>
      <c r="J47" s="6" t="s">
        <v>20</v>
      </c>
    </row>
    <row r="48">
      <c r="A48" s="5">
        <v>46264.63232815972</v>
      </c>
      <c r="B48" s="6" t="s">
        <v>106</v>
      </c>
      <c r="C48" s="6" t="s">
        <v>107</v>
      </c>
      <c r="D48" s="6" t="s">
        <v>13</v>
      </c>
      <c r="E48" s="6" t="s">
        <v>14</v>
      </c>
      <c r="F48" s="6" t="s">
        <v>16</v>
      </c>
      <c r="G48" s="6" t="s">
        <v>17</v>
      </c>
      <c r="H48" s="6" t="s">
        <v>18</v>
      </c>
      <c r="I48" s="6" t="s">
        <v>19</v>
      </c>
      <c r="J48" s="6" t="s">
        <v>20</v>
      </c>
    </row>
    <row r="49">
      <c r="A49" s="5">
        <v>46264.87383627315</v>
      </c>
      <c r="B49" s="6" t="s">
        <v>108</v>
      </c>
      <c r="C49" s="6" t="s">
        <v>109</v>
      </c>
      <c r="D49" s="6" t="s">
        <v>13</v>
      </c>
      <c r="E49" s="6" t="s">
        <v>14</v>
      </c>
      <c r="F49" s="6" t="s">
        <v>16</v>
      </c>
      <c r="G49" s="6" t="s">
        <v>17</v>
      </c>
      <c r="H49" s="6" t="s">
        <v>18</v>
      </c>
      <c r="I49" s="6" t="s">
        <v>19</v>
      </c>
      <c r="J49" s="6" t="s">
        <v>20</v>
      </c>
    </row>
    <row r="50">
      <c r="A50" s="5">
        <v>46265.32285159722</v>
      </c>
      <c r="B50" s="6" t="s">
        <v>111</v>
      </c>
      <c r="C50" s="6" t="s">
        <v>35</v>
      </c>
      <c r="D50" s="6" t="s">
        <v>13</v>
      </c>
      <c r="E50" s="6" t="s">
        <v>14</v>
      </c>
      <c r="F50" s="6" t="s">
        <v>16</v>
      </c>
      <c r="G50" s="6" t="s">
        <v>17</v>
      </c>
      <c r="H50" s="6" t="s">
        <v>18</v>
      </c>
      <c r="I50" s="6" t="s">
        <v>19</v>
      </c>
      <c r="J50" s="6" t="s">
        <v>20</v>
      </c>
    </row>
    <row r="51">
      <c r="A51" s="5">
        <v>46265.67791924768</v>
      </c>
      <c r="B51" s="6" t="s">
        <v>112</v>
      </c>
      <c r="C51" s="6" t="s">
        <v>35</v>
      </c>
      <c r="D51" s="6" t="s">
        <v>13</v>
      </c>
      <c r="E51" s="6" t="s">
        <v>14</v>
      </c>
      <c r="F51" s="6" t="s">
        <v>16</v>
      </c>
      <c r="G51" s="6" t="s">
        <v>17</v>
      </c>
      <c r="H51" s="6" t="s">
        <v>18</v>
      </c>
      <c r="I51" s="6" t="s">
        <v>19</v>
      </c>
      <c r="J51" s="6" t="s">
        <v>20</v>
      </c>
    </row>
    <row r="52">
      <c r="A52" s="5">
        <v>46265.689933368056</v>
      </c>
      <c r="B52" s="6" t="s">
        <v>113</v>
      </c>
      <c r="C52" s="6" t="s">
        <v>38</v>
      </c>
      <c r="D52" s="6" t="s">
        <v>13</v>
      </c>
      <c r="E52" s="6" t="s">
        <v>14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>
      <c r="A53" s="5">
        <v>46265.70199997685</v>
      </c>
      <c r="B53" s="6" t="s">
        <v>114</v>
      </c>
      <c r="C53" s="6" t="s">
        <v>45</v>
      </c>
      <c r="D53" s="6" t="s">
        <v>13</v>
      </c>
      <c r="E53" s="6" t="s">
        <v>14</v>
      </c>
      <c r="F53" s="6" t="s">
        <v>16</v>
      </c>
      <c r="G53" s="6" t="s">
        <v>17</v>
      </c>
      <c r="H53" s="6" t="s">
        <v>18</v>
      </c>
      <c r="I53" s="6" t="s">
        <v>19</v>
      </c>
      <c r="J53" s="6" t="s">
        <v>20</v>
      </c>
    </row>
    <row r="54">
      <c r="A54" s="5">
        <v>46265.7032778125</v>
      </c>
      <c r="B54" s="6" t="s">
        <v>115</v>
      </c>
      <c r="C54" s="6" t="s">
        <v>38</v>
      </c>
      <c r="D54" s="6" t="s">
        <v>13</v>
      </c>
      <c r="E54" s="6" t="s">
        <v>14</v>
      </c>
      <c r="F54" s="6" t="s">
        <v>16</v>
      </c>
      <c r="G54" s="6" t="s">
        <v>17</v>
      </c>
      <c r="H54" s="6" t="s">
        <v>18</v>
      </c>
      <c r="I54" s="6" t="s">
        <v>19</v>
      </c>
      <c r="J54" s="6" t="s">
        <v>20</v>
      </c>
    </row>
    <row r="55">
      <c r="A55" s="5">
        <v>46265.73362</v>
      </c>
      <c r="B55" s="6" t="s">
        <v>116</v>
      </c>
      <c r="C55" s="6" t="s">
        <v>117</v>
      </c>
      <c r="D55" s="6" t="s">
        <v>13</v>
      </c>
      <c r="E55" s="6" t="s">
        <v>14</v>
      </c>
      <c r="F55" s="6" t="s">
        <v>16</v>
      </c>
      <c r="G55" s="6" t="s">
        <v>17</v>
      </c>
      <c r="H55" s="6" t="s">
        <v>18</v>
      </c>
      <c r="I55" s="6" t="s">
        <v>19</v>
      </c>
      <c r="J55" s="6" t="s">
        <v>20</v>
      </c>
    </row>
    <row r="56">
      <c r="A56" s="5">
        <v>46266.544112083335</v>
      </c>
      <c r="B56" s="6" t="s">
        <v>118</v>
      </c>
      <c r="C56" s="6" t="s">
        <v>119</v>
      </c>
      <c r="D56" s="6" t="s">
        <v>73</v>
      </c>
      <c r="E56" s="6" t="s">
        <v>120</v>
      </c>
      <c r="F56" s="6" t="s">
        <v>54</v>
      </c>
      <c r="G56" s="6" t="s">
        <v>39</v>
      </c>
      <c r="H56" s="6" t="s">
        <v>87</v>
      </c>
      <c r="I56" s="6" t="s">
        <v>55</v>
      </c>
      <c r="J56" s="6" t="s">
        <v>56</v>
      </c>
    </row>
    <row r="57">
      <c r="A57" s="5">
        <v>46266.67667569444</v>
      </c>
      <c r="B57" s="6" t="s">
        <v>121</v>
      </c>
      <c r="C57" s="6" t="s">
        <v>122</v>
      </c>
      <c r="D57" s="6" t="s">
        <v>13</v>
      </c>
      <c r="E57" s="6" t="s">
        <v>14</v>
      </c>
      <c r="F57" s="6" t="s">
        <v>16</v>
      </c>
      <c r="G57" s="6" t="s">
        <v>17</v>
      </c>
      <c r="H57" s="6" t="s">
        <v>18</v>
      </c>
      <c r="I57" s="6" t="s">
        <v>19</v>
      </c>
      <c r="J57" s="6" t="s">
        <v>20</v>
      </c>
    </row>
    <row r="58">
      <c r="A58" s="5">
        <v>46266.683070439816</v>
      </c>
      <c r="B58" s="6" t="s">
        <v>124</v>
      </c>
      <c r="C58" s="6" t="s">
        <v>38</v>
      </c>
      <c r="D58" s="6" t="s">
        <v>13</v>
      </c>
      <c r="E58" s="6" t="s">
        <v>14</v>
      </c>
      <c r="F58" s="6" t="s">
        <v>16</v>
      </c>
      <c r="G58" s="6" t="s">
        <v>17</v>
      </c>
      <c r="H58" s="6" t="s">
        <v>18</v>
      </c>
      <c r="I58" s="6" t="s">
        <v>19</v>
      </c>
      <c r="J58" s="6" t="s">
        <v>20</v>
      </c>
    </row>
    <row r="59">
      <c r="A59" s="5">
        <v>46266.691770289355</v>
      </c>
      <c r="B59" s="6" t="s">
        <v>125</v>
      </c>
      <c r="C59" s="6" t="s">
        <v>38</v>
      </c>
      <c r="D59" s="6" t="s">
        <v>13</v>
      </c>
      <c r="E59" s="6" t="s">
        <v>14</v>
      </c>
      <c r="F59" s="6" t="s">
        <v>16</v>
      </c>
      <c r="G59" s="6" t="s">
        <v>17</v>
      </c>
      <c r="H59" s="6" t="s">
        <v>18</v>
      </c>
      <c r="I59" s="6" t="s">
        <v>19</v>
      </c>
      <c r="J59" s="6" t="s">
        <v>20</v>
      </c>
    </row>
    <row r="60">
      <c r="A60" s="5">
        <v>46266.80168373843</v>
      </c>
      <c r="B60" s="6" t="s">
        <v>126</v>
      </c>
      <c r="C60" s="6" t="s">
        <v>12</v>
      </c>
      <c r="D60" s="6" t="s">
        <v>13</v>
      </c>
      <c r="E60" s="6" t="s">
        <v>14</v>
      </c>
      <c r="F60" s="6" t="s">
        <v>16</v>
      </c>
      <c r="G60" s="6" t="s">
        <v>17</v>
      </c>
      <c r="H60" s="6" t="s">
        <v>18</v>
      </c>
      <c r="I60" s="6" t="s">
        <v>19</v>
      </c>
      <c r="J60" s="6" t="s">
        <v>20</v>
      </c>
    </row>
    <row r="61">
      <c r="A61" s="5">
        <v>46267.30569606481</v>
      </c>
      <c r="B61" s="6" t="s">
        <v>127</v>
      </c>
      <c r="C61" s="6" t="s">
        <v>128</v>
      </c>
      <c r="D61" s="6" t="s">
        <v>13</v>
      </c>
      <c r="E61" s="6" t="s">
        <v>14</v>
      </c>
      <c r="F61" s="6" t="s">
        <v>16</v>
      </c>
      <c r="G61" s="6" t="s">
        <v>17</v>
      </c>
      <c r="H61" s="6" t="s">
        <v>18</v>
      </c>
      <c r="I61" s="6" t="s">
        <v>19</v>
      </c>
      <c r="J61" s="6" t="s">
        <v>20</v>
      </c>
    </row>
    <row r="62">
      <c r="A62" s="5">
        <v>46267.30591094907</v>
      </c>
      <c r="B62" s="6" t="s">
        <v>129</v>
      </c>
      <c r="C62" s="6" t="s">
        <v>35</v>
      </c>
      <c r="D62" s="6" t="s">
        <v>13</v>
      </c>
      <c r="E62" s="6" t="s">
        <v>14</v>
      </c>
      <c r="F62" s="6" t="s">
        <v>16</v>
      </c>
      <c r="G62" s="6" t="s">
        <v>17</v>
      </c>
      <c r="H62" s="6" t="s">
        <v>18</v>
      </c>
      <c r="I62" s="6" t="s">
        <v>19</v>
      </c>
      <c r="J62" s="6" t="s">
        <v>20</v>
      </c>
    </row>
    <row r="63">
      <c r="A63" s="5">
        <v>46267.32561797454</v>
      </c>
      <c r="B63" s="6" t="s">
        <v>130</v>
      </c>
      <c r="C63" s="6" t="s">
        <v>131</v>
      </c>
      <c r="D63" s="6" t="s">
        <v>13</v>
      </c>
      <c r="E63" s="6" t="s">
        <v>14</v>
      </c>
      <c r="F63" s="6" t="s">
        <v>16</v>
      </c>
      <c r="G63" s="6" t="s">
        <v>17</v>
      </c>
      <c r="H63" s="6" t="s">
        <v>18</v>
      </c>
      <c r="I63" s="6" t="s">
        <v>19</v>
      </c>
      <c r="J63" s="6" t="s">
        <v>20</v>
      </c>
    </row>
    <row r="64">
      <c r="A64" s="5">
        <v>46267.55896422453</v>
      </c>
      <c r="B64" s="6" t="s">
        <v>132</v>
      </c>
      <c r="C64" s="6" t="s">
        <v>35</v>
      </c>
      <c r="D64" s="6" t="s">
        <v>13</v>
      </c>
      <c r="E64" s="6" t="s">
        <v>14</v>
      </c>
      <c r="F64" s="6" t="s">
        <v>16</v>
      </c>
      <c r="G64" s="6" t="s">
        <v>17</v>
      </c>
      <c r="H64" s="6" t="s">
        <v>18</v>
      </c>
      <c r="I64" s="6" t="s">
        <v>19</v>
      </c>
      <c r="J64" s="6" t="s">
        <v>20</v>
      </c>
    </row>
    <row r="65">
      <c r="A65" s="5">
        <v>46267.605026481484</v>
      </c>
      <c r="B65" s="6" t="s">
        <v>133</v>
      </c>
      <c r="C65" s="6" t="s">
        <v>134</v>
      </c>
      <c r="D65" s="6" t="s">
        <v>13</v>
      </c>
      <c r="E65" s="6" t="s">
        <v>14</v>
      </c>
      <c r="F65" s="6" t="s">
        <v>16</v>
      </c>
      <c r="G65" s="6" t="s">
        <v>17</v>
      </c>
      <c r="H65" s="6" t="s">
        <v>18</v>
      </c>
      <c r="I65" s="6" t="s">
        <v>19</v>
      </c>
      <c r="J65" s="6" t="s">
        <v>20</v>
      </c>
    </row>
    <row r="66">
      <c r="A66" s="5">
        <v>46267.605300717594</v>
      </c>
      <c r="B66" s="6" t="s">
        <v>135</v>
      </c>
      <c r="C66" s="6" t="s">
        <v>35</v>
      </c>
      <c r="D66" s="6" t="s">
        <v>13</v>
      </c>
      <c r="E66" s="6" t="s">
        <v>14</v>
      </c>
      <c r="F66" s="6" t="s">
        <v>16</v>
      </c>
      <c r="G66" s="6" t="s">
        <v>17</v>
      </c>
      <c r="H66" s="6" t="s">
        <v>18</v>
      </c>
      <c r="I66" s="6" t="s">
        <v>19</v>
      </c>
      <c r="J66" s="6" t="s">
        <v>20</v>
      </c>
    </row>
    <row r="67">
      <c r="A67" s="5">
        <v>46267.606381377314</v>
      </c>
      <c r="B67" s="6" t="s">
        <v>136</v>
      </c>
      <c r="C67" s="6" t="s">
        <v>137</v>
      </c>
      <c r="D67" s="6" t="s">
        <v>13</v>
      </c>
      <c r="E67" s="6" t="s">
        <v>14</v>
      </c>
      <c r="F67" s="6" t="s">
        <v>16</v>
      </c>
      <c r="G67" s="6" t="s">
        <v>17</v>
      </c>
      <c r="H67" s="6" t="s">
        <v>18</v>
      </c>
      <c r="I67" s="6" t="s">
        <v>19</v>
      </c>
      <c r="J67" s="6" t="s">
        <v>20</v>
      </c>
    </row>
    <row r="68">
      <c r="A68" s="5">
        <v>46267.84961534722</v>
      </c>
      <c r="B68" s="6" t="s">
        <v>138</v>
      </c>
      <c r="C68" s="6" t="s">
        <v>139</v>
      </c>
      <c r="D68" s="6" t="s">
        <v>13</v>
      </c>
      <c r="E68" s="6" t="s">
        <v>14</v>
      </c>
      <c r="F68" s="6" t="s">
        <v>16</v>
      </c>
      <c r="G68" s="6" t="s">
        <v>17</v>
      </c>
      <c r="H68" s="6" t="s">
        <v>18</v>
      </c>
      <c r="I68" s="6" t="s">
        <v>55</v>
      </c>
      <c r="J68" s="6" t="s">
        <v>56</v>
      </c>
      <c r="K68" s="6" t="s">
        <v>48</v>
      </c>
    </row>
    <row r="69">
      <c r="A69" s="5">
        <v>46268.34310201389</v>
      </c>
      <c r="B69" s="6" t="s">
        <v>140</v>
      </c>
      <c r="C69" s="6" t="s">
        <v>38</v>
      </c>
      <c r="D69" s="6" t="s">
        <v>13</v>
      </c>
      <c r="E69" s="6" t="s">
        <v>14</v>
      </c>
      <c r="F69" s="6" t="s">
        <v>16</v>
      </c>
      <c r="G69" s="6" t="s">
        <v>17</v>
      </c>
      <c r="H69" s="6" t="s">
        <v>18</v>
      </c>
      <c r="I69" s="6" t="s">
        <v>19</v>
      </c>
      <c r="J69" s="6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8.75"/>
    <col customWidth="1" min="15" max="15" width="3.25"/>
  </cols>
  <sheetData>
    <row r="1">
      <c r="A1" s="1" t="s">
        <v>0</v>
      </c>
      <c r="B1" s="1" t="s">
        <v>1</v>
      </c>
      <c r="C1" s="3" t="s">
        <v>2</v>
      </c>
      <c r="D1" s="4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1"/>
      <c r="M1" s="7" t="s">
        <v>15</v>
      </c>
    </row>
    <row r="2">
      <c r="A2" s="8">
        <f>'1.1'!A:A</f>
        <v>46262.41039</v>
      </c>
      <c r="B2" s="1" t="str">
        <f>'1.1'!B:B</f>
        <v>bnco1013@signalschool.ac.th</v>
      </c>
      <c r="C2" s="1" t="str">
        <f>'1.1'!C:C</f>
        <v>ส.อ.ไชยพร รักษากุล</v>
      </c>
      <c r="D2" s="9">
        <v>1.0</v>
      </c>
      <c r="E2" s="10">
        <f>IFERROR(vlookup('1.1'!D:D,lookup!$A$2:$B$4,2,false),0)</f>
        <v>5</v>
      </c>
      <c r="F2" s="10">
        <f>IFERROR(vlookup('1.1'!E:E,lookup!$A$6:$B$8,2,false),0)</f>
        <v>5</v>
      </c>
      <c r="G2" s="10">
        <f>IFERROR(vlookup('1.1'!F:F,lookup!$A$10:$B$12,2,false),0)</f>
        <v>5</v>
      </c>
      <c r="H2" s="10">
        <f>IFERROR(vlookup('1.1'!G:G,lookup!$A$14:$B$16,2,false),0)</f>
        <v>5</v>
      </c>
      <c r="I2" s="10">
        <f>IFERROR(vlookup('1.1'!H:H,lookup!$A$18:$B$20,2,false),0)</f>
        <v>5</v>
      </c>
      <c r="J2" s="10">
        <f>IFERROR(vlookup('1.1'!I:I,lookup!$A$22:$B$24,2,false),0)</f>
        <v>5</v>
      </c>
      <c r="K2" s="10">
        <f>IFERROR(vlookup('1.1'!J:J,lookup!$A$26:$B$28,2,false),0)</f>
        <v>5</v>
      </c>
      <c r="L2" s="1"/>
      <c r="M2" s="10">
        <v>1.0</v>
      </c>
      <c r="N2" s="11" t="str">
        <f t="shared" ref="N2:N81" si="1">CONCAT(R2,"@signalschool.ac.th")</f>
        <v>bnco1001@signalschool.ac.th</v>
      </c>
      <c r="O2" s="12">
        <f t="shared" ref="O2:O81" si="2">IFERROR(VLOOKUP(N2,B$2:D$81,3,FALSE),0)</f>
        <v>1</v>
      </c>
      <c r="R2" s="6" t="s">
        <v>91</v>
      </c>
    </row>
    <row r="3">
      <c r="A3" s="8">
        <f>'1.1'!A:A</f>
        <v>46262.41204</v>
      </c>
      <c r="B3" s="1" t="str">
        <f>'1.1'!B:B</f>
        <v>bnco1058@signalschool.ac.th</v>
      </c>
      <c r="C3" s="1" t="str">
        <f>'1.1'!C:C</f>
        <v>ส.อ.ไชยพร  รักษากุล</v>
      </c>
      <c r="D3" s="9">
        <v>1.0</v>
      </c>
      <c r="E3" s="10">
        <f>IFERROR(vlookup('1.1'!D:D,lookup!$A$2:$B$4,2,false),0)</f>
        <v>5</v>
      </c>
      <c r="F3" s="10">
        <f>IFERROR(vlookup('1.1'!E:E,lookup!$A$6:$B$8,2,false),0)</f>
        <v>5</v>
      </c>
      <c r="G3" s="10">
        <f>IFERROR(vlookup('1.1'!F:F,lookup!$A$10:$B$12,2,false),0)</f>
        <v>5</v>
      </c>
      <c r="H3" s="10">
        <f>IFERROR(vlookup('1.1'!G:G,lookup!$A$14:$B$16,2,false),0)</f>
        <v>5</v>
      </c>
      <c r="I3" s="10">
        <f>IFERROR(vlookup('1.1'!H:H,lookup!$A$18:$B$20,2,false),0)</f>
        <v>5</v>
      </c>
      <c r="J3" s="10">
        <f>IFERROR(vlookup('1.1'!I:I,lookup!$A$22:$B$24,2,false),0)</f>
        <v>5</v>
      </c>
      <c r="K3" s="10">
        <f>IFERROR(vlookup('1.1'!J:J,lookup!$A$26:$B$28,2,false),0)</f>
        <v>5</v>
      </c>
      <c r="L3" s="1"/>
      <c r="M3" s="10">
        <v>2.0</v>
      </c>
      <c r="N3" s="11" t="str">
        <f t="shared" si="1"/>
        <v>bnco1002@signalschool.ac.th</v>
      </c>
      <c r="O3" s="12">
        <f t="shared" si="2"/>
        <v>1</v>
      </c>
      <c r="R3" s="6" t="s">
        <v>123</v>
      </c>
    </row>
    <row r="4">
      <c r="A4" s="8">
        <f>'1.1'!A:A</f>
        <v>46262.41455</v>
      </c>
      <c r="B4" s="1" t="str">
        <f>'1.1'!B:B</f>
        <v>bnco1009@signalschool.ac.th</v>
      </c>
      <c r="C4" s="1" t="str">
        <f>'1.1'!C:C</f>
        <v>ส.อ.ไชยพร รักษากุล</v>
      </c>
      <c r="D4" s="9">
        <v>1.0</v>
      </c>
      <c r="E4" s="10">
        <f>IFERROR(vlookup('1.1'!D:D,lookup!$A$2:$B$4,2,false),0)</f>
        <v>5</v>
      </c>
      <c r="F4" s="10">
        <f>IFERROR(vlookup('1.1'!E:E,lookup!$A$6:$B$8,2,false),0)</f>
        <v>5</v>
      </c>
      <c r="G4" s="10">
        <f>IFERROR(vlookup('1.1'!F:F,lookup!$A$10:$B$12,2,false),0)</f>
        <v>5</v>
      </c>
      <c r="H4" s="10">
        <f>IFERROR(vlookup('1.1'!G:G,lookup!$A$14:$B$16,2,false),0)</f>
        <v>5</v>
      </c>
      <c r="I4" s="10">
        <f>IFERROR(vlookup('1.1'!H:H,lookup!$A$18:$B$20,2,false),0)</f>
        <v>5</v>
      </c>
      <c r="J4" s="10">
        <f>IFERROR(vlookup('1.1'!I:I,lookup!$A$22:$B$24,2,false),0)</f>
        <v>5</v>
      </c>
      <c r="K4" s="10">
        <f>IFERROR(vlookup('1.1'!J:J,lookup!$A$26:$B$28,2,false),0)</f>
        <v>5</v>
      </c>
      <c r="L4" s="1"/>
      <c r="M4" s="10">
        <v>3.0</v>
      </c>
      <c r="N4" s="11" t="str">
        <f t="shared" si="1"/>
        <v>bnco1003@signalschool.ac.th</v>
      </c>
      <c r="O4" s="12">
        <f t="shared" si="2"/>
        <v>1</v>
      </c>
      <c r="R4" s="6" t="s">
        <v>141</v>
      </c>
    </row>
    <row r="5">
      <c r="A5" s="8">
        <f>'1.1'!A:A</f>
        <v>46262.41609</v>
      </c>
      <c r="B5" s="1" t="str">
        <f>'1.1'!B:B</f>
        <v>bnco1056@signalschool.ac.th</v>
      </c>
      <c r="C5" s="1" t="str">
        <f>'1.1'!C:C</f>
        <v>ร.ท.ศุภรัชฏ  หมอกสุข</v>
      </c>
      <c r="D5" s="9">
        <v>1.0</v>
      </c>
      <c r="E5" s="10">
        <f>IFERROR(vlookup('1.1'!D:D,lookup!$A$2:$B$4,2,false),0)</f>
        <v>5</v>
      </c>
      <c r="F5" s="10">
        <f>IFERROR(vlookup('1.1'!E:E,lookup!$A$6:$B$8,2,false),0)</f>
        <v>5</v>
      </c>
      <c r="G5" s="10">
        <f>IFERROR(vlookup('1.1'!F:F,lookup!$A$10:$B$12,2,false),0)</f>
        <v>5</v>
      </c>
      <c r="H5" s="10">
        <f>IFERROR(vlookup('1.1'!G:G,lookup!$A$14:$B$16,2,false),0)</f>
        <v>5</v>
      </c>
      <c r="I5" s="10">
        <f>IFERROR(vlookup('1.1'!H:H,lookup!$A$18:$B$20,2,false),0)</f>
        <v>5</v>
      </c>
      <c r="J5" s="10">
        <f>IFERROR(vlookup('1.1'!I:I,lookup!$A$22:$B$24,2,false),0)</f>
        <v>5</v>
      </c>
      <c r="K5" s="10">
        <f>IFERROR(vlookup('1.1'!J:J,lookup!$A$26:$B$28,2,false),0)</f>
        <v>5</v>
      </c>
      <c r="L5" s="1"/>
      <c r="M5" s="10">
        <v>4.0</v>
      </c>
      <c r="N5" s="11" t="str">
        <f t="shared" si="1"/>
        <v>bnco1004@signalschool.ac.th</v>
      </c>
      <c r="O5" s="12">
        <f t="shared" si="2"/>
        <v>1</v>
      </c>
      <c r="R5" s="6" t="s">
        <v>143</v>
      </c>
    </row>
    <row r="6">
      <c r="A6" s="8">
        <f>'1.1'!A:A</f>
        <v>46262.4219</v>
      </c>
      <c r="B6" s="1" t="str">
        <f>'1.1'!B:B</f>
        <v>bnco1062@signalschool.ac.th</v>
      </c>
      <c r="C6" s="1" t="str">
        <f>'1.1'!C:C</f>
        <v>ส.อ.ไชยพร รักษากุล</v>
      </c>
      <c r="D6" s="9">
        <v>1.0</v>
      </c>
      <c r="E6" s="10">
        <f>IFERROR(vlookup('1.1'!D:D,lookup!$A$2:$B$4,2,false),0)</f>
        <v>5</v>
      </c>
      <c r="F6" s="10">
        <f>IFERROR(vlookup('1.1'!E:E,lookup!$A$6:$B$8,2,false),0)</f>
        <v>5</v>
      </c>
      <c r="G6" s="10">
        <f>IFERROR(vlookup('1.1'!F:F,lookup!$A$10:$B$12,2,false),0)</f>
        <v>5</v>
      </c>
      <c r="H6" s="10">
        <f>IFERROR(vlookup('1.1'!G:G,lookup!$A$14:$B$16,2,false),0)</f>
        <v>5</v>
      </c>
      <c r="I6" s="10">
        <f>IFERROR(vlookup('1.1'!H:H,lookup!$A$18:$B$20,2,false),0)</f>
        <v>5</v>
      </c>
      <c r="J6" s="10">
        <f>IFERROR(vlookup('1.1'!I:I,lookup!$A$22:$B$24,2,false),0)</f>
        <v>5</v>
      </c>
      <c r="K6" s="10">
        <f>IFERROR(vlookup('1.1'!J:J,lookup!$A$26:$B$28,2,false),0)</f>
        <v>5</v>
      </c>
      <c r="L6" s="1"/>
      <c r="M6" s="10">
        <v>5.0</v>
      </c>
      <c r="N6" s="11" t="str">
        <f t="shared" si="1"/>
        <v>bnco1005@signalschool.ac.th</v>
      </c>
      <c r="O6" s="12">
        <f t="shared" si="2"/>
        <v>1</v>
      </c>
      <c r="R6" s="6" t="s">
        <v>144</v>
      </c>
    </row>
    <row r="7">
      <c r="A7" s="8">
        <f>'1.1'!A:A</f>
        <v>46262.42481</v>
      </c>
      <c r="B7" s="1" t="str">
        <f>'1.1'!B:B</f>
        <v>bnco1041@signalschool.ac.th</v>
      </c>
      <c r="C7" s="1" t="str">
        <f>'1.1'!C:C</f>
        <v>พ.ต.ไมตรี บุญเหลื่อม</v>
      </c>
      <c r="D7" s="9">
        <v>1.0</v>
      </c>
      <c r="E7" s="10">
        <f>IFERROR(vlookup('1.1'!D:D,lookup!$A$2:$B$4,2,false),0)</f>
        <v>5</v>
      </c>
      <c r="F7" s="10">
        <f>IFERROR(vlookup('1.1'!E:E,lookup!$A$6:$B$8,2,false),0)</f>
        <v>5</v>
      </c>
      <c r="G7" s="10">
        <f>IFERROR(vlookup('1.1'!F:F,lookup!$A$10:$B$12,2,false),0)</f>
        <v>5</v>
      </c>
      <c r="H7" s="10">
        <f>IFERROR(vlookup('1.1'!G:G,lookup!$A$14:$B$16,2,false),0)</f>
        <v>5</v>
      </c>
      <c r="I7" s="10">
        <f>IFERROR(vlookup('1.1'!H:H,lookup!$A$18:$B$20,2,false),0)</f>
        <v>5</v>
      </c>
      <c r="J7" s="10">
        <f>IFERROR(vlookup('1.1'!I:I,lookup!$A$22:$B$24,2,false),0)</f>
        <v>5</v>
      </c>
      <c r="K7" s="10">
        <f>IFERROR(vlookup('1.1'!J:J,lookup!$A$26:$B$28,2,false),0)</f>
        <v>5</v>
      </c>
      <c r="L7" s="1"/>
      <c r="M7" s="10">
        <v>6.0</v>
      </c>
      <c r="N7" s="11" t="str">
        <f t="shared" si="1"/>
        <v>bnco1006@signalschool.ac.th</v>
      </c>
      <c r="O7" s="12">
        <f t="shared" si="2"/>
        <v>1</v>
      </c>
      <c r="R7" s="6" t="s">
        <v>145</v>
      </c>
    </row>
    <row r="8">
      <c r="A8" s="8">
        <f>'1.1'!A:A</f>
        <v>46262.43407</v>
      </c>
      <c r="B8" s="1" t="str">
        <f>'1.1'!B:B</f>
        <v>bnco1012@signalschool.ac.th</v>
      </c>
      <c r="C8" s="1" t="str">
        <f>'1.1'!C:C</f>
        <v>ร.ท.ศุภรัชฏ หมอกสุข</v>
      </c>
      <c r="D8" s="9">
        <v>1.0</v>
      </c>
      <c r="E8" s="10">
        <f>IFERROR(vlookup('1.1'!D:D,lookup!$A$2:$B$4,2,false),0)</f>
        <v>5</v>
      </c>
      <c r="F8" s="10">
        <f>IFERROR(vlookup('1.1'!E:E,lookup!$A$6:$B$8,2,false),0)</f>
        <v>5</v>
      </c>
      <c r="G8" s="10">
        <f>IFERROR(vlookup('1.1'!F:F,lookup!$A$10:$B$12,2,false),0)</f>
        <v>5</v>
      </c>
      <c r="H8" s="10">
        <f>IFERROR(vlookup('1.1'!G:G,lookup!$A$14:$B$16,2,false),0)</f>
        <v>5</v>
      </c>
      <c r="I8" s="10">
        <f>IFERROR(vlookup('1.1'!H:H,lookup!$A$18:$B$20,2,false),0)</f>
        <v>5</v>
      </c>
      <c r="J8" s="10">
        <f>IFERROR(vlookup('1.1'!I:I,lookup!$A$22:$B$24,2,false),0)</f>
        <v>5</v>
      </c>
      <c r="K8" s="10">
        <f>IFERROR(vlookup('1.1'!J:J,lookup!$A$26:$B$28,2,false),0)</f>
        <v>5</v>
      </c>
      <c r="L8" s="1"/>
      <c r="M8" s="10">
        <v>7.0</v>
      </c>
      <c r="N8" s="11" t="str">
        <f t="shared" si="1"/>
        <v>bnco1007@signalschool.ac.th</v>
      </c>
      <c r="O8" s="12">
        <f t="shared" si="2"/>
        <v>0</v>
      </c>
      <c r="R8" s="6" t="s">
        <v>155</v>
      </c>
    </row>
    <row r="9">
      <c r="A9" s="8">
        <f>'1.1'!A:A</f>
        <v>46262.43586</v>
      </c>
      <c r="B9" s="1" t="str">
        <f>'1.1'!B:B</f>
        <v>bnco1006@signalschool.ac.th</v>
      </c>
      <c r="C9" s="1" t="str">
        <f>'1.1'!C:C</f>
        <v>ร.ท.ศุภรัชฎ หมอกสุข</v>
      </c>
      <c r="D9" s="9">
        <v>1.0</v>
      </c>
      <c r="E9" s="10">
        <f>IFERROR(vlookup('1.1'!D:D,lookup!$A$2:$B$4,2,false),0)</f>
        <v>5</v>
      </c>
      <c r="F9" s="10">
        <f>IFERROR(vlookup('1.1'!E:E,lookup!$A$6:$B$8,2,false),0)</f>
        <v>5</v>
      </c>
      <c r="G9" s="10">
        <f>IFERROR(vlookup('1.1'!F:F,lookup!$A$10:$B$12,2,false),0)</f>
        <v>5</v>
      </c>
      <c r="H9" s="10">
        <f>IFERROR(vlookup('1.1'!G:G,lookup!$A$14:$B$16,2,false),0)</f>
        <v>5</v>
      </c>
      <c r="I9" s="10">
        <f>IFERROR(vlookup('1.1'!H:H,lookup!$A$18:$B$20,2,false),0)</f>
        <v>5</v>
      </c>
      <c r="J9" s="10">
        <f>IFERROR(vlookup('1.1'!I:I,lookup!$A$22:$B$24,2,false),0)</f>
        <v>5</v>
      </c>
      <c r="K9" s="10">
        <f>IFERROR(vlookup('1.1'!J:J,lookup!$A$26:$B$28,2,false),0)</f>
        <v>5</v>
      </c>
      <c r="L9" s="1"/>
      <c r="M9" s="10">
        <v>8.0</v>
      </c>
      <c r="N9" s="11" t="str">
        <f t="shared" si="1"/>
        <v>bnco1008@signalschool.ac.th</v>
      </c>
      <c r="O9" s="12">
        <f t="shared" si="2"/>
        <v>1</v>
      </c>
      <c r="R9" s="6" t="s">
        <v>166</v>
      </c>
    </row>
    <row r="10">
      <c r="A10" s="8">
        <f>'1.1'!A:A</f>
        <v>46262.44068</v>
      </c>
      <c r="B10" s="1" t="str">
        <f>'1.1'!B:B</f>
        <v>bnco1051@signalschool.ac.th</v>
      </c>
      <c r="C10" s="1" t="str">
        <f>'1.1'!C:C</f>
        <v>ร.อ.สุพจน์ มงคล</v>
      </c>
      <c r="D10" s="9">
        <v>1.0</v>
      </c>
      <c r="E10" s="10">
        <f>IFERROR(vlookup('1.1'!D:D,lookup!$A$2:$B$4,2,false),0)</f>
        <v>5</v>
      </c>
      <c r="F10" s="10">
        <f>IFERROR(vlookup('1.1'!E:E,lookup!$A$6:$B$8,2,false),0)</f>
        <v>5</v>
      </c>
      <c r="G10" s="10">
        <f>IFERROR(vlookup('1.1'!F:F,lookup!$A$10:$B$12,2,false),0)</f>
        <v>5</v>
      </c>
      <c r="H10" s="10">
        <f>IFERROR(vlookup('1.1'!G:G,lookup!$A$14:$B$16,2,false),0)</f>
        <v>5</v>
      </c>
      <c r="I10" s="10">
        <f>IFERROR(vlookup('1.1'!H:H,lookup!$A$18:$B$20,2,false),0)</f>
        <v>5</v>
      </c>
      <c r="J10" s="10">
        <f>IFERROR(vlookup('1.1'!I:I,lookup!$A$22:$B$24,2,false),0)</f>
        <v>5</v>
      </c>
      <c r="K10" s="10">
        <f>IFERROR(vlookup('1.1'!J:J,lookup!$A$26:$B$28,2,false),0)</f>
        <v>5</v>
      </c>
      <c r="L10" s="1"/>
      <c r="M10" s="10">
        <v>9.0</v>
      </c>
      <c r="N10" s="11" t="str">
        <f t="shared" si="1"/>
        <v>bnco1009@signalschool.ac.th</v>
      </c>
      <c r="O10" s="12">
        <f t="shared" si="2"/>
        <v>1</v>
      </c>
      <c r="R10" s="6" t="s">
        <v>175</v>
      </c>
    </row>
    <row r="11">
      <c r="A11" s="8">
        <f>'1.1'!A:A</f>
        <v>46262.44103</v>
      </c>
      <c r="B11" s="1" t="str">
        <f>'1.1'!B:B</f>
        <v>bnco1050@signalschool.ac.th</v>
      </c>
      <c r="C11" s="1" t="str">
        <f>'1.1'!C:C</f>
        <v>ร.อ.สุพจน์ มงคล</v>
      </c>
      <c r="D11" s="9">
        <v>1.0</v>
      </c>
      <c r="E11" s="10">
        <f>IFERROR(vlookup('1.1'!D:D,lookup!$A$2:$B$4,2,false),0)</f>
        <v>5</v>
      </c>
      <c r="F11" s="10">
        <f>IFERROR(vlookup('1.1'!E:E,lookup!$A$6:$B$8,2,false),0)</f>
        <v>5</v>
      </c>
      <c r="G11" s="10">
        <f>IFERROR(vlookup('1.1'!F:F,lookup!$A$10:$B$12,2,false),0)</f>
        <v>5</v>
      </c>
      <c r="H11" s="10">
        <f>IFERROR(vlookup('1.1'!G:G,lookup!$A$14:$B$16,2,false),0)</f>
        <v>5</v>
      </c>
      <c r="I11" s="10">
        <f>IFERROR(vlookup('1.1'!H:H,lookup!$A$18:$B$20,2,false),0)</f>
        <v>5</v>
      </c>
      <c r="J11" s="10">
        <f>IFERROR(vlookup('1.1'!I:I,lookup!$A$22:$B$24,2,false),0)</f>
        <v>5</v>
      </c>
      <c r="K11" s="10">
        <f>IFERROR(vlookup('1.1'!J:J,lookup!$A$26:$B$28,2,false),0)</f>
        <v>5</v>
      </c>
      <c r="L11" s="1"/>
      <c r="M11" s="10">
        <v>10.0</v>
      </c>
      <c r="N11" s="11" t="str">
        <f t="shared" si="1"/>
        <v>bnco1010@signalschool.ac.th</v>
      </c>
      <c r="O11" s="12">
        <f t="shared" si="2"/>
        <v>0</v>
      </c>
      <c r="R11" s="6" t="s">
        <v>192</v>
      </c>
    </row>
    <row r="12">
      <c r="A12" s="8">
        <f>'1.1'!A:A</f>
        <v>46262.44232</v>
      </c>
      <c r="B12" s="1" t="str">
        <f>'1.1'!B:B</f>
        <v>bnco1052@signalschool.ac.th</v>
      </c>
      <c r="C12" s="1" t="str">
        <f>'1.1'!C:C</f>
        <v>ร.ท.ศุภรัชฎ  หมอกสุข</v>
      </c>
      <c r="D12" s="9">
        <v>1.0</v>
      </c>
      <c r="E12" s="10">
        <f>IFERROR(vlookup('1.1'!D:D,lookup!$A$2:$B$4,2,false),0)</f>
        <v>5</v>
      </c>
      <c r="F12" s="10">
        <f>IFERROR(vlookup('1.1'!E:E,lookup!$A$6:$B$8,2,false),0)</f>
        <v>5</v>
      </c>
      <c r="G12" s="10">
        <f>IFERROR(vlookup('1.1'!F:F,lookup!$A$10:$B$12,2,false),0)</f>
        <v>5</v>
      </c>
      <c r="H12" s="10">
        <f>IFERROR(vlookup('1.1'!G:G,lookup!$A$14:$B$16,2,false),0)</f>
        <v>5</v>
      </c>
      <c r="I12" s="10">
        <f>IFERROR(vlookup('1.1'!H:H,lookup!$A$18:$B$20,2,false),0)</f>
        <v>5</v>
      </c>
      <c r="J12" s="10">
        <f>IFERROR(vlookup('1.1'!I:I,lookup!$A$22:$B$24,2,false),0)</f>
        <v>5</v>
      </c>
      <c r="K12" s="10">
        <f>IFERROR(vlookup('1.1'!J:J,lookup!$A$26:$B$28,2,false),0)</f>
        <v>5</v>
      </c>
      <c r="L12" s="1"/>
      <c r="M12" s="10">
        <v>11.0</v>
      </c>
      <c r="N12" s="11" t="str">
        <f t="shared" si="1"/>
        <v>bnco1011@signalschool.ac.th</v>
      </c>
      <c r="O12" s="12">
        <f t="shared" si="2"/>
        <v>1</v>
      </c>
      <c r="R12" s="6" t="s">
        <v>209</v>
      </c>
    </row>
    <row r="13">
      <c r="A13" s="8">
        <f>'1.1'!A:A</f>
        <v>46262.4445</v>
      </c>
      <c r="B13" s="1" t="str">
        <f>'1.1'!B:B</f>
        <v>bnco1018@signalschool.ac.th</v>
      </c>
      <c r="C13" s="1" t="str">
        <f>'1.1'!C:C</f>
        <v>ร.ท.ศุภรัชฎ หมอกสุข</v>
      </c>
      <c r="D13" s="9">
        <v>1.0</v>
      </c>
      <c r="E13" s="10">
        <f>IFERROR(vlookup('1.1'!D:D,lookup!$A$2:$B$4,2,false),0)</f>
        <v>5</v>
      </c>
      <c r="F13" s="10">
        <f>IFERROR(vlookup('1.1'!E:E,lookup!$A$6:$B$8,2,false),0)</f>
        <v>5</v>
      </c>
      <c r="G13" s="10">
        <f>IFERROR(vlookup('1.1'!F:F,lookup!$A$10:$B$12,2,false),0)</f>
        <v>5</v>
      </c>
      <c r="H13" s="10">
        <f>IFERROR(vlookup('1.1'!G:G,lookup!$A$14:$B$16,2,false),0)</f>
        <v>5</v>
      </c>
      <c r="I13" s="10">
        <f>IFERROR(vlookup('1.1'!H:H,lookup!$A$18:$B$20,2,false),0)</f>
        <v>5</v>
      </c>
      <c r="J13" s="10">
        <f>IFERROR(vlookup('1.1'!I:I,lookup!$A$22:$B$24,2,false),0)</f>
        <v>5</v>
      </c>
      <c r="K13" s="10">
        <f>IFERROR(vlookup('1.1'!J:J,lookup!$A$26:$B$28,2,false),0)</f>
        <v>5</v>
      </c>
      <c r="L13" s="1"/>
      <c r="M13" s="10">
        <v>12.0</v>
      </c>
      <c r="N13" s="11" t="str">
        <f t="shared" si="1"/>
        <v>bnco1012@signalschool.ac.th</v>
      </c>
      <c r="O13" s="12">
        <f t="shared" si="2"/>
        <v>1</v>
      </c>
      <c r="R13" s="6" t="s">
        <v>213</v>
      </c>
    </row>
    <row r="14">
      <c r="A14" s="8">
        <f>'1.1'!A:A</f>
        <v>46262.44872</v>
      </c>
      <c r="B14" s="1" t="str">
        <f>'1.1'!B:B</f>
        <v>bnco1038@signalschool.ac.th</v>
      </c>
      <c r="C14" s="1" t="str">
        <f>'1.1'!C:C</f>
        <v>ร.ท.ศุภรัชฎ หมอกสุข</v>
      </c>
      <c r="D14" s="9">
        <v>1.0</v>
      </c>
      <c r="E14" s="10">
        <f>IFERROR(vlookup('1.1'!D:D,lookup!$A$2:$B$4,2,false),0)</f>
        <v>5</v>
      </c>
      <c r="F14" s="10">
        <f>IFERROR(vlookup('1.1'!E:E,lookup!$A$6:$B$8,2,false),0)</f>
        <v>5</v>
      </c>
      <c r="G14" s="10">
        <f>IFERROR(vlookup('1.1'!F:F,lookup!$A$10:$B$12,2,false),0)</f>
        <v>5</v>
      </c>
      <c r="H14" s="10">
        <f>IFERROR(vlookup('1.1'!G:G,lookup!$A$14:$B$16,2,false),0)</f>
        <v>5</v>
      </c>
      <c r="I14" s="10">
        <f>IFERROR(vlookup('1.1'!H:H,lookup!$A$18:$B$20,2,false),0)</f>
        <v>5</v>
      </c>
      <c r="J14" s="10">
        <f>IFERROR(vlookup('1.1'!I:I,lookup!$A$22:$B$24,2,false),0)</f>
        <v>5</v>
      </c>
      <c r="K14" s="10">
        <f>IFERROR(vlookup('1.1'!J:J,lookup!$A$26:$B$28,2,false),0)</f>
        <v>5</v>
      </c>
      <c r="L14" s="1"/>
      <c r="M14" s="10">
        <v>13.0</v>
      </c>
      <c r="N14" s="11" t="str">
        <f t="shared" si="1"/>
        <v>bnco1013@signalschool.ac.th</v>
      </c>
      <c r="O14" s="12">
        <f t="shared" si="2"/>
        <v>1</v>
      </c>
      <c r="R14" s="6" t="s">
        <v>214</v>
      </c>
    </row>
    <row r="15">
      <c r="A15" s="8">
        <f>'1.1'!A:A</f>
        <v>46262.4504</v>
      </c>
      <c r="B15" s="1" t="str">
        <f>'1.1'!B:B</f>
        <v>bnco1035@signalschool.ac.th</v>
      </c>
      <c r="C15" s="1" t="str">
        <f>'1.1'!C:C</f>
        <v>ร.ท.ศุภรัชฎ หมอกสุข</v>
      </c>
      <c r="D15" s="9">
        <v>1.0</v>
      </c>
      <c r="E15" s="10">
        <f>IFERROR(vlookup('1.1'!D:D,lookup!$A$2:$B$4,2,false),0)</f>
        <v>5</v>
      </c>
      <c r="F15" s="10">
        <f>IFERROR(vlookup('1.1'!E:E,lookup!$A$6:$B$8,2,false),0)</f>
        <v>5</v>
      </c>
      <c r="G15" s="10">
        <f>IFERROR(vlookup('1.1'!F:F,lookup!$A$10:$B$12,2,false),0)</f>
        <v>5</v>
      </c>
      <c r="H15" s="10">
        <f>IFERROR(vlookup('1.1'!G:G,lookup!$A$14:$B$16,2,false),0)</f>
        <v>5</v>
      </c>
      <c r="I15" s="10">
        <f>IFERROR(vlookup('1.1'!H:H,lookup!$A$18:$B$20,2,false),0)</f>
        <v>5</v>
      </c>
      <c r="J15" s="10">
        <f>IFERROR(vlookup('1.1'!I:I,lookup!$A$22:$B$24,2,false),0)</f>
        <v>5</v>
      </c>
      <c r="K15" s="10">
        <f>IFERROR(vlookup('1.1'!J:J,lookup!$A$26:$B$28,2,false),0)</f>
        <v>5</v>
      </c>
      <c r="L15" s="1"/>
      <c r="M15" s="10">
        <v>14.0</v>
      </c>
      <c r="N15" s="11" t="str">
        <f t="shared" si="1"/>
        <v>bnco1014@signalschool.ac.th</v>
      </c>
      <c r="O15" s="12">
        <f t="shared" si="2"/>
        <v>1</v>
      </c>
      <c r="R15" s="6" t="s">
        <v>215</v>
      </c>
    </row>
    <row r="16">
      <c r="A16" s="8">
        <f>'1.1'!A:A</f>
        <v>46262.45244</v>
      </c>
      <c r="B16" s="1" t="str">
        <f>'1.1'!B:B</f>
        <v>bnco1070@signalschool.ac.th</v>
      </c>
      <c r="C16" s="1" t="str">
        <f>'1.1'!C:C</f>
        <v>พ.ต.ไมตรี บุญเหลี่ยม</v>
      </c>
      <c r="D16" s="9">
        <v>1.0</v>
      </c>
      <c r="E16" s="10">
        <f>IFERROR(vlookup('1.1'!D:D,lookup!$A$2:$B$4,2,false),0)</f>
        <v>5</v>
      </c>
      <c r="F16" s="10">
        <f>IFERROR(vlookup('1.1'!E:E,lookup!$A$6:$B$8,2,false),0)</f>
        <v>5</v>
      </c>
      <c r="G16" s="10">
        <f>IFERROR(vlookup('1.1'!F:F,lookup!$A$10:$B$12,2,false),0)</f>
        <v>3</v>
      </c>
      <c r="H16" s="10">
        <f>IFERROR(vlookup('1.1'!G:G,lookup!$A$14:$B$16,2,false),0)</f>
        <v>3</v>
      </c>
      <c r="I16" s="10">
        <f>IFERROR(vlookup('1.1'!H:H,lookup!$A$18:$B$20,2,false),0)</f>
        <v>5</v>
      </c>
      <c r="J16" s="10">
        <f>IFERROR(vlookup('1.1'!I:I,lookup!$A$22:$B$24,2,false),0)</f>
        <v>3</v>
      </c>
      <c r="K16" s="10">
        <f>IFERROR(vlookup('1.1'!J:J,lookup!$A$26:$B$28,2,false),0)</f>
        <v>3</v>
      </c>
      <c r="L16" s="1"/>
      <c r="M16" s="10">
        <v>15.0</v>
      </c>
      <c r="N16" s="11" t="str">
        <f t="shared" si="1"/>
        <v>bnco1015@signalschool.ac.th</v>
      </c>
      <c r="O16" s="12">
        <f t="shared" si="2"/>
        <v>1</v>
      </c>
      <c r="R16" s="6" t="s">
        <v>221</v>
      </c>
    </row>
    <row r="17">
      <c r="A17" s="8">
        <f>'1.1'!A:A</f>
        <v>46262.45721</v>
      </c>
      <c r="B17" s="1" t="str">
        <f>'1.1'!B:B</f>
        <v>bnco1036@signalschool.ac.th</v>
      </c>
      <c r="C17" s="1" t="str">
        <f>'1.1'!C:C</f>
        <v>ร.ท.ศุภรัชฎ หมอกสุข</v>
      </c>
      <c r="D17" s="9">
        <v>1.0</v>
      </c>
      <c r="E17" s="10">
        <f>IFERROR(vlookup('1.1'!D:D,lookup!$A$2:$B$4,2,false),0)</f>
        <v>5</v>
      </c>
      <c r="F17" s="10">
        <f>IFERROR(vlookup('1.1'!E:E,lookup!$A$6:$B$8,2,false),0)</f>
        <v>5</v>
      </c>
      <c r="G17" s="10">
        <f>IFERROR(vlookup('1.1'!F:F,lookup!$A$10:$B$12,2,false),0)</f>
        <v>5</v>
      </c>
      <c r="H17" s="10">
        <f>IFERROR(vlookup('1.1'!G:G,lookup!$A$14:$B$16,2,false),0)</f>
        <v>5</v>
      </c>
      <c r="I17" s="10">
        <f>IFERROR(vlookup('1.1'!H:H,lookup!$A$18:$B$20,2,false),0)</f>
        <v>5</v>
      </c>
      <c r="J17" s="10">
        <f>IFERROR(vlookup('1.1'!I:I,lookup!$A$22:$B$24,2,false),0)</f>
        <v>5</v>
      </c>
      <c r="K17" s="10">
        <f>IFERROR(vlookup('1.1'!J:J,lookup!$A$26:$B$28,2,false),0)</f>
        <v>5</v>
      </c>
      <c r="L17" s="1"/>
      <c r="M17" s="10">
        <v>16.0</v>
      </c>
      <c r="N17" s="11" t="str">
        <f t="shared" si="1"/>
        <v>bnco1016@signalschool.ac.th</v>
      </c>
      <c r="O17" s="12">
        <f t="shared" si="2"/>
        <v>1</v>
      </c>
      <c r="R17" s="6" t="s">
        <v>223</v>
      </c>
    </row>
    <row r="18">
      <c r="A18" s="8">
        <f>'1.1'!A:A</f>
        <v>46262.45938</v>
      </c>
      <c r="B18" s="1" t="str">
        <f>'1.1'!B:B</f>
        <v>bnco1042@signalschool.ac.th</v>
      </c>
      <c r="C18" s="1" t="str">
        <f>'1.1'!C:C</f>
        <v>ร.ท.ศุภรัชฎ  หมอกสุข</v>
      </c>
      <c r="D18" s="9">
        <v>1.0</v>
      </c>
      <c r="E18" s="10">
        <f>IFERROR(vlookup('1.1'!D:D,lookup!$A$2:$B$4,2,false),0)</f>
        <v>5</v>
      </c>
      <c r="F18" s="10">
        <f>IFERROR(vlookup('1.1'!E:E,lookup!$A$6:$B$8,2,false),0)</f>
        <v>5</v>
      </c>
      <c r="G18" s="10">
        <f>IFERROR(vlookup('1.1'!F:F,lookup!$A$10:$B$12,2,false),0)</f>
        <v>5</v>
      </c>
      <c r="H18" s="10">
        <f>IFERROR(vlookup('1.1'!G:G,lookup!$A$14:$B$16,2,false),0)</f>
        <v>5</v>
      </c>
      <c r="I18" s="10">
        <f>IFERROR(vlookup('1.1'!H:H,lookup!$A$18:$B$20,2,false),0)</f>
        <v>5</v>
      </c>
      <c r="J18" s="10">
        <f>IFERROR(vlookup('1.1'!I:I,lookup!$A$22:$B$24,2,false),0)</f>
        <v>5</v>
      </c>
      <c r="K18" s="10">
        <f>IFERROR(vlookup('1.1'!J:J,lookup!$A$26:$B$28,2,false),0)</f>
        <v>5</v>
      </c>
      <c r="L18" s="1"/>
      <c r="M18" s="10">
        <v>17.0</v>
      </c>
      <c r="N18" s="11" t="str">
        <f t="shared" si="1"/>
        <v>bnco1017@signalschool.ac.th</v>
      </c>
      <c r="O18" s="12">
        <f t="shared" si="2"/>
        <v>1</v>
      </c>
      <c r="R18" s="6" t="s">
        <v>229</v>
      </c>
    </row>
    <row r="19">
      <c r="A19" s="8">
        <f>'1.1'!A:A</f>
        <v>46262.46284</v>
      </c>
      <c r="B19" s="1" t="str">
        <f>'1.1'!B:B</f>
        <v>bnco1003@signalschool.ac.th</v>
      </c>
      <c r="C19" s="1" t="str">
        <f>'1.1'!C:C</f>
        <v>ร.ท.ศุภรัชฎ  หมอกสุข</v>
      </c>
      <c r="D19" s="9">
        <v>1.0</v>
      </c>
      <c r="E19" s="10">
        <f>IFERROR(vlookup('1.1'!D:D,lookup!$A$2:$B$4,2,false),0)</f>
        <v>5</v>
      </c>
      <c r="F19" s="10">
        <f>IFERROR(vlookup('1.1'!E:E,lookup!$A$6:$B$8,2,false),0)</f>
        <v>5</v>
      </c>
      <c r="G19" s="10">
        <f>IFERROR(vlookup('1.1'!F:F,lookup!$A$10:$B$12,2,false),0)</f>
        <v>5</v>
      </c>
      <c r="H19" s="10">
        <f>IFERROR(vlookup('1.1'!G:G,lookup!$A$14:$B$16,2,false),0)</f>
        <v>5</v>
      </c>
      <c r="I19" s="10">
        <f>IFERROR(vlookup('1.1'!H:H,lookup!$A$18:$B$20,2,false),0)</f>
        <v>5</v>
      </c>
      <c r="J19" s="10">
        <f>IFERROR(vlookup('1.1'!I:I,lookup!$A$22:$B$24,2,false),0)</f>
        <v>5</v>
      </c>
      <c r="K19" s="10">
        <f>IFERROR(vlookup('1.1'!J:J,lookup!$A$26:$B$28,2,false),0)</f>
        <v>5</v>
      </c>
      <c r="L19" s="1"/>
      <c r="M19" s="10">
        <v>18.0</v>
      </c>
      <c r="N19" s="11" t="str">
        <f t="shared" si="1"/>
        <v>bnco1018@signalschool.ac.th</v>
      </c>
      <c r="O19" s="12">
        <f t="shared" si="2"/>
        <v>1</v>
      </c>
      <c r="R19" s="6" t="s">
        <v>232</v>
      </c>
    </row>
    <row r="20">
      <c r="A20" s="8">
        <f>'1.1'!A:A</f>
        <v>46262.46565</v>
      </c>
      <c r="B20" s="1" t="str">
        <f>'1.1'!B:B</f>
        <v>bnco1079@signalschool.ac.th</v>
      </c>
      <c r="C20" s="1" t="str">
        <f>'1.1'!C:C</f>
        <v> ร.ท.ศุภรัชฎ หมอกสุข</v>
      </c>
      <c r="D20" s="9">
        <v>1.0</v>
      </c>
      <c r="E20" s="10">
        <f>IFERROR(vlookup('1.1'!D:D,lookup!$A$2:$B$4,2,false),0)</f>
        <v>5</v>
      </c>
      <c r="F20" s="10">
        <f>IFERROR(vlookup('1.1'!E:E,lookup!$A$6:$B$8,2,false),0)</f>
        <v>5</v>
      </c>
      <c r="G20" s="10">
        <f>IFERROR(vlookup('1.1'!F:F,lookup!$A$10:$B$12,2,false),0)</f>
        <v>5</v>
      </c>
      <c r="H20" s="10">
        <f>IFERROR(vlookup('1.1'!G:G,lookup!$A$14:$B$16,2,false),0)</f>
        <v>5</v>
      </c>
      <c r="I20" s="10">
        <f>IFERROR(vlookup('1.1'!H:H,lookup!$A$18:$B$20,2,false),0)</f>
        <v>5</v>
      </c>
      <c r="J20" s="10">
        <f>IFERROR(vlookup('1.1'!I:I,lookup!$A$22:$B$24,2,false),0)</f>
        <v>5</v>
      </c>
      <c r="K20" s="10">
        <f>IFERROR(vlookup('1.1'!J:J,lookup!$A$26:$B$28,2,false),0)</f>
        <v>5</v>
      </c>
      <c r="L20" s="1"/>
      <c r="M20" s="10">
        <v>19.0</v>
      </c>
      <c r="N20" s="11" t="str">
        <f t="shared" si="1"/>
        <v>bnco1019@signalschool.ac.th</v>
      </c>
      <c r="O20" s="12">
        <f t="shared" si="2"/>
        <v>1</v>
      </c>
      <c r="R20" s="6" t="s">
        <v>233</v>
      </c>
    </row>
    <row r="21">
      <c r="A21" s="8">
        <f>'1.1'!A:A</f>
        <v>46262.48116</v>
      </c>
      <c r="B21" s="1" t="str">
        <f>'1.1'!B:B</f>
        <v>bnco1032@signalschool.ac.th</v>
      </c>
      <c r="C21" s="1" t="str">
        <f>'1.1'!C:C</f>
        <v>ร.ท.ศุภรัชฏ หมอกสุข</v>
      </c>
      <c r="D21" s="9">
        <v>1.0</v>
      </c>
      <c r="E21" s="10">
        <f>IFERROR(vlookup('1.1'!D:D,lookup!$A$2:$B$4,2,false),0)</f>
        <v>5</v>
      </c>
      <c r="F21" s="10">
        <f>IFERROR(vlookup('1.1'!E:E,lookup!$A$6:$B$8,2,false),0)</f>
        <v>5</v>
      </c>
      <c r="G21" s="10">
        <f>IFERROR(vlookup('1.1'!F:F,lookup!$A$10:$B$12,2,false),0)</f>
        <v>5</v>
      </c>
      <c r="H21" s="10">
        <f>IFERROR(vlookup('1.1'!G:G,lookup!$A$14:$B$16,2,false),0)</f>
        <v>5</v>
      </c>
      <c r="I21" s="10">
        <f>IFERROR(vlookup('1.1'!H:H,lookup!$A$18:$B$20,2,false),0)</f>
        <v>5</v>
      </c>
      <c r="J21" s="10">
        <f>IFERROR(vlookup('1.1'!I:I,lookup!$A$22:$B$24,2,false),0)</f>
        <v>5</v>
      </c>
      <c r="K21" s="10">
        <f>IFERROR(vlookup('1.1'!J:J,lookup!$A$26:$B$28,2,false),0)</f>
        <v>5</v>
      </c>
      <c r="L21" s="1"/>
      <c r="M21" s="10">
        <v>20.0</v>
      </c>
      <c r="N21" s="11" t="str">
        <f t="shared" si="1"/>
        <v>bnco1020@signalschool.ac.th</v>
      </c>
      <c r="O21" s="12">
        <f t="shared" si="2"/>
        <v>1</v>
      </c>
      <c r="R21" s="6" t="s">
        <v>234</v>
      </c>
    </row>
    <row r="22">
      <c r="A22" s="8">
        <f>'1.1'!A:A</f>
        <v>46262.48618</v>
      </c>
      <c r="B22" s="1" t="str">
        <f>'1.1'!B:B</f>
        <v>bnco1060@signalschool.ac.th</v>
      </c>
      <c r="C22" s="1" t="str">
        <f>'1.1'!C:C</f>
        <v>ร.ท.ศุภรัฎ หมอกสุข</v>
      </c>
      <c r="D22" s="9">
        <v>1.0</v>
      </c>
      <c r="E22" s="10">
        <f>IFERROR(vlookup('1.1'!D:D,lookup!$A$2:$B$4,2,false),0)</f>
        <v>5</v>
      </c>
      <c r="F22" s="10">
        <f>IFERROR(vlookup('1.1'!E:E,lookup!$A$6:$B$8,2,false),0)</f>
        <v>5</v>
      </c>
      <c r="G22" s="10">
        <f>IFERROR(vlookup('1.1'!F:F,lookup!$A$10:$B$12,2,false),0)</f>
        <v>5</v>
      </c>
      <c r="H22" s="10">
        <f>IFERROR(vlookup('1.1'!G:G,lookup!$A$14:$B$16,2,false),0)</f>
        <v>5</v>
      </c>
      <c r="I22" s="10">
        <f>IFERROR(vlookup('1.1'!H:H,lookup!$A$18:$B$20,2,false),0)</f>
        <v>5</v>
      </c>
      <c r="J22" s="10">
        <f>IFERROR(vlookup('1.1'!I:I,lookup!$A$22:$B$24,2,false),0)</f>
        <v>5</v>
      </c>
      <c r="K22" s="10">
        <f>IFERROR(vlookup('1.1'!J:J,lookup!$A$26:$B$28,2,false),0)</f>
        <v>5</v>
      </c>
      <c r="L22" s="1"/>
      <c r="M22" s="10">
        <v>21.0</v>
      </c>
      <c r="N22" s="11" t="str">
        <f t="shared" si="1"/>
        <v>bnco1021@signalschool.ac.th</v>
      </c>
      <c r="O22" s="12">
        <f t="shared" si="2"/>
        <v>1</v>
      </c>
      <c r="R22" s="6" t="s">
        <v>235</v>
      </c>
    </row>
    <row r="23">
      <c r="A23" s="8">
        <f>'1.1'!A:A</f>
        <v>46262.49405</v>
      </c>
      <c r="B23" s="1" t="str">
        <f>'1.1'!B:B</f>
        <v>bnco1031@signalschool.ac.th</v>
      </c>
      <c r="C23" s="1" t="str">
        <f>'1.1'!C:C</f>
        <v>ร.ท. ศุภรัชฎ หมอกสุข</v>
      </c>
      <c r="D23" s="9">
        <v>1.0</v>
      </c>
      <c r="E23" s="10">
        <f>IFERROR(vlookup('1.1'!D:D,lookup!$A$2:$B$4,2,false),0)</f>
        <v>5</v>
      </c>
      <c r="F23" s="10">
        <f>IFERROR(vlookup('1.1'!E:E,lookup!$A$6:$B$8,2,false),0)</f>
        <v>5</v>
      </c>
      <c r="G23" s="10">
        <f>IFERROR(vlookup('1.1'!F:F,lookup!$A$10:$B$12,2,false),0)</f>
        <v>5</v>
      </c>
      <c r="H23" s="10">
        <f>IFERROR(vlookup('1.1'!G:G,lookup!$A$14:$B$16,2,false),0)</f>
        <v>5</v>
      </c>
      <c r="I23" s="10">
        <f>IFERROR(vlookup('1.1'!H:H,lookup!$A$18:$B$20,2,false),0)</f>
        <v>5</v>
      </c>
      <c r="J23" s="10">
        <f>IFERROR(vlookup('1.1'!I:I,lookup!$A$22:$B$24,2,false),0)</f>
        <v>5</v>
      </c>
      <c r="K23" s="10">
        <f>IFERROR(vlookup('1.1'!J:J,lookup!$A$26:$B$28,2,false),0)</f>
        <v>5</v>
      </c>
      <c r="L23" s="1"/>
      <c r="M23" s="10">
        <v>22.0</v>
      </c>
      <c r="N23" s="11" t="str">
        <f t="shared" si="1"/>
        <v>bnco1022@signalschool.ac.th</v>
      </c>
      <c r="O23" s="12">
        <f t="shared" si="2"/>
        <v>1</v>
      </c>
      <c r="R23" s="6" t="s">
        <v>236</v>
      </c>
    </row>
    <row r="24">
      <c r="A24" s="8">
        <f>'1.1'!A:A</f>
        <v>46262.49941</v>
      </c>
      <c r="B24" s="1" t="str">
        <f>'1.1'!B:B</f>
        <v>bnco1063@signalschool.ac.th</v>
      </c>
      <c r="C24" s="1" t="str">
        <f>'1.1'!C:C</f>
        <v>ร.ท.ศุภรัชฎ หมอกสุข</v>
      </c>
      <c r="D24" s="9">
        <v>1.0</v>
      </c>
      <c r="E24" s="10">
        <f>IFERROR(vlookup('1.1'!D:D,lookup!$A$2:$B$4,2,false),0)</f>
        <v>5</v>
      </c>
      <c r="F24" s="10">
        <f>IFERROR(vlookup('1.1'!E:E,lookup!$A$6:$B$8,2,false),0)</f>
        <v>5</v>
      </c>
      <c r="G24" s="10">
        <f>IFERROR(vlookup('1.1'!F:F,lookup!$A$10:$B$12,2,false),0)</f>
        <v>5</v>
      </c>
      <c r="H24" s="10">
        <f>IFERROR(vlookup('1.1'!G:G,lookup!$A$14:$B$16,2,false),0)</f>
        <v>5</v>
      </c>
      <c r="I24" s="10">
        <f>IFERROR(vlookup('1.1'!H:H,lookup!$A$18:$B$20,2,false),0)</f>
        <v>5</v>
      </c>
      <c r="J24" s="10">
        <f>IFERROR(vlookup('1.1'!I:I,lookup!$A$22:$B$24,2,false),0)</f>
        <v>5</v>
      </c>
      <c r="K24" s="10">
        <f>IFERROR(vlookup('1.1'!J:J,lookup!$A$26:$B$28,2,false),0)</f>
        <v>5</v>
      </c>
      <c r="L24" s="1"/>
      <c r="M24" s="10">
        <v>23.0</v>
      </c>
      <c r="N24" s="11" t="str">
        <f t="shared" si="1"/>
        <v>bnco1023@signalschool.ac.th</v>
      </c>
      <c r="O24" s="12">
        <f t="shared" si="2"/>
        <v>1</v>
      </c>
      <c r="R24" s="6" t="s">
        <v>237</v>
      </c>
    </row>
    <row r="25">
      <c r="A25" s="8">
        <f>'1.1'!A:A</f>
        <v>46262.52144</v>
      </c>
      <c r="B25" s="1" t="str">
        <f>'1.1'!B:B</f>
        <v>bnco1066@signalschool.ac.th</v>
      </c>
      <c r="C25" s="1" t="str">
        <f>'1.1'!C:C</f>
        <v>ร.ท.ศุภรัชฎ หมอกสุข</v>
      </c>
      <c r="D25" s="9">
        <v>1.0</v>
      </c>
      <c r="E25" s="10">
        <f>IFERROR(vlookup('1.1'!D:D,lookup!$A$2:$B$4,2,false),0)</f>
        <v>5</v>
      </c>
      <c r="F25" s="10">
        <f>IFERROR(vlookup('1.1'!E:E,lookup!$A$6:$B$8,2,false),0)</f>
        <v>5</v>
      </c>
      <c r="G25" s="10">
        <f>IFERROR(vlookup('1.1'!F:F,lookup!$A$10:$B$12,2,false),0)</f>
        <v>5</v>
      </c>
      <c r="H25" s="10">
        <f>IFERROR(vlookup('1.1'!G:G,lookup!$A$14:$B$16,2,false),0)</f>
        <v>5</v>
      </c>
      <c r="I25" s="10">
        <f>IFERROR(vlookup('1.1'!H:H,lookup!$A$18:$B$20,2,false),0)</f>
        <v>5</v>
      </c>
      <c r="J25" s="10">
        <f>IFERROR(vlookup('1.1'!I:I,lookup!$A$22:$B$24,2,false),0)</f>
        <v>5</v>
      </c>
      <c r="K25" s="10">
        <f>IFERROR(vlookup('1.1'!J:J,lookup!$A$26:$B$28,2,false),0)</f>
        <v>5</v>
      </c>
      <c r="L25" s="1"/>
      <c r="M25" s="10">
        <v>24.0</v>
      </c>
      <c r="N25" s="11" t="str">
        <f t="shared" si="1"/>
        <v>bnco1024@signalschool.ac.th</v>
      </c>
      <c r="O25" s="12">
        <f t="shared" si="2"/>
        <v>1</v>
      </c>
      <c r="R25" s="6" t="s">
        <v>238</v>
      </c>
    </row>
    <row r="26">
      <c r="A26" s="8">
        <f>'1.1'!A:A</f>
        <v>46262.52816</v>
      </c>
      <c r="B26" s="1" t="str">
        <f>'1.1'!B:B</f>
        <v>bnco1069@signalschool.ac.th</v>
      </c>
      <c r="C26" s="1" t="str">
        <f>'1.1'!C:C</f>
        <v>ร.ท.ศุภรัชฎ  หมอกสุข</v>
      </c>
      <c r="D26" s="9">
        <v>1.0</v>
      </c>
      <c r="E26" s="10">
        <f>IFERROR(vlookup('1.1'!D:D,lookup!$A$2:$B$4,2,false),0)</f>
        <v>5</v>
      </c>
      <c r="F26" s="10">
        <f>IFERROR(vlookup('1.1'!E:E,lookup!$A$6:$B$8,2,false),0)</f>
        <v>5</v>
      </c>
      <c r="G26" s="10">
        <f>IFERROR(vlookup('1.1'!F:F,lookup!$A$10:$B$12,2,false),0)</f>
        <v>5</v>
      </c>
      <c r="H26" s="10">
        <f>IFERROR(vlookup('1.1'!G:G,lookup!$A$14:$B$16,2,false),0)</f>
        <v>5</v>
      </c>
      <c r="I26" s="10">
        <f>IFERROR(vlookup('1.1'!H:H,lookup!$A$18:$B$20,2,false),0)</f>
        <v>5</v>
      </c>
      <c r="J26" s="10">
        <f>IFERROR(vlookup('1.1'!I:I,lookup!$A$22:$B$24,2,false),0)</f>
        <v>5</v>
      </c>
      <c r="K26" s="10">
        <f>IFERROR(vlookup('1.1'!J:J,lookup!$A$26:$B$28,2,false),0)</f>
        <v>5</v>
      </c>
      <c r="L26" s="1"/>
      <c r="M26" s="10">
        <v>25.0</v>
      </c>
      <c r="N26" s="11" t="str">
        <f t="shared" si="1"/>
        <v>bnco1025@signalschool.ac.th</v>
      </c>
      <c r="O26" s="12">
        <f t="shared" si="2"/>
        <v>0</v>
      </c>
      <c r="R26" s="6" t="s">
        <v>239</v>
      </c>
    </row>
    <row r="27">
      <c r="A27" s="8">
        <f>'1.1'!A:A</f>
        <v>46262.55206</v>
      </c>
      <c r="B27" s="1" t="str">
        <f>'1.1'!B:B</f>
        <v>bnco1044@signalschool.ac.th</v>
      </c>
      <c r="C27" s="1" t="str">
        <f>'1.1'!C:C</f>
        <v>ร.ท. ศุภรัชฏ หมอกสุข</v>
      </c>
      <c r="D27" s="9">
        <v>1.0</v>
      </c>
      <c r="E27" s="10">
        <f>IFERROR(vlookup('1.1'!D:D,lookup!$A$2:$B$4,2,false),0)</f>
        <v>5</v>
      </c>
      <c r="F27" s="10">
        <f>IFERROR(vlookup('1.1'!E:E,lookup!$A$6:$B$8,2,false),0)</f>
        <v>5</v>
      </c>
      <c r="G27" s="10">
        <f>IFERROR(vlookup('1.1'!F:F,lookup!$A$10:$B$12,2,false),0)</f>
        <v>5</v>
      </c>
      <c r="H27" s="10">
        <f>IFERROR(vlookup('1.1'!G:G,lookup!$A$14:$B$16,2,false),0)</f>
        <v>5</v>
      </c>
      <c r="I27" s="10">
        <f>IFERROR(vlookup('1.1'!H:H,lookup!$A$18:$B$20,2,false),0)</f>
        <v>5</v>
      </c>
      <c r="J27" s="10">
        <f>IFERROR(vlookup('1.1'!I:I,lookup!$A$22:$B$24,2,false),0)</f>
        <v>5</v>
      </c>
      <c r="K27" s="10">
        <f>IFERROR(vlookup('1.1'!J:J,lookup!$A$26:$B$28,2,false),0)</f>
        <v>5</v>
      </c>
      <c r="L27" s="1"/>
      <c r="M27" s="10">
        <v>26.0</v>
      </c>
      <c r="N27" s="11" t="str">
        <f t="shared" si="1"/>
        <v>bnco1026@signalschool.ac.th</v>
      </c>
      <c r="O27" s="12">
        <f t="shared" si="2"/>
        <v>1</v>
      </c>
      <c r="R27" s="6" t="s">
        <v>240</v>
      </c>
    </row>
    <row r="28">
      <c r="A28" s="8">
        <f>'1.1'!A:A</f>
        <v>46262.55303</v>
      </c>
      <c r="B28" s="1" t="str">
        <f>'1.1'!B:B</f>
        <v>bnco1068@signalschool.ac.th</v>
      </c>
      <c r="C28" s="1" t="str">
        <f>'1.1'!C:C</f>
        <v>ร.ท.ศุภรัชฎ หมอกสุข</v>
      </c>
      <c r="D28" s="9">
        <v>1.0</v>
      </c>
      <c r="E28" s="10">
        <f>IFERROR(vlookup('1.1'!D:D,lookup!$A$2:$B$4,2,false),0)</f>
        <v>5</v>
      </c>
      <c r="F28" s="10">
        <f>IFERROR(vlookup('1.1'!E:E,lookup!$A$6:$B$8,2,false),0)</f>
        <v>5</v>
      </c>
      <c r="G28" s="10">
        <f>IFERROR(vlookup('1.1'!F:F,lookup!$A$10:$B$12,2,false),0)</f>
        <v>5</v>
      </c>
      <c r="H28" s="10">
        <f>IFERROR(vlookup('1.1'!G:G,lookup!$A$14:$B$16,2,false),0)</f>
        <v>5</v>
      </c>
      <c r="I28" s="10">
        <f>IFERROR(vlookup('1.1'!H:H,lookup!$A$18:$B$20,2,false),0)</f>
        <v>5</v>
      </c>
      <c r="J28" s="10">
        <f>IFERROR(vlookup('1.1'!I:I,lookup!$A$22:$B$24,2,false),0)</f>
        <v>5</v>
      </c>
      <c r="K28" s="10">
        <f>IFERROR(vlookup('1.1'!J:J,lookup!$A$26:$B$28,2,false),0)</f>
        <v>5</v>
      </c>
      <c r="L28" s="1"/>
      <c r="M28" s="10">
        <v>27.0</v>
      </c>
      <c r="N28" s="11" t="str">
        <f t="shared" si="1"/>
        <v>bnco1027@signalschool.ac.th</v>
      </c>
      <c r="O28" s="12">
        <f t="shared" si="2"/>
        <v>1</v>
      </c>
      <c r="R28" s="6" t="s">
        <v>241</v>
      </c>
    </row>
    <row r="29">
      <c r="A29" s="8">
        <f>'1.1'!A:A</f>
        <v>46262.55824</v>
      </c>
      <c r="B29" s="1" t="str">
        <f>'1.1'!B:B</f>
        <v>bnco1049@signalschool.ac.th</v>
      </c>
      <c r="C29" s="1" t="str">
        <f>'1.1'!C:C</f>
        <v>ร.ท.ศุภรัชฎ หมอกสุข</v>
      </c>
      <c r="D29" s="9">
        <v>1.0</v>
      </c>
      <c r="E29" s="10">
        <f>IFERROR(vlookup('1.1'!D:D,lookup!$A$2:$B$4,2,false),0)</f>
        <v>5</v>
      </c>
      <c r="F29" s="10">
        <f>IFERROR(vlookup('1.1'!E:E,lookup!$A$6:$B$8,2,false),0)</f>
        <v>5</v>
      </c>
      <c r="G29" s="10">
        <f>IFERROR(vlookup('1.1'!F:F,lookup!$A$10:$B$12,2,false),0)</f>
        <v>5</v>
      </c>
      <c r="H29" s="10">
        <f>IFERROR(vlookup('1.1'!G:G,lookup!$A$14:$B$16,2,false),0)</f>
        <v>5</v>
      </c>
      <c r="I29" s="10">
        <f>IFERROR(vlookup('1.1'!H:H,lookup!$A$18:$B$20,2,false),0)</f>
        <v>5</v>
      </c>
      <c r="J29" s="10">
        <f>IFERROR(vlookup('1.1'!I:I,lookup!$A$22:$B$24,2,false),0)</f>
        <v>5</v>
      </c>
      <c r="K29" s="10">
        <f>IFERROR(vlookup('1.1'!J:J,lookup!$A$26:$B$28,2,false),0)</f>
        <v>5</v>
      </c>
      <c r="L29" s="1"/>
      <c r="M29" s="10">
        <v>28.0</v>
      </c>
      <c r="N29" s="11" t="str">
        <f t="shared" si="1"/>
        <v>bnco1028@signalschool.ac.th</v>
      </c>
      <c r="O29" s="12">
        <f t="shared" si="2"/>
        <v>0</v>
      </c>
      <c r="R29" s="6" t="s">
        <v>242</v>
      </c>
    </row>
    <row r="30">
      <c r="A30" s="8">
        <f>'1.1'!A:A</f>
        <v>46262.55935</v>
      </c>
      <c r="B30" s="1" t="str">
        <f>'1.1'!B:B</f>
        <v>bnco1008@signalschool.ac.th</v>
      </c>
      <c r="C30" s="1" t="str">
        <f>'1.1'!C:C</f>
        <v>ร.ท.ศุภรัชฎ หมอกสุข</v>
      </c>
      <c r="D30" s="9">
        <v>1.0</v>
      </c>
      <c r="E30" s="10">
        <f>IFERROR(vlookup('1.1'!D:D,lookup!$A$2:$B$4,2,false),0)</f>
        <v>5</v>
      </c>
      <c r="F30" s="10">
        <f>IFERROR(vlookup('1.1'!E:E,lookup!$A$6:$B$8,2,false),0)</f>
        <v>5</v>
      </c>
      <c r="G30" s="10">
        <f>IFERROR(vlookup('1.1'!F:F,lookup!$A$10:$B$12,2,false),0)</f>
        <v>5</v>
      </c>
      <c r="H30" s="10">
        <f>IFERROR(vlookup('1.1'!G:G,lookup!$A$14:$B$16,2,false),0)</f>
        <v>5</v>
      </c>
      <c r="I30" s="10">
        <f>IFERROR(vlookup('1.1'!H:H,lookup!$A$18:$B$20,2,false),0)</f>
        <v>5</v>
      </c>
      <c r="J30" s="10">
        <f>IFERROR(vlookup('1.1'!I:I,lookup!$A$22:$B$24,2,false),0)</f>
        <v>5</v>
      </c>
      <c r="K30" s="10">
        <f>IFERROR(vlookup('1.1'!J:J,lookup!$A$26:$B$28,2,false),0)</f>
        <v>5</v>
      </c>
      <c r="L30" s="1"/>
      <c r="M30" s="10">
        <v>29.0</v>
      </c>
      <c r="N30" s="11" t="str">
        <f t="shared" si="1"/>
        <v>bnco1029@signalschool.ac.th</v>
      </c>
      <c r="O30" s="12">
        <f t="shared" si="2"/>
        <v>0</v>
      </c>
      <c r="R30" s="6" t="s">
        <v>243</v>
      </c>
    </row>
    <row r="31">
      <c r="A31" s="8">
        <f>'1.1'!A:A</f>
        <v>46262.56863</v>
      </c>
      <c r="B31" s="1" t="str">
        <f>'1.1'!B:B</f>
        <v>bnco1022@signalschool.ac.th</v>
      </c>
      <c r="C31" s="1" t="str">
        <f>'1.1'!C:C</f>
        <v>ร.ท.ศุภรัชฏ หมอกสุข</v>
      </c>
      <c r="D31" s="9">
        <v>1.0</v>
      </c>
      <c r="E31" s="10">
        <f>IFERROR(vlookup('1.1'!D:D,lookup!$A$2:$B$4,2,false),0)</f>
        <v>5</v>
      </c>
      <c r="F31" s="10">
        <f>IFERROR(vlookup('1.1'!E:E,lookup!$A$6:$B$8,2,false),0)</f>
        <v>5</v>
      </c>
      <c r="G31" s="10">
        <f>IFERROR(vlookup('1.1'!F:F,lookup!$A$10:$B$12,2,false),0)</f>
        <v>5</v>
      </c>
      <c r="H31" s="10">
        <f>IFERROR(vlookup('1.1'!G:G,lookup!$A$14:$B$16,2,false),0)</f>
        <v>5</v>
      </c>
      <c r="I31" s="10">
        <f>IFERROR(vlookup('1.1'!H:H,lookup!$A$18:$B$20,2,false),0)</f>
        <v>5</v>
      </c>
      <c r="J31" s="10">
        <f>IFERROR(vlookup('1.1'!I:I,lookup!$A$22:$B$24,2,false),0)</f>
        <v>5</v>
      </c>
      <c r="K31" s="10">
        <f>IFERROR(vlookup('1.1'!J:J,lookup!$A$26:$B$28,2,false),0)</f>
        <v>5</v>
      </c>
      <c r="L31" s="1"/>
      <c r="M31" s="10">
        <v>30.0</v>
      </c>
      <c r="N31" s="11" t="str">
        <f t="shared" si="1"/>
        <v>bnco1030@signalschool.ac.th</v>
      </c>
      <c r="O31" s="12">
        <f t="shared" si="2"/>
        <v>0</v>
      </c>
      <c r="R31" s="6" t="s">
        <v>244</v>
      </c>
    </row>
    <row r="32">
      <c r="A32" s="8">
        <f>'1.1'!A:A</f>
        <v>46262.57702</v>
      </c>
      <c r="B32" s="1" t="str">
        <f>'1.1'!B:B</f>
        <v>bnco1005@signalschool.ac.th</v>
      </c>
      <c r="C32" s="1" t="str">
        <f>'1.1'!C:C</f>
        <v>ร.ท.ศุภรัชฏ หมอกสุข</v>
      </c>
      <c r="D32" s="9">
        <v>1.0</v>
      </c>
      <c r="E32" s="10">
        <f>IFERROR(vlookup('1.1'!D:D,lookup!$A$2:$B$4,2,false),0)</f>
        <v>5</v>
      </c>
      <c r="F32" s="10">
        <f>IFERROR(vlookup('1.1'!E:E,lookup!$A$6:$B$8,2,false),0)</f>
        <v>5</v>
      </c>
      <c r="G32" s="10">
        <f>IFERROR(vlookup('1.1'!F:F,lookup!$A$10:$B$12,2,false),0)</f>
        <v>5</v>
      </c>
      <c r="H32" s="10">
        <f>IFERROR(vlookup('1.1'!G:G,lookup!$A$14:$B$16,2,false),0)</f>
        <v>5</v>
      </c>
      <c r="I32" s="10">
        <f>IFERROR(vlookup('1.1'!H:H,lookup!$A$18:$B$20,2,false),0)</f>
        <v>5</v>
      </c>
      <c r="J32" s="10">
        <f>IFERROR(vlookup('1.1'!I:I,lookup!$A$22:$B$24,2,false),0)</f>
        <v>5</v>
      </c>
      <c r="K32" s="10">
        <f>IFERROR(vlookup('1.1'!J:J,lookup!$A$26:$B$28,2,false),0)</f>
        <v>5</v>
      </c>
      <c r="L32" s="1"/>
      <c r="M32" s="10">
        <v>31.0</v>
      </c>
      <c r="N32" s="11" t="str">
        <f t="shared" si="1"/>
        <v>bnco1031@signalschool.ac.th</v>
      </c>
      <c r="O32" s="12">
        <f t="shared" si="2"/>
        <v>1</v>
      </c>
      <c r="R32" s="6" t="s">
        <v>245</v>
      </c>
    </row>
    <row r="33">
      <c r="A33" s="8">
        <f>'1.1'!A:A</f>
        <v>46262.57721</v>
      </c>
      <c r="B33" s="1" t="str">
        <f>'1.1'!B:B</f>
        <v>bnco1067@signalschool.ac.th</v>
      </c>
      <c r="C33" s="1" t="str">
        <f>'1.1'!C:C</f>
        <v>ร.ท.ศุภรัชฏ หมอกสุข</v>
      </c>
      <c r="D33" s="9">
        <v>1.0</v>
      </c>
      <c r="E33" s="10">
        <f>IFERROR(vlookup('1.1'!D:D,lookup!$A$2:$B$4,2,false),0)</f>
        <v>5</v>
      </c>
      <c r="F33" s="10">
        <f>IFERROR(vlookup('1.1'!E:E,lookup!$A$6:$B$8,2,false),0)</f>
        <v>5</v>
      </c>
      <c r="G33" s="10">
        <f>IFERROR(vlookup('1.1'!F:F,lookup!$A$10:$B$12,2,false),0)</f>
        <v>5</v>
      </c>
      <c r="H33" s="10">
        <f>IFERROR(vlookup('1.1'!G:G,lookup!$A$14:$B$16,2,false),0)</f>
        <v>5</v>
      </c>
      <c r="I33" s="10">
        <f>IFERROR(vlookup('1.1'!H:H,lookup!$A$18:$B$20,2,false),0)</f>
        <v>5</v>
      </c>
      <c r="J33" s="10">
        <f>IFERROR(vlookup('1.1'!I:I,lookup!$A$22:$B$24,2,false),0)</f>
        <v>5</v>
      </c>
      <c r="K33" s="10">
        <f>IFERROR(vlookup('1.1'!J:J,lookup!$A$26:$B$28,2,false),0)</f>
        <v>5</v>
      </c>
      <c r="L33" s="1"/>
      <c r="M33" s="10">
        <v>32.0</v>
      </c>
      <c r="N33" s="11" t="str">
        <f t="shared" si="1"/>
        <v>bnco1032@signalschool.ac.th</v>
      </c>
      <c r="O33" s="12">
        <f t="shared" si="2"/>
        <v>1</v>
      </c>
      <c r="R33" s="6" t="s">
        <v>246</v>
      </c>
    </row>
    <row r="34">
      <c r="A34" s="8">
        <f>'1.1'!A:A</f>
        <v>46262.58598</v>
      </c>
      <c r="B34" s="1" t="str">
        <f>'1.1'!B:B</f>
        <v>bnco1039@signalschool.ac.th</v>
      </c>
      <c r="C34" s="1" t="str">
        <f>'1.1'!C:C</f>
        <v>ร.ท.ศุภรัชฎ  หมอกสุข</v>
      </c>
      <c r="D34" s="9">
        <v>1.0</v>
      </c>
      <c r="E34" s="10">
        <f>IFERROR(vlookup('1.1'!D:D,lookup!$A$2:$B$4,2,false),0)</f>
        <v>5</v>
      </c>
      <c r="F34" s="10">
        <f>IFERROR(vlookup('1.1'!E:E,lookup!$A$6:$B$8,2,false),0)</f>
        <v>5</v>
      </c>
      <c r="G34" s="10">
        <f>IFERROR(vlookup('1.1'!F:F,lookup!$A$10:$B$12,2,false),0)</f>
        <v>3</v>
      </c>
      <c r="H34" s="10">
        <f>IFERROR(vlookup('1.1'!G:G,lookup!$A$14:$B$16,2,false),0)</f>
        <v>5</v>
      </c>
      <c r="I34" s="10">
        <f>IFERROR(vlookup('1.1'!H:H,lookup!$A$18:$B$20,2,false),0)</f>
        <v>5</v>
      </c>
      <c r="J34" s="10">
        <f>IFERROR(vlookup('1.1'!I:I,lookup!$A$22:$B$24,2,false),0)</f>
        <v>5</v>
      </c>
      <c r="K34" s="10">
        <f>IFERROR(vlookup('1.1'!J:J,lookup!$A$26:$B$28,2,false),0)</f>
        <v>5</v>
      </c>
      <c r="L34" s="1"/>
      <c r="M34" s="10">
        <v>33.0</v>
      </c>
      <c r="N34" s="11" t="str">
        <f t="shared" si="1"/>
        <v>bnco1033@signalschool.ac.th</v>
      </c>
      <c r="O34" s="12">
        <f t="shared" si="2"/>
        <v>0</v>
      </c>
      <c r="R34" s="6" t="s">
        <v>247</v>
      </c>
    </row>
    <row r="35">
      <c r="A35" s="8">
        <f>'1.1'!A:A</f>
        <v>46262.591</v>
      </c>
      <c r="B35" s="1" t="str">
        <f>'1.1'!B:B</f>
        <v>bnco1045@signalschool.ac.th</v>
      </c>
      <c r="C35" s="1" t="str">
        <f>'1.1'!C:C</f>
        <v>ร.ท.ศุภรัชฎ หมอกสุข</v>
      </c>
      <c r="D35" s="9">
        <v>1.0</v>
      </c>
      <c r="E35" s="10">
        <f>IFERROR(vlookup('1.1'!D:D,lookup!$A$2:$B$4,2,false),0)</f>
        <v>3</v>
      </c>
      <c r="F35" s="10">
        <f>IFERROR(vlookup('1.1'!E:E,lookup!$A$6:$B$8,2,false),0)</f>
        <v>5</v>
      </c>
      <c r="G35" s="10">
        <f>IFERROR(vlookup('1.1'!F:F,lookup!$A$10:$B$12,2,false),0)</f>
        <v>5</v>
      </c>
      <c r="H35" s="10">
        <f>IFERROR(vlookup('1.1'!G:G,lookup!$A$14:$B$16,2,false),0)</f>
        <v>5</v>
      </c>
      <c r="I35" s="10">
        <f>IFERROR(vlookup('1.1'!H:H,lookup!$A$18:$B$20,2,false),0)</f>
        <v>3</v>
      </c>
      <c r="J35" s="10">
        <f>IFERROR(vlookup('1.1'!I:I,lookup!$A$22:$B$24,2,false),0)</f>
        <v>5</v>
      </c>
      <c r="K35" s="10">
        <f>IFERROR(vlookup('1.1'!J:J,lookup!$A$26:$B$28,2,false),0)</f>
        <v>5</v>
      </c>
      <c r="L35" s="1"/>
      <c r="M35" s="10">
        <v>34.0</v>
      </c>
      <c r="N35" s="11" t="str">
        <f t="shared" si="1"/>
        <v>bnco1034@signalschool.ac.th</v>
      </c>
      <c r="O35" s="12">
        <f t="shared" si="2"/>
        <v>1</v>
      </c>
      <c r="R35" s="6" t="s">
        <v>248</v>
      </c>
    </row>
    <row r="36">
      <c r="A36" s="8">
        <f>'1.1'!A:A</f>
        <v>46262.61003</v>
      </c>
      <c r="B36" s="1" t="str">
        <f>'1.1'!B:B</f>
        <v>bnco1080@signalschool.ac.th</v>
      </c>
      <c r="C36" s="1" t="str">
        <f>'1.1'!C:C</f>
        <v> ร.ท.ศุภรัฐ  หมอกสุข</v>
      </c>
      <c r="D36" s="9">
        <v>1.0</v>
      </c>
      <c r="E36" s="10">
        <f>IFERROR(vlookup('1.1'!D:D,lookup!$A$2:$B$4,2,false),0)</f>
        <v>5</v>
      </c>
      <c r="F36" s="10">
        <f>IFERROR(vlookup('1.1'!E:E,lookup!$A$6:$B$8,2,false),0)</f>
        <v>5</v>
      </c>
      <c r="G36" s="10">
        <f>IFERROR(vlookup('1.1'!F:F,lookup!$A$10:$B$12,2,false),0)</f>
        <v>5</v>
      </c>
      <c r="H36" s="10">
        <f>IFERROR(vlookup('1.1'!G:G,lookup!$A$14:$B$16,2,false),0)</f>
        <v>5</v>
      </c>
      <c r="I36" s="10">
        <f>IFERROR(vlookup('1.1'!H:H,lookup!$A$18:$B$20,2,false),0)</f>
        <v>5</v>
      </c>
      <c r="J36" s="10">
        <f>IFERROR(vlookup('1.1'!I:I,lookup!$A$22:$B$24,2,false),0)</f>
        <v>5</v>
      </c>
      <c r="K36" s="10">
        <f>IFERROR(vlookup('1.1'!J:J,lookup!$A$26:$B$28,2,false),0)</f>
        <v>5</v>
      </c>
      <c r="L36" s="1"/>
      <c r="M36" s="10">
        <v>35.0</v>
      </c>
      <c r="N36" s="11" t="str">
        <f t="shared" si="1"/>
        <v>bnco1035@signalschool.ac.th</v>
      </c>
      <c r="O36" s="12">
        <f t="shared" si="2"/>
        <v>1</v>
      </c>
      <c r="R36" s="6" t="s">
        <v>249</v>
      </c>
    </row>
    <row r="37">
      <c r="A37" s="8">
        <f>'1.1'!A:A</f>
        <v>46262.62508</v>
      </c>
      <c r="B37" s="1" t="str">
        <f>'1.1'!B:B</f>
        <v>bnco1064@signalschool.ac.th</v>
      </c>
      <c r="C37" s="1" t="str">
        <f>'1.1'!C:C</f>
        <v>ร.ท.ศุภรัชฏ  หมอกสุข</v>
      </c>
      <c r="D37" s="9">
        <v>1.0</v>
      </c>
      <c r="E37" s="10">
        <f>IFERROR(vlookup('1.1'!D:D,lookup!$A$2:$B$4,2,false),0)</f>
        <v>5</v>
      </c>
      <c r="F37" s="10">
        <f>IFERROR(vlookup('1.1'!E:E,lookup!$A$6:$B$8,2,false),0)</f>
        <v>5</v>
      </c>
      <c r="G37" s="10">
        <f>IFERROR(vlookup('1.1'!F:F,lookup!$A$10:$B$12,2,false),0)</f>
        <v>5</v>
      </c>
      <c r="H37" s="10">
        <f>IFERROR(vlookup('1.1'!G:G,lookup!$A$14:$B$16,2,false),0)</f>
        <v>5</v>
      </c>
      <c r="I37" s="10">
        <f>IFERROR(vlookup('1.1'!H:H,lookup!$A$18:$B$20,2,false),0)</f>
        <v>5</v>
      </c>
      <c r="J37" s="10">
        <f>IFERROR(vlookup('1.1'!I:I,lookup!$A$22:$B$24,2,false),0)</f>
        <v>5</v>
      </c>
      <c r="K37" s="10">
        <f>IFERROR(vlookup('1.1'!J:J,lookup!$A$26:$B$28,2,false),0)</f>
        <v>5</v>
      </c>
      <c r="L37" s="1"/>
      <c r="M37" s="10">
        <v>36.0</v>
      </c>
      <c r="N37" s="11" t="str">
        <f t="shared" si="1"/>
        <v>bnco1036@signalschool.ac.th</v>
      </c>
      <c r="O37" s="12">
        <f t="shared" si="2"/>
        <v>1</v>
      </c>
      <c r="R37" s="6" t="s">
        <v>250</v>
      </c>
    </row>
    <row r="38">
      <c r="A38" s="8">
        <f>'1.1'!A:A</f>
        <v>46262.64164</v>
      </c>
      <c r="B38" s="1" t="str">
        <f>'1.1'!B:B</f>
        <v>bnco1021@signalschool.ac.th</v>
      </c>
      <c r="C38" s="1" t="str">
        <f>'1.1'!C:C</f>
        <v>ร.ท.ศุภรัชฎ หมอกสุข</v>
      </c>
      <c r="D38" s="9">
        <v>1.0</v>
      </c>
      <c r="E38" s="10">
        <f>IFERROR(vlookup('1.1'!D:D,lookup!$A$2:$B$4,2,false),0)</f>
        <v>5</v>
      </c>
      <c r="F38" s="10">
        <f>IFERROR(vlookup('1.1'!E:E,lookup!$A$6:$B$8,2,false),0)</f>
        <v>5</v>
      </c>
      <c r="G38" s="10">
        <f>IFERROR(vlookup('1.1'!F:F,lookup!$A$10:$B$12,2,false),0)</f>
        <v>5</v>
      </c>
      <c r="H38" s="10">
        <f>IFERROR(vlookup('1.1'!G:G,lookup!$A$14:$B$16,2,false),0)</f>
        <v>5</v>
      </c>
      <c r="I38" s="10">
        <f>IFERROR(vlookup('1.1'!H:H,lookup!$A$18:$B$20,2,false),0)</f>
        <v>5</v>
      </c>
      <c r="J38" s="10">
        <f>IFERROR(vlookup('1.1'!I:I,lookup!$A$22:$B$24,2,false),0)</f>
        <v>5</v>
      </c>
      <c r="K38" s="10">
        <f>IFERROR(vlookup('1.1'!J:J,lookup!$A$26:$B$28,2,false),0)</f>
        <v>5</v>
      </c>
      <c r="L38" s="1"/>
      <c r="M38" s="10">
        <v>37.0</v>
      </c>
      <c r="N38" s="11" t="str">
        <f t="shared" si="1"/>
        <v>bnco1037@signalschool.ac.th</v>
      </c>
      <c r="O38" s="12">
        <f t="shared" si="2"/>
        <v>0</v>
      </c>
      <c r="R38" s="6" t="s">
        <v>251</v>
      </c>
    </row>
    <row r="39">
      <c r="A39" s="8">
        <f>'1.1'!A:A</f>
        <v>46262.64337</v>
      </c>
      <c r="B39" s="1" t="str">
        <f>'1.1'!B:B</f>
        <v>bnco1027@signalschool.ac.th</v>
      </c>
      <c r="C39" s="1" t="str">
        <f>'1.1'!C:C</f>
        <v>ร.ท.ศุภรัชฏ หมอกสุข</v>
      </c>
      <c r="D39" s="9">
        <v>1.0</v>
      </c>
      <c r="E39" s="10">
        <f>IFERROR(vlookup('1.1'!D:D,lookup!$A$2:$B$4,2,false),0)</f>
        <v>5</v>
      </c>
      <c r="F39" s="10">
        <f>IFERROR(vlookup('1.1'!E:E,lookup!$A$6:$B$8,2,false),0)</f>
        <v>5</v>
      </c>
      <c r="G39" s="10">
        <f>IFERROR(vlookup('1.1'!F:F,lookup!$A$10:$B$12,2,false),0)</f>
        <v>5</v>
      </c>
      <c r="H39" s="10">
        <f>IFERROR(vlookup('1.1'!G:G,lookup!$A$14:$B$16,2,false),0)</f>
        <v>5</v>
      </c>
      <c r="I39" s="10">
        <f>IFERROR(vlookup('1.1'!H:H,lookup!$A$18:$B$20,2,false),0)</f>
        <v>5</v>
      </c>
      <c r="J39" s="10">
        <f>IFERROR(vlookup('1.1'!I:I,lookup!$A$22:$B$24,2,false),0)</f>
        <v>5</v>
      </c>
      <c r="K39" s="10">
        <f>IFERROR(vlookup('1.1'!J:J,lookup!$A$26:$B$28,2,false),0)</f>
        <v>5</v>
      </c>
      <c r="L39" s="1"/>
      <c r="M39" s="10">
        <v>38.0</v>
      </c>
      <c r="N39" s="11" t="str">
        <f t="shared" si="1"/>
        <v>bnco1038@signalschool.ac.th</v>
      </c>
      <c r="O39" s="12">
        <f t="shared" si="2"/>
        <v>1</v>
      </c>
      <c r="R39" s="6" t="s">
        <v>252</v>
      </c>
    </row>
    <row r="40">
      <c r="A40" s="8">
        <f>'1.1'!A:A</f>
        <v>46262.73652</v>
      </c>
      <c r="B40" s="1" t="str">
        <f>'1.1'!B:B</f>
        <v>bnco1072@signalschool.ac.th</v>
      </c>
      <c r="C40" s="1" t="str">
        <f>'1.1'!C:C</f>
        <v>ร.ท.ศุภรัชฎ  หมอกสุข</v>
      </c>
      <c r="D40" s="9">
        <v>1.0</v>
      </c>
      <c r="E40" s="10">
        <f>IFERROR(vlookup('1.1'!D:D,lookup!$A$2:$B$4,2,false),0)</f>
        <v>5</v>
      </c>
      <c r="F40" s="10">
        <f>IFERROR(vlookup('1.1'!E:E,lookup!$A$6:$B$8,2,false),0)</f>
        <v>5</v>
      </c>
      <c r="G40" s="10">
        <f>IFERROR(vlookup('1.1'!F:F,lookup!$A$10:$B$12,2,false),0)</f>
        <v>5</v>
      </c>
      <c r="H40" s="10">
        <f>IFERROR(vlookup('1.1'!G:G,lookup!$A$14:$B$16,2,false),0)</f>
        <v>5</v>
      </c>
      <c r="I40" s="10">
        <f>IFERROR(vlookup('1.1'!H:H,lookup!$A$18:$B$20,2,false),0)</f>
        <v>5</v>
      </c>
      <c r="J40" s="10">
        <f>IFERROR(vlookup('1.1'!I:I,lookup!$A$22:$B$24,2,false),0)</f>
        <v>5</v>
      </c>
      <c r="K40" s="10">
        <f>IFERROR(vlookup('1.1'!J:J,lookup!$A$26:$B$28,2,false),0)</f>
        <v>5</v>
      </c>
      <c r="L40" s="1"/>
      <c r="M40" s="10">
        <v>39.0</v>
      </c>
      <c r="N40" s="11" t="str">
        <f t="shared" si="1"/>
        <v>bnco1039@signalschool.ac.th</v>
      </c>
      <c r="O40" s="12">
        <f t="shared" si="2"/>
        <v>1</v>
      </c>
      <c r="R40" s="6" t="s">
        <v>253</v>
      </c>
    </row>
    <row r="41">
      <c r="A41" s="8">
        <f>'1.1'!A:A</f>
        <v>46262.79318</v>
      </c>
      <c r="B41" s="1" t="str">
        <f>'1.1'!B:B</f>
        <v>bnco1014@signalschool.ac.th</v>
      </c>
      <c r="C41" s="1" t="str">
        <f>'1.1'!C:C</f>
        <v>ร.ท.ศุภรัชฏ หมอกสุข</v>
      </c>
      <c r="D41" s="9">
        <v>1.0</v>
      </c>
      <c r="E41" s="10">
        <f>IFERROR(vlookup('1.1'!D:D,lookup!$A$2:$B$4,2,false),0)</f>
        <v>5</v>
      </c>
      <c r="F41" s="10">
        <f>IFERROR(vlookup('1.1'!E:E,lookup!$A$6:$B$8,2,false),0)</f>
        <v>5</v>
      </c>
      <c r="G41" s="10">
        <f>IFERROR(vlookup('1.1'!F:F,lookup!$A$10:$B$12,2,false),0)</f>
        <v>5</v>
      </c>
      <c r="H41" s="10">
        <f>IFERROR(vlookup('1.1'!G:G,lookup!$A$14:$B$16,2,false),0)</f>
        <v>5</v>
      </c>
      <c r="I41" s="10">
        <f>IFERROR(vlookup('1.1'!H:H,lookup!$A$18:$B$20,2,false),0)</f>
        <v>5</v>
      </c>
      <c r="J41" s="10">
        <f>IFERROR(vlookup('1.1'!I:I,lookup!$A$22:$B$24,2,false),0)</f>
        <v>5</v>
      </c>
      <c r="K41" s="10">
        <f>IFERROR(vlookup('1.1'!J:J,lookup!$A$26:$B$28,2,false),0)</f>
        <v>5</v>
      </c>
      <c r="L41" s="1"/>
      <c r="M41" s="10">
        <v>40.0</v>
      </c>
      <c r="N41" s="11" t="str">
        <f t="shared" si="1"/>
        <v>bnco1040@signalschool.ac.th</v>
      </c>
      <c r="O41" s="12">
        <f t="shared" si="2"/>
        <v>1</v>
      </c>
      <c r="R41" s="6" t="s">
        <v>254</v>
      </c>
    </row>
    <row r="42">
      <c r="A42" s="8">
        <f>'1.1'!A:A</f>
        <v>46262.86943</v>
      </c>
      <c r="B42" s="1" t="str">
        <f>'1.1'!B:B</f>
        <v>bnco1076@signalschool.ac.th</v>
      </c>
      <c r="C42" s="1" t="str">
        <f>'1.1'!C:C</f>
        <v>ร.ท. ศุภรัชฎ หมอกสุข</v>
      </c>
      <c r="D42" s="9">
        <v>1.0</v>
      </c>
      <c r="E42" s="10">
        <f>IFERROR(vlookup('1.1'!D:D,lookup!$A$2:$B$4,2,false),0)</f>
        <v>5</v>
      </c>
      <c r="F42" s="10">
        <f>IFERROR(vlookup('1.1'!E:E,lookup!$A$6:$B$8,2,false),0)</f>
        <v>5</v>
      </c>
      <c r="G42" s="10">
        <f>IFERROR(vlookup('1.1'!F:F,lookup!$A$10:$B$12,2,false),0)</f>
        <v>5</v>
      </c>
      <c r="H42" s="10">
        <f>IFERROR(vlookup('1.1'!G:G,lookup!$A$14:$B$16,2,false),0)</f>
        <v>5</v>
      </c>
      <c r="I42" s="10">
        <f>IFERROR(vlookup('1.1'!H:H,lookup!$A$18:$B$20,2,false),0)</f>
        <v>5</v>
      </c>
      <c r="J42" s="10">
        <f>IFERROR(vlookup('1.1'!I:I,lookup!$A$22:$B$24,2,false),0)</f>
        <v>5</v>
      </c>
      <c r="K42" s="10">
        <f>IFERROR(vlookup('1.1'!J:J,lookup!$A$26:$B$28,2,false),0)</f>
        <v>5</v>
      </c>
      <c r="L42" s="1"/>
      <c r="M42" s="10">
        <v>41.0</v>
      </c>
      <c r="N42" s="11" t="str">
        <f t="shared" si="1"/>
        <v>bnco1041@signalschool.ac.th</v>
      </c>
      <c r="O42" s="12">
        <f t="shared" si="2"/>
        <v>1</v>
      </c>
      <c r="R42" s="6" t="s">
        <v>255</v>
      </c>
    </row>
    <row r="43">
      <c r="A43" s="8">
        <f>'1.1'!A:A</f>
        <v>46262.95414</v>
      </c>
      <c r="B43" s="1" t="str">
        <f>'1.1'!B:B</f>
        <v>bnco1071@signalschool.ac.th</v>
      </c>
      <c r="C43" s="1" t="str">
        <f>'1.1'!C:C</f>
        <v>ร.ท.ศุภรัชฏ หมอกสุข</v>
      </c>
      <c r="D43" s="9">
        <v>1.0</v>
      </c>
      <c r="E43" s="10">
        <f>IFERROR(vlookup('1.1'!D:D,lookup!$A$2:$B$4,2,false),0)</f>
        <v>5</v>
      </c>
      <c r="F43" s="10">
        <f>IFERROR(vlookup('1.1'!E:E,lookup!$A$6:$B$8,2,false),0)</f>
        <v>5</v>
      </c>
      <c r="G43" s="10">
        <f>IFERROR(vlookup('1.1'!F:F,lookup!$A$10:$B$12,2,false),0)</f>
        <v>5</v>
      </c>
      <c r="H43" s="10">
        <f>IFERROR(vlookup('1.1'!G:G,lookup!$A$14:$B$16,2,false),0)</f>
        <v>5</v>
      </c>
      <c r="I43" s="10">
        <f>IFERROR(vlookup('1.1'!H:H,lookup!$A$18:$B$20,2,false),0)</f>
        <v>5</v>
      </c>
      <c r="J43" s="10">
        <f>IFERROR(vlookup('1.1'!I:I,lookup!$A$22:$B$24,2,false),0)</f>
        <v>5</v>
      </c>
      <c r="K43" s="10">
        <f>IFERROR(vlookup('1.1'!J:J,lookup!$A$26:$B$28,2,false),0)</f>
        <v>5</v>
      </c>
      <c r="L43" s="1"/>
      <c r="M43" s="10">
        <v>42.0</v>
      </c>
      <c r="N43" s="11" t="str">
        <f t="shared" si="1"/>
        <v>bnco1042@signalschool.ac.th</v>
      </c>
      <c r="O43" s="12">
        <f t="shared" si="2"/>
        <v>1</v>
      </c>
      <c r="R43" s="6" t="s">
        <v>256</v>
      </c>
    </row>
    <row r="44">
      <c r="A44" s="8">
        <f>'1.1'!A:A</f>
        <v>46262.9585</v>
      </c>
      <c r="B44" s="1" t="str">
        <f>'1.1'!B:B</f>
        <v>bnco1061@signalschool.ac.th</v>
      </c>
      <c r="C44" s="1" t="str">
        <f>'1.1'!C:C</f>
        <v>ร.ท.ศุกรัชฏ หมอกสุข</v>
      </c>
      <c r="D44" s="9">
        <v>1.0</v>
      </c>
      <c r="E44" s="10">
        <f>IFERROR(vlookup('1.1'!D:D,lookup!$A$2:$B$4,2,false),0)</f>
        <v>5</v>
      </c>
      <c r="F44" s="10">
        <f>IFERROR(vlookup('1.1'!E:E,lookup!$A$6:$B$8,2,false),0)</f>
        <v>5</v>
      </c>
      <c r="G44" s="10">
        <f>IFERROR(vlookup('1.1'!F:F,lookup!$A$10:$B$12,2,false),0)</f>
        <v>5</v>
      </c>
      <c r="H44" s="10">
        <f>IFERROR(vlookup('1.1'!G:G,lookup!$A$14:$B$16,2,false),0)</f>
        <v>5</v>
      </c>
      <c r="I44" s="10">
        <f>IFERROR(vlookup('1.1'!H:H,lookup!$A$18:$B$20,2,false),0)</f>
        <v>5</v>
      </c>
      <c r="J44" s="10">
        <f>IFERROR(vlookup('1.1'!I:I,lookup!$A$22:$B$24,2,false),0)</f>
        <v>5</v>
      </c>
      <c r="K44" s="10">
        <f>IFERROR(vlookup('1.1'!J:J,lookup!$A$26:$B$28,2,false),0)</f>
        <v>5</v>
      </c>
      <c r="L44" s="1"/>
      <c r="M44" s="10">
        <v>43.0</v>
      </c>
      <c r="N44" s="11" t="str">
        <f t="shared" si="1"/>
        <v>bnco1043@signalschool.ac.th</v>
      </c>
      <c r="O44" s="12">
        <f t="shared" si="2"/>
        <v>1</v>
      </c>
      <c r="R44" s="6" t="s">
        <v>257</v>
      </c>
    </row>
    <row r="45">
      <c r="A45" s="8">
        <f>'1.1'!A:A</f>
        <v>46263.60363</v>
      </c>
      <c r="B45" s="1" t="str">
        <f>'1.1'!B:B</f>
        <v>bnco1054@signalschool.ac.th</v>
      </c>
      <c r="C45" s="1" t="str">
        <f>'1.1'!C:C</f>
        <v>ร.ท.ศุภรัชฎ  หมอกสุข</v>
      </c>
      <c r="D45" s="9">
        <v>1.0</v>
      </c>
      <c r="E45" s="10">
        <f>IFERROR(vlookup('1.1'!D:D,lookup!$A$2:$B$4,2,false),0)</f>
        <v>5</v>
      </c>
      <c r="F45" s="10">
        <f>IFERROR(vlookup('1.1'!E:E,lookup!$A$6:$B$8,2,false),0)</f>
        <v>5</v>
      </c>
      <c r="G45" s="10">
        <f>IFERROR(vlookup('1.1'!F:F,lookup!$A$10:$B$12,2,false),0)</f>
        <v>5</v>
      </c>
      <c r="H45" s="10">
        <f>IFERROR(vlookup('1.1'!G:G,lookup!$A$14:$B$16,2,false),0)</f>
        <v>5</v>
      </c>
      <c r="I45" s="10">
        <f>IFERROR(vlookup('1.1'!H:H,lookup!$A$18:$B$20,2,false),0)</f>
        <v>5</v>
      </c>
      <c r="J45" s="10">
        <f>IFERROR(vlookup('1.1'!I:I,lookup!$A$22:$B$24,2,false),0)</f>
        <v>5</v>
      </c>
      <c r="K45" s="10">
        <f>IFERROR(vlookup('1.1'!J:J,lookup!$A$26:$B$28,2,false),0)</f>
        <v>5</v>
      </c>
      <c r="L45" s="1"/>
      <c r="M45" s="10">
        <v>44.0</v>
      </c>
      <c r="N45" s="11" t="str">
        <f t="shared" si="1"/>
        <v>bnco1044@signalschool.ac.th</v>
      </c>
      <c r="O45" s="12">
        <f t="shared" si="2"/>
        <v>1</v>
      </c>
      <c r="R45" s="6" t="s">
        <v>258</v>
      </c>
    </row>
    <row r="46">
      <c r="A46" s="8">
        <f>'1.1'!A:A</f>
        <v>46263.69696</v>
      </c>
      <c r="B46" s="1" t="str">
        <f>'1.1'!B:B</f>
        <v>bnco1023@signalschool.ac.th</v>
      </c>
      <c r="C46" s="1" t="str">
        <f>'1.1'!C:C</f>
        <v>ร.ท.ศุภรัชฏ หมอกสุข</v>
      </c>
      <c r="D46" s="9">
        <v>1.0</v>
      </c>
      <c r="E46" s="10">
        <f>IFERROR(vlookup('1.1'!D:D,lookup!$A$2:$B$4,2,false),0)</f>
        <v>5</v>
      </c>
      <c r="F46" s="10">
        <f>IFERROR(vlookup('1.1'!E:E,lookup!$A$6:$B$8,2,false),0)</f>
        <v>5</v>
      </c>
      <c r="G46" s="10">
        <f>IFERROR(vlookup('1.1'!F:F,lookup!$A$10:$B$12,2,false),0)</f>
        <v>5</v>
      </c>
      <c r="H46" s="10">
        <f>IFERROR(vlookup('1.1'!G:G,lookup!$A$14:$B$16,2,false),0)</f>
        <v>5</v>
      </c>
      <c r="I46" s="10">
        <f>IFERROR(vlookup('1.1'!H:H,lookup!$A$18:$B$20,2,false),0)</f>
        <v>5</v>
      </c>
      <c r="J46" s="10">
        <f>IFERROR(vlookup('1.1'!I:I,lookup!$A$22:$B$24,2,false),0)</f>
        <v>5</v>
      </c>
      <c r="K46" s="10">
        <f>IFERROR(vlookup('1.1'!J:J,lookup!$A$26:$B$28,2,false),0)</f>
        <v>5</v>
      </c>
      <c r="L46" s="1"/>
      <c r="M46" s="10">
        <v>45.0</v>
      </c>
      <c r="N46" s="11" t="str">
        <f t="shared" si="1"/>
        <v>bnco1045@signalschool.ac.th</v>
      </c>
      <c r="O46" s="12">
        <f t="shared" si="2"/>
        <v>1</v>
      </c>
      <c r="R46" s="6" t="s">
        <v>259</v>
      </c>
    </row>
    <row r="47">
      <c r="A47" s="8">
        <f>'1.1'!A:A</f>
        <v>46264.52661</v>
      </c>
      <c r="B47" s="1" t="str">
        <f>'1.1'!B:B</f>
        <v>bnco1015@signalschool.ac.th</v>
      </c>
      <c r="C47" s="1" t="str">
        <f>'1.1'!C:C</f>
        <v>ร.ท.ศุภรัชฎ  หมอกสุข</v>
      </c>
      <c r="D47" s="9">
        <v>1.0</v>
      </c>
      <c r="E47" s="10">
        <f>IFERROR(vlookup('1.1'!D:D,lookup!$A$2:$B$4,2,false),0)</f>
        <v>5</v>
      </c>
      <c r="F47" s="10">
        <f>IFERROR(vlookup('1.1'!E:E,lookup!$A$6:$B$8,2,false),0)</f>
        <v>5</v>
      </c>
      <c r="G47" s="10">
        <f>IFERROR(vlookup('1.1'!F:F,lookup!$A$10:$B$12,2,false),0)</f>
        <v>5</v>
      </c>
      <c r="H47" s="10">
        <f>IFERROR(vlookup('1.1'!G:G,lookup!$A$14:$B$16,2,false),0)</f>
        <v>5</v>
      </c>
      <c r="I47" s="10">
        <f>IFERROR(vlookup('1.1'!H:H,lookup!$A$18:$B$20,2,false),0)</f>
        <v>5</v>
      </c>
      <c r="J47" s="10">
        <f>IFERROR(vlookup('1.1'!I:I,lookup!$A$22:$B$24,2,false),0)</f>
        <v>5</v>
      </c>
      <c r="K47" s="10">
        <f>IFERROR(vlookup('1.1'!J:J,lookup!$A$26:$B$28,2,false),0)</f>
        <v>5</v>
      </c>
      <c r="L47" s="1"/>
      <c r="M47" s="10">
        <v>46.0</v>
      </c>
      <c r="N47" s="11" t="str">
        <f t="shared" si="1"/>
        <v>bnco1046@signalschool.ac.th</v>
      </c>
      <c r="O47" s="12">
        <f t="shared" si="2"/>
        <v>1</v>
      </c>
      <c r="R47" s="6" t="s">
        <v>260</v>
      </c>
    </row>
    <row r="48">
      <c r="A48" s="8">
        <f>'1.1'!A:A</f>
        <v>46264.63233</v>
      </c>
      <c r="B48" s="1" t="str">
        <f>'1.1'!B:B</f>
        <v>bnco1002@signalschool.ac.th</v>
      </c>
      <c r="C48" s="1" t="str">
        <f>'1.1'!C:C</f>
        <v>ร.ท. ศุภรัฎ ดวงเดือน </v>
      </c>
      <c r="D48" s="9">
        <v>1.0</v>
      </c>
      <c r="E48" s="10">
        <f>IFERROR(vlookup('1.1'!D:D,lookup!$A$2:$B$4,2,false),0)</f>
        <v>5</v>
      </c>
      <c r="F48" s="10">
        <f>IFERROR(vlookup('1.1'!E:E,lookup!$A$6:$B$8,2,false),0)</f>
        <v>5</v>
      </c>
      <c r="G48" s="10">
        <f>IFERROR(vlookup('1.1'!F:F,lookup!$A$10:$B$12,2,false),0)</f>
        <v>5</v>
      </c>
      <c r="H48" s="10">
        <f>IFERROR(vlookup('1.1'!G:G,lookup!$A$14:$B$16,2,false),0)</f>
        <v>5</v>
      </c>
      <c r="I48" s="10">
        <f>IFERROR(vlookup('1.1'!H:H,lookup!$A$18:$B$20,2,false),0)</f>
        <v>5</v>
      </c>
      <c r="J48" s="10">
        <f>IFERROR(vlookup('1.1'!I:I,lookup!$A$22:$B$24,2,false),0)</f>
        <v>5</v>
      </c>
      <c r="K48" s="10">
        <f>IFERROR(vlookup('1.1'!J:J,lookup!$A$26:$B$28,2,false),0)</f>
        <v>5</v>
      </c>
      <c r="L48" s="1"/>
      <c r="M48" s="10">
        <v>47.0</v>
      </c>
      <c r="N48" s="11" t="str">
        <f t="shared" si="1"/>
        <v>bnco1047@signalschool.ac.th</v>
      </c>
      <c r="O48" s="12">
        <f t="shared" si="2"/>
        <v>1</v>
      </c>
      <c r="R48" s="6" t="s">
        <v>261</v>
      </c>
    </row>
    <row r="49">
      <c r="A49" s="8">
        <f>'1.1'!A:A</f>
        <v>46264.87384</v>
      </c>
      <c r="B49" s="1" t="str">
        <f>'1.1'!B:B</f>
        <v>edu.rad@signalschool.ac.th</v>
      </c>
      <c r="C49" s="1" t="str">
        <f>'1.1'!C:C</f>
        <v>ครูอาจารย์ รร.ส.สส.</v>
      </c>
      <c r="D49" s="9">
        <v>1.0</v>
      </c>
      <c r="E49" s="10">
        <f>IFERROR(vlookup('1.1'!D:D,lookup!$A$2:$B$4,2,false),0)</f>
        <v>5</v>
      </c>
      <c r="F49" s="10">
        <f>IFERROR(vlookup('1.1'!E:E,lookup!$A$6:$B$8,2,false),0)</f>
        <v>5</v>
      </c>
      <c r="G49" s="10">
        <f>IFERROR(vlookup('1.1'!F:F,lookup!$A$10:$B$12,2,false),0)</f>
        <v>5</v>
      </c>
      <c r="H49" s="10">
        <f>IFERROR(vlookup('1.1'!G:G,lookup!$A$14:$B$16,2,false),0)</f>
        <v>5</v>
      </c>
      <c r="I49" s="10">
        <f>IFERROR(vlookup('1.1'!H:H,lookup!$A$18:$B$20,2,false),0)</f>
        <v>5</v>
      </c>
      <c r="J49" s="10">
        <f>IFERROR(vlookup('1.1'!I:I,lookup!$A$22:$B$24,2,false),0)</f>
        <v>5</v>
      </c>
      <c r="K49" s="10">
        <f>IFERROR(vlookup('1.1'!J:J,lookup!$A$26:$B$28,2,false),0)</f>
        <v>5</v>
      </c>
      <c r="L49" s="1"/>
      <c r="M49" s="10">
        <v>48.0</v>
      </c>
      <c r="N49" s="11" t="str">
        <f t="shared" si="1"/>
        <v>bnco1048@signalschool.ac.th</v>
      </c>
      <c r="O49" s="12">
        <f t="shared" si="2"/>
        <v>0</v>
      </c>
      <c r="R49" s="6" t="s">
        <v>262</v>
      </c>
    </row>
    <row r="50">
      <c r="A50" s="8">
        <f>'1.1'!A:A</f>
        <v>46265.32285</v>
      </c>
      <c r="B50" s="1" t="str">
        <f>'1.1'!B:B</f>
        <v>bnco1059@signalschool.ac.th</v>
      </c>
      <c r="C50" s="1" t="str">
        <f>'1.1'!C:C</f>
        <v>ร.ท.ศุภรัชฏ หมอกสุข</v>
      </c>
      <c r="D50" s="9">
        <v>1.0</v>
      </c>
      <c r="E50" s="10">
        <f>IFERROR(vlookup('1.1'!D:D,lookup!$A$2:$B$4,2,false),0)</f>
        <v>5</v>
      </c>
      <c r="F50" s="10">
        <f>IFERROR(vlookup('1.1'!E:E,lookup!$A$6:$B$8,2,false),0)</f>
        <v>5</v>
      </c>
      <c r="G50" s="10">
        <f>IFERROR(vlookup('1.1'!F:F,lookup!$A$10:$B$12,2,false),0)</f>
        <v>5</v>
      </c>
      <c r="H50" s="10">
        <f>IFERROR(vlookup('1.1'!G:G,lookup!$A$14:$B$16,2,false),0)</f>
        <v>5</v>
      </c>
      <c r="I50" s="10">
        <f>IFERROR(vlookup('1.1'!H:H,lookup!$A$18:$B$20,2,false),0)</f>
        <v>5</v>
      </c>
      <c r="J50" s="10">
        <f>IFERROR(vlookup('1.1'!I:I,lookup!$A$22:$B$24,2,false),0)</f>
        <v>5</v>
      </c>
      <c r="K50" s="10">
        <f>IFERROR(vlookup('1.1'!J:J,lookup!$A$26:$B$28,2,false),0)</f>
        <v>5</v>
      </c>
      <c r="L50" s="1"/>
      <c r="M50" s="10">
        <v>49.0</v>
      </c>
      <c r="N50" s="11" t="str">
        <f t="shared" si="1"/>
        <v>bnco1049@signalschool.ac.th</v>
      </c>
      <c r="O50" s="12">
        <f t="shared" si="2"/>
        <v>1</v>
      </c>
      <c r="R50" s="6" t="s">
        <v>263</v>
      </c>
    </row>
    <row r="51">
      <c r="A51" s="8">
        <f>'1.1'!A:A</f>
        <v>46265.67792</v>
      </c>
      <c r="B51" s="1" t="str">
        <f>'1.1'!B:B</f>
        <v>bnco1046@signalschool.ac.th</v>
      </c>
      <c r="C51" s="1" t="str">
        <f>'1.1'!C:C</f>
        <v>ร.ท.ศุภรัชฏ หมอกสุข</v>
      </c>
      <c r="D51" s="9">
        <v>1.0</v>
      </c>
      <c r="E51" s="10">
        <f>IFERROR(vlookup('1.1'!D:D,lookup!$A$2:$B$4,2,false),0)</f>
        <v>5</v>
      </c>
      <c r="F51" s="10">
        <f>IFERROR(vlookup('1.1'!E:E,lookup!$A$6:$B$8,2,false),0)</f>
        <v>5</v>
      </c>
      <c r="G51" s="10">
        <f>IFERROR(vlookup('1.1'!F:F,lookup!$A$10:$B$12,2,false),0)</f>
        <v>5</v>
      </c>
      <c r="H51" s="10">
        <f>IFERROR(vlookup('1.1'!G:G,lookup!$A$14:$B$16,2,false),0)</f>
        <v>5</v>
      </c>
      <c r="I51" s="10">
        <f>IFERROR(vlookup('1.1'!H:H,lookup!$A$18:$B$20,2,false),0)</f>
        <v>5</v>
      </c>
      <c r="J51" s="10">
        <f>IFERROR(vlookup('1.1'!I:I,lookup!$A$22:$B$24,2,false),0)</f>
        <v>5</v>
      </c>
      <c r="K51" s="10">
        <f>IFERROR(vlookup('1.1'!J:J,lookup!$A$26:$B$28,2,false),0)</f>
        <v>5</v>
      </c>
      <c r="L51" s="1"/>
      <c r="M51" s="10">
        <v>50.0</v>
      </c>
      <c r="N51" s="11" t="str">
        <f t="shared" si="1"/>
        <v>bnco1050@signalschool.ac.th</v>
      </c>
      <c r="O51" s="12">
        <f t="shared" si="2"/>
        <v>1</v>
      </c>
      <c r="R51" s="6" t="s">
        <v>264</v>
      </c>
    </row>
    <row r="52">
      <c r="A52" s="8">
        <f>'1.1'!A:A</f>
        <v>46265.68993</v>
      </c>
      <c r="B52" s="1" t="str">
        <f>'1.1'!B:B</f>
        <v>bnco1024@signalschool.ac.th</v>
      </c>
      <c r="C52" s="1" t="str">
        <f>'1.1'!C:C</f>
        <v>ร.ท.ศุภรัชฎ หมอกสุข</v>
      </c>
      <c r="D52" s="9">
        <v>1.0</v>
      </c>
      <c r="E52" s="10">
        <f>IFERROR(vlookup('1.1'!D:D,lookup!$A$2:$B$4,2,false),0)</f>
        <v>5</v>
      </c>
      <c r="F52" s="10">
        <f>IFERROR(vlookup('1.1'!E:E,lookup!$A$6:$B$8,2,false),0)</f>
        <v>5</v>
      </c>
      <c r="G52" s="10">
        <f>IFERROR(vlookup('1.1'!F:F,lookup!$A$10:$B$12,2,false),0)</f>
        <v>5</v>
      </c>
      <c r="H52" s="10">
        <f>IFERROR(vlookup('1.1'!G:G,lookup!$A$14:$B$16,2,false),0)</f>
        <v>5</v>
      </c>
      <c r="I52" s="10">
        <f>IFERROR(vlookup('1.1'!H:H,lookup!$A$18:$B$20,2,false),0)</f>
        <v>5</v>
      </c>
      <c r="J52" s="10">
        <f>IFERROR(vlookup('1.1'!I:I,lookup!$A$22:$B$24,2,false),0)</f>
        <v>5</v>
      </c>
      <c r="K52" s="10">
        <f>IFERROR(vlookup('1.1'!J:J,lookup!$A$26:$B$28,2,false),0)</f>
        <v>5</v>
      </c>
      <c r="L52" s="1"/>
      <c r="M52" s="10">
        <v>51.0</v>
      </c>
      <c r="N52" s="11" t="str">
        <f t="shared" si="1"/>
        <v>bnco1051@signalschool.ac.th</v>
      </c>
      <c r="O52" s="12">
        <f t="shared" si="2"/>
        <v>1</v>
      </c>
      <c r="R52" s="6" t="s">
        <v>265</v>
      </c>
    </row>
    <row r="53">
      <c r="A53" s="8">
        <f>'1.1'!A:A</f>
        <v>46265.702</v>
      </c>
      <c r="B53" s="1" t="str">
        <f>'1.1'!B:B</f>
        <v>bnco1073@signalschool.ac.th</v>
      </c>
      <c r="C53" s="1" t="str">
        <f>'1.1'!C:C</f>
        <v>ร.ท.ศุภรัชฎ  หมอกสุข</v>
      </c>
      <c r="D53" s="9">
        <v>1.0</v>
      </c>
      <c r="E53" s="10">
        <f>IFERROR(vlookup('1.1'!D:D,lookup!$A$2:$B$4,2,false),0)</f>
        <v>5</v>
      </c>
      <c r="F53" s="10">
        <f>IFERROR(vlookup('1.1'!E:E,lookup!$A$6:$B$8,2,false),0)</f>
        <v>5</v>
      </c>
      <c r="G53" s="10">
        <f>IFERROR(vlookup('1.1'!F:F,lookup!$A$10:$B$12,2,false),0)</f>
        <v>5</v>
      </c>
      <c r="H53" s="10">
        <f>IFERROR(vlookup('1.1'!G:G,lookup!$A$14:$B$16,2,false),0)</f>
        <v>5</v>
      </c>
      <c r="I53" s="10">
        <f>IFERROR(vlookup('1.1'!H:H,lookup!$A$18:$B$20,2,false),0)</f>
        <v>5</v>
      </c>
      <c r="J53" s="10">
        <f>IFERROR(vlookup('1.1'!I:I,lookup!$A$22:$B$24,2,false),0)</f>
        <v>5</v>
      </c>
      <c r="K53" s="10">
        <f>IFERROR(vlookup('1.1'!J:J,lookup!$A$26:$B$28,2,false),0)</f>
        <v>5</v>
      </c>
      <c r="L53" s="1"/>
      <c r="M53" s="10">
        <v>52.0</v>
      </c>
      <c r="N53" s="11" t="str">
        <f t="shared" si="1"/>
        <v>bnco1052@signalschool.ac.th</v>
      </c>
      <c r="O53" s="12">
        <f t="shared" si="2"/>
        <v>1</v>
      </c>
      <c r="R53" s="6" t="s">
        <v>266</v>
      </c>
    </row>
    <row r="54">
      <c r="A54" s="8">
        <f>'1.1'!A:A</f>
        <v>46265.70328</v>
      </c>
      <c r="B54" s="1" t="str">
        <f>'1.1'!B:B</f>
        <v>bnco1078@signalschool.ac.th</v>
      </c>
      <c r="C54" s="1" t="str">
        <f>'1.1'!C:C</f>
        <v>ร.ท.ศุภรัชฎ หมอกสุข</v>
      </c>
      <c r="D54" s="9">
        <v>1.0</v>
      </c>
      <c r="E54" s="10">
        <f>IFERROR(vlookup('1.1'!D:D,lookup!$A$2:$B$4,2,false),0)</f>
        <v>5</v>
      </c>
      <c r="F54" s="10">
        <f>IFERROR(vlookup('1.1'!E:E,lookup!$A$6:$B$8,2,false),0)</f>
        <v>5</v>
      </c>
      <c r="G54" s="10">
        <f>IFERROR(vlookup('1.1'!F:F,lookup!$A$10:$B$12,2,false),0)</f>
        <v>5</v>
      </c>
      <c r="H54" s="10">
        <f>IFERROR(vlookup('1.1'!G:G,lookup!$A$14:$B$16,2,false),0)</f>
        <v>5</v>
      </c>
      <c r="I54" s="10">
        <f>IFERROR(vlookup('1.1'!H:H,lookup!$A$18:$B$20,2,false),0)</f>
        <v>5</v>
      </c>
      <c r="J54" s="10">
        <f>IFERROR(vlookup('1.1'!I:I,lookup!$A$22:$B$24,2,false),0)</f>
        <v>5</v>
      </c>
      <c r="K54" s="10">
        <f>IFERROR(vlookup('1.1'!J:J,lookup!$A$26:$B$28,2,false),0)</f>
        <v>5</v>
      </c>
      <c r="L54" s="1"/>
      <c r="M54" s="10">
        <v>53.0</v>
      </c>
      <c r="N54" s="11" t="str">
        <f t="shared" si="1"/>
        <v>bnco1053@signalschool.ac.th</v>
      </c>
      <c r="O54" s="12">
        <f t="shared" si="2"/>
        <v>1</v>
      </c>
      <c r="R54" s="6" t="s">
        <v>267</v>
      </c>
    </row>
    <row r="55">
      <c r="A55" s="8">
        <f>'1.1'!A:A</f>
        <v>46265.73362</v>
      </c>
      <c r="B55" s="1" t="str">
        <f>'1.1'!B:B</f>
        <v>bnco1057@signalschool.ac.th</v>
      </c>
      <c r="C55" s="1" t="str">
        <f>'1.1'!C:C</f>
        <v>ร.ท.ศุภรัช   หมอกสุข</v>
      </c>
      <c r="D55" s="9">
        <v>1.0</v>
      </c>
      <c r="E55" s="10">
        <f>IFERROR(vlookup('1.1'!D:D,lookup!$A$2:$B$4,2,false),0)</f>
        <v>5</v>
      </c>
      <c r="F55" s="10">
        <f>IFERROR(vlookup('1.1'!E:E,lookup!$A$6:$B$8,2,false),0)</f>
        <v>5</v>
      </c>
      <c r="G55" s="10">
        <f>IFERROR(vlookup('1.1'!F:F,lookup!$A$10:$B$12,2,false),0)</f>
        <v>5</v>
      </c>
      <c r="H55" s="10">
        <f>IFERROR(vlookup('1.1'!G:G,lookup!$A$14:$B$16,2,false),0)</f>
        <v>5</v>
      </c>
      <c r="I55" s="10">
        <f>IFERROR(vlookup('1.1'!H:H,lookup!$A$18:$B$20,2,false),0)</f>
        <v>5</v>
      </c>
      <c r="J55" s="10">
        <f>IFERROR(vlookup('1.1'!I:I,lookup!$A$22:$B$24,2,false),0)</f>
        <v>5</v>
      </c>
      <c r="K55" s="10">
        <f>IFERROR(vlookup('1.1'!J:J,lookup!$A$26:$B$28,2,false),0)</f>
        <v>5</v>
      </c>
      <c r="L55" s="1"/>
      <c r="M55" s="10">
        <v>54.0</v>
      </c>
      <c r="N55" s="11" t="str">
        <f t="shared" si="1"/>
        <v>bnco1054@signalschool.ac.th</v>
      </c>
      <c r="O55" s="12">
        <f t="shared" si="2"/>
        <v>1</v>
      </c>
      <c r="R55" s="6" t="s">
        <v>268</v>
      </c>
    </row>
    <row r="56">
      <c r="A56" s="8">
        <f>'1.1'!A:A</f>
        <v>46266.54411</v>
      </c>
      <c r="B56" s="1" t="str">
        <f>'1.1'!B:B</f>
        <v>bnco1004@signalschool.ac.th</v>
      </c>
      <c r="C56" s="1" t="str">
        <f>'1.1'!C:C</f>
        <v>จ่าสิบเอก อนิชิท ธิบมนทรา</v>
      </c>
      <c r="D56" s="9">
        <v>1.0</v>
      </c>
      <c r="E56" s="10">
        <f>IFERROR(vlookup('1.1'!D:D,lookup!$A$2:$B$4,2,false),0)</f>
        <v>3</v>
      </c>
      <c r="F56" s="10">
        <f>IFERROR(vlookup('1.1'!E:E,lookup!$A$6:$B$8,2,false),0)</f>
        <v>3</v>
      </c>
      <c r="G56" s="10">
        <f>IFERROR(vlookup('1.1'!F:F,lookup!$A$10:$B$12,2,false),0)</f>
        <v>3</v>
      </c>
      <c r="H56" s="10">
        <f>IFERROR(vlookup('1.1'!G:G,lookup!$A$14:$B$16,2,false),0)</f>
        <v>3</v>
      </c>
      <c r="I56" s="10">
        <f>IFERROR(vlookup('1.1'!H:H,lookup!$A$18:$B$20,2,false),0)</f>
        <v>3</v>
      </c>
      <c r="J56" s="10">
        <f>IFERROR(vlookup('1.1'!I:I,lookup!$A$22:$B$24,2,false),0)</f>
        <v>3</v>
      </c>
      <c r="K56" s="10">
        <f>IFERROR(vlookup('1.1'!J:J,lookup!$A$26:$B$28,2,false),0)</f>
        <v>3</v>
      </c>
      <c r="L56" s="13"/>
      <c r="M56" s="10">
        <v>55.0</v>
      </c>
      <c r="N56" s="11" t="str">
        <f t="shared" si="1"/>
        <v>bnco1055@signalschool.ac.th</v>
      </c>
      <c r="O56" s="12">
        <f t="shared" si="2"/>
        <v>1</v>
      </c>
      <c r="R56" s="6" t="s">
        <v>269</v>
      </c>
    </row>
    <row r="57">
      <c r="A57" s="8">
        <f>'1.1'!A:A</f>
        <v>46266.67668</v>
      </c>
      <c r="B57" s="1" t="str">
        <f>'1.1'!B:B</f>
        <v>bnco1053@signalschool.ac.th</v>
      </c>
      <c r="C57" s="1" t="str">
        <f>'1.1'!C:C</f>
        <v>ร.ท.ศุภรัช  หมอกสุข</v>
      </c>
      <c r="D57" s="9">
        <v>1.0</v>
      </c>
      <c r="E57" s="10">
        <f>IFERROR(vlookup('1.1'!D:D,lookup!$A$2:$B$4,2,false),0)</f>
        <v>5</v>
      </c>
      <c r="F57" s="10">
        <f>IFERROR(vlookup('1.1'!E:E,lookup!$A$6:$B$8,2,false),0)</f>
        <v>5</v>
      </c>
      <c r="G57" s="10">
        <f>IFERROR(vlookup('1.1'!F:F,lookup!$A$10:$B$12,2,false),0)</f>
        <v>5</v>
      </c>
      <c r="H57" s="10">
        <f>IFERROR(vlookup('1.1'!G:G,lookup!$A$14:$B$16,2,false),0)</f>
        <v>5</v>
      </c>
      <c r="I57" s="10">
        <f>IFERROR(vlookup('1.1'!H:H,lookup!$A$18:$B$20,2,false),0)</f>
        <v>5</v>
      </c>
      <c r="J57" s="10">
        <f>IFERROR(vlookup('1.1'!I:I,lookup!$A$22:$B$24,2,false),0)</f>
        <v>5</v>
      </c>
      <c r="K57" s="10">
        <f>IFERROR(vlookup('1.1'!J:J,lookup!$A$26:$B$28,2,false),0)</f>
        <v>5</v>
      </c>
      <c r="L57" s="13"/>
      <c r="M57" s="10">
        <v>56.0</v>
      </c>
      <c r="N57" s="11" t="str">
        <f t="shared" si="1"/>
        <v>bnco1056@signalschool.ac.th</v>
      </c>
      <c r="O57" s="12">
        <f t="shared" si="2"/>
        <v>1</v>
      </c>
      <c r="R57" s="6" t="s">
        <v>270</v>
      </c>
    </row>
    <row r="58">
      <c r="A58" s="8">
        <f>'1.1'!A:A</f>
        <v>46266.68307</v>
      </c>
      <c r="B58" s="1" t="str">
        <f>'1.1'!B:B</f>
        <v>bnco1047@signalschool.ac.th</v>
      </c>
      <c r="C58" s="1" t="str">
        <f>'1.1'!C:C</f>
        <v>ร.ท.ศุภรัชฎ หมอกสุข</v>
      </c>
      <c r="D58" s="9">
        <v>1.0</v>
      </c>
      <c r="E58" s="10">
        <f>IFERROR(vlookup('1.1'!D:D,lookup!$A$2:$B$4,2,false),0)</f>
        <v>5</v>
      </c>
      <c r="F58" s="10">
        <f>IFERROR(vlookup('1.1'!E:E,lookup!$A$6:$B$8,2,false),0)</f>
        <v>5</v>
      </c>
      <c r="G58" s="10">
        <f>IFERROR(vlookup('1.1'!F:F,lookup!$A$10:$B$12,2,false),0)</f>
        <v>5</v>
      </c>
      <c r="H58" s="10">
        <f>IFERROR(vlookup('1.1'!G:G,lookup!$A$14:$B$16,2,false),0)</f>
        <v>5</v>
      </c>
      <c r="I58" s="10">
        <f>IFERROR(vlookup('1.1'!H:H,lookup!$A$18:$B$20,2,false),0)</f>
        <v>5</v>
      </c>
      <c r="J58" s="10">
        <f>IFERROR(vlookup('1.1'!I:I,lookup!$A$22:$B$24,2,false),0)</f>
        <v>5</v>
      </c>
      <c r="K58" s="10">
        <f>IFERROR(vlookup('1.1'!J:J,lookup!$A$26:$B$28,2,false),0)</f>
        <v>5</v>
      </c>
      <c r="L58" s="13"/>
      <c r="M58" s="10">
        <v>57.0</v>
      </c>
      <c r="N58" s="11" t="str">
        <f t="shared" si="1"/>
        <v>bnco1057@signalschool.ac.th</v>
      </c>
      <c r="O58" s="12">
        <f t="shared" si="2"/>
        <v>1</v>
      </c>
      <c r="R58" s="6" t="s">
        <v>271</v>
      </c>
    </row>
    <row r="59">
      <c r="A59" s="8">
        <f>'1.1'!A:A</f>
        <v>46266.69177</v>
      </c>
      <c r="B59" s="1" t="str">
        <f>'1.1'!B:B</f>
        <v>bnco1055@signalschool.ac.th</v>
      </c>
      <c r="C59" s="1" t="str">
        <f>'1.1'!C:C</f>
        <v>ร.ท.ศุภรัชฎ หมอกสุข</v>
      </c>
      <c r="D59" s="9">
        <v>1.0</v>
      </c>
      <c r="E59" s="10">
        <f>IFERROR(vlookup('1.1'!D:D,lookup!$A$2:$B$4,2,false),0)</f>
        <v>5</v>
      </c>
      <c r="F59" s="10">
        <f>IFERROR(vlookup('1.1'!E:E,lookup!$A$6:$B$8,2,false),0)</f>
        <v>5</v>
      </c>
      <c r="G59" s="10">
        <f>IFERROR(vlookup('1.1'!F:F,lookup!$A$10:$B$12,2,false),0)</f>
        <v>5</v>
      </c>
      <c r="H59" s="10">
        <f>IFERROR(vlookup('1.1'!G:G,lookup!$A$14:$B$16,2,false),0)</f>
        <v>5</v>
      </c>
      <c r="I59" s="10">
        <f>IFERROR(vlookup('1.1'!H:H,lookup!$A$18:$B$20,2,false),0)</f>
        <v>5</v>
      </c>
      <c r="J59" s="10">
        <f>IFERROR(vlookup('1.1'!I:I,lookup!$A$22:$B$24,2,false),0)</f>
        <v>5</v>
      </c>
      <c r="K59" s="10">
        <f>IFERROR(vlookup('1.1'!J:J,lookup!$A$26:$B$28,2,false),0)</f>
        <v>5</v>
      </c>
      <c r="L59" s="14"/>
      <c r="M59" s="10">
        <v>58.0</v>
      </c>
      <c r="N59" s="11" t="str">
        <f t="shared" si="1"/>
        <v>bnco1058@signalschool.ac.th</v>
      </c>
      <c r="O59" s="12">
        <f t="shared" si="2"/>
        <v>1</v>
      </c>
      <c r="R59" s="6" t="s">
        <v>272</v>
      </c>
    </row>
    <row r="60">
      <c r="A60" s="8">
        <f>'1.1'!A:A</f>
        <v>46266.80168</v>
      </c>
      <c r="B60" s="1" t="str">
        <f>'1.1'!B:B</f>
        <v>bnco1017@signalschool.ac.th</v>
      </c>
      <c r="C60" s="1" t="str">
        <f>'1.1'!C:C</f>
        <v>ส.อ.ไชยพร รักษากุล</v>
      </c>
      <c r="D60" s="9">
        <v>1.0</v>
      </c>
      <c r="E60" s="10">
        <f>IFERROR(vlookup('1.1'!D:D,lookup!$A$2:$B$4,2,false),0)</f>
        <v>5</v>
      </c>
      <c r="F60" s="10">
        <f>IFERROR(vlookup('1.1'!E:E,lookup!$A$6:$B$8,2,false),0)</f>
        <v>5</v>
      </c>
      <c r="G60" s="10">
        <f>IFERROR(vlookup('1.1'!F:F,lookup!$A$10:$B$12,2,false),0)</f>
        <v>5</v>
      </c>
      <c r="H60" s="10">
        <f>IFERROR(vlookup('1.1'!G:G,lookup!$A$14:$B$16,2,false),0)</f>
        <v>5</v>
      </c>
      <c r="I60" s="10">
        <f>IFERROR(vlookup('1.1'!H:H,lookup!$A$18:$B$20,2,false),0)</f>
        <v>5</v>
      </c>
      <c r="J60" s="10">
        <f>IFERROR(vlookup('1.1'!I:I,lookup!$A$22:$B$24,2,false),0)</f>
        <v>5</v>
      </c>
      <c r="K60" s="10">
        <f>IFERROR(vlookup('1.1'!J:J,lookup!$A$26:$B$28,2,false),0)</f>
        <v>5</v>
      </c>
      <c r="L60" s="10"/>
      <c r="M60" s="10">
        <v>59.0</v>
      </c>
      <c r="N60" s="11" t="str">
        <f t="shared" si="1"/>
        <v>bnco1059@signalschool.ac.th</v>
      </c>
      <c r="O60" s="12">
        <f t="shared" si="2"/>
        <v>1</v>
      </c>
      <c r="R60" s="6" t="s">
        <v>273</v>
      </c>
    </row>
    <row r="61">
      <c r="A61" s="8">
        <f>'1.1'!A:A</f>
        <v>46267.3057</v>
      </c>
      <c r="B61" s="1" t="str">
        <f>'1.1'!B:B</f>
        <v>bnco1019@signalschool.ac.th</v>
      </c>
      <c r="C61" s="1" t="str">
        <f>'1.1'!C:C</f>
        <v>ส.อ.อดิศร  ภู่ระหงษ์</v>
      </c>
      <c r="D61" s="9">
        <v>1.0</v>
      </c>
      <c r="E61" s="10">
        <f>IFERROR(vlookup('1.1'!D:D,lookup!$A$2:$B$4,2,false),0)</f>
        <v>5</v>
      </c>
      <c r="F61" s="10">
        <f>IFERROR(vlookup('1.1'!E:E,lookup!$A$6:$B$8,2,false),0)</f>
        <v>5</v>
      </c>
      <c r="G61" s="10">
        <f>IFERROR(vlookup('1.1'!F:F,lookup!$A$10:$B$12,2,false),0)</f>
        <v>5</v>
      </c>
      <c r="H61" s="10">
        <f>IFERROR(vlookup('1.1'!G:G,lookup!$A$14:$B$16,2,false),0)</f>
        <v>5</v>
      </c>
      <c r="I61" s="10">
        <f>IFERROR(vlookup('1.1'!H:H,lookup!$A$18:$B$20,2,false),0)</f>
        <v>5</v>
      </c>
      <c r="J61" s="10">
        <f>IFERROR(vlookup('1.1'!I:I,lookup!$A$22:$B$24,2,false),0)</f>
        <v>5</v>
      </c>
      <c r="K61" s="10">
        <f>IFERROR(vlookup('1.1'!J:J,lookup!$A$26:$B$28,2,false),0)</f>
        <v>5</v>
      </c>
      <c r="M61" s="10">
        <v>60.0</v>
      </c>
      <c r="N61" s="11" t="str">
        <f t="shared" si="1"/>
        <v>bnco1060@signalschool.ac.th</v>
      </c>
      <c r="O61" s="12">
        <f t="shared" si="2"/>
        <v>1</v>
      </c>
      <c r="R61" s="6" t="s">
        <v>274</v>
      </c>
    </row>
    <row r="62">
      <c r="A62" s="8">
        <f>'1.1'!A:A</f>
        <v>46267.30591</v>
      </c>
      <c r="B62" s="1" t="str">
        <f>'1.1'!B:B</f>
        <v>bnco1016@signalschool.ac.th</v>
      </c>
      <c r="C62" s="1" t="str">
        <f>'1.1'!C:C</f>
        <v>ร.ท.ศุภรัชฏ หมอกสุข</v>
      </c>
      <c r="D62" s="9">
        <v>1.0</v>
      </c>
      <c r="E62" s="10">
        <f>IFERROR(vlookup('1.1'!D:D,lookup!$A$2:$B$4,2,false),0)</f>
        <v>5</v>
      </c>
      <c r="F62" s="10">
        <f>IFERROR(vlookup('1.1'!E:E,lookup!$A$6:$B$8,2,false),0)</f>
        <v>5</v>
      </c>
      <c r="G62" s="10">
        <f>IFERROR(vlookup('1.1'!F:F,lookup!$A$10:$B$12,2,false),0)</f>
        <v>5</v>
      </c>
      <c r="H62" s="10">
        <f>IFERROR(vlookup('1.1'!G:G,lookup!$A$14:$B$16,2,false),0)</f>
        <v>5</v>
      </c>
      <c r="I62" s="10">
        <f>IFERROR(vlookup('1.1'!H:H,lookup!$A$18:$B$20,2,false),0)</f>
        <v>5</v>
      </c>
      <c r="J62" s="10">
        <f>IFERROR(vlookup('1.1'!I:I,lookup!$A$22:$B$24,2,false),0)</f>
        <v>5</v>
      </c>
      <c r="K62" s="10">
        <f>IFERROR(vlookup('1.1'!J:J,lookup!$A$26:$B$28,2,false),0)</f>
        <v>5</v>
      </c>
      <c r="M62" s="10">
        <v>61.0</v>
      </c>
      <c r="N62" s="11" t="str">
        <f t="shared" si="1"/>
        <v>bnco1061@signalschool.ac.th</v>
      </c>
      <c r="O62" s="12">
        <f t="shared" si="2"/>
        <v>1</v>
      </c>
      <c r="R62" s="6" t="s">
        <v>275</v>
      </c>
    </row>
    <row r="63">
      <c r="A63" s="8">
        <f>'1.1'!A:A</f>
        <v>46267.32562</v>
      </c>
      <c r="B63" s="1" t="str">
        <f>'1.1'!B:B</f>
        <v>bnco1020@signalschool.ac.th</v>
      </c>
      <c r="C63" s="1" t="str">
        <f>'1.1'!C:C</f>
        <v>ครู-อาจารย์ โรงเรียนทหารสื่อสาร</v>
      </c>
      <c r="D63" s="9">
        <v>1.0</v>
      </c>
      <c r="E63" s="10">
        <f>IFERROR(vlookup('1.1'!D:D,lookup!$A$2:$B$4,2,false),0)</f>
        <v>5</v>
      </c>
      <c r="F63" s="10">
        <f>IFERROR(vlookup('1.1'!E:E,lookup!$A$6:$B$8,2,false),0)</f>
        <v>5</v>
      </c>
      <c r="G63" s="10">
        <f>IFERROR(vlookup('1.1'!F:F,lookup!$A$10:$B$12,2,false),0)</f>
        <v>5</v>
      </c>
      <c r="H63" s="10">
        <f>IFERROR(vlookup('1.1'!G:G,lookup!$A$14:$B$16,2,false),0)</f>
        <v>5</v>
      </c>
      <c r="I63" s="10">
        <f>IFERROR(vlookup('1.1'!H:H,lookup!$A$18:$B$20,2,false),0)</f>
        <v>5</v>
      </c>
      <c r="J63" s="10">
        <f>IFERROR(vlookup('1.1'!I:I,lookup!$A$22:$B$24,2,false),0)</f>
        <v>5</v>
      </c>
      <c r="K63" s="10">
        <f>IFERROR(vlookup('1.1'!J:J,lookup!$A$26:$B$28,2,false),0)</f>
        <v>5</v>
      </c>
      <c r="M63" s="10">
        <v>62.0</v>
      </c>
      <c r="N63" s="11" t="str">
        <f t="shared" si="1"/>
        <v>bnco1062@signalschool.ac.th</v>
      </c>
      <c r="O63" s="12">
        <f t="shared" si="2"/>
        <v>1</v>
      </c>
      <c r="R63" s="6" t="s">
        <v>276</v>
      </c>
    </row>
    <row r="64">
      <c r="A64" s="8">
        <f>'1.1'!A:A</f>
        <v>46267.55896</v>
      </c>
      <c r="B64" s="1" t="str">
        <f>'1.1'!B:B</f>
        <v>bnco1034@signalschool.ac.th</v>
      </c>
      <c r="C64" s="1" t="str">
        <f>'1.1'!C:C</f>
        <v>ร.ท.ศุภรัชฏ หมอกสุข</v>
      </c>
      <c r="D64" s="9">
        <v>1.0</v>
      </c>
      <c r="E64" s="10">
        <f>IFERROR(vlookup('1.1'!D:D,lookup!$A$2:$B$4,2,false),0)</f>
        <v>5</v>
      </c>
      <c r="F64" s="10">
        <f>IFERROR(vlookup('1.1'!E:E,lookup!$A$6:$B$8,2,false),0)</f>
        <v>5</v>
      </c>
      <c r="G64" s="10">
        <f>IFERROR(vlookup('1.1'!F:F,lookup!$A$10:$B$12,2,false),0)</f>
        <v>5</v>
      </c>
      <c r="H64" s="10">
        <f>IFERROR(vlookup('1.1'!G:G,lookup!$A$14:$B$16,2,false),0)</f>
        <v>5</v>
      </c>
      <c r="I64" s="10">
        <f>IFERROR(vlookup('1.1'!H:H,lookup!$A$18:$B$20,2,false),0)</f>
        <v>5</v>
      </c>
      <c r="J64" s="10">
        <f>IFERROR(vlookup('1.1'!I:I,lookup!$A$22:$B$24,2,false),0)</f>
        <v>5</v>
      </c>
      <c r="K64" s="10">
        <f>IFERROR(vlookup('1.1'!J:J,lookup!$A$26:$B$28,2,false),0)</f>
        <v>5</v>
      </c>
      <c r="M64" s="10">
        <v>63.0</v>
      </c>
      <c r="N64" s="11" t="str">
        <f t="shared" si="1"/>
        <v>bnco1063@signalschool.ac.th</v>
      </c>
      <c r="O64" s="12">
        <f t="shared" si="2"/>
        <v>1</v>
      </c>
      <c r="R64" s="6" t="s">
        <v>277</v>
      </c>
    </row>
    <row r="65">
      <c r="A65" s="8">
        <f>'1.1'!A:A</f>
        <v>46267.60503</v>
      </c>
      <c r="B65" s="1" t="str">
        <f>'1.1'!B:B</f>
        <v>bnco1001@signalschool.ac.th</v>
      </c>
      <c r="C65" s="1" t="str">
        <f>'1.1'!C:C</f>
        <v>ครู/อาจารย์</v>
      </c>
      <c r="D65" s="9">
        <v>1.0</v>
      </c>
      <c r="E65" s="10">
        <f>IFERROR(vlookup('1.1'!D:D,lookup!$A$2:$B$4,2,false),0)</f>
        <v>5</v>
      </c>
      <c r="F65" s="10">
        <f>IFERROR(vlookup('1.1'!E:E,lookup!$A$6:$B$8,2,false),0)</f>
        <v>5</v>
      </c>
      <c r="G65" s="10">
        <f>IFERROR(vlookup('1.1'!F:F,lookup!$A$10:$B$12,2,false),0)</f>
        <v>5</v>
      </c>
      <c r="H65" s="10">
        <f>IFERROR(vlookup('1.1'!G:G,lookup!$A$14:$B$16,2,false),0)</f>
        <v>5</v>
      </c>
      <c r="I65" s="10">
        <f>IFERROR(vlookup('1.1'!H:H,lookup!$A$18:$B$20,2,false),0)</f>
        <v>5</v>
      </c>
      <c r="J65" s="10">
        <f>IFERROR(vlookup('1.1'!I:I,lookup!$A$22:$B$24,2,false),0)</f>
        <v>5</v>
      </c>
      <c r="K65" s="10">
        <f>IFERROR(vlookup('1.1'!J:J,lookup!$A$26:$B$28,2,false),0)</f>
        <v>5</v>
      </c>
      <c r="M65" s="10">
        <v>64.0</v>
      </c>
      <c r="N65" s="11" t="str">
        <f t="shared" si="1"/>
        <v>bnco1064@signalschool.ac.th</v>
      </c>
      <c r="O65" s="12">
        <f t="shared" si="2"/>
        <v>1</v>
      </c>
      <c r="R65" s="6" t="s">
        <v>278</v>
      </c>
    </row>
    <row r="66">
      <c r="A66" s="8">
        <f>'1.1'!A:A</f>
        <v>46267.6053</v>
      </c>
      <c r="B66" s="1" t="str">
        <f>'1.1'!B:B</f>
        <v>bnco1011@signalschool.ac.th</v>
      </c>
      <c r="C66" s="1" t="str">
        <f>'1.1'!C:C</f>
        <v>ร.ท.ศุภรัชฏ หมอกสุข</v>
      </c>
      <c r="D66" s="9">
        <v>1.0</v>
      </c>
      <c r="E66" s="10">
        <f>IFERROR(vlookup('1.1'!D:D,lookup!$A$2:$B$4,2,false),0)</f>
        <v>5</v>
      </c>
      <c r="F66" s="10">
        <f>IFERROR(vlookup('1.1'!E:E,lookup!$A$6:$B$8,2,false),0)</f>
        <v>5</v>
      </c>
      <c r="G66" s="10">
        <f>IFERROR(vlookup('1.1'!F:F,lookup!$A$10:$B$12,2,false),0)</f>
        <v>5</v>
      </c>
      <c r="H66" s="10">
        <f>IFERROR(vlookup('1.1'!G:G,lookup!$A$14:$B$16,2,false),0)</f>
        <v>5</v>
      </c>
      <c r="I66" s="10">
        <f>IFERROR(vlookup('1.1'!H:H,lookup!$A$18:$B$20,2,false),0)</f>
        <v>5</v>
      </c>
      <c r="J66" s="10">
        <f>IFERROR(vlookup('1.1'!I:I,lookup!$A$22:$B$24,2,false),0)</f>
        <v>5</v>
      </c>
      <c r="K66" s="10">
        <f>IFERROR(vlookup('1.1'!J:J,lookup!$A$26:$B$28,2,false),0)</f>
        <v>5</v>
      </c>
      <c r="M66" s="10">
        <v>65.0</v>
      </c>
      <c r="N66" s="11" t="str">
        <f t="shared" si="1"/>
        <v>bnco1065@signalschool.ac.th</v>
      </c>
      <c r="O66" s="12">
        <f t="shared" si="2"/>
        <v>0</v>
      </c>
      <c r="R66" s="6" t="s">
        <v>279</v>
      </c>
    </row>
    <row r="67">
      <c r="A67" s="8">
        <f>'1.1'!A:A</f>
        <v>46267.60638</v>
      </c>
      <c r="B67" s="1" t="str">
        <f>'1.1'!B:B</f>
        <v>bnco1043@signalschool.ac.th</v>
      </c>
      <c r="C67" s="1" t="str">
        <f>'1.1'!C:C</f>
        <v>ร.ท.ศุภรัชฎ์ หมอกสุข</v>
      </c>
      <c r="D67" s="9">
        <v>1.0</v>
      </c>
      <c r="E67" s="10">
        <f>IFERROR(vlookup('1.1'!D:D,lookup!$A$2:$B$4,2,false),0)</f>
        <v>5</v>
      </c>
      <c r="F67" s="10">
        <f>IFERROR(vlookup('1.1'!E:E,lookup!$A$6:$B$8,2,false),0)</f>
        <v>5</v>
      </c>
      <c r="G67" s="10">
        <f>IFERROR(vlookup('1.1'!F:F,lookup!$A$10:$B$12,2,false),0)</f>
        <v>5</v>
      </c>
      <c r="H67" s="10">
        <f>IFERROR(vlookup('1.1'!G:G,lookup!$A$14:$B$16,2,false),0)</f>
        <v>5</v>
      </c>
      <c r="I67" s="10">
        <f>IFERROR(vlookup('1.1'!H:H,lookup!$A$18:$B$20,2,false),0)</f>
        <v>5</v>
      </c>
      <c r="J67" s="10">
        <f>IFERROR(vlookup('1.1'!I:I,lookup!$A$22:$B$24,2,false),0)</f>
        <v>5</v>
      </c>
      <c r="K67" s="10">
        <f>IFERROR(vlookup('1.1'!J:J,lookup!$A$26:$B$28,2,false),0)</f>
        <v>5</v>
      </c>
      <c r="M67" s="10">
        <v>66.0</v>
      </c>
      <c r="N67" s="11" t="str">
        <f t="shared" si="1"/>
        <v>bnco1066@signalschool.ac.th</v>
      </c>
      <c r="O67" s="12">
        <f t="shared" si="2"/>
        <v>1</v>
      </c>
      <c r="R67" s="6" t="s">
        <v>280</v>
      </c>
    </row>
    <row r="68">
      <c r="A68" s="8">
        <f>'1.1'!A:A</f>
        <v>46267.84962</v>
      </c>
      <c r="B68" s="1" t="str">
        <f>'1.1'!B:B</f>
        <v>bnco1026@signalschool.ac.th</v>
      </c>
      <c r="C68" s="1" t="str">
        <f>'1.1'!C:C</f>
        <v>อาจารย์ผู้สอน</v>
      </c>
      <c r="D68" s="9">
        <v>1.0</v>
      </c>
      <c r="E68" s="10">
        <f>IFERROR(vlookup('1.1'!D:D,lookup!$A$2:$B$4,2,false),0)</f>
        <v>5</v>
      </c>
      <c r="F68" s="10">
        <f>IFERROR(vlookup('1.1'!E:E,lookup!$A$6:$B$8,2,false),0)</f>
        <v>5</v>
      </c>
      <c r="G68" s="10">
        <f>IFERROR(vlookup('1.1'!F:F,lookup!$A$10:$B$12,2,false),0)</f>
        <v>5</v>
      </c>
      <c r="H68" s="10">
        <f>IFERROR(vlookup('1.1'!G:G,lookup!$A$14:$B$16,2,false),0)</f>
        <v>5</v>
      </c>
      <c r="I68" s="10">
        <f>IFERROR(vlookup('1.1'!H:H,lookup!$A$18:$B$20,2,false),0)</f>
        <v>5</v>
      </c>
      <c r="J68" s="10">
        <f>IFERROR(vlookup('1.1'!I:I,lookup!$A$22:$B$24,2,false),0)</f>
        <v>3</v>
      </c>
      <c r="K68" s="10">
        <f>IFERROR(vlookup('1.1'!J:J,lookup!$A$26:$B$28,2,false),0)</f>
        <v>3</v>
      </c>
      <c r="M68" s="10">
        <v>67.0</v>
      </c>
      <c r="N68" s="11" t="str">
        <f t="shared" si="1"/>
        <v>bnco1067@signalschool.ac.th</v>
      </c>
      <c r="O68" s="12">
        <f t="shared" si="2"/>
        <v>1</v>
      </c>
      <c r="R68" s="6" t="s">
        <v>281</v>
      </c>
    </row>
    <row r="69">
      <c r="A69" s="8">
        <f>'1.1'!A:A</f>
        <v>46268.3431</v>
      </c>
      <c r="B69" s="1" t="str">
        <f>'1.1'!B:B</f>
        <v>bnco1040@signalschool.ac.th</v>
      </c>
      <c r="C69" s="1" t="str">
        <f>'1.1'!C:C</f>
        <v>ร.ท.ศุภรัชฎ หมอกสุข</v>
      </c>
      <c r="D69" s="9">
        <v>1.0</v>
      </c>
      <c r="E69" s="10">
        <f>IFERROR(vlookup('1.1'!D:D,lookup!$A$2:$B$4,2,false),0)</f>
        <v>5</v>
      </c>
      <c r="F69" s="10">
        <f>IFERROR(vlookup('1.1'!E:E,lookup!$A$6:$B$8,2,false),0)</f>
        <v>5</v>
      </c>
      <c r="G69" s="10">
        <f>IFERROR(vlookup('1.1'!F:F,lookup!$A$10:$B$12,2,false),0)</f>
        <v>5</v>
      </c>
      <c r="H69" s="10">
        <f>IFERROR(vlookup('1.1'!G:G,lookup!$A$14:$B$16,2,false),0)</f>
        <v>5</v>
      </c>
      <c r="I69" s="10">
        <f>IFERROR(vlookup('1.1'!H:H,lookup!$A$18:$B$20,2,false),0)</f>
        <v>5</v>
      </c>
      <c r="J69" s="10">
        <f>IFERROR(vlookup('1.1'!I:I,lookup!$A$22:$B$24,2,false),0)</f>
        <v>5</v>
      </c>
      <c r="K69" s="10">
        <f>IFERROR(vlookup('1.1'!J:J,lookup!$A$26:$B$28,2,false),0)</f>
        <v>5</v>
      </c>
      <c r="M69" s="10">
        <v>68.0</v>
      </c>
      <c r="N69" s="11" t="str">
        <f t="shared" si="1"/>
        <v>bnco1068@signalschool.ac.th</v>
      </c>
      <c r="O69" s="12">
        <f t="shared" si="2"/>
        <v>1</v>
      </c>
      <c r="R69" s="6" t="s">
        <v>282</v>
      </c>
    </row>
    <row r="70">
      <c r="A70" s="8" t="str">
        <f>'1.1'!A:A</f>
        <v/>
      </c>
      <c r="B70" s="1" t="str">
        <f>'1.1'!B:B</f>
        <v/>
      </c>
      <c r="C70" s="1" t="str">
        <f>'1.1'!C:C</f>
        <v/>
      </c>
      <c r="D70" s="9">
        <v>1.0</v>
      </c>
      <c r="E70" s="10">
        <f>IFERROR(vlookup('1.1'!D:D,lookup!$A$2:$B$4,2,false),0)</f>
        <v>0</v>
      </c>
      <c r="F70" s="10">
        <f>IFERROR(vlookup('1.1'!E:E,lookup!$A$6:$B$8,2,false),0)</f>
        <v>0</v>
      </c>
      <c r="G70" s="10">
        <f>IFERROR(vlookup('1.1'!F:F,lookup!$A$10:$B$12,2,false),0)</f>
        <v>0</v>
      </c>
      <c r="H70" s="10">
        <f>IFERROR(vlookup('1.1'!G:G,lookup!$A$14:$B$16,2,false),0)</f>
        <v>0</v>
      </c>
      <c r="I70" s="10">
        <f>IFERROR(vlookup('1.1'!H:H,lookup!$A$18:$B$20,2,false),0)</f>
        <v>0</v>
      </c>
      <c r="J70" s="10">
        <f>IFERROR(vlookup('1.1'!I:I,lookup!$A$22:$B$24,2,false),0)</f>
        <v>0</v>
      </c>
      <c r="K70" s="10">
        <f>IFERROR(vlookup('1.1'!J:J,lookup!$A$26:$B$28,2,false),0)</f>
        <v>0</v>
      </c>
      <c r="M70" s="10">
        <v>69.0</v>
      </c>
      <c r="N70" s="11" t="str">
        <f t="shared" si="1"/>
        <v>bnco1069@signalschool.ac.th</v>
      </c>
      <c r="O70" s="12">
        <f t="shared" si="2"/>
        <v>1</v>
      </c>
      <c r="R70" s="6" t="s">
        <v>283</v>
      </c>
    </row>
    <row r="71">
      <c r="A71" s="8" t="str">
        <f>'1.1'!A:A</f>
        <v/>
      </c>
      <c r="B71" s="1" t="str">
        <f>'1.1'!B:B</f>
        <v/>
      </c>
      <c r="C71" s="1" t="str">
        <f>'1.1'!C:C</f>
        <v/>
      </c>
      <c r="D71" s="9">
        <v>1.0</v>
      </c>
      <c r="E71" s="10">
        <f>IFERROR(vlookup('1.1'!D:D,lookup!$A$2:$B$4,2,false),0)</f>
        <v>0</v>
      </c>
      <c r="F71" s="10">
        <f>IFERROR(vlookup('1.1'!E:E,lookup!$A$6:$B$8,2,false),0)</f>
        <v>0</v>
      </c>
      <c r="G71" s="10">
        <f>IFERROR(vlookup('1.1'!F:F,lookup!$A$10:$B$12,2,false),0)</f>
        <v>0</v>
      </c>
      <c r="H71" s="10">
        <f>IFERROR(vlookup('1.1'!G:G,lookup!$A$14:$B$16,2,false),0)</f>
        <v>0</v>
      </c>
      <c r="I71" s="10">
        <f>IFERROR(vlookup('1.1'!H:H,lookup!$A$18:$B$20,2,false),0)</f>
        <v>0</v>
      </c>
      <c r="J71" s="10">
        <f>IFERROR(vlookup('1.1'!I:I,lookup!$A$22:$B$24,2,false),0)</f>
        <v>0</v>
      </c>
      <c r="K71" s="10">
        <f>IFERROR(vlookup('1.1'!J:J,lookup!$A$26:$B$28,2,false),0)</f>
        <v>0</v>
      </c>
      <c r="M71" s="10">
        <v>70.0</v>
      </c>
      <c r="N71" s="11" t="str">
        <f t="shared" si="1"/>
        <v>bnco1070@signalschool.ac.th</v>
      </c>
      <c r="O71" s="12">
        <f t="shared" si="2"/>
        <v>1</v>
      </c>
      <c r="R71" s="6" t="s">
        <v>284</v>
      </c>
    </row>
    <row r="72">
      <c r="A72" s="8" t="str">
        <f>'1.1'!A:A</f>
        <v/>
      </c>
      <c r="B72" s="1" t="str">
        <f>'1.1'!B:B</f>
        <v/>
      </c>
      <c r="C72" s="1" t="str">
        <f>'1.1'!C:C</f>
        <v/>
      </c>
      <c r="D72" s="9">
        <v>1.0</v>
      </c>
      <c r="E72" s="10">
        <f>IFERROR(vlookup('1.1'!D:D,lookup!$A$2:$B$4,2,false),0)</f>
        <v>0</v>
      </c>
      <c r="F72" s="10">
        <f>IFERROR(vlookup('1.1'!E:E,lookup!$A$6:$B$8,2,false),0)</f>
        <v>0</v>
      </c>
      <c r="G72" s="10">
        <f>IFERROR(vlookup('1.1'!F:F,lookup!$A$10:$B$12,2,false),0)</f>
        <v>0</v>
      </c>
      <c r="H72" s="10">
        <f>IFERROR(vlookup('1.1'!G:G,lookup!$A$14:$B$16,2,false),0)</f>
        <v>0</v>
      </c>
      <c r="I72" s="10">
        <f>IFERROR(vlookup('1.1'!H:H,lookup!$A$18:$B$20,2,false),0)</f>
        <v>0</v>
      </c>
      <c r="J72" s="10">
        <f>IFERROR(vlookup('1.1'!I:I,lookup!$A$22:$B$24,2,false),0)</f>
        <v>0</v>
      </c>
      <c r="K72" s="10">
        <f>IFERROR(vlookup('1.1'!J:J,lookup!$A$26:$B$28,2,false),0)</f>
        <v>0</v>
      </c>
      <c r="M72" s="10">
        <v>71.0</v>
      </c>
      <c r="N72" s="11" t="str">
        <f t="shared" si="1"/>
        <v>bnco1071@signalschool.ac.th</v>
      </c>
      <c r="O72" s="12">
        <f t="shared" si="2"/>
        <v>1</v>
      </c>
      <c r="R72" s="6" t="s">
        <v>285</v>
      </c>
    </row>
    <row r="73">
      <c r="A73" s="8" t="str">
        <f>'1.1'!A:A</f>
        <v/>
      </c>
      <c r="B73" s="1" t="str">
        <f>'1.1'!B:B</f>
        <v/>
      </c>
      <c r="C73" s="1" t="str">
        <f>'1.1'!C:C</f>
        <v/>
      </c>
      <c r="D73" s="9">
        <v>1.0</v>
      </c>
      <c r="E73" s="10">
        <f>IFERROR(vlookup('1.1'!D:D,lookup!$A$2:$B$4,2,false),0)</f>
        <v>0</v>
      </c>
      <c r="F73" s="10">
        <f>IFERROR(vlookup('1.1'!E:E,lookup!$A$6:$B$8,2,false),0)</f>
        <v>0</v>
      </c>
      <c r="G73" s="10">
        <f>IFERROR(vlookup('1.1'!F:F,lookup!$A$10:$B$12,2,false),0)</f>
        <v>0</v>
      </c>
      <c r="H73" s="10">
        <f>IFERROR(vlookup('1.1'!G:G,lookup!$A$14:$B$16,2,false),0)</f>
        <v>0</v>
      </c>
      <c r="I73" s="10">
        <f>IFERROR(vlookup('1.1'!H:H,lookup!$A$18:$B$20,2,false),0)</f>
        <v>0</v>
      </c>
      <c r="J73" s="10">
        <f>IFERROR(vlookup('1.1'!I:I,lookup!$A$22:$B$24,2,false),0)</f>
        <v>0</v>
      </c>
      <c r="K73" s="10">
        <f>IFERROR(vlookup('1.1'!J:J,lookup!$A$26:$B$28,2,false),0)</f>
        <v>0</v>
      </c>
      <c r="M73" s="10">
        <v>72.0</v>
      </c>
      <c r="N73" s="11" t="str">
        <f t="shared" si="1"/>
        <v>bnco1072@signalschool.ac.th</v>
      </c>
      <c r="O73" s="12">
        <f t="shared" si="2"/>
        <v>1</v>
      </c>
      <c r="R73" s="6" t="s">
        <v>286</v>
      </c>
    </row>
    <row r="74">
      <c r="A74" s="8" t="str">
        <f>'1.1'!A:A</f>
        <v/>
      </c>
      <c r="B74" s="1" t="str">
        <f>'1.1'!B:B</f>
        <v/>
      </c>
      <c r="C74" s="1" t="str">
        <f>'1.1'!C:C</f>
        <v/>
      </c>
      <c r="D74" s="9">
        <v>1.0</v>
      </c>
      <c r="E74" s="10">
        <f>IFERROR(vlookup('1.1'!D:D,lookup!$A$2:$B$4,2,false),0)</f>
        <v>0</v>
      </c>
      <c r="F74" s="10">
        <f>IFERROR(vlookup('1.1'!E:E,lookup!$A$6:$B$8,2,false),0)</f>
        <v>0</v>
      </c>
      <c r="G74" s="10">
        <f>IFERROR(vlookup('1.1'!F:F,lookup!$A$10:$B$12,2,false),0)</f>
        <v>0</v>
      </c>
      <c r="H74" s="10">
        <f>IFERROR(vlookup('1.1'!G:G,lookup!$A$14:$B$16,2,false),0)</f>
        <v>0</v>
      </c>
      <c r="I74" s="10">
        <f>IFERROR(vlookup('1.1'!H:H,lookup!$A$18:$B$20,2,false),0)</f>
        <v>0</v>
      </c>
      <c r="J74" s="10">
        <f>IFERROR(vlookup('1.1'!I:I,lookup!$A$22:$B$24,2,false),0)</f>
        <v>0</v>
      </c>
      <c r="K74" s="10">
        <f>IFERROR(vlookup('1.1'!J:J,lookup!$A$26:$B$28,2,false),0)</f>
        <v>0</v>
      </c>
      <c r="M74" s="10">
        <v>73.0</v>
      </c>
      <c r="N74" s="11" t="str">
        <f t="shared" si="1"/>
        <v>bnco1073@signalschool.ac.th</v>
      </c>
      <c r="O74" s="12">
        <f t="shared" si="2"/>
        <v>1</v>
      </c>
      <c r="R74" s="6" t="s">
        <v>287</v>
      </c>
    </row>
    <row r="75">
      <c r="A75" s="8" t="str">
        <f>'1.1'!A:A</f>
        <v/>
      </c>
      <c r="B75" s="1" t="str">
        <f>'1.1'!B:B</f>
        <v/>
      </c>
      <c r="C75" s="1" t="str">
        <f>'1.1'!C:C</f>
        <v/>
      </c>
      <c r="D75" s="9">
        <v>1.0</v>
      </c>
      <c r="E75" s="10">
        <f>IFERROR(vlookup('1.1'!D:D,lookup!$A$2:$B$4,2,false),0)</f>
        <v>0</v>
      </c>
      <c r="F75" s="10">
        <f>IFERROR(vlookup('1.1'!E:E,lookup!$A$6:$B$8,2,false),0)</f>
        <v>0</v>
      </c>
      <c r="G75" s="10">
        <f>IFERROR(vlookup('1.1'!F:F,lookup!$A$10:$B$12,2,false),0)</f>
        <v>0</v>
      </c>
      <c r="H75" s="10">
        <f>IFERROR(vlookup('1.1'!G:G,lookup!$A$14:$B$16,2,false),0)</f>
        <v>0</v>
      </c>
      <c r="I75" s="10">
        <f>IFERROR(vlookup('1.1'!H:H,lookup!$A$18:$B$20,2,false),0)</f>
        <v>0</v>
      </c>
      <c r="J75" s="10">
        <f>IFERROR(vlookup('1.1'!I:I,lookup!$A$22:$B$24,2,false),0)</f>
        <v>0</v>
      </c>
      <c r="K75" s="10">
        <f>IFERROR(vlookup('1.1'!J:J,lookup!$A$26:$B$28,2,false),0)</f>
        <v>0</v>
      </c>
      <c r="M75" s="10">
        <v>74.0</v>
      </c>
      <c r="N75" s="11" t="str">
        <f t="shared" si="1"/>
        <v>bnco1074@signalschool.ac.th</v>
      </c>
      <c r="O75" s="12">
        <f t="shared" si="2"/>
        <v>0</v>
      </c>
      <c r="R75" s="6" t="s">
        <v>288</v>
      </c>
    </row>
    <row r="76">
      <c r="A76" s="8" t="str">
        <f>'1.1'!A:A</f>
        <v/>
      </c>
      <c r="B76" s="1" t="str">
        <f>'1.1'!B:B</f>
        <v/>
      </c>
      <c r="C76" s="1" t="str">
        <f>'1.1'!C:C</f>
        <v/>
      </c>
      <c r="D76" s="9">
        <v>1.0</v>
      </c>
      <c r="E76" s="10">
        <f>IFERROR(vlookup('1.1'!D:D,lookup!$A$2:$B$4,2,false),0)</f>
        <v>0</v>
      </c>
      <c r="F76" s="10">
        <f>IFERROR(vlookup('1.1'!E:E,lookup!$A$6:$B$8,2,false),0)</f>
        <v>0</v>
      </c>
      <c r="G76" s="10">
        <f>IFERROR(vlookup('1.1'!F:F,lookup!$A$10:$B$12,2,false),0)</f>
        <v>0</v>
      </c>
      <c r="H76" s="10">
        <f>IFERROR(vlookup('1.1'!G:G,lookup!$A$14:$B$16,2,false),0)</f>
        <v>0</v>
      </c>
      <c r="I76" s="10">
        <f>IFERROR(vlookup('1.1'!H:H,lookup!$A$18:$B$20,2,false),0)</f>
        <v>0</v>
      </c>
      <c r="J76" s="10">
        <f>IFERROR(vlookup('1.1'!I:I,lookup!$A$22:$B$24,2,false),0)</f>
        <v>0</v>
      </c>
      <c r="K76" s="10">
        <f>IFERROR(vlookup('1.1'!J:J,lookup!$A$26:$B$28,2,false),0)</f>
        <v>0</v>
      </c>
      <c r="M76" s="10">
        <v>75.0</v>
      </c>
      <c r="N76" s="11" t="str">
        <f t="shared" si="1"/>
        <v>bnco1075@signalschool.ac.th</v>
      </c>
      <c r="O76" s="12">
        <f t="shared" si="2"/>
        <v>0</v>
      </c>
      <c r="R76" s="6" t="s">
        <v>289</v>
      </c>
    </row>
    <row r="77">
      <c r="A77" s="8" t="str">
        <f>'1.1'!A:A</f>
        <v/>
      </c>
      <c r="B77" s="1" t="str">
        <f>'1.1'!B:B</f>
        <v/>
      </c>
      <c r="C77" s="1" t="str">
        <f>'1.1'!C:C</f>
        <v/>
      </c>
      <c r="D77" s="9">
        <v>1.0</v>
      </c>
      <c r="E77" s="10">
        <f>IFERROR(vlookup('1.1'!D:D,lookup!$A$2:$B$4,2,false),0)</f>
        <v>0</v>
      </c>
      <c r="F77" s="10">
        <f>IFERROR(vlookup('1.1'!E:E,lookup!$A$6:$B$8,2,false),0)</f>
        <v>0</v>
      </c>
      <c r="G77" s="10">
        <f>IFERROR(vlookup('1.1'!F:F,lookup!$A$10:$B$12,2,false),0)</f>
        <v>0</v>
      </c>
      <c r="H77" s="10">
        <f>IFERROR(vlookup('1.1'!G:G,lookup!$A$14:$B$16,2,false),0)</f>
        <v>0</v>
      </c>
      <c r="I77" s="10">
        <f>IFERROR(vlookup('1.1'!H:H,lookup!$A$18:$B$20,2,false),0)</f>
        <v>0</v>
      </c>
      <c r="J77" s="10">
        <f>IFERROR(vlookup('1.1'!I:I,lookup!$A$22:$B$24,2,false),0)</f>
        <v>0</v>
      </c>
      <c r="K77" s="10">
        <f>IFERROR(vlookup('1.1'!J:J,lookup!$A$26:$B$28,2,false),0)</f>
        <v>0</v>
      </c>
      <c r="M77" s="10">
        <v>76.0</v>
      </c>
      <c r="N77" s="11" t="str">
        <f t="shared" si="1"/>
        <v>bnco1076@signalschool.ac.th</v>
      </c>
      <c r="O77" s="12">
        <f t="shared" si="2"/>
        <v>1</v>
      </c>
      <c r="R77" s="6" t="s">
        <v>290</v>
      </c>
    </row>
    <row r="78">
      <c r="A78" s="8" t="str">
        <f>'1.1'!A:A</f>
        <v/>
      </c>
      <c r="B78" s="1" t="str">
        <f>'1.1'!B:B</f>
        <v/>
      </c>
      <c r="C78" s="1" t="str">
        <f>'1.1'!C:C</f>
        <v/>
      </c>
      <c r="D78" s="9">
        <v>1.0</v>
      </c>
      <c r="E78" s="10">
        <f>IFERROR(vlookup('1.1'!D:D,lookup!$A$2:$B$4,2,false),0)</f>
        <v>0</v>
      </c>
      <c r="F78" s="10">
        <f>IFERROR(vlookup('1.1'!E:E,lookup!$A$6:$B$8,2,false),0)</f>
        <v>0</v>
      </c>
      <c r="G78" s="10">
        <f>IFERROR(vlookup('1.1'!F:F,lookup!$A$10:$B$12,2,false),0)</f>
        <v>0</v>
      </c>
      <c r="H78" s="10">
        <f>IFERROR(vlookup('1.1'!G:G,lookup!$A$14:$B$16,2,false),0)</f>
        <v>0</v>
      </c>
      <c r="I78" s="10">
        <f>IFERROR(vlookup('1.1'!H:H,lookup!$A$18:$B$20,2,false),0)</f>
        <v>0</v>
      </c>
      <c r="J78" s="10">
        <f>IFERROR(vlookup('1.1'!I:I,lookup!$A$22:$B$24,2,false),0)</f>
        <v>0</v>
      </c>
      <c r="K78" s="10">
        <f>IFERROR(vlookup('1.1'!J:J,lookup!$A$26:$B$28,2,false),0)</f>
        <v>0</v>
      </c>
      <c r="M78" s="10">
        <v>77.0</v>
      </c>
      <c r="N78" s="11" t="str">
        <f t="shared" si="1"/>
        <v>bnco1077@signalschool.ac.th</v>
      </c>
      <c r="O78" s="12">
        <f t="shared" si="2"/>
        <v>0</v>
      </c>
      <c r="R78" s="6" t="s">
        <v>291</v>
      </c>
    </row>
    <row r="79">
      <c r="A79" s="8" t="str">
        <f>'1.1'!A:A</f>
        <v/>
      </c>
      <c r="B79" s="1" t="str">
        <f>'1.1'!B:B</f>
        <v/>
      </c>
      <c r="C79" s="1" t="str">
        <f>'1.1'!C:C</f>
        <v/>
      </c>
      <c r="D79" s="9">
        <v>1.0</v>
      </c>
      <c r="E79" s="10">
        <f>IFERROR(vlookup('1.1'!D:D,lookup!$A$2:$B$4,2,false),0)</f>
        <v>0</v>
      </c>
      <c r="F79" s="10">
        <f>IFERROR(vlookup('1.1'!E:E,lookup!$A$6:$B$8,2,false),0)</f>
        <v>0</v>
      </c>
      <c r="G79" s="10">
        <f>IFERROR(vlookup('1.1'!F:F,lookup!$A$10:$B$12,2,false),0)</f>
        <v>0</v>
      </c>
      <c r="H79" s="10">
        <f>IFERROR(vlookup('1.1'!G:G,lookup!$A$14:$B$16,2,false),0)</f>
        <v>0</v>
      </c>
      <c r="I79" s="10">
        <f>IFERROR(vlookup('1.1'!H:H,lookup!$A$18:$B$20,2,false),0)</f>
        <v>0</v>
      </c>
      <c r="J79" s="10">
        <f>IFERROR(vlookup('1.1'!I:I,lookup!$A$22:$B$24,2,false),0)</f>
        <v>0</v>
      </c>
      <c r="K79" s="10">
        <f>IFERROR(vlookup('1.1'!J:J,lookup!$A$26:$B$28,2,false),0)</f>
        <v>0</v>
      </c>
      <c r="M79" s="10">
        <v>78.0</v>
      </c>
      <c r="N79" s="11" t="str">
        <f t="shared" si="1"/>
        <v>bnco1078@signalschool.ac.th</v>
      </c>
      <c r="O79" s="12">
        <f t="shared" si="2"/>
        <v>1</v>
      </c>
      <c r="R79" s="6" t="s">
        <v>292</v>
      </c>
    </row>
    <row r="80">
      <c r="A80" s="8" t="str">
        <f>'1.1'!A:A</f>
        <v/>
      </c>
      <c r="B80" s="1" t="str">
        <f>'1.1'!B:B</f>
        <v/>
      </c>
      <c r="C80" s="1" t="str">
        <f>'1.1'!C:C</f>
        <v/>
      </c>
      <c r="D80" s="9">
        <v>1.0</v>
      </c>
      <c r="E80" s="10">
        <f>IFERROR(vlookup('1.1'!D:D,lookup!$A$2:$B$4,2,false),0)</f>
        <v>0</v>
      </c>
      <c r="F80" s="10">
        <f>IFERROR(vlookup('1.1'!E:E,lookup!$A$6:$B$8,2,false),0)</f>
        <v>0</v>
      </c>
      <c r="G80" s="10">
        <f>IFERROR(vlookup('1.1'!F:F,lookup!$A$10:$B$12,2,false),0)</f>
        <v>0</v>
      </c>
      <c r="H80" s="10">
        <f>IFERROR(vlookup('1.1'!G:G,lookup!$A$14:$B$16,2,false),0)</f>
        <v>0</v>
      </c>
      <c r="I80" s="10">
        <f>IFERROR(vlookup('1.1'!H:H,lookup!$A$18:$B$20,2,false),0)</f>
        <v>0</v>
      </c>
      <c r="J80" s="10">
        <f>IFERROR(vlookup('1.1'!I:I,lookup!$A$22:$B$24,2,false),0)</f>
        <v>0</v>
      </c>
      <c r="K80" s="10">
        <f>IFERROR(vlookup('1.1'!J:J,lookup!$A$26:$B$28,2,false),0)</f>
        <v>0</v>
      </c>
      <c r="M80" s="10">
        <v>79.0</v>
      </c>
      <c r="N80" s="11" t="str">
        <f t="shared" si="1"/>
        <v>bnco1079@signalschool.ac.th</v>
      </c>
      <c r="O80" s="12">
        <f t="shared" si="2"/>
        <v>1</v>
      </c>
      <c r="R80" s="6" t="s">
        <v>293</v>
      </c>
    </row>
    <row r="81">
      <c r="A81" s="8" t="str">
        <f>'1.1'!A:A</f>
        <v/>
      </c>
      <c r="B81" s="1" t="str">
        <f>'1.1'!B:B</f>
        <v/>
      </c>
      <c r="C81" s="1" t="str">
        <f>'1.1'!C:C</f>
        <v/>
      </c>
      <c r="D81" s="9">
        <v>1.0</v>
      </c>
      <c r="E81" s="10">
        <f>IFERROR(vlookup('1.1'!D:D,lookup!$A$2:$B$4,2,false),0)</f>
        <v>0</v>
      </c>
      <c r="F81" s="10">
        <f>IFERROR(vlookup('1.1'!E:E,lookup!$A$6:$B$8,2,false),0)</f>
        <v>0</v>
      </c>
      <c r="G81" s="10">
        <f>IFERROR(vlookup('1.1'!F:F,lookup!$A$10:$B$12,2,false),0)</f>
        <v>0</v>
      </c>
      <c r="H81" s="10">
        <f>IFERROR(vlookup('1.1'!G:G,lookup!$A$14:$B$16,2,false),0)</f>
        <v>0</v>
      </c>
      <c r="I81" s="10">
        <f>IFERROR(vlookup('1.1'!H:H,lookup!$A$18:$B$20,2,false),0)</f>
        <v>0</v>
      </c>
      <c r="J81" s="10">
        <f>IFERROR(vlookup('1.1'!I:I,lookup!$A$22:$B$24,2,false),0)</f>
        <v>0</v>
      </c>
      <c r="K81" s="10">
        <f>IFERROR(vlookup('1.1'!J:J,lookup!$A$26:$B$28,2,false),0)</f>
        <v>0</v>
      </c>
      <c r="M81" s="10">
        <v>80.0</v>
      </c>
      <c r="N81" s="11" t="str">
        <f t="shared" si="1"/>
        <v>bnco1080@signalschool.ac.th</v>
      </c>
      <c r="O81" s="12">
        <f t="shared" si="2"/>
        <v>1</v>
      </c>
      <c r="R81" s="6" t="s">
        <v>294</v>
      </c>
    </row>
    <row r="82">
      <c r="A82" s="8" t="str">
        <f>'1.1'!A:A</f>
        <v/>
      </c>
      <c r="B82" s="1" t="str">
        <f>'1.1'!B:B</f>
        <v/>
      </c>
      <c r="C82" s="1" t="str">
        <f>'1.1'!C:C</f>
        <v/>
      </c>
      <c r="D82" s="9"/>
      <c r="E82" s="15"/>
      <c r="F82" s="15"/>
      <c r="G82" s="15"/>
      <c r="H82" s="15"/>
      <c r="I82" s="15"/>
      <c r="J82" s="15"/>
      <c r="K82" s="15"/>
    </row>
    <row r="83">
      <c r="A83" s="8" t="str">
        <f>'1.1'!A:A</f>
        <v/>
      </c>
      <c r="B83" s="1" t="str">
        <f>'1.1'!B:B</f>
        <v/>
      </c>
      <c r="C83" s="1" t="str">
        <f>'1.1'!C:C</f>
        <v/>
      </c>
      <c r="D83" s="9"/>
      <c r="E83" s="15"/>
      <c r="F83" s="15"/>
      <c r="G83" s="15"/>
      <c r="H83" s="15"/>
      <c r="I83" s="15"/>
      <c r="J83" s="15"/>
      <c r="K83" s="15"/>
    </row>
    <row r="84">
      <c r="A84" s="8" t="str">
        <f>'1.1'!A:A</f>
        <v/>
      </c>
      <c r="B84" s="1" t="str">
        <f>'1.1'!B:B</f>
        <v/>
      </c>
      <c r="C84" s="1" t="str">
        <f>'1.1'!C:C</f>
        <v/>
      </c>
      <c r="D84" s="9"/>
      <c r="E84" s="15"/>
      <c r="F84" s="15"/>
      <c r="G84" s="15"/>
      <c r="H84" s="15"/>
      <c r="I84" s="15"/>
      <c r="J84" s="15"/>
      <c r="K84" s="15"/>
    </row>
    <row r="85">
      <c r="A85" s="8" t="str">
        <f>'1.1'!A:A</f>
        <v/>
      </c>
      <c r="B85" s="1" t="str">
        <f>'1.1'!B:B</f>
        <v/>
      </c>
      <c r="C85" s="1" t="str">
        <f>'1.1'!C:C</f>
        <v/>
      </c>
      <c r="D85" s="9"/>
      <c r="E85" s="15"/>
      <c r="F85" s="15"/>
      <c r="G85" s="15"/>
      <c r="H85" s="15"/>
      <c r="I85" s="15"/>
      <c r="J85" s="15"/>
      <c r="K85" s="15"/>
    </row>
    <row r="86">
      <c r="A86" s="8" t="str">
        <f>'1.1'!A:A</f>
        <v/>
      </c>
      <c r="B86" s="1" t="str">
        <f>'1.1'!B:B</f>
        <v/>
      </c>
      <c r="C86" s="1" t="str">
        <f>'1.1'!C:C</f>
        <v/>
      </c>
      <c r="D86" s="9"/>
      <c r="E86" s="15"/>
      <c r="F86" s="15"/>
      <c r="G86" s="15"/>
      <c r="H86" s="15"/>
      <c r="I86" s="15"/>
      <c r="J86" s="15"/>
      <c r="K86" s="15"/>
    </row>
    <row r="87">
      <c r="A87" s="8" t="str">
        <f>'1.1'!A:A</f>
        <v/>
      </c>
      <c r="B87" s="1" t="str">
        <f>'1.1'!B:B</f>
        <v/>
      </c>
      <c r="C87" s="1" t="str">
        <f>'1.1'!C:C</f>
        <v/>
      </c>
      <c r="D87" s="9"/>
      <c r="E87" s="15"/>
      <c r="F87" s="15"/>
      <c r="G87" s="15"/>
      <c r="H87" s="15"/>
      <c r="I87" s="15"/>
      <c r="J87" s="15"/>
      <c r="K87" s="15"/>
    </row>
    <row r="88">
      <c r="A88" s="8" t="str">
        <f>'1.1'!A:A</f>
        <v/>
      </c>
      <c r="B88" s="1" t="str">
        <f>'1.1'!B:B</f>
        <v/>
      </c>
      <c r="C88" s="1" t="str">
        <f>'1.1'!C:C</f>
        <v/>
      </c>
      <c r="D88" s="9"/>
      <c r="E88" s="15"/>
      <c r="F88" s="15"/>
      <c r="G88" s="15"/>
      <c r="H88" s="15"/>
      <c r="I88" s="15"/>
      <c r="J88" s="15"/>
      <c r="K88" s="15"/>
    </row>
    <row r="89">
      <c r="A89" s="8" t="str">
        <f>'1.1'!A:A</f>
        <v/>
      </c>
      <c r="B89" s="1" t="str">
        <f>'1.1'!B:B</f>
        <v/>
      </c>
      <c r="C89" s="1" t="str">
        <f>'1.1'!C:C</f>
        <v/>
      </c>
      <c r="D89" s="9"/>
      <c r="E89" s="15"/>
      <c r="F89" s="15"/>
      <c r="G89" s="15"/>
      <c r="H89" s="15"/>
      <c r="I89" s="15"/>
      <c r="J89" s="15"/>
      <c r="K89" s="15"/>
    </row>
    <row r="90">
      <c r="A90" s="8" t="str">
        <f>'1.1'!A:A</f>
        <v/>
      </c>
      <c r="B90" s="1" t="str">
        <f>'1.1'!B:B</f>
        <v/>
      </c>
      <c r="C90" s="1" t="str">
        <f>'1.1'!C:C</f>
        <v/>
      </c>
      <c r="D90" s="9"/>
      <c r="E90" s="15"/>
      <c r="F90" s="15"/>
      <c r="G90" s="15"/>
      <c r="H90" s="15"/>
      <c r="I90" s="15"/>
      <c r="J90" s="15"/>
      <c r="K90" s="15"/>
    </row>
    <row r="91">
      <c r="A91" s="8" t="str">
        <f>'1.1'!A:A</f>
        <v/>
      </c>
      <c r="B91" s="1" t="str">
        <f>'1.1'!B:B</f>
        <v/>
      </c>
      <c r="C91" s="1" t="str">
        <f>'1.1'!C:C</f>
        <v/>
      </c>
      <c r="D91" s="9"/>
      <c r="E91" s="15"/>
      <c r="F91" s="15"/>
      <c r="G91" s="15"/>
      <c r="H91" s="15"/>
      <c r="I91" s="15"/>
      <c r="J91" s="15"/>
      <c r="K91" s="15"/>
    </row>
    <row r="92">
      <c r="A92" s="8" t="str">
        <f>'1.1'!A:A</f>
        <v/>
      </c>
      <c r="B92" s="1" t="str">
        <f>'1.1'!B:B</f>
        <v/>
      </c>
      <c r="C92" s="1" t="str">
        <f>'1.1'!C:C</f>
        <v/>
      </c>
      <c r="D92" s="9"/>
      <c r="E92" s="15"/>
      <c r="F92" s="15"/>
      <c r="G92" s="15"/>
      <c r="H92" s="15"/>
      <c r="I92" s="15"/>
      <c r="J92" s="15"/>
      <c r="K92" s="15"/>
    </row>
    <row r="93">
      <c r="A93" s="8" t="str">
        <f>'1.1'!A:A</f>
        <v/>
      </c>
      <c r="B93" s="1" t="str">
        <f>'1.1'!B:B</f>
        <v/>
      </c>
      <c r="C93" s="1" t="str">
        <f>'1.1'!C:C</f>
        <v/>
      </c>
      <c r="D93" s="9"/>
      <c r="E93" s="15"/>
      <c r="F93" s="15"/>
      <c r="G93" s="15"/>
      <c r="H93" s="15"/>
      <c r="I93" s="15"/>
      <c r="J93" s="15"/>
      <c r="K93" s="15"/>
    </row>
    <row r="94">
      <c r="A94" s="8" t="str">
        <f>'1.1'!A:A</f>
        <v/>
      </c>
      <c r="B94" s="1" t="str">
        <f>'1.1'!B:B</f>
        <v/>
      </c>
      <c r="C94" s="1" t="str">
        <f>'1.1'!C:C</f>
        <v/>
      </c>
      <c r="D94" s="9"/>
      <c r="E94" s="15"/>
      <c r="F94" s="15"/>
      <c r="G94" s="15"/>
      <c r="H94" s="15"/>
      <c r="I94" s="15"/>
      <c r="J94" s="15"/>
      <c r="K94" s="15"/>
    </row>
    <row r="95">
      <c r="A95" s="8" t="str">
        <f>'1.1'!A:A</f>
        <v/>
      </c>
      <c r="B95" s="1" t="str">
        <f>'1.1'!B:B</f>
        <v/>
      </c>
      <c r="C95" s="1" t="str">
        <f>'1.1'!C:C</f>
        <v/>
      </c>
      <c r="D95" s="9"/>
      <c r="E95" s="15"/>
      <c r="F95" s="15"/>
      <c r="G95" s="15"/>
      <c r="H95" s="15"/>
      <c r="I95" s="15"/>
      <c r="J95" s="15"/>
      <c r="K95" s="15"/>
    </row>
    <row r="96">
      <c r="A96" s="8" t="str">
        <f>'1.1'!A:A</f>
        <v/>
      </c>
      <c r="B96" s="1" t="str">
        <f>'1.1'!B:B</f>
        <v/>
      </c>
      <c r="C96" s="1" t="str">
        <f>'1.1'!C:C</f>
        <v/>
      </c>
      <c r="D96" s="9"/>
      <c r="E96" s="15"/>
      <c r="F96" s="15"/>
      <c r="G96" s="15"/>
      <c r="H96" s="15"/>
      <c r="I96" s="15"/>
      <c r="J96" s="15"/>
      <c r="K96" s="15"/>
    </row>
    <row r="97">
      <c r="A97" s="8" t="str">
        <f>'1.1'!A:A</f>
        <v/>
      </c>
      <c r="B97" s="1" t="str">
        <f>'1.1'!B:B</f>
        <v/>
      </c>
      <c r="C97" s="1" t="str">
        <f>'1.1'!C:C</f>
        <v/>
      </c>
      <c r="D97" s="9"/>
      <c r="E97" s="15"/>
      <c r="F97" s="15"/>
      <c r="G97" s="15"/>
      <c r="H97" s="15"/>
      <c r="I97" s="15"/>
      <c r="J97" s="15"/>
      <c r="K97" s="15"/>
    </row>
    <row r="98">
      <c r="A98" s="8" t="str">
        <f>'1.1'!A:A</f>
        <v/>
      </c>
      <c r="B98" s="1" t="str">
        <f>'1.1'!B:B</f>
        <v/>
      </c>
      <c r="C98" s="1" t="str">
        <f>'1.1'!C:C</f>
        <v/>
      </c>
      <c r="D98" s="9"/>
      <c r="E98" s="15"/>
      <c r="F98" s="15"/>
      <c r="G98" s="15"/>
      <c r="H98" s="15"/>
      <c r="I98" s="15"/>
      <c r="J98" s="15"/>
      <c r="K98" s="15"/>
    </row>
    <row r="99">
      <c r="A99" s="8" t="str">
        <f>'1.1'!A:A</f>
        <v/>
      </c>
      <c r="B99" s="1" t="str">
        <f>'1.1'!B:B</f>
        <v/>
      </c>
      <c r="C99" s="1" t="str">
        <f>'1.1'!C:C</f>
        <v/>
      </c>
      <c r="D99" s="9"/>
      <c r="E99" s="15"/>
      <c r="F99" s="15"/>
      <c r="G99" s="15"/>
      <c r="H99" s="15"/>
      <c r="I99" s="15"/>
      <c r="J99" s="15"/>
      <c r="K99" s="15"/>
    </row>
    <row r="100">
      <c r="A100" s="8" t="str">
        <f>'1.1'!A:A</f>
        <v/>
      </c>
      <c r="B100" s="1" t="str">
        <f>'1.1'!B:B</f>
        <v/>
      </c>
      <c r="C100" s="1" t="str">
        <f>'1.1'!C:C</f>
        <v/>
      </c>
      <c r="D100" s="9"/>
      <c r="E100" s="15"/>
      <c r="F100" s="15"/>
      <c r="G100" s="15"/>
      <c r="H100" s="15"/>
      <c r="I100" s="15"/>
      <c r="J100" s="15"/>
      <c r="K100" s="15"/>
    </row>
    <row r="101">
      <c r="A101" s="8" t="str">
        <f>'1.1'!A:A</f>
        <v/>
      </c>
      <c r="B101" s="1" t="str">
        <f>'1.1'!B:B</f>
        <v/>
      </c>
      <c r="C101" s="1" t="str">
        <f>'1.1'!C:C</f>
        <v/>
      </c>
      <c r="D101" s="9"/>
      <c r="E101" s="15"/>
      <c r="F101" s="15"/>
      <c r="G101" s="15"/>
      <c r="H101" s="15"/>
      <c r="I101" s="15"/>
      <c r="J101" s="15"/>
      <c r="K101" s="15"/>
      <c r="N101" s="1" t="s">
        <v>295</v>
      </c>
      <c r="O101" s="12">
        <f>SUM(O2:O81)</f>
        <v>67</v>
      </c>
    </row>
    <row r="102">
      <c r="C102" s="1"/>
      <c r="E102" s="14">
        <f t="shared" ref="E102:K102" si="3">AVERAGE(E2:E81)</f>
        <v>4.2</v>
      </c>
      <c r="F102" s="14">
        <f t="shared" si="3"/>
        <v>4.225</v>
      </c>
      <c r="G102" s="14">
        <f t="shared" si="3"/>
        <v>4.175</v>
      </c>
      <c r="H102" s="14">
        <f t="shared" si="3"/>
        <v>4.2</v>
      </c>
      <c r="I102" s="14">
        <f t="shared" si="3"/>
        <v>4.2</v>
      </c>
      <c r="J102" s="14">
        <f t="shared" si="3"/>
        <v>4.175</v>
      </c>
      <c r="K102" s="14">
        <f t="shared" si="3"/>
        <v>4.175</v>
      </c>
      <c r="L102" s="16">
        <f>AVERAGE(E102:K102)</f>
        <v>4.192857143</v>
      </c>
      <c r="N102" s="1" t="s">
        <v>296</v>
      </c>
      <c r="O102" s="12">
        <f>(O101*100)/80</f>
        <v>83.75</v>
      </c>
    </row>
    <row r="103">
      <c r="C103" s="1"/>
    </row>
    <row r="104">
      <c r="C104" s="1"/>
    </row>
    <row r="105">
      <c r="C105" s="1"/>
    </row>
    <row r="106">
      <c r="C106" s="1"/>
    </row>
  </sheetData>
  <mergeCells count="1">
    <mergeCell ref="M1:O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5">
        <v>46262.41168535879</v>
      </c>
      <c r="B2" s="6" t="s">
        <v>11</v>
      </c>
      <c r="C2" s="6" t="s">
        <v>23</v>
      </c>
      <c r="D2" s="6" t="s">
        <v>13</v>
      </c>
      <c r="E2" s="6" t="s">
        <v>14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</row>
    <row r="3">
      <c r="A3" s="5">
        <v>46262.414219178245</v>
      </c>
      <c r="B3" s="6" t="s">
        <v>21</v>
      </c>
      <c r="C3" s="6" t="s">
        <v>27</v>
      </c>
      <c r="D3" s="6" t="s">
        <v>13</v>
      </c>
      <c r="E3" s="6" t="s">
        <v>14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</row>
    <row r="4">
      <c r="A4" s="5">
        <v>46262.415020138884</v>
      </c>
      <c r="B4" s="6" t="s">
        <v>24</v>
      </c>
      <c r="C4" s="6" t="s">
        <v>29</v>
      </c>
      <c r="D4" s="6" t="s">
        <v>13</v>
      </c>
      <c r="E4" s="6" t="s">
        <v>14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</row>
    <row r="5">
      <c r="A5" s="5">
        <v>46262.41748017361</v>
      </c>
      <c r="B5" s="6" t="s">
        <v>25</v>
      </c>
      <c r="C5" s="6" t="s">
        <v>34</v>
      </c>
      <c r="D5" s="6" t="s">
        <v>13</v>
      </c>
      <c r="E5" s="6" t="s">
        <v>14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</row>
    <row r="6">
      <c r="A6" s="5">
        <v>46262.42358081018</v>
      </c>
      <c r="B6" s="6" t="s">
        <v>28</v>
      </c>
      <c r="C6" s="6" t="s">
        <v>23</v>
      </c>
      <c r="D6" s="6" t="s">
        <v>13</v>
      </c>
      <c r="E6" s="6" t="s">
        <v>14</v>
      </c>
      <c r="F6" s="6" t="s">
        <v>16</v>
      </c>
      <c r="G6" s="6" t="s">
        <v>39</v>
      </c>
      <c r="H6" s="6" t="s">
        <v>18</v>
      </c>
      <c r="I6" s="6" t="s">
        <v>19</v>
      </c>
      <c r="J6" s="6" t="s">
        <v>20</v>
      </c>
    </row>
    <row r="7">
      <c r="A7" s="5">
        <v>46262.42611990741</v>
      </c>
      <c r="B7" s="6" t="s">
        <v>30</v>
      </c>
      <c r="C7" s="6" t="s">
        <v>41</v>
      </c>
      <c r="D7" s="6" t="s">
        <v>13</v>
      </c>
      <c r="E7" s="6" t="s">
        <v>14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43</v>
      </c>
    </row>
    <row r="8">
      <c r="A8" s="5">
        <v>46262.42837065972</v>
      </c>
      <c r="B8" s="6" t="s">
        <v>33</v>
      </c>
      <c r="C8" s="6" t="s">
        <v>35</v>
      </c>
      <c r="D8" s="6" t="s">
        <v>13</v>
      </c>
      <c r="E8" s="6" t="s">
        <v>14</v>
      </c>
      <c r="F8" s="6" t="s">
        <v>16</v>
      </c>
      <c r="G8" s="6" t="s">
        <v>17</v>
      </c>
      <c r="H8" s="6" t="s">
        <v>18</v>
      </c>
      <c r="I8" s="6" t="s">
        <v>19</v>
      </c>
      <c r="J8" s="6" t="s">
        <v>20</v>
      </c>
      <c r="K8" s="6" t="s">
        <v>36</v>
      </c>
    </row>
    <row r="9">
      <c r="A9" s="5">
        <v>46262.43642287037</v>
      </c>
      <c r="B9" s="6" t="s">
        <v>37</v>
      </c>
      <c r="C9" s="6" t="s">
        <v>47</v>
      </c>
      <c r="D9" s="6" t="s">
        <v>13</v>
      </c>
      <c r="E9" s="6" t="s">
        <v>14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>
      <c r="A10" s="5">
        <v>46262.44181010417</v>
      </c>
      <c r="B10" s="6" t="s">
        <v>40</v>
      </c>
      <c r="C10" s="6" t="s">
        <v>23</v>
      </c>
      <c r="D10" s="6" t="s">
        <v>13</v>
      </c>
      <c r="E10" s="6" t="s">
        <v>14</v>
      </c>
      <c r="F10" s="6" t="s">
        <v>16</v>
      </c>
      <c r="G10" s="6" t="s">
        <v>17</v>
      </c>
      <c r="H10" s="6" t="s">
        <v>18</v>
      </c>
      <c r="I10" s="6" t="s">
        <v>19</v>
      </c>
      <c r="J10" s="6" t="s">
        <v>20</v>
      </c>
    </row>
    <row r="11">
      <c r="A11" s="5">
        <v>46262.441831296295</v>
      </c>
      <c r="B11" s="6" t="s">
        <v>42</v>
      </c>
      <c r="C11" s="6" t="s">
        <v>23</v>
      </c>
      <c r="D11" s="6" t="s">
        <v>13</v>
      </c>
      <c r="E11" s="6" t="s">
        <v>14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20</v>
      </c>
    </row>
    <row r="12">
      <c r="A12" s="5">
        <v>46262.4443719213</v>
      </c>
      <c r="B12" s="6" t="s">
        <v>44</v>
      </c>
      <c r="C12" s="6" t="s">
        <v>58</v>
      </c>
      <c r="D12" s="6" t="s">
        <v>13</v>
      </c>
      <c r="E12" s="6" t="s">
        <v>14</v>
      </c>
      <c r="F12" s="6" t="s">
        <v>16</v>
      </c>
      <c r="G12" s="6" t="s">
        <v>17</v>
      </c>
      <c r="H12" s="6" t="s">
        <v>18</v>
      </c>
      <c r="I12" s="6" t="s">
        <v>19</v>
      </c>
      <c r="J12" s="6" t="s">
        <v>20</v>
      </c>
    </row>
    <row r="13">
      <c r="A13" s="5">
        <v>46262.444930115744</v>
      </c>
      <c r="B13" s="6" t="s">
        <v>46</v>
      </c>
      <c r="C13" s="6" t="s">
        <v>23</v>
      </c>
      <c r="D13" s="6" t="s">
        <v>13</v>
      </c>
      <c r="E13" s="6" t="s">
        <v>14</v>
      </c>
      <c r="F13" s="6" t="s">
        <v>16</v>
      </c>
      <c r="G13" s="6" t="s">
        <v>17</v>
      </c>
      <c r="H13" s="6" t="s">
        <v>18</v>
      </c>
      <c r="I13" s="6" t="s">
        <v>19</v>
      </c>
      <c r="J13" s="6" t="s">
        <v>20</v>
      </c>
      <c r="K13" s="6" t="s">
        <v>48</v>
      </c>
    </row>
    <row r="14">
      <c r="A14" s="5">
        <v>46262.44987689814</v>
      </c>
      <c r="B14" s="6" t="s">
        <v>49</v>
      </c>
      <c r="C14" s="6" t="s">
        <v>23</v>
      </c>
      <c r="D14" s="6" t="s">
        <v>13</v>
      </c>
      <c r="E14" s="6" t="s">
        <v>14</v>
      </c>
      <c r="F14" s="6" t="s">
        <v>16</v>
      </c>
      <c r="G14" s="6" t="s">
        <v>17</v>
      </c>
      <c r="H14" s="6" t="s">
        <v>18</v>
      </c>
      <c r="I14" s="6" t="s">
        <v>19</v>
      </c>
      <c r="J14" s="6" t="s">
        <v>20</v>
      </c>
      <c r="K14" s="6" t="s">
        <v>65</v>
      </c>
    </row>
    <row r="15">
      <c r="A15" s="5">
        <v>46262.45097064815</v>
      </c>
      <c r="B15" s="6" t="s">
        <v>51</v>
      </c>
      <c r="C15" s="6" t="s">
        <v>38</v>
      </c>
      <c r="D15" s="6" t="s">
        <v>13</v>
      </c>
      <c r="E15" s="6" t="s">
        <v>14</v>
      </c>
      <c r="F15" s="6" t="s">
        <v>16</v>
      </c>
      <c r="G15" s="6" t="s">
        <v>17</v>
      </c>
      <c r="H15" s="6" t="s">
        <v>18</v>
      </c>
      <c r="I15" s="6" t="s">
        <v>19</v>
      </c>
      <c r="J15" s="6" t="s">
        <v>20</v>
      </c>
    </row>
    <row r="16">
      <c r="A16" s="5">
        <v>46262.457807557876</v>
      </c>
      <c r="B16" s="6" t="s">
        <v>57</v>
      </c>
      <c r="C16" s="6" t="s">
        <v>23</v>
      </c>
      <c r="D16" s="6" t="s">
        <v>13</v>
      </c>
      <c r="E16" s="6" t="s">
        <v>14</v>
      </c>
      <c r="F16" s="6" t="s">
        <v>16</v>
      </c>
      <c r="G16" s="6" t="s">
        <v>17</v>
      </c>
      <c r="H16" s="6" t="s">
        <v>18</v>
      </c>
      <c r="I16" s="6" t="s">
        <v>19</v>
      </c>
      <c r="J16" s="6" t="s">
        <v>20</v>
      </c>
    </row>
    <row r="17">
      <c r="A17" s="5">
        <v>46262.46003079861</v>
      </c>
      <c r="B17" s="6" t="s">
        <v>52</v>
      </c>
      <c r="C17" s="6" t="s">
        <v>23</v>
      </c>
      <c r="D17" s="6" t="s">
        <v>73</v>
      </c>
      <c r="E17" s="6" t="s">
        <v>14</v>
      </c>
      <c r="F17" s="6" t="s">
        <v>54</v>
      </c>
      <c r="G17" s="6" t="s">
        <v>39</v>
      </c>
      <c r="H17" s="6" t="s">
        <v>18</v>
      </c>
      <c r="I17" s="6" t="s">
        <v>19</v>
      </c>
      <c r="J17" s="6" t="s">
        <v>20</v>
      </c>
    </row>
    <row r="18">
      <c r="A18" s="5">
        <v>46262.460568078706</v>
      </c>
      <c r="B18" s="6" t="s">
        <v>59</v>
      </c>
      <c r="C18" s="6" t="s">
        <v>27</v>
      </c>
      <c r="D18" s="6" t="s">
        <v>13</v>
      </c>
      <c r="E18" s="6" t="s">
        <v>14</v>
      </c>
      <c r="F18" s="6" t="s">
        <v>16</v>
      </c>
      <c r="G18" s="6" t="s">
        <v>17</v>
      </c>
      <c r="H18" s="6" t="s">
        <v>18</v>
      </c>
      <c r="I18" s="6" t="s">
        <v>19</v>
      </c>
      <c r="J18" s="6" t="s">
        <v>20</v>
      </c>
    </row>
    <row r="19">
      <c r="A19" s="5">
        <v>46262.46380868056</v>
      </c>
      <c r="B19" s="6" t="s">
        <v>60</v>
      </c>
      <c r="C19" s="6" t="s">
        <v>27</v>
      </c>
      <c r="D19" s="6" t="s">
        <v>13</v>
      </c>
      <c r="E19" s="6" t="s">
        <v>14</v>
      </c>
      <c r="F19" s="6" t="s">
        <v>16</v>
      </c>
      <c r="G19" s="6" t="s">
        <v>17</v>
      </c>
      <c r="H19" s="6" t="s">
        <v>18</v>
      </c>
      <c r="I19" s="6" t="s">
        <v>19</v>
      </c>
      <c r="J19" s="6" t="s">
        <v>20</v>
      </c>
    </row>
    <row r="20">
      <c r="A20" s="5">
        <v>46262.46772236111</v>
      </c>
      <c r="B20" s="6" t="s">
        <v>61</v>
      </c>
      <c r="C20" s="6" t="s">
        <v>23</v>
      </c>
      <c r="D20" s="6" t="s">
        <v>13</v>
      </c>
      <c r="E20" s="6" t="s">
        <v>14</v>
      </c>
      <c r="F20" s="6" t="s">
        <v>16</v>
      </c>
      <c r="G20" s="6" t="s">
        <v>17</v>
      </c>
      <c r="H20" s="6" t="s">
        <v>18</v>
      </c>
      <c r="I20" s="6" t="s">
        <v>19</v>
      </c>
      <c r="J20" s="6" t="s">
        <v>20</v>
      </c>
    </row>
    <row r="21">
      <c r="A21" s="5">
        <v>46262.48177594907</v>
      </c>
      <c r="B21" s="6" t="s">
        <v>63</v>
      </c>
      <c r="C21" s="6" t="s">
        <v>23</v>
      </c>
      <c r="D21" s="6" t="s">
        <v>13</v>
      </c>
      <c r="E21" s="6" t="s">
        <v>14</v>
      </c>
      <c r="F21" s="6" t="s">
        <v>16</v>
      </c>
      <c r="G21" s="6" t="s">
        <v>17</v>
      </c>
      <c r="H21" s="6" t="s">
        <v>18</v>
      </c>
      <c r="I21" s="6" t="s">
        <v>19</v>
      </c>
      <c r="J21" s="6" t="s">
        <v>20</v>
      </c>
      <c r="K21" s="6" t="s">
        <v>64</v>
      </c>
    </row>
    <row r="22">
      <c r="A22" s="5">
        <v>46262.48687180555</v>
      </c>
      <c r="B22" s="6" t="s">
        <v>66</v>
      </c>
      <c r="C22" s="6" t="s">
        <v>23</v>
      </c>
      <c r="D22" s="6" t="s">
        <v>13</v>
      </c>
      <c r="E22" s="6" t="s">
        <v>14</v>
      </c>
      <c r="F22" s="6" t="s">
        <v>16</v>
      </c>
      <c r="G22" s="6" t="s">
        <v>17</v>
      </c>
      <c r="H22" s="6" t="s">
        <v>18</v>
      </c>
      <c r="I22" s="6" t="s">
        <v>19</v>
      </c>
      <c r="J22" s="6" t="s">
        <v>20</v>
      </c>
      <c r="K22" s="6" t="s">
        <v>68</v>
      </c>
    </row>
    <row r="23">
      <c r="A23" s="5">
        <v>46262.49657052083</v>
      </c>
      <c r="B23" s="6" t="s">
        <v>69</v>
      </c>
      <c r="C23" s="6" t="s">
        <v>84</v>
      </c>
      <c r="D23" s="6" t="s">
        <v>13</v>
      </c>
      <c r="E23" s="6" t="s">
        <v>14</v>
      </c>
      <c r="F23" s="6" t="s">
        <v>16</v>
      </c>
      <c r="G23" s="6" t="s">
        <v>17</v>
      </c>
      <c r="H23" s="6" t="s">
        <v>18</v>
      </c>
      <c r="I23" s="6" t="s">
        <v>19</v>
      </c>
      <c r="J23" s="6" t="s">
        <v>20</v>
      </c>
    </row>
    <row r="24">
      <c r="A24" s="5">
        <v>46262.500208819445</v>
      </c>
      <c r="B24" s="6" t="s">
        <v>71</v>
      </c>
      <c r="C24" s="6" t="s">
        <v>23</v>
      </c>
      <c r="D24" s="6" t="s">
        <v>13</v>
      </c>
      <c r="E24" s="6" t="s">
        <v>14</v>
      </c>
      <c r="F24" s="6" t="s">
        <v>16</v>
      </c>
      <c r="G24" s="6" t="s">
        <v>17</v>
      </c>
      <c r="H24" s="6" t="s">
        <v>18</v>
      </c>
      <c r="I24" s="6" t="s">
        <v>19</v>
      </c>
      <c r="J24" s="6" t="s">
        <v>20</v>
      </c>
    </row>
    <row r="25">
      <c r="A25" s="5">
        <v>46262.52317672454</v>
      </c>
      <c r="B25" s="6" t="s">
        <v>72</v>
      </c>
      <c r="C25" s="6" t="s">
        <v>23</v>
      </c>
      <c r="D25" s="6" t="s">
        <v>13</v>
      </c>
      <c r="E25" s="6" t="s">
        <v>14</v>
      </c>
      <c r="F25" s="6" t="s">
        <v>16</v>
      </c>
      <c r="G25" s="6" t="s">
        <v>17</v>
      </c>
      <c r="H25" s="6" t="s">
        <v>18</v>
      </c>
      <c r="I25" s="6" t="s">
        <v>19</v>
      </c>
      <c r="J25" s="6" t="s">
        <v>20</v>
      </c>
    </row>
    <row r="26">
      <c r="A26" s="5">
        <v>46262.52943751158</v>
      </c>
      <c r="B26" s="6" t="s">
        <v>74</v>
      </c>
      <c r="C26" s="6" t="s">
        <v>27</v>
      </c>
      <c r="D26" s="6" t="s">
        <v>13</v>
      </c>
      <c r="E26" s="6" t="s">
        <v>14</v>
      </c>
      <c r="F26" s="6" t="s">
        <v>16</v>
      </c>
      <c r="G26" s="6" t="s">
        <v>17</v>
      </c>
      <c r="H26" s="6" t="s">
        <v>18</v>
      </c>
      <c r="I26" s="6" t="s">
        <v>19</v>
      </c>
      <c r="J26" s="6" t="s">
        <v>20</v>
      </c>
    </row>
    <row r="27">
      <c r="A27" s="5">
        <v>46262.55362633102</v>
      </c>
      <c r="B27" s="6" t="s">
        <v>77</v>
      </c>
      <c r="C27" s="6" t="s">
        <v>94</v>
      </c>
      <c r="D27" s="6" t="s">
        <v>13</v>
      </c>
      <c r="E27" s="6" t="s">
        <v>14</v>
      </c>
      <c r="F27" s="6" t="s">
        <v>16</v>
      </c>
      <c r="G27" s="6" t="s">
        <v>17</v>
      </c>
      <c r="H27" s="6" t="s">
        <v>18</v>
      </c>
      <c r="I27" s="6" t="s">
        <v>19</v>
      </c>
      <c r="J27" s="6" t="s">
        <v>20</v>
      </c>
    </row>
    <row r="28">
      <c r="A28" s="5">
        <v>46262.553650601854</v>
      </c>
      <c r="B28" s="6" t="s">
        <v>75</v>
      </c>
      <c r="C28" s="6" t="s">
        <v>96</v>
      </c>
      <c r="D28" s="6" t="s">
        <v>13</v>
      </c>
      <c r="E28" s="6" t="s">
        <v>14</v>
      </c>
      <c r="F28" s="6" t="s">
        <v>16</v>
      </c>
      <c r="G28" s="6" t="s">
        <v>17</v>
      </c>
      <c r="H28" s="6" t="s">
        <v>18</v>
      </c>
      <c r="I28" s="6" t="s">
        <v>19</v>
      </c>
      <c r="J28" s="6" t="s">
        <v>20</v>
      </c>
    </row>
    <row r="29">
      <c r="A29" s="5">
        <v>46262.56030719908</v>
      </c>
      <c r="B29" s="6" t="s">
        <v>79</v>
      </c>
      <c r="C29" s="6" t="s">
        <v>23</v>
      </c>
      <c r="D29" s="6" t="s">
        <v>13</v>
      </c>
      <c r="E29" s="6" t="s">
        <v>14</v>
      </c>
      <c r="F29" s="6" t="s">
        <v>16</v>
      </c>
      <c r="G29" s="6" t="s">
        <v>17</v>
      </c>
      <c r="H29" s="6" t="s">
        <v>18</v>
      </c>
      <c r="I29" s="6" t="s">
        <v>19</v>
      </c>
      <c r="J29" s="6" t="s">
        <v>20</v>
      </c>
    </row>
    <row r="30">
      <c r="A30" s="5">
        <v>46262.56033127315</v>
      </c>
      <c r="B30" s="6" t="s">
        <v>78</v>
      </c>
      <c r="C30" s="6" t="s">
        <v>23</v>
      </c>
      <c r="D30" s="6" t="s">
        <v>13</v>
      </c>
      <c r="E30" s="6" t="s">
        <v>14</v>
      </c>
      <c r="F30" s="6" t="s">
        <v>16</v>
      </c>
      <c r="G30" s="6" t="s">
        <v>17</v>
      </c>
      <c r="H30" s="6" t="s">
        <v>18</v>
      </c>
      <c r="I30" s="6" t="s">
        <v>19</v>
      </c>
      <c r="J30" s="6" t="s">
        <v>20</v>
      </c>
    </row>
    <row r="31">
      <c r="A31" s="5">
        <v>46262.569895057866</v>
      </c>
      <c r="B31" s="6" t="s">
        <v>80</v>
      </c>
      <c r="C31" s="6" t="s">
        <v>23</v>
      </c>
      <c r="D31" s="6" t="s">
        <v>13</v>
      </c>
      <c r="E31" s="6" t="s">
        <v>14</v>
      </c>
      <c r="F31" s="6" t="s">
        <v>16</v>
      </c>
      <c r="G31" s="6" t="s">
        <v>17</v>
      </c>
      <c r="H31" s="6" t="s">
        <v>18</v>
      </c>
      <c r="I31" s="6" t="s">
        <v>19</v>
      </c>
      <c r="J31" s="6" t="s">
        <v>20</v>
      </c>
      <c r="K31" s="6" t="s">
        <v>81</v>
      </c>
    </row>
    <row r="32">
      <c r="A32" s="5">
        <v>46262.579169143515</v>
      </c>
      <c r="B32" s="6" t="s">
        <v>82</v>
      </c>
      <c r="C32" s="6" t="s">
        <v>27</v>
      </c>
      <c r="D32" s="6" t="s">
        <v>13</v>
      </c>
      <c r="E32" s="6" t="s">
        <v>14</v>
      </c>
      <c r="F32" s="6" t="s">
        <v>16</v>
      </c>
      <c r="G32" s="6" t="s">
        <v>17</v>
      </c>
      <c r="H32" s="6" t="s">
        <v>18</v>
      </c>
      <c r="I32" s="6" t="s">
        <v>19</v>
      </c>
      <c r="J32" s="6" t="s">
        <v>20</v>
      </c>
    </row>
    <row r="33">
      <c r="A33" s="5">
        <v>46262.579350381944</v>
      </c>
      <c r="B33" s="6" t="s">
        <v>83</v>
      </c>
      <c r="C33" s="6" t="s">
        <v>27</v>
      </c>
      <c r="D33" s="6" t="s">
        <v>13</v>
      </c>
      <c r="E33" s="6" t="s">
        <v>14</v>
      </c>
      <c r="F33" s="6" t="s">
        <v>16</v>
      </c>
      <c r="G33" s="6" t="s">
        <v>17</v>
      </c>
      <c r="H33" s="6" t="s">
        <v>18</v>
      </c>
      <c r="I33" s="6" t="s">
        <v>19</v>
      </c>
      <c r="J33" s="6" t="s">
        <v>20</v>
      </c>
    </row>
    <row r="34">
      <c r="A34" s="5">
        <v>46262.58646626158</v>
      </c>
      <c r="B34" s="6" t="s">
        <v>85</v>
      </c>
      <c r="C34" s="6" t="s">
        <v>23</v>
      </c>
      <c r="D34" s="6" t="s">
        <v>13</v>
      </c>
      <c r="E34" s="6" t="s">
        <v>14</v>
      </c>
      <c r="F34" s="6" t="s">
        <v>16</v>
      </c>
      <c r="G34" s="6" t="s">
        <v>39</v>
      </c>
      <c r="H34" s="6" t="s">
        <v>18</v>
      </c>
      <c r="I34" s="6" t="s">
        <v>19</v>
      </c>
      <c r="J34" s="6" t="s">
        <v>20</v>
      </c>
    </row>
    <row r="35">
      <c r="A35" s="5">
        <v>46262.591942812505</v>
      </c>
      <c r="B35" s="6" t="s">
        <v>86</v>
      </c>
      <c r="C35" s="6" t="s">
        <v>27</v>
      </c>
      <c r="D35" s="6" t="s">
        <v>73</v>
      </c>
      <c r="E35" s="6" t="s">
        <v>14</v>
      </c>
      <c r="F35" s="6" t="s">
        <v>16</v>
      </c>
      <c r="G35" s="6" t="s">
        <v>17</v>
      </c>
      <c r="H35" s="6" t="s">
        <v>18</v>
      </c>
      <c r="I35" s="6" t="s">
        <v>19</v>
      </c>
      <c r="J35" s="6" t="s">
        <v>20</v>
      </c>
    </row>
    <row r="36">
      <c r="A36" s="5">
        <v>46262.61097605324</v>
      </c>
      <c r="B36" s="6" t="s">
        <v>88</v>
      </c>
      <c r="C36" s="6" t="s">
        <v>27</v>
      </c>
      <c r="D36" s="6" t="s">
        <v>13</v>
      </c>
      <c r="E36" s="6" t="s">
        <v>14</v>
      </c>
      <c r="F36" s="6" t="s">
        <v>16</v>
      </c>
      <c r="G36" s="6" t="s">
        <v>17</v>
      </c>
      <c r="H36" s="6" t="s">
        <v>18</v>
      </c>
      <c r="I36" s="6" t="s">
        <v>19</v>
      </c>
      <c r="J36" s="6" t="s">
        <v>20</v>
      </c>
    </row>
    <row r="37">
      <c r="A37" s="5">
        <v>46262.626614594905</v>
      </c>
      <c r="B37" s="6" t="s">
        <v>90</v>
      </c>
      <c r="C37" s="6" t="s">
        <v>110</v>
      </c>
      <c r="D37" s="6" t="s">
        <v>13</v>
      </c>
      <c r="E37" s="6" t="s">
        <v>14</v>
      </c>
      <c r="F37" s="6" t="s">
        <v>16</v>
      </c>
      <c r="G37" s="6" t="s">
        <v>17</v>
      </c>
      <c r="H37" s="6" t="s">
        <v>18</v>
      </c>
      <c r="I37" s="6" t="s">
        <v>19</v>
      </c>
      <c r="J37" s="6" t="s">
        <v>20</v>
      </c>
      <c r="K37" s="6" t="s">
        <v>92</v>
      </c>
    </row>
    <row r="38">
      <c r="A38" s="5">
        <v>46262.64263104167</v>
      </c>
      <c r="B38" s="6" t="s">
        <v>93</v>
      </c>
      <c r="C38" s="6" t="s">
        <v>23</v>
      </c>
      <c r="D38" s="6" t="s">
        <v>13</v>
      </c>
      <c r="E38" s="6" t="s">
        <v>14</v>
      </c>
      <c r="F38" s="6" t="s">
        <v>16</v>
      </c>
      <c r="G38" s="6" t="s">
        <v>17</v>
      </c>
      <c r="H38" s="6" t="s">
        <v>18</v>
      </c>
      <c r="I38" s="6" t="s">
        <v>19</v>
      </c>
      <c r="J38" s="6" t="s">
        <v>20</v>
      </c>
    </row>
    <row r="39">
      <c r="A39" s="5">
        <v>46262.64398637731</v>
      </c>
      <c r="B39" s="6" t="s">
        <v>95</v>
      </c>
      <c r="C39" s="6" t="s">
        <v>23</v>
      </c>
      <c r="D39" s="6" t="s">
        <v>13</v>
      </c>
      <c r="E39" s="6" t="s">
        <v>14</v>
      </c>
      <c r="F39" s="6" t="s">
        <v>16</v>
      </c>
      <c r="G39" s="6" t="s">
        <v>17</v>
      </c>
      <c r="H39" s="6" t="s">
        <v>18</v>
      </c>
      <c r="I39" s="6" t="s">
        <v>19</v>
      </c>
      <c r="J39" s="6" t="s">
        <v>20</v>
      </c>
      <c r="K39" s="6" t="s">
        <v>92</v>
      </c>
    </row>
    <row r="40">
      <c r="A40" s="5">
        <v>46262.7395434375</v>
      </c>
      <c r="B40" s="6" t="s">
        <v>97</v>
      </c>
      <c r="C40" s="6" t="s">
        <v>27</v>
      </c>
      <c r="D40" s="6" t="s">
        <v>13</v>
      </c>
      <c r="E40" s="6" t="s">
        <v>14</v>
      </c>
      <c r="F40" s="6" t="s">
        <v>16</v>
      </c>
      <c r="G40" s="6" t="s">
        <v>17</v>
      </c>
      <c r="H40" s="6" t="s">
        <v>18</v>
      </c>
      <c r="I40" s="6" t="s">
        <v>19</v>
      </c>
      <c r="J40" s="6" t="s">
        <v>20</v>
      </c>
    </row>
    <row r="41">
      <c r="A41" s="5">
        <v>46262.79417206018</v>
      </c>
      <c r="B41" s="6" t="s">
        <v>98</v>
      </c>
      <c r="C41" s="6" t="s">
        <v>23</v>
      </c>
      <c r="D41" s="6" t="s">
        <v>13</v>
      </c>
      <c r="E41" s="6" t="s">
        <v>14</v>
      </c>
      <c r="F41" s="6" t="s">
        <v>16</v>
      </c>
      <c r="G41" s="6" t="s">
        <v>17</v>
      </c>
      <c r="H41" s="6" t="s">
        <v>18</v>
      </c>
      <c r="I41" s="6" t="s">
        <v>19</v>
      </c>
      <c r="J41" s="6" t="s">
        <v>20</v>
      </c>
    </row>
    <row r="42">
      <c r="A42" s="5">
        <v>46262.87086674769</v>
      </c>
      <c r="B42" s="6" t="s">
        <v>99</v>
      </c>
      <c r="C42" s="6" t="s">
        <v>96</v>
      </c>
      <c r="D42" s="6" t="s">
        <v>13</v>
      </c>
      <c r="E42" s="6" t="s">
        <v>14</v>
      </c>
      <c r="F42" s="6" t="s">
        <v>16</v>
      </c>
      <c r="G42" s="6" t="s">
        <v>17</v>
      </c>
      <c r="H42" s="6" t="s">
        <v>18</v>
      </c>
      <c r="I42" s="6" t="s">
        <v>19</v>
      </c>
      <c r="J42" s="6" t="s">
        <v>20</v>
      </c>
    </row>
    <row r="43">
      <c r="A43" s="5">
        <v>46262.95533600694</v>
      </c>
      <c r="B43" s="6" t="s">
        <v>100</v>
      </c>
      <c r="C43" s="6" t="s">
        <v>27</v>
      </c>
      <c r="D43" s="6" t="s">
        <v>13</v>
      </c>
      <c r="E43" s="6" t="s">
        <v>14</v>
      </c>
      <c r="F43" s="6" t="s">
        <v>16</v>
      </c>
      <c r="G43" s="6" t="s">
        <v>17</v>
      </c>
      <c r="H43" s="6" t="s">
        <v>18</v>
      </c>
      <c r="I43" s="6" t="s">
        <v>19</v>
      </c>
      <c r="J43" s="6" t="s">
        <v>20</v>
      </c>
    </row>
    <row r="44">
      <c r="A44" s="5">
        <v>46262.95950128473</v>
      </c>
      <c r="B44" s="6" t="s">
        <v>101</v>
      </c>
      <c r="C44" s="6" t="s">
        <v>23</v>
      </c>
      <c r="D44" s="6" t="s">
        <v>13</v>
      </c>
      <c r="E44" s="6" t="s">
        <v>14</v>
      </c>
      <c r="F44" s="6" t="s">
        <v>16</v>
      </c>
      <c r="G44" s="6" t="s">
        <v>17</v>
      </c>
      <c r="H44" s="6" t="s">
        <v>18</v>
      </c>
      <c r="I44" s="6" t="s">
        <v>19</v>
      </c>
      <c r="J44" s="6" t="s">
        <v>20</v>
      </c>
    </row>
    <row r="45">
      <c r="A45" s="5">
        <v>46263.6043875926</v>
      </c>
      <c r="B45" s="6" t="s">
        <v>103</v>
      </c>
      <c r="C45" s="6" t="s">
        <v>27</v>
      </c>
      <c r="D45" s="6" t="s">
        <v>13</v>
      </c>
      <c r="E45" s="6" t="s">
        <v>14</v>
      </c>
      <c r="F45" s="6" t="s">
        <v>16</v>
      </c>
      <c r="G45" s="6" t="s">
        <v>17</v>
      </c>
      <c r="H45" s="6" t="s">
        <v>18</v>
      </c>
      <c r="I45" s="6" t="s">
        <v>19</v>
      </c>
      <c r="J45" s="6" t="s">
        <v>20</v>
      </c>
    </row>
    <row r="46">
      <c r="A46" s="5">
        <v>46263.713535462965</v>
      </c>
      <c r="B46" s="6" t="s">
        <v>104</v>
      </c>
      <c r="C46" s="6" t="s">
        <v>23</v>
      </c>
      <c r="D46" s="6" t="s">
        <v>13</v>
      </c>
      <c r="E46" s="6" t="s">
        <v>14</v>
      </c>
      <c r="F46" s="6" t="s">
        <v>16</v>
      </c>
      <c r="G46" s="6" t="s">
        <v>17</v>
      </c>
      <c r="H46" s="6" t="s">
        <v>18</v>
      </c>
      <c r="I46" s="6" t="s">
        <v>19</v>
      </c>
      <c r="J46" s="6" t="s">
        <v>20</v>
      </c>
    </row>
    <row r="47">
      <c r="A47" s="5">
        <v>46264.52751296296</v>
      </c>
      <c r="B47" s="6" t="s">
        <v>105</v>
      </c>
      <c r="C47" s="6" t="s">
        <v>23</v>
      </c>
      <c r="D47" s="6" t="s">
        <v>13</v>
      </c>
      <c r="E47" s="6" t="s">
        <v>14</v>
      </c>
      <c r="F47" s="6" t="s">
        <v>16</v>
      </c>
      <c r="G47" s="6" t="s">
        <v>17</v>
      </c>
      <c r="H47" s="6" t="s">
        <v>18</v>
      </c>
      <c r="I47" s="6" t="s">
        <v>19</v>
      </c>
      <c r="J47" s="6" t="s">
        <v>20</v>
      </c>
    </row>
    <row r="48">
      <c r="A48" s="5">
        <v>46264.650768437496</v>
      </c>
      <c r="B48" s="6" t="s">
        <v>106</v>
      </c>
      <c r="C48" s="6" t="s">
        <v>41</v>
      </c>
      <c r="D48" s="6" t="s">
        <v>13</v>
      </c>
      <c r="E48" s="6" t="s">
        <v>14</v>
      </c>
      <c r="F48" s="6" t="s">
        <v>16</v>
      </c>
      <c r="G48" s="6" t="s">
        <v>17</v>
      </c>
      <c r="H48" s="6" t="s">
        <v>18</v>
      </c>
      <c r="I48" s="6" t="s">
        <v>19</v>
      </c>
      <c r="J48" s="6" t="s">
        <v>20</v>
      </c>
    </row>
    <row r="49">
      <c r="A49" s="5">
        <v>46264.87768413195</v>
      </c>
      <c r="B49" s="6" t="s">
        <v>108</v>
      </c>
      <c r="C49" s="6" t="s">
        <v>109</v>
      </c>
      <c r="D49" s="6" t="s">
        <v>13</v>
      </c>
      <c r="E49" s="6" t="s">
        <v>14</v>
      </c>
      <c r="F49" s="6" t="s">
        <v>16</v>
      </c>
      <c r="G49" s="6" t="s">
        <v>17</v>
      </c>
      <c r="H49" s="6" t="s">
        <v>18</v>
      </c>
      <c r="I49" s="6" t="s">
        <v>19</v>
      </c>
      <c r="J49" s="6" t="s">
        <v>20</v>
      </c>
    </row>
    <row r="50">
      <c r="A50" s="5">
        <v>46265.32364008102</v>
      </c>
      <c r="B50" s="6" t="s">
        <v>111</v>
      </c>
      <c r="C50" s="6" t="s">
        <v>27</v>
      </c>
      <c r="D50" s="6" t="s">
        <v>13</v>
      </c>
      <c r="E50" s="6" t="s">
        <v>14</v>
      </c>
      <c r="F50" s="6" t="s">
        <v>16</v>
      </c>
      <c r="G50" s="6" t="s">
        <v>17</v>
      </c>
      <c r="H50" s="6" t="s">
        <v>18</v>
      </c>
      <c r="I50" s="6" t="s">
        <v>19</v>
      </c>
      <c r="J50" s="6" t="s">
        <v>20</v>
      </c>
    </row>
    <row r="51">
      <c r="A51" s="5">
        <v>46265.67886231482</v>
      </c>
      <c r="B51" s="6" t="s">
        <v>112</v>
      </c>
      <c r="C51" s="6" t="s">
        <v>23</v>
      </c>
      <c r="D51" s="6" t="s">
        <v>13</v>
      </c>
      <c r="E51" s="6" t="s">
        <v>14</v>
      </c>
      <c r="F51" s="6" t="s">
        <v>16</v>
      </c>
      <c r="G51" s="6" t="s">
        <v>17</v>
      </c>
      <c r="H51" s="6" t="s">
        <v>18</v>
      </c>
      <c r="I51" s="6" t="s">
        <v>19</v>
      </c>
      <c r="J51" s="6" t="s">
        <v>20</v>
      </c>
    </row>
    <row r="52">
      <c r="A52" s="5">
        <v>46265.6912065625</v>
      </c>
      <c r="B52" s="6" t="s">
        <v>113</v>
      </c>
      <c r="C52" s="6" t="s">
        <v>23</v>
      </c>
      <c r="D52" s="6" t="s">
        <v>13</v>
      </c>
      <c r="E52" s="6" t="s">
        <v>14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>
      <c r="A53" s="5">
        <v>46265.702858819444</v>
      </c>
      <c r="B53" s="6" t="s">
        <v>114</v>
      </c>
      <c r="C53" s="6" t="s">
        <v>27</v>
      </c>
      <c r="D53" s="6" t="s">
        <v>13</v>
      </c>
      <c r="E53" s="6" t="s">
        <v>14</v>
      </c>
      <c r="F53" s="6" t="s">
        <v>16</v>
      </c>
      <c r="G53" s="6" t="s">
        <v>17</v>
      </c>
      <c r="H53" s="6" t="s">
        <v>18</v>
      </c>
      <c r="I53" s="6" t="s">
        <v>19</v>
      </c>
      <c r="J53" s="6" t="s">
        <v>20</v>
      </c>
    </row>
    <row r="54">
      <c r="A54" s="5">
        <v>46265.70416490741</v>
      </c>
      <c r="B54" s="6" t="s">
        <v>115</v>
      </c>
      <c r="C54" s="6" t="s">
        <v>23</v>
      </c>
      <c r="D54" s="6" t="s">
        <v>13</v>
      </c>
      <c r="E54" s="6" t="s">
        <v>14</v>
      </c>
      <c r="F54" s="6" t="s">
        <v>16</v>
      </c>
      <c r="G54" s="6" t="s">
        <v>17</v>
      </c>
      <c r="H54" s="6" t="s">
        <v>18</v>
      </c>
      <c r="I54" s="6" t="s">
        <v>19</v>
      </c>
      <c r="J54" s="6" t="s">
        <v>20</v>
      </c>
    </row>
    <row r="55">
      <c r="A55" s="5">
        <v>46265.7344652662</v>
      </c>
      <c r="B55" s="6" t="s">
        <v>116</v>
      </c>
      <c r="C55" s="6" t="s">
        <v>23</v>
      </c>
      <c r="D55" s="6" t="s">
        <v>13</v>
      </c>
      <c r="E55" s="6" t="s">
        <v>14</v>
      </c>
      <c r="F55" s="6" t="s">
        <v>16</v>
      </c>
      <c r="G55" s="6" t="s">
        <v>17</v>
      </c>
      <c r="H55" s="6" t="s">
        <v>18</v>
      </c>
      <c r="I55" s="6" t="s">
        <v>19</v>
      </c>
      <c r="J55" s="6" t="s">
        <v>20</v>
      </c>
    </row>
    <row r="56">
      <c r="A56" s="5">
        <v>46266.546536469905</v>
      </c>
      <c r="B56" s="6" t="s">
        <v>118</v>
      </c>
      <c r="C56" s="6" t="s">
        <v>119</v>
      </c>
      <c r="D56" s="6" t="s">
        <v>73</v>
      </c>
      <c r="E56" s="6" t="s">
        <v>120</v>
      </c>
      <c r="F56" s="6" t="s">
        <v>54</v>
      </c>
      <c r="G56" s="6" t="s">
        <v>39</v>
      </c>
      <c r="H56" s="6" t="s">
        <v>87</v>
      </c>
      <c r="I56" s="6" t="s">
        <v>55</v>
      </c>
      <c r="J56" s="6" t="s">
        <v>56</v>
      </c>
    </row>
    <row r="57">
      <c r="A57" s="5">
        <v>46266.677422002314</v>
      </c>
      <c r="B57" s="6" t="s">
        <v>121</v>
      </c>
      <c r="C57" s="6" t="s">
        <v>27</v>
      </c>
      <c r="D57" s="6" t="s">
        <v>13</v>
      </c>
      <c r="E57" s="6" t="s">
        <v>14</v>
      </c>
      <c r="F57" s="6" t="s">
        <v>16</v>
      </c>
      <c r="G57" s="6" t="s">
        <v>17</v>
      </c>
      <c r="H57" s="6" t="s">
        <v>18</v>
      </c>
      <c r="I57" s="6" t="s">
        <v>19</v>
      </c>
      <c r="J57" s="6" t="s">
        <v>20</v>
      </c>
    </row>
    <row r="58">
      <c r="A58" s="5">
        <v>46266.68393534722</v>
      </c>
      <c r="B58" s="6" t="s">
        <v>124</v>
      </c>
      <c r="C58" s="6" t="s">
        <v>23</v>
      </c>
      <c r="D58" s="6" t="s">
        <v>13</v>
      </c>
      <c r="E58" s="6" t="s">
        <v>14</v>
      </c>
      <c r="F58" s="6" t="s">
        <v>16</v>
      </c>
      <c r="G58" s="6" t="s">
        <v>17</v>
      </c>
      <c r="H58" s="6" t="s">
        <v>18</v>
      </c>
      <c r="I58" s="6" t="s">
        <v>19</v>
      </c>
      <c r="J58" s="6" t="s">
        <v>20</v>
      </c>
    </row>
    <row r="59">
      <c r="A59" s="5">
        <v>46266.69249912037</v>
      </c>
      <c r="B59" s="6" t="s">
        <v>125</v>
      </c>
      <c r="C59" s="6" t="s">
        <v>23</v>
      </c>
      <c r="D59" s="6" t="s">
        <v>13</v>
      </c>
      <c r="E59" s="6" t="s">
        <v>14</v>
      </c>
      <c r="F59" s="6" t="s">
        <v>16</v>
      </c>
      <c r="G59" s="6" t="s">
        <v>17</v>
      </c>
      <c r="H59" s="6" t="s">
        <v>18</v>
      </c>
      <c r="I59" s="6" t="s">
        <v>19</v>
      </c>
      <c r="J59" s="6" t="s">
        <v>20</v>
      </c>
    </row>
    <row r="60">
      <c r="A60" s="5">
        <v>46266.803576226856</v>
      </c>
      <c r="B60" s="6" t="s">
        <v>126</v>
      </c>
      <c r="C60" s="6" t="s">
        <v>23</v>
      </c>
      <c r="D60" s="6" t="s">
        <v>13</v>
      </c>
      <c r="E60" s="6" t="s">
        <v>14</v>
      </c>
      <c r="F60" s="6" t="s">
        <v>16</v>
      </c>
      <c r="G60" s="6" t="s">
        <v>17</v>
      </c>
      <c r="H60" s="6" t="s">
        <v>18</v>
      </c>
      <c r="I60" s="6" t="s">
        <v>19</v>
      </c>
      <c r="J60" s="6" t="s">
        <v>20</v>
      </c>
    </row>
    <row r="61">
      <c r="A61" s="5">
        <v>46267.30655204861</v>
      </c>
      <c r="B61" s="6" t="s">
        <v>129</v>
      </c>
      <c r="C61" s="6" t="s">
        <v>23</v>
      </c>
      <c r="D61" s="6" t="s">
        <v>13</v>
      </c>
      <c r="E61" s="6" t="s">
        <v>14</v>
      </c>
      <c r="F61" s="6" t="s">
        <v>16</v>
      </c>
      <c r="G61" s="6" t="s">
        <v>17</v>
      </c>
      <c r="H61" s="6" t="s">
        <v>18</v>
      </c>
      <c r="I61" s="6" t="s">
        <v>19</v>
      </c>
      <c r="J61" s="6" t="s">
        <v>20</v>
      </c>
    </row>
    <row r="62">
      <c r="A62" s="5">
        <v>46267.30729939815</v>
      </c>
      <c r="B62" s="6" t="s">
        <v>127</v>
      </c>
      <c r="C62" s="6" t="s">
        <v>142</v>
      </c>
      <c r="D62" s="6" t="s">
        <v>13</v>
      </c>
      <c r="E62" s="6" t="s">
        <v>14</v>
      </c>
      <c r="F62" s="6" t="s">
        <v>16</v>
      </c>
      <c r="G62" s="6" t="s">
        <v>17</v>
      </c>
      <c r="H62" s="6" t="s">
        <v>18</v>
      </c>
      <c r="I62" s="6" t="s">
        <v>19</v>
      </c>
      <c r="J62" s="6" t="s">
        <v>20</v>
      </c>
    </row>
    <row r="63">
      <c r="A63" s="5">
        <v>46267.55948243056</v>
      </c>
      <c r="B63" s="6" t="s">
        <v>132</v>
      </c>
      <c r="C63" s="6" t="s">
        <v>23</v>
      </c>
      <c r="D63" s="6" t="s">
        <v>13</v>
      </c>
      <c r="E63" s="6" t="s">
        <v>14</v>
      </c>
      <c r="F63" s="6" t="s">
        <v>16</v>
      </c>
      <c r="G63" s="6" t="s">
        <v>17</v>
      </c>
      <c r="H63" s="6" t="s">
        <v>18</v>
      </c>
      <c r="I63" s="6" t="s">
        <v>19</v>
      </c>
      <c r="J63" s="6" t="s">
        <v>20</v>
      </c>
    </row>
    <row r="64">
      <c r="A64" s="5">
        <v>46267.605389432865</v>
      </c>
      <c r="B64" s="6" t="s">
        <v>133</v>
      </c>
      <c r="C64" s="6" t="s">
        <v>134</v>
      </c>
      <c r="D64" s="6" t="s">
        <v>13</v>
      </c>
      <c r="E64" s="6" t="s">
        <v>14</v>
      </c>
      <c r="F64" s="6" t="s">
        <v>16</v>
      </c>
      <c r="G64" s="6" t="s">
        <v>17</v>
      </c>
      <c r="H64" s="6" t="s">
        <v>18</v>
      </c>
      <c r="I64" s="6" t="s">
        <v>19</v>
      </c>
      <c r="J64" s="6" t="s">
        <v>20</v>
      </c>
    </row>
    <row r="65">
      <c r="A65" s="5">
        <v>46267.60590267361</v>
      </c>
      <c r="B65" s="6" t="s">
        <v>135</v>
      </c>
      <c r="C65" s="6" t="s">
        <v>23</v>
      </c>
      <c r="D65" s="6" t="s">
        <v>13</v>
      </c>
      <c r="E65" s="6" t="s">
        <v>14</v>
      </c>
      <c r="F65" s="6" t="s">
        <v>16</v>
      </c>
      <c r="G65" s="6" t="s">
        <v>17</v>
      </c>
      <c r="H65" s="6" t="s">
        <v>18</v>
      </c>
      <c r="I65" s="6" t="s">
        <v>55</v>
      </c>
      <c r="J65" s="6" t="s">
        <v>20</v>
      </c>
    </row>
    <row r="66">
      <c r="A66" s="5">
        <v>46267.60757446759</v>
      </c>
      <c r="B66" s="6" t="s">
        <v>136</v>
      </c>
      <c r="C66" s="6" t="s">
        <v>23</v>
      </c>
      <c r="D66" s="6" t="s">
        <v>13</v>
      </c>
      <c r="E66" s="6" t="s">
        <v>14</v>
      </c>
      <c r="F66" s="6" t="s">
        <v>16</v>
      </c>
      <c r="G66" s="6" t="s">
        <v>17</v>
      </c>
      <c r="H66" s="6" t="s">
        <v>18</v>
      </c>
      <c r="I66" s="6" t="s">
        <v>19</v>
      </c>
      <c r="J66" s="6" t="s">
        <v>20</v>
      </c>
    </row>
    <row r="67">
      <c r="A67" s="5">
        <v>46267.85029872685</v>
      </c>
      <c r="B67" s="6" t="s">
        <v>138</v>
      </c>
      <c r="C67" s="6" t="s">
        <v>139</v>
      </c>
      <c r="D67" s="6" t="s">
        <v>13</v>
      </c>
      <c r="E67" s="6" t="s">
        <v>14</v>
      </c>
      <c r="F67" s="6" t="s">
        <v>16</v>
      </c>
      <c r="G67" s="6" t="s">
        <v>17</v>
      </c>
      <c r="H67" s="6" t="s">
        <v>18</v>
      </c>
      <c r="I67" s="6" t="s">
        <v>55</v>
      </c>
      <c r="J67" s="6" t="s">
        <v>20</v>
      </c>
      <c r="K67" s="6" t="s">
        <v>48</v>
      </c>
    </row>
    <row r="68">
      <c r="A68" s="5">
        <v>46268.34383994213</v>
      </c>
      <c r="B68" s="6" t="s">
        <v>140</v>
      </c>
      <c r="C68" s="6" t="s">
        <v>23</v>
      </c>
      <c r="D68" s="6" t="s">
        <v>13</v>
      </c>
      <c r="E68" s="6" t="s">
        <v>14</v>
      </c>
      <c r="F68" s="6" t="s">
        <v>16</v>
      </c>
      <c r="G68" s="6" t="s">
        <v>17</v>
      </c>
      <c r="H68" s="6" t="s">
        <v>18</v>
      </c>
      <c r="I68" s="6" t="s">
        <v>19</v>
      </c>
      <c r="J68" s="6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1" t="s">
        <v>0</v>
      </c>
      <c r="B1" s="1" t="s">
        <v>1</v>
      </c>
      <c r="C1" s="3" t="s">
        <v>2</v>
      </c>
      <c r="D1" s="4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1"/>
      <c r="M1" s="7" t="s">
        <v>15</v>
      </c>
    </row>
    <row r="2">
      <c r="A2" s="8">
        <f>'1.2'!A:A</f>
        <v>46262.41169</v>
      </c>
      <c r="B2" s="1" t="str">
        <f>'1.2'!B:B</f>
        <v>bnco1013@signalschool.ac.th</v>
      </c>
      <c r="C2" s="1" t="str">
        <f>'1.2'!C:C</f>
        <v>ร.อ.สุพจน์ มงคล</v>
      </c>
      <c r="D2" s="9">
        <v>1.0</v>
      </c>
      <c r="E2" s="10">
        <f>IFERROR(vlookup('1.2'!D:D,lookup!$A$2:$B$4,2,false),0)</f>
        <v>5</v>
      </c>
      <c r="F2" s="10">
        <f>IFERROR(vlookup('1.2'!E:E,lookup!$A$6:$B$8,2,false),0)</f>
        <v>5</v>
      </c>
      <c r="G2" s="10">
        <f>IFERROR(vlookup('1.2'!F:F,lookup!$A$10:$B$12,2,false),0)</f>
        <v>5</v>
      </c>
      <c r="H2" s="10">
        <f>IFERROR(vlookup('1.2'!G:G,lookup!$A$14:$B$16,2,false),0)</f>
        <v>5</v>
      </c>
      <c r="I2" s="10">
        <f>IFERROR(vlookup('1.2'!H:H,lookup!$A$18:$B$20,2,false),0)</f>
        <v>5</v>
      </c>
      <c r="J2" s="10">
        <f>IFERROR(vlookup('1.2'!I:I,lookup!$A$22:$B$24,2,false),0)</f>
        <v>5</v>
      </c>
      <c r="K2" s="10">
        <f>IFERROR(vlookup('1.2'!J:J,lookup!$A$26:$B$28,2,false),0)</f>
        <v>5</v>
      </c>
      <c r="L2" s="1"/>
      <c r="M2" s="10">
        <v>1.0</v>
      </c>
      <c r="N2" s="11" t="str">
        <f t="shared" ref="N2:N81" si="1">CONCAT(R2,"@signalschool.ac.th")</f>
        <v>bnco1001@signalschool.ac.th</v>
      </c>
      <c r="O2" s="12">
        <f t="shared" ref="O2:O81" si="2">IFERROR(VLOOKUP(N2,B$2:D$81,3,FALSE),0)</f>
        <v>1</v>
      </c>
      <c r="R2" s="6" t="s">
        <v>91</v>
      </c>
    </row>
    <row r="3">
      <c r="A3" s="8">
        <f>'1.2'!A:A</f>
        <v>46262.41422</v>
      </c>
      <c r="B3" s="1" t="str">
        <f>'1.2'!B:B</f>
        <v>bnco1058@signalschool.ac.th</v>
      </c>
      <c r="C3" s="1" t="str">
        <f>'1.2'!C:C</f>
        <v>ร.อ.สุพจน์  มงคล</v>
      </c>
      <c r="D3" s="9">
        <v>1.0</v>
      </c>
      <c r="E3" s="10">
        <f>IFERROR(vlookup('1.2'!D:D,lookup!$A$2:$B$4,2,false),0)</f>
        <v>5</v>
      </c>
      <c r="F3" s="10">
        <f>IFERROR(vlookup('1.2'!E:E,lookup!$A$6:$B$8,2,false),0)</f>
        <v>5</v>
      </c>
      <c r="G3" s="10">
        <f>IFERROR(vlookup('1.2'!F:F,lookup!$A$10:$B$12,2,false),0)</f>
        <v>5</v>
      </c>
      <c r="H3" s="10">
        <f>IFERROR(vlookup('1.2'!G:G,lookup!$A$14:$B$16,2,false),0)</f>
        <v>5</v>
      </c>
      <c r="I3" s="10">
        <f>IFERROR(vlookup('1.2'!H:H,lookup!$A$18:$B$20,2,false),0)</f>
        <v>5</v>
      </c>
      <c r="J3" s="10">
        <f>IFERROR(vlookup('1.2'!I:I,lookup!$A$22:$B$24,2,false),0)</f>
        <v>5</v>
      </c>
      <c r="K3" s="10">
        <f>IFERROR(vlookup('1.2'!J:J,lookup!$A$26:$B$28,2,false),0)</f>
        <v>5</v>
      </c>
      <c r="L3" s="1"/>
      <c r="M3" s="10">
        <v>2.0</v>
      </c>
      <c r="N3" s="11" t="str">
        <f t="shared" si="1"/>
        <v>bnco1002@signalschool.ac.th</v>
      </c>
      <c r="O3" s="12">
        <f t="shared" si="2"/>
        <v>1</v>
      </c>
      <c r="R3" s="6" t="s">
        <v>123</v>
      </c>
    </row>
    <row r="4">
      <c r="A4" s="8">
        <f>'1.2'!A:A</f>
        <v>46262.41502</v>
      </c>
      <c r="B4" s="1" t="str">
        <f>'1.2'!B:B</f>
        <v>bnco1009@signalschool.ac.th</v>
      </c>
      <c r="C4" s="1" t="str">
        <f>'1.2'!C:C</f>
        <v>ร.อ.สพจน์ มงคล</v>
      </c>
      <c r="D4" s="9">
        <v>1.0</v>
      </c>
      <c r="E4" s="10">
        <f>IFERROR(vlookup('1.2'!D:D,lookup!$A$2:$B$4,2,false),0)</f>
        <v>5</v>
      </c>
      <c r="F4" s="10">
        <f>IFERROR(vlookup('1.2'!E:E,lookup!$A$6:$B$8,2,false),0)</f>
        <v>5</v>
      </c>
      <c r="G4" s="10">
        <f>IFERROR(vlookup('1.2'!F:F,lookup!$A$10:$B$12,2,false),0)</f>
        <v>5</v>
      </c>
      <c r="H4" s="10">
        <f>IFERROR(vlookup('1.2'!G:G,lookup!$A$14:$B$16,2,false),0)</f>
        <v>5</v>
      </c>
      <c r="I4" s="10">
        <f>IFERROR(vlookup('1.2'!H:H,lookup!$A$18:$B$20,2,false),0)</f>
        <v>5</v>
      </c>
      <c r="J4" s="10">
        <f>IFERROR(vlookup('1.2'!I:I,lookup!$A$22:$B$24,2,false),0)</f>
        <v>5</v>
      </c>
      <c r="K4" s="10">
        <f>IFERROR(vlookup('1.2'!J:J,lookup!$A$26:$B$28,2,false),0)</f>
        <v>5</v>
      </c>
      <c r="L4" s="1"/>
      <c r="M4" s="10">
        <v>3.0</v>
      </c>
      <c r="N4" s="11" t="str">
        <f t="shared" si="1"/>
        <v>bnco1003@signalschool.ac.th</v>
      </c>
      <c r="O4" s="12">
        <f t="shared" si="2"/>
        <v>1</v>
      </c>
      <c r="R4" s="6" t="s">
        <v>141</v>
      </c>
    </row>
    <row r="5">
      <c r="A5" s="8">
        <f>'1.2'!A:A</f>
        <v>46262.41748</v>
      </c>
      <c r="B5" s="1" t="str">
        <f>'1.2'!B:B</f>
        <v>bnco1056@signalschool.ac.th</v>
      </c>
      <c r="C5" s="1" t="str">
        <f>'1.2'!C:C</f>
        <v>ร.ท. สุพจน์  มงคล</v>
      </c>
      <c r="D5" s="9">
        <v>1.0</v>
      </c>
      <c r="E5" s="10">
        <f>IFERROR(vlookup('1.2'!D:D,lookup!$A$2:$B$4,2,false),0)</f>
        <v>5</v>
      </c>
      <c r="F5" s="10">
        <f>IFERROR(vlookup('1.2'!E:E,lookup!$A$6:$B$8,2,false),0)</f>
        <v>5</v>
      </c>
      <c r="G5" s="10">
        <f>IFERROR(vlookup('1.2'!F:F,lookup!$A$10:$B$12,2,false),0)</f>
        <v>5</v>
      </c>
      <c r="H5" s="10">
        <f>IFERROR(vlookup('1.2'!G:G,lookup!$A$14:$B$16,2,false),0)</f>
        <v>5</v>
      </c>
      <c r="I5" s="10">
        <f>IFERROR(vlookup('1.2'!H:H,lookup!$A$18:$B$20,2,false),0)</f>
        <v>5</v>
      </c>
      <c r="J5" s="10">
        <f>IFERROR(vlookup('1.2'!I:I,lookup!$A$22:$B$24,2,false),0)</f>
        <v>5</v>
      </c>
      <c r="K5" s="10">
        <f>IFERROR(vlookup('1.2'!J:J,lookup!$A$26:$B$28,2,false),0)</f>
        <v>5</v>
      </c>
      <c r="L5" s="1"/>
      <c r="M5" s="10">
        <v>4.0</v>
      </c>
      <c r="N5" s="11" t="str">
        <f t="shared" si="1"/>
        <v>bnco1004@signalschool.ac.th</v>
      </c>
      <c r="O5" s="12">
        <f t="shared" si="2"/>
        <v>1</v>
      </c>
      <c r="R5" s="6" t="s">
        <v>143</v>
      </c>
    </row>
    <row r="6">
      <c r="A6" s="8">
        <f>'1.2'!A:A</f>
        <v>46262.42358</v>
      </c>
      <c r="B6" s="1" t="str">
        <f>'1.2'!B:B</f>
        <v>bnco1062@signalschool.ac.th</v>
      </c>
      <c r="C6" s="1" t="str">
        <f>'1.2'!C:C</f>
        <v>ร.อ.สุพจน์ มงคล</v>
      </c>
      <c r="D6" s="9">
        <v>1.0</v>
      </c>
      <c r="E6" s="10">
        <f>IFERROR(vlookup('1.2'!D:D,lookup!$A$2:$B$4,2,false),0)</f>
        <v>5</v>
      </c>
      <c r="F6" s="10">
        <f>IFERROR(vlookup('1.2'!E:E,lookup!$A$6:$B$8,2,false),0)</f>
        <v>5</v>
      </c>
      <c r="G6" s="10">
        <f>IFERROR(vlookup('1.2'!F:F,lookup!$A$10:$B$12,2,false),0)</f>
        <v>5</v>
      </c>
      <c r="H6" s="10">
        <f>IFERROR(vlookup('1.2'!G:G,lookup!$A$14:$B$16,2,false),0)</f>
        <v>3</v>
      </c>
      <c r="I6" s="10">
        <f>IFERROR(vlookup('1.2'!H:H,lookup!$A$18:$B$20,2,false),0)</f>
        <v>5</v>
      </c>
      <c r="J6" s="10">
        <f>IFERROR(vlookup('1.2'!I:I,lookup!$A$22:$B$24,2,false),0)</f>
        <v>5</v>
      </c>
      <c r="K6" s="10">
        <f>IFERROR(vlookup('1.2'!J:J,lookup!$A$26:$B$28,2,false),0)</f>
        <v>5</v>
      </c>
      <c r="L6" s="1"/>
      <c r="M6" s="10">
        <v>5.0</v>
      </c>
      <c r="N6" s="11" t="str">
        <f t="shared" si="1"/>
        <v>bnco1005@signalschool.ac.th</v>
      </c>
      <c r="O6" s="12">
        <f t="shared" si="2"/>
        <v>1</v>
      </c>
      <c r="R6" s="6" t="s">
        <v>144</v>
      </c>
    </row>
    <row r="7">
      <c r="A7" s="8">
        <f>'1.2'!A:A</f>
        <v>46262.42612</v>
      </c>
      <c r="B7" s="1" t="str">
        <f>'1.2'!B:B</f>
        <v>bnco1041@signalschool.ac.th</v>
      </c>
      <c r="C7" s="1" t="str">
        <f>'1.2'!C:C</f>
        <v>ร.ท.สุพจน์ มงคล</v>
      </c>
      <c r="D7" s="9">
        <v>1.0</v>
      </c>
      <c r="E7" s="10">
        <f>IFERROR(vlookup('1.2'!D:D,lookup!$A$2:$B$4,2,false),0)</f>
        <v>5</v>
      </c>
      <c r="F7" s="10">
        <f>IFERROR(vlookup('1.2'!E:E,lookup!$A$6:$B$8,2,false),0)</f>
        <v>5</v>
      </c>
      <c r="G7" s="10">
        <f>IFERROR(vlookup('1.2'!F:F,lookup!$A$10:$B$12,2,false),0)</f>
        <v>5</v>
      </c>
      <c r="H7" s="10">
        <f>IFERROR(vlookup('1.2'!G:G,lookup!$A$14:$B$16,2,false),0)</f>
        <v>5</v>
      </c>
      <c r="I7" s="10">
        <f>IFERROR(vlookup('1.2'!H:H,lookup!$A$18:$B$20,2,false),0)</f>
        <v>5</v>
      </c>
      <c r="J7" s="10">
        <f>IFERROR(vlookup('1.2'!I:I,lookup!$A$22:$B$24,2,false),0)</f>
        <v>5</v>
      </c>
      <c r="K7" s="10">
        <f>IFERROR(vlookup('1.2'!J:J,lookup!$A$26:$B$28,2,false),0)</f>
        <v>5</v>
      </c>
      <c r="L7" s="1"/>
      <c r="M7" s="10">
        <v>6.0</v>
      </c>
      <c r="N7" s="11" t="str">
        <f t="shared" si="1"/>
        <v>bnco1006@signalschool.ac.th</v>
      </c>
      <c r="O7" s="12">
        <f t="shared" si="2"/>
        <v>1</v>
      </c>
      <c r="R7" s="6" t="s">
        <v>145</v>
      </c>
    </row>
    <row r="8">
      <c r="A8" s="8">
        <f>'1.2'!A:A</f>
        <v>46262.42837</v>
      </c>
      <c r="B8" s="1" t="str">
        <f>'1.2'!B:B</f>
        <v>bnco1012@signalschool.ac.th</v>
      </c>
      <c r="C8" s="1" t="str">
        <f>'1.2'!C:C</f>
        <v>ร.ท.ศุภรัชฏ หมอกสุข</v>
      </c>
      <c r="D8" s="9">
        <v>1.0</v>
      </c>
      <c r="E8" s="10">
        <f>IFERROR(vlookup('1.2'!D:D,lookup!$A$2:$B$4,2,false),0)</f>
        <v>5</v>
      </c>
      <c r="F8" s="10">
        <f>IFERROR(vlookup('1.2'!E:E,lookup!$A$6:$B$8,2,false),0)</f>
        <v>5</v>
      </c>
      <c r="G8" s="10">
        <f>IFERROR(vlookup('1.2'!F:F,lookup!$A$10:$B$12,2,false),0)</f>
        <v>5</v>
      </c>
      <c r="H8" s="10">
        <f>IFERROR(vlookup('1.2'!G:G,lookup!$A$14:$B$16,2,false),0)</f>
        <v>5</v>
      </c>
      <c r="I8" s="10">
        <f>IFERROR(vlookup('1.2'!H:H,lookup!$A$18:$B$20,2,false),0)</f>
        <v>5</v>
      </c>
      <c r="J8" s="10">
        <f>IFERROR(vlookup('1.2'!I:I,lookup!$A$22:$B$24,2,false),0)</f>
        <v>5</v>
      </c>
      <c r="K8" s="10">
        <f>IFERROR(vlookup('1.2'!J:J,lookup!$A$26:$B$28,2,false),0)</f>
        <v>5</v>
      </c>
      <c r="L8" s="1"/>
      <c r="M8" s="10">
        <v>7.0</v>
      </c>
      <c r="N8" s="11" t="str">
        <f t="shared" si="1"/>
        <v>bnco1007@signalschool.ac.th</v>
      </c>
      <c r="O8" s="12">
        <f t="shared" si="2"/>
        <v>0</v>
      </c>
      <c r="R8" s="6" t="s">
        <v>155</v>
      </c>
    </row>
    <row r="9">
      <c r="A9" s="8">
        <f>'1.2'!A:A</f>
        <v>46262.43642</v>
      </c>
      <c r="B9" s="1" t="str">
        <f>'1.2'!B:B</f>
        <v>bnco1006@signalschool.ac.th</v>
      </c>
      <c r="C9" s="1" t="str">
        <f>'1.2'!C:C</f>
        <v>ร.ท.สุพจน์ มงคล </v>
      </c>
      <c r="D9" s="9">
        <v>1.0</v>
      </c>
      <c r="E9" s="10">
        <f>IFERROR(vlookup('1.2'!D:D,lookup!$A$2:$B$4,2,false),0)</f>
        <v>5</v>
      </c>
      <c r="F9" s="10">
        <f>IFERROR(vlookup('1.2'!E:E,lookup!$A$6:$B$8,2,false),0)</f>
        <v>5</v>
      </c>
      <c r="G9" s="10">
        <f>IFERROR(vlookup('1.2'!F:F,lookup!$A$10:$B$12,2,false),0)</f>
        <v>5</v>
      </c>
      <c r="H9" s="10">
        <f>IFERROR(vlookup('1.2'!G:G,lookup!$A$14:$B$16,2,false),0)</f>
        <v>5</v>
      </c>
      <c r="I9" s="10">
        <f>IFERROR(vlookup('1.2'!H:H,lookup!$A$18:$B$20,2,false),0)</f>
        <v>5</v>
      </c>
      <c r="J9" s="10">
        <f>IFERROR(vlookup('1.2'!I:I,lookup!$A$22:$B$24,2,false),0)</f>
        <v>5</v>
      </c>
      <c r="K9" s="10">
        <f>IFERROR(vlookup('1.2'!J:J,lookup!$A$26:$B$28,2,false),0)</f>
        <v>5</v>
      </c>
      <c r="L9" s="1"/>
      <c r="M9" s="10">
        <v>8.0</v>
      </c>
      <c r="N9" s="11" t="str">
        <f t="shared" si="1"/>
        <v>bnco1008@signalschool.ac.th</v>
      </c>
      <c r="O9" s="12">
        <f t="shared" si="2"/>
        <v>1</v>
      </c>
      <c r="R9" s="6" t="s">
        <v>166</v>
      </c>
    </row>
    <row r="10">
      <c r="A10" s="8">
        <f>'1.2'!A:A</f>
        <v>46262.44181</v>
      </c>
      <c r="B10" s="1" t="str">
        <f>'1.2'!B:B</f>
        <v>bnco1051@signalschool.ac.th</v>
      </c>
      <c r="C10" s="1" t="str">
        <f>'1.2'!C:C</f>
        <v>ร.อ.สุพจน์ มงคล</v>
      </c>
      <c r="D10" s="9">
        <v>1.0</v>
      </c>
      <c r="E10" s="10">
        <f>IFERROR(vlookup('1.2'!D:D,lookup!$A$2:$B$4,2,false),0)</f>
        <v>5</v>
      </c>
      <c r="F10" s="10">
        <f>IFERROR(vlookup('1.2'!E:E,lookup!$A$6:$B$8,2,false),0)</f>
        <v>5</v>
      </c>
      <c r="G10" s="10">
        <f>IFERROR(vlookup('1.2'!F:F,lookup!$A$10:$B$12,2,false),0)</f>
        <v>5</v>
      </c>
      <c r="H10" s="10">
        <f>IFERROR(vlookup('1.2'!G:G,lookup!$A$14:$B$16,2,false),0)</f>
        <v>5</v>
      </c>
      <c r="I10" s="10">
        <f>IFERROR(vlookup('1.2'!H:H,lookup!$A$18:$B$20,2,false),0)</f>
        <v>5</v>
      </c>
      <c r="J10" s="10">
        <f>IFERROR(vlookup('1.2'!I:I,lookup!$A$22:$B$24,2,false),0)</f>
        <v>5</v>
      </c>
      <c r="K10" s="10">
        <f>IFERROR(vlookup('1.2'!J:J,lookup!$A$26:$B$28,2,false),0)</f>
        <v>5</v>
      </c>
      <c r="L10" s="1"/>
      <c r="M10" s="10">
        <v>9.0</v>
      </c>
      <c r="N10" s="11" t="str">
        <f t="shared" si="1"/>
        <v>bnco1009@signalschool.ac.th</v>
      </c>
      <c r="O10" s="12">
        <f t="shared" si="2"/>
        <v>1</v>
      </c>
      <c r="R10" s="6" t="s">
        <v>175</v>
      </c>
    </row>
    <row r="11">
      <c r="A11" s="8">
        <f>'1.2'!A:A</f>
        <v>46262.44183</v>
      </c>
      <c r="B11" s="1" t="str">
        <f>'1.2'!B:B</f>
        <v>bnco1050@signalschool.ac.th</v>
      </c>
      <c r="C11" s="1" t="str">
        <f>'1.2'!C:C</f>
        <v>ร.อ.สุพจน์ มงคล</v>
      </c>
      <c r="D11" s="9">
        <v>1.0</v>
      </c>
      <c r="E11" s="10">
        <f>IFERROR(vlookup('1.2'!D:D,lookup!$A$2:$B$4,2,false),0)</f>
        <v>5</v>
      </c>
      <c r="F11" s="10">
        <f>IFERROR(vlookup('1.2'!E:E,lookup!$A$6:$B$8,2,false),0)</f>
        <v>5</v>
      </c>
      <c r="G11" s="10">
        <f>IFERROR(vlookup('1.2'!F:F,lookup!$A$10:$B$12,2,false),0)</f>
        <v>5</v>
      </c>
      <c r="H11" s="10">
        <f>IFERROR(vlookup('1.2'!G:G,lookup!$A$14:$B$16,2,false),0)</f>
        <v>5</v>
      </c>
      <c r="I11" s="10">
        <f>IFERROR(vlookup('1.2'!H:H,lookup!$A$18:$B$20,2,false),0)</f>
        <v>5</v>
      </c>
      <c r="J11" s="10">
        <f>IFERROR(vlookup('1.2'!I:I,lookup!$A$22:$B$24,2,false),0)</f>
        <v>5</v>
      </c>
      <c r="K11" s="10">
        <f>IFERROR(vlookup('1.2'!J:J,lookup!$A$26:$B$28,2,false),0)</f>
        <v>5</v>
      </c>
      <c r="L11" s="1"/>
      <c r="M11" s="10">
        <v>10.0</v>
      </c>
      <c r="N11" s="11" t="str">
        <f t="shared" si="1"/>
        <v>bnco1010@signalschool.ac.th</v>
      </c>
      <c r="O11" s="12">
        <f t="shared" si="2"/>
        <v>0</v>
      </c>
      <c r="R11" s="6" t="s">
        <v>192</v>
      </c>
    </row>
    <row r="12">
      <c r="A12" s="8">
        <f>'1.2'!A:A</f>
        <v>46262.44437</v>
      </c>
      <c r="B12" s="1" t="str">
        <f>'1.2'!B:B</f>
        <v>bnco1052@signalschool.ac.th</v>
      </c>
      <c r="C12" s="1" t="str">
        <f>'1.2'!C:C</f>
        <v>ร.ท.สุพจน์  มงคล</v>
      </c>
      <c r="D12" s="9">
        <v>1.0</v>
      </c>
      <c r="E12" s="10">
        <f>IFERROR(vlookup('1.2'!D:D,lookup!$A$2:$B$4,2,false),0)</f>
        <v>5</v>
      </c>
      <c r="F12" s="10">
        <f>IFERROR(vlookup('1.2'!E:E,lookup!$A$6:$B$8,2,false),0)</f>
        <v>5</v>
      </c>
      <c r="G12" s="10">
        <f>IFERROR(vlookup('1.2'!F:F,lookup!$A$10:$B$12,2,false),0)</f>
        <v>5</v>
      </c>
      <c r="H12" s="10">
        <f>IFERROR(vlookup('1.2'!G:G,lookup!$A$14:$B$16,2,false),0)</f>
        <v>5</v>
      </c>
      <c r="I12" s="10">
        <f>IFERROR(vlookup('1.2'!H:H,lookup!$A$18:$B$20,2,false),0)</f>
        <v>5</v>
      </c>
      <c r="J12" s="10">
        <f>IFERROR(vlookup('1.2'!I:I,lookup!$A$22:$B$24,2,false),0)</f>
        <v>5</v>
      </c>
      <c r="K12" s="10">
        <f>IFERROR(vlookup('1.2'!J:J,lookup!$A$26:$B$28,2,false),0)</f>
        <v>5</v>
      </c>
      <c r="L12" s="1"/>
      <c r="M12" s="10">
        <v>11.0</v>
      </c>
      <c r="N12" s="11" t="str">
        <f t="shared" si="1"/>
        <v>bnco1011@signalschool.ac.th</v>
      </c>
      <c r="O12" s="12">
        <f t="shared" si="2"/>
        <v>1</v>
      </c>
      <c r="R12" s="6" t="s">
        <v>209</v>
      </c>
    </row>
    <row r="13">
      <c r="A13" s="8">
        <f>'1.2'!A:A</f>
        <v>46262.44493</v>
      </c>
      <c r="B13" s="1" t="str">
        <f>'1.2'!B:B</f>
        <v>bnco1018@signalschool.ac.th</v>
      </c>
      <c r="C13" s="1" t="str">
        <f>'1.2'!C:C</f>
        <v>ร.อ.สุพจน์ มงคล</v>
      </c>
      <c r="D13" s="9">
        <v>1.0</v>
      </c>
      <c r="E13" s="10">
        <f>IFERROR(vlookup('1.2'!D:D,lookup!$A$2:$B$4,2,false),0)</f>
        <v>5</v>
      </c>
      <c r="F13" s="10">
        <f>IFERROR(vlookup('1.2'!E:E,lookup!$A$6:$B$8,2,false),0)</f>
        <v>5</v>
      </c>
      <c r="G13" s="10">
        <f>IFERROR(vlookup('1.2'!F:F,lookup!$A$10:$B$12,2,false),0)</f>
        <v>5</v>
      </c>
      <c r="H13" s="10">
        <f>IFERROR(vlookup('1.2'!G:G,lookup!$A$14:$B$16,2,false),0)</f>
        <v>5</v>
      </c>
      <c r="I13" s="10">
        <f>IFERROR(vlookup('1.2'!H:H,lookup!$A$18:$B$20,2,false),0)</f>
        <v>5</v>
      </c>
      <c r="J13" s="10">
        <f>IFERROR(vlookup('1.2'!I:I,lookup!$A$22:$B$24,2,false),0)</f>
        <v>5</v>
      </c>
      <c r="K13" s="10">
        <f>IFERROR(vlookup('1.2'!J:J,lookup!$A$26:$B$28,2,false),0)</f>
        <v>5</v>
      </c>
      <c r="L13" s="1"/>
      <c r="M13" s="10">
        <v>12.0</v>
      </c>
      <c r="N13" s="11" t="str">
        <f t="shared" si="1"/>
        <v>bnco1012@signalschool.ac.th</v>
      </c>
      <c r="O13" s="12">
        <f t="shared" si="2"/>
        <v>1</v>
      </c>
      <c r="R13" s="6" t="s">
        <v>213</v>
      </c>
    </row>
    <row r="14">
      <c r="A14" s="8">
        <f>'1.2'!A:A</f>
        <v>46262.44988</v>
      </c>
      <c r="B14" s="1" t="str">
        <f>'1.2'!B:B</f>
        <v>bnco1038@signalschool.ac.th</v>
      </c>
      <c r="C14" s="1" t="str">
        <f>'1.2'!C:C</f>
        <v>ร.อ.สุพจน์ มงคล</v>
      </c>
      <c r="D14" s="9">
        <v>1.0</v>
      </c>
      <c r="E14" s="10">
        <f>IFERROR(vlookup('1.2'!D:D,lookup!$A$2:$B$4,2,false),0)</f>
        <v>5</v>
      </c>
      <c r="F14" s="10">
        <f>IFERROR(vlookup('1.2'!E:E,lookup!$A$6:$B$8,2,false),0)</f>
        <v>5</v>
      </c>
      <c r="G14" s="10">
        <f>IFERROR(vlookup('1.2'!F:F,lookup!$A$10:$B$12,2,false),0)</f>
        <v>5</v>
      </c>
      <c r="H14" s="10">
        <f>IFERROR(vlookup('1.2'!G:G,lookup!$A$14:$B$16,2,false),0)</f>
        <v>5</v>
      </c>
      <c r="I14" s="10">
        <f>IFERROR(vlookup('1.2'!H:H,lookup!$A$18:$B$20,2,false),0)</f>
        <v>5</v>
      </c>
      <c r="J14" s="10">
        <f>IFERROR(vlookup('1.2'!I:I,lookup!$A$22:$B$24,2,false),0)</f>
        <v>5</v>
      </c>
      <c r="K14" s="10">
        <f>IFERROR(vlookup('1.2'!J:J,lookup!$A$26:$B$28,2,false),0)</f>
        <v>5</v>
      </c>
      <c r="L14" s="1"/>
      <c r="M14" s="10">
        <v>13.0</v>
      </c>
      <c r="N14" s="11" t="str">
        <f t="shared" si="1"/>
        <v>bnco1013@signalschool.ac.th</v>
      </c>
      <c r="O14" s="12">
        <f t="shared" si="2"/>
        <v>1</v>
      </c>
      <c r="R14" s="6" t="s">
        <v>214</v>
      </c>
    </row>
    <row r="15">
      <c r="A15" s="8">
        <f>'1.2'!A:A</f>
        <v>46262.45097</v>
      </c>
      <c r="B15" s="1" t="str">
        <f>'1.2'!B:B</f>
        <v>bnco1035@signalschool.ac.th</v>
      </c>
      <c r="C15" s="1" t="str">
        <f>'1.2'!C:C</f>
        <v>ร.ท.ศุภรัชฎ หมอกสุข</v>
      </c>
      <c r="D15" s="9">
        <v>1.0</v>
      </c>
      <c r="E15" s="10">
        <f>IFERROR(vlookup('1.2'!D:D,lookup!$A$2:$B$4,2,false),0)</f>
        <v>5</v>
      </c>
      <c r="F15" s="10">
        <f>IFERROR(vlookup('1.2'!E:E,lookup!$A$6:$B$8,2,false),0)</f>
        <v>5</v>
      </c>
      <c r="G15" s="10">
        <f>IFERROR(vlookup('1.2'!F:F,lookup!$A$10:$B$12,2,false),0)</f>
        <v>5</v>
      </c>
      <c r="H15" s="10">
        <f>IFERROR(vlookup('1.2'!G:G,lookup!$A$14:$B$16,2,false),0)</f>
        <v>5</v>
      </c>
      <c r="I15" s="10">
        <f>IFERROR(vlookup('1.2'!H:H,lookup!$A$18:$B$20,2,false),0)</f>
        <v>5</v>
      </c>
      <c r="J15" s="10">
        <f>IFERROR(vlookup('1.2'!I:I,lookup!$A$22:$B$24,2,false),0)</f>
        <v>5</v>
      </c>
      <c r="K15" s="10">
        <f>IFERROR(vlookup('1.2'!J:J,lookup!$A$26:$B$28,2,false),0)</f>
        <v>5</v>
      </c>
      <c r="L15" s="1"/>
      <c r="M15" s="10">
        <v>14.0</v>
      </c>
      <c r="N15" s="11" t="str">
        <f t="shared" si="1"/>
        <v>bnco1014@signalschool.ac.th</v>
      </c>
      <c r="O15" s="12">
        <f t="shared" si="2"/>
        <v>1</v>
      </c>
      <c r="R15" s="6" t="s">
        <v>215</v>
      </c>
    </row>
    <row r="16">
      <c r="A16" s="8">
        <f>'1.2'!A:A</f>
        <v>46262.45781</v>
      </c>
      <c r="B16" s="1" t="str">
        <f>'1.2'!B:B</f>
        <v>bnco1036@signalschool.ac.th</v>
      </c>
      <c r="C16" s="1" t="str">
        <f>'1.2'!C:C</f>
        <v>ร.อ.สุพจน์ มงคล</v>
      </c>
      <c r="D16" s="9">
        <v>1.0</v>
      </c>
      <c r="E16" s="10">
        <f>IFERROR(vlookup('1.2'!D:D,lookup!$A$2:$B$4,2,false),0)</f>
        <v>5</v>
      </c>
      <c r="F16" s="10">
        <f>IFERROR(vlookup('1.2'!E:E,lookup!$A$6:$B$8,2,false),0)</f>
        <v>5</v>
      </c>
      <c r="G16" s="10">
        <f>IFERROR(vlookup('1.2'!F:F,lookup!$A$10:$B$12,2,false),0)</f>
        <v>5</v>
      </c>
      <c r="H16" s="10">
        <f>IFERROR(vlookup('1.2'!G:G,lookup!$A$14:$B$16,2,false),0)</f>
        <v>5</v>
      </c>
      <c r="I16" s="10">
        <f>IFERROR(vlookup('1.2'!H:H,lookup!$A$18:$B$20,2,false),0)</f>
        <v>5</v>
      </c>
      <c r="J16" s="10">
        <f>IFERROR(vlookup('1.2'!I:I,lookup!$A$22:$B$24,2,false),0)</f>
        <v>5</v>
      </c>
      <c r="K16" s="10">
        <f>IFERROR(vlookup('1.2'!J:J,lookup!$A$26:$B$28,2,false),0)</f>
        <v>5</v>
      </c>
      <c r="L16" s="1"/>
      <c r="M16" s="10">
        <v>15.0</v>
      </c>
      <c r="N16" s="11" t="str">
        <f t="shared" si="1"/>
        <v>bnco1015@signalschool.ac.th</v>
      </c>
      <c r="O16" s="12">
        <f t="shared" si="2"/>
        <v>1</v>
      </c>
      <c r="R16" s="6" t="s">
        <v>221</v>
      </c>
    </row>
    <row r="17">
      <c r="A17" s="8">
        <f>'1.2'!A:A</f>
        <v>46262.46003</v>
      </c>
      <c r="B17" s="1" t="str">
        <f>'1.2'!B:B</f>
        <v>bnco1070@signalschool.ac.th</v>
      </c>
      <c r="C17" s="1" t="str">
        <f>'1.2'!C:C</f>
        <v>ร.อ.สุพจน์ มงคล</v>
      </c>
      <c r="D17" s="9">
        <v>1.0</v>
      </c>
      <c r="E17" s="10">
        <f>IFERROR(vlookup('1.2'!D:D,lookup!$A$2:$B$4,2,false),0)</f>
        <v>3</v>
      </c>
      <c r="F17" s="10">
        <f>IFERROR(vlookup('1.2'!E:E,lookup!$A$6:$B$8,2,false),0)</f>
        <v>5</v>
      </c>
      <c r="G17" s="10">
        <f>IFERROR(vlookup('1.2'!F:F,lookup!$A$10:$B$12,2,false),0)</f>
        <v>3</v>
      </c>
      <c r="H17" s="10">
        <f>IFERROR(vlookup('1.2'!G:G,lookup!$A$14:$B$16,2,false),0)</f>
        <v>3</v>
      </c>
      <c r="I17" s="10">
        <f>IFERROR(vlookup('1.2'!H:H,lookup!$A$18:$B$20,2,false),0)</f>
        <v>5</v>
      </c>
      <c r="J17" s="10">
        <f>IFERROR(vlookup('1.2'!I:I,lookup!$A$22:$B$24,2,false),0)</f>
        <v>5</v>
      </c>
      <c r="K17" s="10">
        <f>IFERROR(vlookup('1.2'!J:J,lookup!$A$26:$B$28,2,false),0)</f>
        <v>5</v>
      </c>
      <c r="L17" s="1"/>
      <c r="M17" s="10">
        <v>16.0</v>
      </c>
      <c r="N17" s="11" t="str">
        <f t="shared" si="1"/>
        <v>bnco1016@signalschool.ac.th</v>
      </c>
      <c r="O17" s="12">
        <f t="shared" si="2"/>
        <v>1</v>
      </c>
      <c r="R17" s="6" t="s">
        <v>223</v>
      </c>
    </row>
    <row r="18">
      <c r="A18" s="8">
        <f>'1.2'!A:A</f>
        <v>46262.46057</v>
      </c>
      <c r="B18" s="1" t="str">
        <f>'1.2'!B:B</f>
        <v>bnco1042@signalschool.ac.th</v>
      </c>
      <c r="C18" s="1" t="str">
        <f>'1.2'!C:C</f>
        <v>ร.อ.สุพจน์  มงคล</v>
      </c>
      <c r="D18" s="9">
        <v>1.0</v>
      </c>
      <c r="E18" s="10">
        <f>IFERROR(vlookup('1.2'!D:D,lookup!$A$2:$B$4,2,false),0)</f>
        <v>5</v>
      </c>
      <c r="F18" s="10">
        <f>IFERROR(vlookup('1.2'!E:E,lookup!$A$6:$B$8,2,false),0)</f>
        <v>5</v>
      </c>
      <c r="G18" s="10">
        <f>IFERROR(vlookup('1.2'!F:F,lookup!$A$10:$B$12,2,false),0)</f>
        <v>5</v>
      </c>
      <c r="H18" s="10">
        <f>IFERROR(vlookup('1.2'!G:G,lookup!$A$14:$B$16,2,false),0)</f>
        <v>5</v>
      </c>
      <c r="I18" s="10">
        <f>IFERROR(vlookup('1.2'!H:H,lookup!$A$18:$B$20,2,false),0)</f>
        <v>5</v>
      </c>
      <c r="J18" s="10">
        <f>IFERROR(vlookup('1.2'!I:I,lookup!$A$22:$B$24,2,false),0)</f>
        <v>5</v>
      </c>
      <c r="K18" s="10">
        <f>IFERROR(vlookup('1.2'!J:J,lookup!$A$26:$B$28,2,false),0)</f>
        <v>5</v>
      </c>
      <c r="L18" s="1"/>
      <c r="M18" s="10">
        <v>17.0</v>
      </c>
      <c r="N18" s="11" t="str">
        <f t="shared" si="1"/>
        <v>bnco1017@signalschool.ac.th</v>
      </c>
      <c r="O18" s="12">
        <f t="shared" si="2"/>
        <v>1</v>
      </c>
      <c r="R18" s="6" t="s">
        <v>229</v>
      </c>
    </row>
    <row r="19">
      <c r="A19" s="8">
        <f>'1.2'!A:A</f>
        <v>46262.46381</v>
      </c>
      <c r="B19" s="1" t="str">
        <f>'1.2'!B:B</f>
        <v>bnco1003@signalschool.ac.th</v>
      </c>
      <c r="C19" s="1" t="str">
        <f>'1.2'!C:C</f>
        <v>ร.อ.สุพจน์  มงคล</v>
      </c>
      <c r="D19" s="9">
        <v>1.0</v>
      </c>
      <c r="E19" s="10">
        <f>IFERROR(vlookup('1.2'!D:D,lookup!$A$2:$B$4,2,false),0)</f>
        <v>5</v>
      </c>
      <c r="F19" s="10">
        <f>IFERROR(vlookup('1.2'!E:E,lookup!$A$6:$B$8,2,false),0)</f>
        <v>5</v>
      </c>
      <c r="G19" s="10">
        <f>IFERROR(vlookup('1.2'!F:F,lookup!$A$10:$B$12,2,false),0)</f>
        <v>5</v>
      </c>
      <c r="H19" s="10">
        <f>IFERROR(vlookup('1.2'!G:G,lookup!$A$14:$B$16,2,false),0)</f>
        <v>5</v>
      </c>
      <c r="I19" s="10">
        <f>IFERROR(vlookup('1.2'!H:H,lookup!$A$18:$B$20,2,false),0)</f>
        <v>5</v>
      </c>
      <c r="J19" s="10">
        <f>IFERROR(vlookup('1.2'!I:I,lookup!$A$22:$B$24,2,false),0)</f>
        <v>5</v>
      </c>
      <c r="K19" s="10">
        <f>IFERROR(vlookup('1.2'!J:J,lookup!$A$26:$B$28,2,false),0)</f>
        <v>5</v>
      </c>
      <c r="L19" s="1"/>
      <c r="M19" s="10">
        <v>18.0</v>
      </c>
      <c r="N19" s="11" t="str">
        <f t="shared" si="1"/>
        <v>bnco1018@signalschool.ac.th</v>
      </c>
      <c r="O19" s="12">
        <f t="shared" si="2"/>
        <v>1</v>
      </c>
      <c r="R19" s="6" t="s">
        <v>232</v>
      </c>
    </row>
    <row r="20">
      <c r="A20" s="8">
        <f>'1.2'!A:A</f>
        <v>46262.46772</v>
      </c>
      <c r="B20" s="1" t="str">
        <f>'1.2'!B:B</f>
        <v>bnco1079@signalschool.ac.th</v>
      </c>
      <c r="C20" s="1" t="str">
        <f>'1.2'!C:C</f>
        <v>ร.อ.สุพจน์ มงคล</v>
      </c>
      <c r="D20" s="9">
        <v>1.0</v>
      </c>
      <c r="E20" s="10">
        <f>IFERROR(vlookup('1.2'!D:D,lookup!$A$2:$B$4,2,false),0)</f>
        <v>5</v>
      </c>
      <c r="F20" s="10">
        <f>IFERROR(vlookup('1.2'!E:E,lookup!$A$6:$B$8,2,false),0)</f>
        <v>5</v>
      </c>
      <c r="G20" s="10">
        <f>IFERROR(vlookup('1.2'!F:F,lookup!$A$10:$B$12,2,false),0)</f>
        <v>5</v>
      </c>
      <c r="H20" s="10">
        <f>IFERROR(vlookup('1.2'!G:G,lookup!$A$14:$B$16,2,false),0)</f>
        <v>5</v>
      </c>
      <c r="I20" s="10">
        <f>IFERROR(vlookup('1.2'!H:H,lookup!$A$18:$B$20,2,false),0)</f>
        <v>5</v>
      </c>
      <c r="J20" s="10">
        <f>IFERROR(vlookup('1.2'!I:I,lookup!$A$22:$B$24,2,false),0)</f>
        <v>5</v>
      </c>
      <c r="K20" s="10">
        <f>IFERROR(vlookup('1.2'!J:J,lookup!$A$26:$B$28,2,false),0)</f>
        <v>5</v>
      </c>
      <c r="L20" s="1"/>
      <c r="M20" s="10">
        <v>19.0</v>
      </c>
      <c r="N20" s="11" t="str">
        <f t="shared" si="1"/>
        <v>bnco1019@signalschool.ac.th</v>
      </c>
      <c r="O20" s="12">
        <f t="shared" si="2"/>
        <v>1</v>
      </c>
      <c r="R20" s="6" t="s">
        <v>233</v>
      </c>
    </row>
    <row r="21">
      <c r="A21" s="8">
        <f>'1.2'!A:A</f>
        <v>46262.48178</v>
      </c>
      <c r="B21" s="1" t="str">
        <f>'1.2'!B:B</f>
        <v>bnco1032@signalschool.ac.th</v>
      </c>
      <c r="C21" s="1" t="str">
        <f>'1.2'!C:C</f>
        <v>ร.อ.สุพจน์ มงคล</v>
      </c>
      <c r="D21" s="9">
        <v>1.0</v>
      </c>
      <c r="E21" s="10">
        <f>IFERROR(vlookup('1.2'!D:D,lookup!$A$2:$B$4,2,false),0)</f>
        <v>5</v>
      </c>
      <c r="F21" s="10">
        <f>IFERROR(vlookup('1.2'!E:E,lookup!$A$6:$B$8,2,false),0)</f>
        <v>5</v>
      </c>
      <c r="G21" s="10">
        <f>IFERROR(vlookup('1.2'!F:F,lookup!$A$10:$B$12,2,false),0)</f>
        <v>5</v>
      </c>
      <c r="H21" s="10">
        <f>IFERROR(vlookup('1.2'!G:G,lookup!$A$14:$B$16,2,false),0)</f>
        <v>5</v>
      </c>
      <c r="I21" s="10">
        <f>IFERROR(vlookup('1.2'!H:H,lookup!$A$18:$B$20,2,false),0)</f>
        <v>5</v>
      </c>
      <c r="J21" s="10">
        <f>IFERROR(vlookup('1.2'!I:I,lookup!$A$22:$B$24,2,false),0)</f>
        <v>5</v>
      </c>
      <c r="K21" s="10">
        <f>IFERROR(vlookup('1.2'!J:J,lookup!$A$26:$B$28,2,false),0)</f>
        <v>5</v>
      </c>
      <c r="L21" s="1"/>
      <c r="M21" s="10">
        <v>20.0</v>
      </c>
      <c r="N21" s="11" t="str">
        <f t="shared" si="1"/>
        <v>bnco1020@signalschool.ac.th</v>
      </c>
      <c r="O21" s="12">
        <f t="shared" si="2"/>
        <v>0</v>
      </c>
      <c r="R21" s="6" t="s">
        <v>234</v>
      </c>
    </row>
    <row r="22">
      <c r="A22" s="8">
        <f>'1.2'!A:A</f>
        <v>46262.48687</v>
      </c>
      <c r="B22" s="1" t="str">
        <f>'1.2'!B:B</f>
        <v>bnco1060@signalschool.ac.th</v>
      </c>
      <c r="C22" s="1" t="str">
        <f>'1.2'!C:C</f>
        <v>ร.อ.สุพจน์ มงคล</v>
      </c>
      <c r="D22" s="9">
        <v>1.0</v>
      </c>
      <c r="E22" s="10">
        <f>IFERROR(vlookup('1.2'!D:D,lookup!$A$2:$B$4,2,false),0)</f>
        <v>5</v>
      </c>
      <c r="F22" s="10">
        <f>IFERROR(vlookup('1.2'!E:E,lookup!$A$6:$B$8,2,false),0)</f>
        <v>5</v>
      </c>
      <c r="G22" s="10">
        <f>IFERROR(vlookup('1.2'!F:F,lookup!$A$10:$B$12,2,false),0)</f>
        <v>5</v>
      </c>
      <c r="H22" s="10">
        <f>IFERROR(vlookup('1.2'!G:G,lookup!$A$14:$B$16,2,false),0)</f>
        <v>5</v>
      </c>
      <c r="I22" s="10">
        <f>IFERROR(vlookup('1.2'!H:H,lookup!$A$18:$B$20,2,false),0)</f>
        <v>5</v>
      </c>
      <c r="J22" s="10">
        <f>IFERROR(vlookup('1.2'!I:I,lookup!$A$22:$B$24,2,false),0)</f>
        <v>5</v>
      </c>
      <c r="K22" s="10">
        <f>IFERROR(vlookup('1.2'!J:J,lookup!$A$26:$B$28,2,false),0)</f>
        <v>5</v>
      </c>
      <c r="L22" s="1"/>
      <c r="M22" s="10">
        <v>21.0</v>
      </c>
      <c r="N22" s="11" t="str">
        <f t="shared" si="1"/>
        <v>bnco1021@signalschool.ac.th</v>
      </c>
      <c r="O22" s="12">
        <f t="shared" si="2"/>
        <v>1</v>
      </c>
      <c r="R22" s="6" t="s">
        <v>235</v>
      </c>
    </row>
    <row r="23">
      <c r="A23" s="8">
        <f>'1.2'!A:A</f>
        <v>46262.49657</v>
      </c>
      <c r="B23" s="1" t="str">
        <f>'1.2'!B:B</f>
        <v>bnco1031@signalschool.ac.th</v>
      </c>
      <c r="C23" s="1" t="str">
        <f>'1.2'!C:C</f>
        <v>ร.ท. สุพจน์ มงคล</v>
      </c>
      <c r="D23" s="9">
        <v>1.0</v>
      </c>
      <c r="E23" s="10">
        <f>IFERROR(vlookup('1.2'!D:D,lookup!$A$2:$B$4,2,false),0)</f>
        <v>5</v>
      </c>
      <c r="F23" s="10">
        <f>IFERROR(vlookup('1.2'!E:E,lookup!$A$6:$B$8,2,false),0)</f>
        <v>5</v>
      </c>
      <c r="G23" s="10">
        <f>IFERROR(vlookup('1.2'!F:F,lookup!$A$10:$B$12,2,false),0)</f>
        <v>5</v>
      </c>
      <c r="H23" s="10">
        <f>IFERROR(vlookup('1.2'!G:G,lookup!$A$14:$B$16,2,false),0)</f>
        <v>5</v>
      </c>
      <c r="I23" s="10">
        <f>IFERROR(vlookup('1.2'!H:H,lookup!$A$18:$B$20,2,false),0)</f>
        <v>5</v>
      </c>
      <c r="J23" s="10">
        <f>IFERROR(vlookup('1.2'!I:I,lookup!$A$22:$B$24,2,false),0)</f>
        <v>5</v>
      </c>
      <c r="K23" s="10">
        <f>IFERROR(vlookup('1.2'!J:J,lookup!$A$26:$B$28,2,false),0)</f>
        <v>5</v>
      </c>
      <c r="L23" s="1"/>
      <c r="M23" s="10">
        <v>22.0</v>
      </c>
      <c r="N23" s="11" t="str">
        <f t="shared" si="1"/>
        <v>bnco1022@signalschool.ac.th</v>
      </c>
      <c r="O23" s="12">
        <f t="shared" si="2"/>
        <v>1</v>
      </c>
      <c r="R23" s="6" t="s">
        <v>236</v>
      </c>
    </row>
    <row r="24">
      <c r="A24" s="8">
        <f>'1.2'!A:A</f>
        <v>46262.50021</v>
      </c>
      <c r="B24" s="1" t="str">
        <f>'1.2'!B:B</f>
        <v>bnco1063@signalschool.ac.th</v>
      </c>
      <c r="C24" s="1" t="str">
        <f>'1.2'!C:C</f>
        <v>ร.อ.สุพจน์ มงคล</v>
      </c>
      <c r="D24" s="9">
        <v>1.0</v>
      </c>
      <c r="E24" s="10">
        <f>IFERROR(vlookup('1.2'!D:D,lookup!$A$2:$B$4,2,false),0)</f>
        <v>5</v>
      </c>
      <c r="F24" s="10">
        <f>IFERROR(vlookup('1.2'!E:E,lookup!$A$6:$B$8,2,false),0)</f>
        <v>5</v>
      </c>
      <c r="G24" s="10">
        <f>IFERROR(vlookup('1.2'!F:F,lookup!$A$10:$B$12,2,false),0)</f>
        <v>5</v>
      </c>
      <c r="H24" s="10">
        <f>IFERROR(vlookup('1.2'!G:G,lookup!$A$14:$B$16,2,false),0)</f>
        <v>5</v>
      </c>
      <c r="I24" s="10">
        <f>IFERROR(vlookup('1.2'!H:H,lookup!$A$18:$B$20,2,false),0)</f>
        <v>5</v>
      </c>
      <c r="J24" s="10">
        <f>IFERROR(vlookup('1.2'!I:I,lookup!$A$22:$B$24,2,false),0)</f>
        <v>5</v>
      </c>
      <c r="K24" s="10">
        <f>IFERROR(vlookup('1.2'!J:J,lookup!$A$26:$B$28,2,false),0)</f>
        <v>5</v>
      </c>
      <c r="L24" s="1"/>
      <c r="M24" s="10">
        <v>23.0</v>
      </c>
      <c r="N24" s="11" t="str">
        <f t="shared" si="1"/>
        <v>bnco1023@signalschool.ac.th</v>
      </c>
      <c r="O24" s="12">
        <f t="shared" si="2"/>
        <v>1</v>
      </c>
      <c r="R24" s="6" t="s">
        <v>237</v>
      </c>
    </row>
    <row r="25">
      <c r="A25" s="8">
        <f>'1.2'!A:A</f>
        <v>46262.52318</v>
      </c>
      <c r="B25" s="1" t="str">
        <f>'1.2'!B:B</f>
        <v>bnco1066@signalschool.ac.th</v>
      </c>
      <c r="C25" s="1" t="str">
        <f>'1.2'!C:C</f>
        <v>ร.อ.สุพจน์ มงคล</v>
      </c>
      <c r="D25" s="9">
        <v>1.0</v>
      </c>
      <c r="E25" s="10">
        <f>IFERROR(vlookup('1.2'!D:D,lookup!$A$2:$B$4,2,false),0)</f>
        <v>5</v>
      </c>
      <c r="F25" s="10">
        <f>IFERROR(vlookup('1.2'!E:E,lookup!$A$6:$B$8,2,false),0)</f>
        <v>5</v>
      </c>
      <c r="G25" s="10">
        <f>IFERROR(vlookup('1.2'!F:F,lookup!$A$10:$B$12,2,false),0)</f>
        <v>5</v>
      </c>
      <c r="H25" s="10">
        <f>IFERROR(vlookup('1.2'!G:G,lookup!$A$14:$B$16,2,false),0)</f>
        <v>5</v>
      </c>
      <c r="I25" s="10">
        <f>IFERROR(vlookup('1.2'!H:H,lookup!$A$18:$B$20,2,false),0)</f>
        <v>5</v>
      </c>
      <c r="J25" s="10">
        <f>IFERROR(vlookup('1.2'!I:I,lookup!$A$22:$B$24,2,false),0)</f>
        <v>5</v>
      </c>
      <c r="K25" s="10">
        <f>IFERROR(vlookup('1.2'!J:J,lookup!$A$26:$B$28,2,false),0)</f>
        <v>5</v>
      </c>
      <c r="L25" s="1"/>
      <c r="M25" s="10">
        <v>24.0</v>
      </c>
      <c r="N25" s="11" t="str">
        <f t="shared" si="1"/>
        <v>bnco1024@signalschool.ac.th</v>
      </c>
      <c r="O25" s="12">
        <f t="shared" si="2"/>
        <v>1</v>
      </c>
      <c r="R25" s="6" t="s">
        <v>238</v>
      </c>
    </row>
    <row r="26">
      <c r="A26" s="8">
        <f>'1.2'!A:A</f>
        <v>46262.52944</v>
      </c>
      <c r="B26" s="1" t="str">
        <f>'1.2'!B:B</f>
        <v>bnco1069@signalschool.ac.th</v>
      </c>
      <c r="C26" s="1" t="str">
        <f>'1.2'!C:C</f>
        <v>ร.อ.สุพจน์  มงคล</v>
      </c>
      <c r="D26" s="9">
        <v>1.0</v>
      </c>
      <c r="E26" s="10">
        <f>IFERROR(vlookup('1.2'!D:D,lookup!$A$2:$B$4,2,false),0)</f>
        <v>5</v>
      </c>
      <c r="F26" s="10">
        <f>IFERROR(vlookup('1.2'!E:E,lookup!$A$6:$B$8,2,false),0)</f>
        <v>5</v>
      </c>
      <c r="G26" s="10">
        <f>IFERROR(vlookup('1.2'!F:F,lookup!$A$10:$B$12,2,false),0)</f>
        <v>5</v>
      </c>
      <c r="H26" s="10">
        <f>IFERROR(vlookup('1.2'!G:G,lookup!$A$14:$B$16,2,false),0)</f>
        <v>5</v>
      </c>
      <c r="I26" s="10">
        <f>IFERROR(vlookup('1.2'!H:H,lookup!$A$18:$B$20,2,false),0)</f>
        <v>5</v>
      </c>
      <c r="J26" s="10">
        <f>IFERROR(vlookup('1.2'!I:I,lookup!$A$22:$B$24,2,false),0)</f>
        <v>5</v>
      </c>
      <c r="K26" s="10">
        <f>IFERROR(vlookup('1.2'!J:J,lookup!$A$26:$B$28,2,false),0)</f>
        <v>5</v>
      </c>
      <c r="L26" s="1"/>
      <c r="M26" s="10">
        <v>25.0</v>
      </c>
      <c r="N26" s="11" t="str">
        <f t="shared" si="1"/>
        <v>bnco1025@signalschool.ac.th</v>
      </c>
      <c r="O26" s="12">
        <f t="shared" si="2"/>
        <v>0</v>
      </c>
      <c r="R26" s="6" t="s">
        <v>239</v>
      </c>
    </row>
    <row r="27">
      <c r="A27" s="8">
        <f>'1.2'!A:A</f>
        <v>46262.55363</v>
      </c>
      <c r="B27" s="1" t="str">
        <f>'1.2'!B:B</f>
        <v>bnco1068@signalschool.ac.th</v>
      </c>
      <c r="C27" s="1" t="str">
        <f>'1.2'!C:C</f>
        <v>ร.อ. สุพจน์  มงคล</v>
      </c>
      <c r="D27" s="9">
        <v>1.0</v>
      </c>
      <c r="E27" s="10">
        <f>IFERROR(vlookup('1.2'!D:D,lookup!$A$2:$B$4,2,false),0)</f>
        <v>5</v>
      </c>
      <c r="F27" s="10">
        <f>IFERROR(vlookup('1.2'!E:E,lookup!$A$6:$B$8,2,false),0)</f>
        <v>5</v>
      </c>
      <c r="G27" s="10">
        <f>IFERROR(vlookup('1.2'!F:F,lookup!$A$10:$B$12,2,false),0)</f>
        <v>5</v>
      </c>
      <c r="H27" s="10">
        <f>IFERROR(vlookup('1.2'!G:G,lookup!$A$14:$B$16,2,false),0)</f>
        <v>5</v>
      </c>
      <c r="I27" s="10">
        <f>IFERROR(vlookup('1.2'!H:H,lookup!$A$18:$B$20,2,false),0)</f>
        <v>5</v>
      </c>
      <c r="J27" s="10">
        <f>IFERROR(vlookup('1.2'!I:I,lookup!$A$22:$B$24,2,false),0)</f>
        <v>5</v>
      </c>
      <c r="K27" s="10">
        <f>IFERROR(vlookup('1.2'!J:J,lookup!$A$26:$B$28,2,false),0)</f>
        <v>5</v>
      </c>
      <c r="L27" s="1"/>
      <c r="M27" s="10">
        <v>26.0</v>
      </c>
      <c r="N27" s="11" t="str">
        <f t="shared" si="1"/>
        <v>bnco1026@signalschool.ac.th</v>
      </c>
      <c r="O27" s="12">
        <f t="shared" si="2"/>
        <v>1</v>
      </c>
      <c r="R27" s="6" t="s">
        <v>240</v>
      </c>
    </row>
    <row r="28">
      <c r="A28" s="8">
        <f>'1.2'!A:A</f>
        <v>46262.55365</v>
      </c>
      <c r="B28" s="1" t="str">
        <f>'1.2'!B:B</f>
        <v>bnco1044@signalschool.ac.th</v>
      </c>
      <c r="C28" s="1" t="str">
        <f>'1.2'!C:C</f>
        <v>ร.อ. สุพจน์ มงคล</v>
      </c>
      <c r="D28" s="9">
        <v>1.0</v>
      </c>
      <c r="E28" s="10">
        <f>IFERROR(vlookup('1.2'!D:D,lookup!$A$2:$B$4,2,false),0)</f>
        <v>5</v>
      </c>
      <c r="F28" s="10">
        <f>IFERROR(vlookup('1.2'!E:E,lookup!$A$6:$B$8,2,false),0)</f>
        <v>5</v>
      </c>
      <c r="G28" s="10">
        <f>IFERROR(vlookup('1.2'!F:F,lookup!$A$10:$B$12,2,false),0)</f>
        <v>5</v>
      </c>
      <c r="H28" s="10">
        <f>IFERROR(vlookup('1.2'!G:G,lookup!$A$14:$B$16,2,false),0)</f>
        <v>5</v>
      </c>
      <c r="I28" s="10">
        <f>IFERROR(vlookup('1.2'!H:H,lookup!$A$18:$B$20,2,false),0)</f>
        <v>5</v>
      </c>
      <c r="J28" s="10">
        <f>IFERROR(vlookup('1.2'!I:I,lookup!$A$22:$B$24,2,false),0)</f>
        <v>5</v>
      </c>
      <c r="K28" s="10">
        <f>IFERROR(vlookup('1.2'!J:J,lookup!$A$26:$B$28,2,false),0)</f>
        <v>5</v>
      </c>
      <c r="L28" s="1"/>
      <c r="M28" s="10">
        <v>27.0</v>
      </c>
      <c r="N28" s="11" t="str">
        <f t="shared" si="1"/>
        <v>bnco1027@signalschool.ac.th</v>
      </c>
      <c r="O28" s="12">
        <f t="shared" si="2"/>
        <v>1</v>
      </c>
      <c r="R28" s="6" t="s">
        <v>241</v>
      </c>
    </row>
    <row r="29">
      <c r="A29" s="8">
        <f>'1.2'!A:A</f>
        <v>46262.56031</v>
      </c>
      <c r="B29" s="1" t="str">
        <f>'1.2'!B:B</f>
        <v>bnco1008@signalschool.ac.th</v>
      </c>
      <c r="C29" s="1" t="str">
        <f>'1.2'!C:C</f>
        <v>ร.อ.สุพจน์ มงคล</v>
      </c>
      <c r="D29" s="9">
        <v>1.0</v>
      </c>
      <c r="E29" s="10">
        <f>IFERROR(vlookup('1.2'!D:D,lookup!$A$2:$B$4,2,false),0)</f>
        <v>5</v>
      </c>
      <c r="F29" s="10">
        <f>IFERROR(vlookup('1.2'!E:E,lookup!$A$6:$B$8,2,false),0)</f>
        <v>5</v>
      </c>
      <c r="G29" s="10">
        <f>IFERROR(vlookup('1.2'!F:F,lookup!$A$10:$B$12,2,false),0)</f>
        <v>5</v>
      </c>
      <c r="H29" s="10">
        <f>IFERROR(vlookup('1.2'!G:G,lookup!$A$14:$B$16,2,false),0)</f>
        <v>5</v>
      </c>
      <c r="I29" s="10">
        <f>IFERROR(vlookup('1.2'!H:H,lookup!$A$18:$B$20,2,false),0)</f>
        <v>5</v>
      </c>
      <c r="J29" s="10">
        <f>IFERROR(vlookup('1.2'!I:I,lookup!$A$22:$B$24,2,false),0)</f>
        <v>5</v>
      </c>
      <c r="K29" s="10">
        <f>IFERROR(vlookup('1.2'!J:J,lookup!$A$26:$B$28,2,false),0)</f>
        <v>5</v>
      </c>
      <c r="L29" s="1"/>
      <c r="M29" s="10">
        <v>28.0</v>
      </c>
      <c r="N29" s="11" t="str">
        <f t="shared" si="1"/>
        <v>bnco1028@signalschool.ac.th</v>
      </c>
      <c r="O29" s="12">
        <f t="shared" si="2"/>
        <v>0</v>
      </c>
      <c r="R29" s="6" t="s">
        <v>242</v>
      </c>
    </row>
    <row r="30">
      <c r="A30" s="8">
        <f>'1.2'!A:A</f>
        <v>46262.56033</v>
      </c>
      <c r="B30" s="1" t="str">
        <f>'1.2'!B:B</f>
        <v>bnco1049@signalschool.ac.th</v>
      </c>
      <c r="C30" s="1" t="str">
        <f>'1.2'!C:C</f>
        <v>ร.อ.สุพจน์ มงคล</v>
      </c>
      <c r="D30" s="9">
        <v>1.0</v>
      </c>
      <c r="E30" s="10">
        <f>IFERROR(vlookup('1.2'!D:D,lookup!$A$2:$B$4,2,false),0)</f>
        <v>5</v>
      </c>
      <c r="F30" s="10">
        <f>IFERROR(vlookup('1.2'!E:E,lookup!$A$6:$B$8,2,false),0)</f>
        <v>5</v>
      </c>
      <c r="G30" s="10">
        <f>IFERROR(vlookup('1.2'!F:F,lookup!$A$10:$B$12,2,false),0)</f>
        <v>5</v>
      </c>
      <c r="H30" s="10">
        <f>IFERROR(vlookup('1.2'!G:G,lookup!$A$14:$B$16,2,false),0)</f>
        <v>5</v>
      </c>
      <c r="I30" s="10">
        <f>IFERROR(vlookup('1.2'!H:H,lookup!$A$18:$B$20,2,false),0)</f>
        <v>5</v>
      </c>
      <c r="J30" s="10">
        <f>IFERROR(vlookup('1.2'!I:I,lookup!$A$22:$B$24,2,false),0)</f>
        <v>5</v>
      </c>
      <c r="K30" s="10">
        <f>IFERROR(vlookup('1.2'!J:J,lookup!$A$26:$B$28,2,false),0)</f>
        <v>5</v>
      </c>
      <c r="L30" s="1"/>
      <c r="M30" s="10">
        <v>29.0</v>
      </c>
      <c r="N30" s="11" t="str">
        <f t="shared" si="1"/>
        <v>bnco1029@signalschool.ac.th</v>
      </c>
      <c r="O30" s="12">
        <f t="shared" si="2"/>
        <v>0</v>
      </c>
      <c r="R30" s="6" t="s">
        <v>243</v>
      </c>
    </row>
    <row r="31">
      <c r="A31" s="8">
        <f>'1.2'!A:A</f>
        <v>46262.5699</v>
      </c>
      <c r="B31" s="1" t="str">
        <f>'1.2'!B:B</f>
        <v>bnco1022@signalschool.ac.th</v>
      </c>
      <c r="C31" s="1" t="str">
        <f>'1.2'!C:C</f>
        <v>ร.อ.สุพจน์ มงคล</v>
      </c>
      <c r="D31" s="9">
        <v>1.0</v>
      </c>
      <c r="E31" s="10">
        <f>IFERROR(vlookup('1.2'!D:D,lookup!$A$2:$B$4,2,false),0)</f>
        <v>5</v>
      </c>
      <c r="F31" s="10">
        <f>IFERROR(vlookup('1.2'!E:E,lookup!$A$6:$B$8,2,false),0)</f>
        <v>5</v>
      </c>
      <c r="G31" s="10">
        <f>IFERROR(vlookup('1.2'!F:F,lookup!$A$10:$B$12,2,false),0)</f>
        <v>5</v>
      </c>
      <c r="H31" s="10">
        <f>IFERROR(vlookup('1.2'!G:G,lookup!$A$14:$B$16,2,false),0)</f>
        <v>5</v>
      </c>
      <c r="I31" s="10">
        <f>IFERROR(vlookup('1.2'!H:H,lookup!$A$18:$B$20,2,false),0)</f>
        <v>5</v>
      </c>
      <c r="J31" s="10">
        <f>IFERROR(vlookup('1.2'!I:I,lookup!$A$22:$B$24,2,false),0)</f>
        <v>5</v>
      </c>
      <c r="K31" s="10">
        <f>IFERROR(vlookup('1.2'!J:J,lookup!$A$26:$B$28,2,false),0)</f>
        <v>5</v>
      </c>
      <c r="L31" s="1"/>
      <c r="M31" s="10">
        <v>30.0</v>
      </c>
      <c r="N31" s="11" t="str">
        <f t="shared" si="1"/>
        <v>bnco1030@signalschool.ac.th</v>
      </c>
      <c r="O31" s="12">
        <f t="shared" si="2"/>
        <v>0</v>
      </c>
      <c r="R31" s="6" t="s">
        <v>244</v>
      </c>
    </row>
    <row r="32">
      <c r="A32" s="8">
        <f>'1.2'!A:A</f>
        <v>46262.57917</v>
      </c>
      <c r="B32" s="1" t="str">
        <f>'1.2'!B:B</f>
        <v>bnco1005@signalschool.ac.th</v>
      </c>
      <c r="C32" s="1" t="str">
        <f>'1.2'!C:C</f>
        <v>ร.อ.สุพจน์  มงคล</v>
      </c>
      <c r="D32" s="9">
        <v>1.0</v>
      </c>
      <c r="E32" s="10">
        <f>IFERROR(vlookup('1.2'!D:D,lookup!$A$2:$B$4,2,false),0)</f>
        <v>5</v>
      </c>
      <c r="F32" s="10">
        <f>IFERROR(vlookup('1.2'!E:E,lookup!$A$6:$B$8,2,false),0)</f>
        <v>5</v>
      </c>
      <c r="G32" s="10">
        <f>IFERROR(vlookup('1.2'!F:F,lookup!$A$10:$B$12,2,false),0)</f>
        <v>5</v>
      </c>
      <c r="H32" s="10">
        <f>IFERROR(vlookup('1.2'!G:G,lookup!$A$14:$B$16,2,false),0)</f>
        <v>5</v>
      </c>
      <c r="I32" s="10">
        <f>IFERROR(vlookup('1.2'!H:H,lookup!$A$18:$B$20,2,false),0)</f>
        <v>5</v>
      </c>
      <c r="J32" s="10">
        <f>IFERROR(vlookup('1.2'!I:I,lookup!$A$22:$B$24,2,false),0)</f>
        <v>5</v>
      </c>
      <c r="K32" s="10">
        <f>IFERROR(vlookup('1.2'!J:J,lookup!$A$26:$B$28,2,false),0)</f>
        <v>5</v>
      </c>
      <c r="L32" s="1"/>
      <c r="M32" s="10">
        <v>31.0</v>
      </c>
      <c r="N32" s="11" t="str">
        <f t="shared" si="1"/>
        <v>bnco1031@signalschool.ac.th</v>
      </c>
      <c r="O32" s="12">
        <f t="shared" si="2"/>
        <v>1</v>
      </c>
      <c r="R32" s="6" t="s">
        <v>245</v>
      </c>
    </row>
    <row r="33">
      <c r="A33" s="8">
        <f>'1.2'!A:A</f>
        <v>46262.57935</v>
      </c>
      <c r="B33" s="1" t="str">
        <f>'1.2'!B:B</f>
        <v>bnco1067@signalschool.ac.th</v>
      </c>
      <c r="C33" s="1" t="str">
        <f>'1.2'!C:C</f>
        <v>ร.อ.สุพจน์  มงคล</v>
      </c>
      <c r="D33" s="9">
        <v>1.0</v>
      </c>
      <c r="E33" s="10">
        <f>IFERROR(vlookup('1.2'!D:D,lookup!$A$2:$B$4,2,false),0)</f>
        <v>5</v>
      </c>
      <c r="F33" s="10">
        <f>IFERROR(vlookup('1.2'!E:E,lookup!$A$6:$B$8,2,false),0)</f>
        <v>5</v>
      </c>
      <c r="G33" s="10">
        <f>IFERROR(vlookup('1.2'!F:F,lookup!$A$10:$B$12,2,false),0)</f>
        <v>5</v>
      </c>
      <c r="H33" s="10">
        <f>IFERROR(vlookup('1.2'!G:G,lookup!$A$14:$B$16,2,false),0)</f>
        <v>5</v>
      </c>
      <c r="I33" s="10">
        <f>IFERROR(vlookup('1.2'!H:H,lookup!$A$18:$B$20,2,false),0)</f>
        <v>5</v>
      </c>
      <c r="J33" s="10">
        <f>IFERROR(vlookup('1.2'!I:I,lookup!$A$22:$B$24,2,false),0)</f>
        <v>5</v>
      </c>
      <c r="K33" s="10">
        <f>IFERROR(vlookup('1.2'!J:J,lookup!$A$26:$B$28,2,false),0)</f>
        <v>5</v>
      </c>
      <c r="L33" s="1"/>
      <c r="M33" s="10">
        <v>32.0</v>
      </c>
      <c r="N33" s="11" t="str">
        <f t="shared" si="1"/>
        <v>bnco1032@signalschool.ac.th</v>
      </c>
      <c r="O33" s="12">
        <f t="shared" si="2"/>
        <v>1</v>
      </c>
      <c r="R33" s="6" t="s">
        <v>246</v>
      </c>
    </row>
    <row r="34">
      <c r="A34" s="8">
        <f>'1.2'!A:A</f>
        <v>46262.58647</v>
      </c>
      <c r="B34" s="1" t="str">
        <f>'1.2'!B:B</f>
        <v>bnco1039@signalschool.ac.th</v>
      </c>
      <c r="C34" s="1" t="str">
        <f>'1.2'!C:C</f>
        <v>ร.อ.สุพจน์ มงคล</v>
      </c>
      <c r="D34" s="9">
        <v>1.0</v>
      </c>
      <c r="E34" s="10">
        <f>IFERROR(vlookup('1.2'!D:D,lookup!$A$2:$B$4,2,false),0)</f>
        <v>5</v>
      </c>
      <c r="F34" s="10">
        <f>IFERROR(vlookup('1.2'!E:E,lookup!$A$6:$B$8,2,false),0)</f>
        <v>5</v>
      </c>
      <c r="G34" s="10">
        <f>IFERROR(vlookup('1.2'!F:F,lookup!$A$10:$B$12,2,false),0)</f>
        <v>5</v>
      </c>
      <c r="H34" s="10">
        <f>IFERROR(vlookup('1.2'!G:G,lookup!$A$14:$B$16,2,false),0)</f>
        <v>3</v>
      </c>
      <c r="I34" s="10">
        <f>IFERROR(vlookup('1.2'!H:H,lookup!$A$18:$B$20,2,false),0)</f>
        <v>5</v>
      </c>
      <c r="J34" s="10">
        <f>IFERROR(vlookup('1.2'!I:I,lookup!$A$22:$B$24,2,false),0)</f>
        <v>5</v>
      </c>
      <c r="K34" s="10">
        <f>IFERROR(vlookup('1.2'!J:J,lookup!$A$26:$B$28,2,false),0)</f>
        <v>5</v>
      </c>
      <c r="L34" s="1"/>
      <c r="M34" s="10">
        <v>33.0</v>
      </c>
      <c r="N34" s="11" t="str">
        <f t="shared" si="1"/>
        <v>bnco1033@signalschool.ac.th</v>
      </c>
      <c r="O34" s="12">
        <f t="shared" si="2"/>
        <v>0</v>
      </c>
      <c r="R34" s="6" t="s">
        <v>247</v>
      </c>
    </row>
    <row r="35">
      <c r="A35" s="8">
        <f>'1.2'!A:A</f>
        <v>46262.59194</v>
      </c>
      <c r="B35" s="1" t="str">
        <f>'1.2'!B:B</f>
        <v>bnco1045@signalschool.ac.th</v>
      </c>
      <c r="C35" s="1" t="str">
        <f>'1.2'!C:C</f>
        <v>ร.อ.สุพจน์  มงคล</v>
      </c>
      <c r="D35" s="9">
        <v>1.0</v>
      </c>
      <c r="E35" s="10">
        <f>IFERROR(vlookup('1.2'!D:D,lookup!$A$2:$B$4,2,false),0)</f>
        <v>3</v>
      </c>
      <c r="F35" s="10">
        <f>IFERROR(vlookup('1.2'!E:E,lookup!$A$6:$B$8,2,false),0)</f>
        <v>5</v>
      </c>
      <c r="G35" s="10">
        <f>IFERROR(vlookup('1.2'!F:F,lookup!$A$10:$B$12,2,false),0)</f>
        <v>5</v>
      </c>
      <c r="H35" s="10">
        <f>IFERROR(vlookup('1.2'!G:G,lookup!$A$14:$B$16,2,false),0)</f>
        <v>5</v>
      </c>
      <c r="I35" s="10">
        <f>IFERROR(vlookup('1.2'!H:H,lookup!$A$18:$B$20,2,false),0)</f>
        <v>5</v>
      </c>
      <c r="J35" s="10">
        <f>IFERROR(vlookup('1.2'!I:I,lookup!$A$22:$B$24,2,false),0)</f>
        <v>5</v>
      </c>
      <c r="K35" s="10">
        <f>IFERROR(vlookup('1.2'!J:J,lookup!$A$26:$B$28,2,false),0)</f>
        <v>5</v>
      </c>
      <c r="L35" s="1"/>
      <c r="M35" s="10">
        <v>34.0</v>
      </c>
      <c r="N35" s="11" t="str">
        <f t="shared" si="1"/>
        <v>bnco1034@signalschool.ac.th</v>
      </c>
      <c r="O35" s="12">
        <f t="shared" si="2"/>
        <v>1</v>
      </c>
      <c r="R35" s="6" t="s">
        <v>248</v>
      </c>
    </row>
    <row r="36">
      <c r="A36" s="8">
        <f>'1.2'!A:A</f>
        <v>46262.61098</v>
      </c>
      <c r="B36" s="1" t="str">
        <f>'1.2'!B:B</f>
        <v>bnco1080@signalschool.ac.th</v>
      </c>
      <c r="C36" s="1" t="str">
        <f>'1.2'!C:C</f>
        <v>ร.อ.สุพจน์  มงคล</v>
      </c>
      <c r="D36" s="9">
        <v>1.0</v>
      </c>
      <c r="E36" s="10">
        <f>IFERROR(vlookup('1.2'!D:D,lookup!$A$2:$B$4,2,false),0)</f>
        <v>5</v>
      </c>
      <c r="F36" s="10">
        <f>IFERROR(vlookup('1.2'!E:E,lookup!$A$6:$B$8,2,false),0)</f>
        <v>5</v>
      </c>
      <c r="G36" s="10">
        <f>IFERROR(vlookup('1.2'!F:F,lookup!$A$10:$B$12,2,false),0)</f>
        <v>5</v>
      </c>
      <c r="H36" s="10">
        <f>IFERROR(vlookup('1.2'!G:G,lookup!$A$14:$B$16,2,false),0)</f>
        <v>5</v>
      </c>
      <c r="I36" s="10">
        <f>IFERROR(vlookup('1.2'!H:H,lookup!$A$18:$B$20,2,false),0)</f>
        <v>5</v>
      </c>
      <c r="J36" s="10">
        <f>IFERROR(vlookup('1.2'!I:I,lookup!$A$22:$B$24,2,false),0)</f>
        <v>5</v>
      </c>
      <c r="K36" s="10">
        <f>IFERROR(vlookup('1.2'!J:J,lookup!$A$26:$B$28,2,false),0)</f>
        <v>5</v>
      </c>
      <c r="L36" s="1"/>
      <c r="M36" s="10">
        <v>35.0</v>
      </c>
      <c r="N36" s="11" t="str">
        <f t="shared" si="1"/>
        <v>bnco1035@signalschool.ac.th</v>
      </c>
      <c r="O36" s="12">
        <f t="shared" si="2"/>
        <v>1</v>
      </c>
      <c r="R36" s="6" t="s">
        <v>249</v>
      </c>
    </row>
    <row r="37">
      <c r="A37" s="8">
        <f>'1.2'!A:A</f>
        <v>46262.62661</v>
      </c>
      <c r="B37" s="1" t="str">
        <f>'1.2'!B:B</f>
        <v>bnco1064@signalschool.ac.th</v>
      </c>
      <c r="C37" s="1" t="str">
        <f>'1.2'!C:C</f>
        <v>ร.อ.สุพจน์  มลคค</v>
      </c>
      <c r="D37" s="9">
        <v>1.0</v>
      </c>
      <c r="E37" s="10">
        <f>IFERROR(vlookup('1.2'!D:D,lookup!$A$2:$B$4,2,false),0)</f>
        <v>5</v>
      </c>
      <c r="F37" s="10">
        <f>IFERROR(vlookup('1.2'!E:E,lookup!$A$6:$B$8,2,false),0)</f>
        <v>5</v>
      </c>
      <c r="G37" s="10">
        <f>IFERROR(vlookup('1.2'!F:F,lookup!$A$10:$B$12,2,false),0)</f>
        <v>5</v>
      </c>
      <c r="H37" s="10">
        <f>IFERROR(vlookup('1.2'!G:G,lookup!$A$14:$B$16,2,false),0)</f>
        <v>5</v>
      </c>
      <c r="I37" s="10">
        <f>IFERROR(vlookup('1.2'!H:H,lookup!$A$18:$B$20,2,false),0)</f>
        <v>5</v>
      </c>
      <c r="J37" s="10">
        <f>IFERROR(vlookup('1.2'!I:I,lookup!$A$22:$B$24,2,false),0)</f>
        <v>5</v>
      </c>
      <c r="K37" s="10">
        <f>IFERROR(vlookup('1.2'!J:J,lookup!$A$26:$B$28,2,false),0)</f>
        <v>5</v>
      </c>
      <c r="L37" s="1"/>
      <c r="M37" s="10">
        <v>36.0</v>
      </c>
      <c r="N37" s="11" t="str">
        <f t="shared" si="1"/>
        <v>bnco1036@signalschool.ac.th</v>
      </c>
      <c r="O37" s="12">
        <f t="shared" si="2"/>
        <v>1</v>
      </c>
      <c r="R37" s="6" t="s">
        <v>250</v>
      </c>
    </row>
    <row r="38">
      <c r="A38" s="8">
        <f>'1.2'!A:A</f>
        <v>46262.64263</v>
      </c>
      <c r="B38" s="1" t="str">
        <f>'1.2'!B:B</f>
        <v>bnco1021@signalschool.ac.th</v>
      </c>
      <c r="C38" s="1" t="str">
        <f>'1.2'!C:C</f>
        <v>ร.อ.สุพจน์ มงคล</v>
      </c>
      <c r="D38" s="9">
        <v>1.0</v>
      </c>
      <c r="E38" s="10">
        <f>IFERROR(vlookup('1.2'!D:D,lookup!$A$2:$B$4,2,false),0)</f>
        <v>5</v>
      </c>
      <c r="F38" s="10">
        <f>IFERROR(vlookup('1.2'!E:E,lookup!$A$6:$B$8,2,false),0)</f>
        <v>5</v>
      </c>
      <c r="G38" s="10">
        <f>IFERROR(vlookup('1.2'!F:F,lookup!$A$10:$B$12,2,false),0)</f>
        <v>5</v>
      </c>
      <c r="H38" s="10">
        <f>IFERROR(vlookup('1.2'!G:G,lookup!$A$14:$B$16,2,false),0)</f>
        <v>5</v>
      </c>
      <c r="I38" s="10">
        <f>IFERROR(vlookup('1.2'!H:H,lookup!$A$18:$B$20,2,false),0)</f>
        <v>5</v>
      </c>
      <c r="J38" s="10">
        <f>IFERROR(vlookup('1.2'!I:I,lookup!$A$22:$B$24,2,false),0)</f>
        <v>5</v>
      </c>
      <c r="K38" s="10">
        <f>IFERROR(vlookup('1.2'!J:J,lookup!$A$26:$B$28,2,false),0)</f>
        <v>5</v>
      </c>
      <c r="L38" s="1"/>
      <c r="M38" s="10">
        <v>37.0</v>
      </c>
      <c r="N38" s="11" t="str">
        <f t="shared" si="1"/>
        <v>bnco1037@signalschool.ac.th</v>
      </c>
      <c r="O38" s="12">
        <f t="shared" si="2"/>
        <v>0</v>
      </c>
      <c r="R38" s="6" t="s">
        <v>251</v>
      </c>
    </row>
    <row r="39">
      <c r="A39" s="8">
        <f>'1.2'!A:A</f>
        <v>46262.64399</v>
      </c>
      <c r="B39" s="1" t="str">
        <f>'1.2'!B:B</f>
        <v>bnco1027@signalschool.ac.th</v>
      </c>
      <c r="C39" s="1" t="str">
        <f>'1.2'!C:C</f>
        <v>ร.อ.สุพจน์ มงคล</v>
      </c>
      <c r="D39" s="9">
        <v>1.0</v>
      </c>
      <c r="E39" s="10">
        <f>IFERROR(vlookup('1.2'!D:D,lookup!$A$2:$B$4,2,false),0)</f>
        <v>5</v>
      </c>
      <c r="F39" s="10">
        <f>IFERROR(vlookup('1.2'!E:E,lookup!$A$6:$B$8,2,false),0)</f>
        <v>5</v>
      </c>
      <c r="G39" s="10">
        <f>IFERROR(vlookup('1.2'!F:F,lookup!$A$10:$B$12,2,false),0)</f>
        <v>5</v>
      </c>
      <c r="H39" s="10">
        <f>IFERROR(vlookup('1.2'!G:G,lookup!$A$14:$B$16,2,false),0)</f>
        <v>5</v>
      </c>
      <c r="I39" s="10">
        <f>IFERROR(vlookup('1.2'!H:H,lookup!$A$18:$B$20,2,false),0)</f>
        <v>5</v>
      </c>
      <c r="J39" s="10">
        <f>IFERROR(vlookup('1.2'!I:I,lookup!$A$22:$B$24,2,false),0)</f>
        <v>5</v>
      </c>
      <c r="K39" s="10">
        <f>IFERROR(vlookup('1.2'!J:J,lookup!$A$26:$B$28,2,false),0)</f>
        <v>5</v>
      </c>
      <c r="L39" s="1"/>
      <c r="M39" s="10">
        <v>38.0</v>
      </c>
      <c r="N39" s="11" t="str">
        <f t="shared" si="1"/>
        <v>bnco1038@signalschool.ac.th</v>
      </c>
      <c r="O39" s="12">
        <f t="shared" si="2"/>
        <v>1</v>
      </c>
      <c r="R39" s="6" t="s">
        <v>252</v>
      </c>
    </row>
    <row r="40">
      <c r="A40" s="8">
        <f>'1.2'!A:A</f>
        <v>46262.73954</v>
      </c>
      <c r="B40" s="1" t="str">
        <f>'1.2'!B:B</f>
        <v>bnco1072@signalschool.ac.th</v>
      </c>
      <c r="C40" s="1" t="str">
        <f>'1.2'!C:C</f>
        <v>ร.อ.สุพจน์  มงคล</v>
      </c>
      <c r="D40" s="9">
        <v>1.0</v>
      </c>
      <c r="E40" s="10">
        <f>IFERROR(vlookup('1.2'!D:D,lookup!$A$2:$B$4,2,false),0)</f>
        <v>5</v>
      </c>
      <c r="F40" s="10">
        <f>IFERROR(vlookup('1.2'!E:E,lookup!$A$6:$B$8,2,false),0)</f>
        <v>5</v>
      </c>
      <c r="G40" s="10">
        <f>IFERROR(vlookup('1.2'!F:F,lookup!$A$10:$B$12,2,false),0)</f>
        <v>5</v>
      </c>
      <c r="H40" s="10">
        <f>IFERROR(vlookup('1.2'!G:G,lookup!$A$14:$B$16,2,false),0)</f>
        <v>5</v>
      </c>
      <c r="I40" s="10">
        <f>IFERROR(vlookup('1.2'!H:H,lookup!$A$18:$B$20,2,false),0)</f>
        <v>5</v>
      </c>
      <c r="J40" s="10">
        <f>IFERROR(vlookup('1.2'!I:I,lookup!$A$22:$B$24,2,false),0)</f>
        <v>5</v>
      </c>
      <c r="K40" s="10">
        <f>IFERROR(vlookup('1.2'!J:J,lookup!$A$26:$B$28,2,false),0)</f>
        <v>5</v>
      </c>
      <c r="L40" s="1"/>
      <c r="M40" s="10">
        <v>39.0</v>
      </c>
      <c r="N40" s="11" t="str">
        <f t="shared" si="1"/>
        <v>bnco1039@signalschool.ac.th</v>
      </c>
      <c r="O40" s="12">
        <f t="shared" si="2"/>
        <v>1</v>
      </c>
      <c r="R40" s="6" t="s">
        <v>253</v>
      </c>
    </row>
    <row r="41">
      <c r="A41" s="8">
        <f>'1.2'!A:A</f>
        <v>46262.79417</v>
      </c>
      <c r="B41" s="1" t="str">
        <f>'1.2'!B:B</f>
        <v>bnco1014@signalschool.ac.th</v>
      </c>
      <c r="C41" s="1" t="str">
        <f>'1.2'!C:C</f>
        <v>ร.อ.สุพจน์ มงคล</v>
      </c>
      <c r="D41" s="9">
        <v>1.0</v>
      </c>
      <c r="E41" s="10">
        <f>IFERROR(vlookup('1.2'!D:D,lookup!$A$2:$B$4,2,false),0)</f>
        <v>5</v>
      </c>
      <c r="F41" s="10">
        <f>IFERROR(vlookup('1.2'!E:E,lookup!$A$6:$B$8,2,false),0)</f>
        <v>5</v>
      </c>
      <c r="G41" s="10">
        <f>IFERROR(vlookup('1.2'!F:F,lookup!$A$10:$B$12,2,false),0)</f>
        <v>5</v>
      </c>
      <c r="H41" s="10">
        <f>IFERROR(vlookup('1.2'!G:G,lookup!$A$14:$B$16,2,false),0)</f>
        <v>5</v>
      </c>
      <c r="I41" s="10">
        <f>IFERROR(vlookup('1.2'!H:H,lookup!$A$18:$B$20,2,false),0)</f>
        <v>5</v>
      </c>
      <c r="J41" s="10">
        <f>IFERROR(vlookup('1.2'!I:I,lookup!$A$22:$B$24,2,false),0)</f>
        <v>5</v>
      </c>
      <c r="K41" s="10">
        <f>IFERROR(vlookup('1.2'!J:J,lookup!$A$26:$B$28,2,false),0)</f>
        <v>5</v>
      </c>
      <c r="L41" s="1"/>
      <c r="M41" s="10">
        <v>40.0</v>
      </c>
      <c r="N41" s="11" t="str">
        <f t="shared" si="1"/>
        <v>bnco1040@signalschool.ac.th</v>
      </c>
      <c r="O41" s="12">
        <f t="shared" si="2"/>
        <v>1</v>
      </c>
      <c r="R41" s="6" t="s">
        <v>254</v>
      </c>
    </row>
    <row r="42">
      <c r="A42" s="8">
        <f>'1.2'!A:A</f>
        <v>46262.87087</v>
      </c>
      <c r="B42" s="1" t="str">
        <f>'1.2'!B:B</f>
        <v>bnco1076@signalschool.ac.th</v>
      </c>
      <c r="C42" s="1" t="str">
        <f>'1.2'!C:C</f>
        <v>ร.อ. สุพจน์ มงคล</v>
      </c>
      <c r="D42" s="9">
        <v>1.0</v>
      </c>
      <c r="E42" s="10">
        <f>IFERROR(vlookup('1.2'!D:D,lookup!$A$2:$B$4,2,false),0)</f>
        <v>5</v>
      </c>
      <c r="F42" s="10">
        <f>IFERROR(vlookup('1.2'!E:E,lookup!$A$6:$B$8,2,false),0)</f>
        <v>5</v>
      </c>
      <c r="G42" s="10">
        <f>IFERROR(vlookup('1.2'!F:F,lookup!$A$10:$B$12,2,false),0)</f>
        <v>5</v>
      </c>
      <c r="H42" s="10">
        <f>IFERROR(vlookup('1.2'!G:G,lookup!$A$14:$B$16,2,false),0)</f>
        <v>5</v>
      </c>
      <c r="I42" s="10">
        <f>IFERROR(vlookup('1.2'!H:H,lookup!$A$18:$B$20,2,false),0)</f>
        <v>5</v>
      </c>
      <c r="J42" s="10">
        <f>IFERROR(vlookup('1.2'!I:I,lookup!$A$22:$B$24,2,false),0)</f>
        <v>5</v>
      </c>
      <c r="K42" s="10">
        <f>IFERROR(vlookup('1.2'!J:J,lookup!$A$26:$B$28,2,false),0)</f>
        <v>5</v>
      </c>
      <c r="L42" s="1"/>
      <c r="M42" s="10">
        <v>41.0</v>
      </c>
      <c r="N42" s="11" t="str">
        <f t="shared" si="1"/>
        <v>bnco1041@signalschool.ac.th</v>
      </c>
      <c r="O42" s="12">
        <f t="shared" si="2"/>
        <v>1</v>
      </c>
      <c r="R42" s="6" t="s">
        <v>255</v>
      </c>
    </row>
    <row r="43">
      <c r="A43" s="8">
        <f>'1.2'!A:A</f>
        <v>46262.95534</v>
      </c>
      <c r="B43" s="1" t="str">
        <f>'1.2'!B:B</f>
        <v>bnco1071@signalschool.ac.th</v>
      </c>
      <c r="C43" s="1" t="str">
        <f>'1.2'!C:C</f>
        <v>ร.อ.สุพจน์  มงคล</v>
      </c>
      <c r="D43" s="9">
        <v>1.0</v>
      </c>
      <c r="E43" s="10">
        <f>IFERROR(vlookup('1.2'!D:D,lookup!$A$2:$B$4,2,false),0)</f>
        <v>5</v>
      </c>
      <c r="F43" s="10">
        <f>IFERROR(vlookup('1.2'!E:E,lookup!$A$6:$B$8,2,false),0)</f>
        <v>5</v>
      </c>
      <c r="G43" s="10">
        <f>IFERROR(vlookup('1.2'!F:F,lookup!$A$10:$B$12,2,false),0)</f>
        <v>5</v>
      </c>
      <c r="H43" s="10">
        <f>IFERROR(vlookup('1.2'!G:G,lookup!$A$14:$B$16,2,false),0)</f>
        <v>5</v>
      </c>
      <c r="I43" s="10">
        <f>IFERROR(vlookup('1.2'!H:H,lookup!$A$18:$B$20,2,false),0)</f>
        <v>5</v>
      </c>
      <c r="J43" s="10">
        <f>IFERROR(vlookup('1.2'!I:I,lookup!$A$22:$B$24,2,false),0)</f>
        <v>5</v>
      </c>
      <c r="K43" s="10">
        <f>IFERROR(vlookup('1.2'!J:J,lookup!$A$26:$B$28,2,false),0)</f>
        <v>5</v>
      </c>
      <c r="L43" s="1"/>
      <c r="M43" s="10">
        <v>42.0</v>
      </c>
      <c r="N43" s="11" t="str">
        <f t="shared" si="1"/>
        <v>bnco1042@signalschool.ac.th</v>
      </c>
      <c r="O43" s="12">
        <f t="shared" si="2"/>
        <v>1</v>
      </c>
      <c r="R43" s="6" t="s">
        <v>256</v>
      </c>
    </row>
    <row r="44">
      <c r="A44" s="8">
        <f>'1.2'!A:A</f>
        <v>46262.9595</v>
      </c>
      <c r="B44" s="1" t="str">
        <f>'1.2'!B:B</f>
        <v>bnco1061@signalschool.ac.th</v>
      </c>
      <c r="C44" s="1" t="str">
        <f>'1.2'!C:C</f>
        <v>ร.อ.สุพจน์ มงคล</v>
      </c>
      <c r="D44" s="9">
        <v>1.0</v>
      </c>
      <c r="E44" s="10">
        <f>IFERROR(vlookup('1.2'!D:D,lookup!$A$2:$B$4,2,false),0)</f>
        <v>5</v>
      </c>
      <c r="F44" s="10">
        <f>IFERROR(vlookup('1.2'!E:E,lookup!$A$6:$B$8,2,false),0)</f>
        <v>5</v>
      </c>
      <c r="G44" s="10">
        <f>IFERROR(vlookup('1.2'!F:F,lookup!$A$10:$B$12,2,false),0)</f>
        <v>5</v>
      </c>
      <c r="H44" s="10">
        <f>IFERROR(vlookup('1.2'!G:G,lookup!$A$14:$B$16,2,false),0)</f>
        <v>5</v>
      </c>
      <c r="I44" s="10">
        <f>IFERROR(vlookup('1.2'!H:H,lookup!$A$18:$B$20,2,false),0)</f>
        <v>5</v>
      </c>
      <c r="J44" s="10">
        <f>IFERROR(vlookup('1.2'!I:I,lookup!$A$22:$B$24,2,false),0)</f>
        <v>5</v>
      </c>
      <c r="K44" s="10">
        <f>IFERROR(vlookup('1.2'!J:J,lookup!$A$26:$B$28,2,false),0)</f>
        <v>5</v>
      </c>
      <c r="L44" s="1"/>
      <c r="M44" s="10">
        <v>43.0</v>
      </c>
      <c r="N44" s="11" t="str">
        <f t="shared" si="1"/>
        <v>bnco1043@signalschool.ac.th</v>
      </c>
      <c r="O44" s="12">
        <f t="shared" si="2"/>
        <v>1</v>
      </c>
      <c r="R44" s="6" t="s">
        <v>257</v>
      </c>
    </row>
    <row r="45">
      <c r="A45" s="8">
        <f>'1.2'!A:A</f>
        <v>46263.60439</v>
      </c>
      <c r="B45" s="1" t="str">
        <f>'1.2'!B:B</f>
        <v>bnco1054@signalschool.ac.th</v>
      </c>
      <c r="C45" s="1" t="str">
        <f>'1.2'!C:C</f>
        <v>ร.อ.สุพจน์  มงคล</v>
      </c>
      <c r="D45" s="9">
        <v>1.0</v>
      </c>
      <c r="E45" s="10">
        <f>IFERROR(vlookup('1.2'!D:D,lookup!$A$2:$B$4,2,false),0)</f>
        <v>5</v>
      </c>
      <c r="F45" s="10">
        <f>IFERROR(vlookup('1.2'!E:E,lookup!$A$6:$B$8,2,false),0)</f>
        <v>5</v>
      </c>
      <c r="G45" s="10">
        <f>IFERROR(vlookup('1.2'!F:F,lookup!$A$10:$B$12,2,false),0)</f>
        <v>5</v>
      </c>
      <c r="H45" s="10">
        <f>IFERROR(vlookup('1.2'!G:G,lookup!$A$14:$B$16,2,false),0)</f>
        <v>5</v>
      </c>
      <c r="I45" s="10">
        <f>IFERROR(vlookup('1.2'!H:H,lookup!$A$18:$B$20,2,false),0)</f>
        <v>5</v>
      </c>
      <c r="J45" s="10">
        <f>IFERROR(vlookup('1.2'!I:I,lookup!$A$22:$B$24,2,false),0)</f>
        <v>5</v>
      </c>
      <c r="K45" s="10">
        <f>IFERROR(vlookup('1.2'!J:J,lookup!$A$26:$B$28,2,false),0)</f>
        <v>5</v>
      </c>
      <c r="L45" s="1"/>
      <c r="M45" s="10">
        <v>44.0</v>
      </c>
      <c r="N45" s="11" t="str">
        <f t="shared" si="1"/>
        <v>bnco1044@signalschool.ac.th</v>
      </c>
      <c r="O45" s="12">
        <f t="shared" si="2"/>
        <v>1</v>
      </c>
      <c r="R45" s="6" t="s">
        <v>258</v>
      </c>
    </row>
    <row r="46">
      <c r="A46" s="8">
        <f>'1.2'!A:A</f>
        <v>46263.71354</v>
      </c>
      <c r="B46" s="1" t="str">
        <f>'1.2'!B:B</f>
        <v>bnco1023@signalschool.ac.th</v>
      </c>
      <c r="C46" s="1" t="str">
        <f>'1.2'!C:C</f>
        <v>ร.อ.สุพจน์ มงคล</v>
      </c>
      <c r="D46" s="9">
        <v>1.0</v>
      </c>
      <c r="E46" s="10">
        <f>IFERROR(vlookup('1.2'!D:D,lookup!$A$2:$B$4,2,false),0)</f>
        <v>5</v>
      </c>
      <c r="F46" s="10">
        <f>IFERROR(vlookup('1.2'!E:E,lookup!$A$6:$B$8,2,false),0)</f>
        <v>5</v>
      </c>
      <c r="G46" s="10">
        <f>IFERROR(vlookup('1.2'!F:F,lookup!$A$10:$B$12,2,false),0)</f>
        <v>5</v>
      </c>
      <c r="H46" s="10">
        <f>IFERROR(vlookup('1.2'!G:G,lookup!$A$14:$B$16,2,false),0)</f>
        <v>5</v>
      </c>
      <c r="I46" s="10">
        <f>IFERROR(vlookup('1.2'!H:H,lookup!$A$18:$B$20,2,false),0)</f>
        <v>5</v>
      </c>
      <c r="J46" s="10">
        <f>IFERROR(vlookup('1.2'!I:I,lookup!$A$22:$B$24,2,false),0)</f>
        <v>5</v>
      </c>
      <c r="K46" s="10">
        <f>IFERROR(vlookup('1.2'!J:J,lookup!$A$26:$B$28,2,false),0)</f>
        <v>5</v>
      </c>
      <c r="L46" s="1"/>
      <c r="M46" s="10">
        <v>45.0</v>
      </c>
      <c r="N46" s="11" t="str">
        <f t="shared" si="1"/>
        <v>bnco1045@signalschool.ac.th</v>
      </c>
      <c r="O46" s="12">
        <f t="shared" si="2"/>
        <v>1</v>
      </c>
      <c r="R46" s="6" t="s">
        <v>259</v>
      </c>
    </row>
    <row r="47">
      <c r="A47" s="8">
        <f>'1.2'!A:A</f>
        <v>46264.52751</v>
      </c>
      <c r="B47" s="1" t="str">
        <f>'1.2'!B:B</f>
        <v>bnco1015@signalschool.ac.th</v>
      </c>
      <c r="C47" s="1" t="str">
        <f>'1.2'!C:C</f>
        <v>ร.อ.สุพจน์ มงคล</v>
      </c>
      <c r="D47" s="9">
        <v>1.0</v>
      </c>
      <c r="E47" s="10">
        <f>IFERROR(vlookup('1.2'!D:D,lookup!$A$2:$B$4,2,false),0)</f>
        <v>5</v>
      </c>
      <c r="F47" s="10">
        <f>IFERROR(vlookup('1.2'!E:E,lookup!$A$6:$B$8,2,false),0)</f>
        <v>5</v>
      </c>
      <c r="G47" s="10">
        <f>IFERROR(vlookup('1.2'!F:F,lookup!$A$10:$B$12,2,false),0)</f>
        <v>5</v>
      </c>
      <c r="H47" s="10">
        <f>IFERROR(vlookup('1.2'!G:G,lookup!$A$14:$B$16,2,false),0)</f>
        <v>5</v>
      </c>
      <c r="I47" s="10">
        <f>IFERROR(vlookup('1.2'!H:H,lookup!$A$18:$B$20,2,false),0)</f>
        <v>5</v>
      </c>
      <c r="J47" s="10">
        <f>IFERROR(vlookup('1.2'!I:I,lookup!$A$22:$B$24,2,false),0)</f>
        <v>5</v>
      </c>
      <c r="K47" s="10">
        <f>IFERROR(vlookup('1.2'!J:J,lookup!$A$26:$B$28,2,false),0)</f>
        <v>5</v>
      </c>
      <c r="L47" s="1"/>
      <c r="M47" s="10">
        <v>46.0</v>
      </c>
      <c r="N47" s="11" t="str">
        <f t="shared" si="1"/>
        <v>bnco1046@signalschool.ac.th</v>
      </c>
      <c r="O47" s="12">
        <f t="shared" si="2"/>
        <v>1</v>
      </c>
      <c r="R47" s="6" t="s">
        <v>260</v>
      </c>
    </row>
    <row r="48">
      <c r="A48" s="8">
        <f>'1.2'!A:A</f>
        <v>46264.65077</v>
      </c>
      <c r="B48" s="1" t="str">
        <f>'1.2'!B:B</f>
        <v>bnco1002@signalschool.ac.th</v>
      </c>
      <c r="C48" s="1" t="str">
        <f>'1.2'!C:C</f>
        <v>ร.ท.สุพจน์ มงคล</v>
      </c>
      <c r="D48" s="9">
        <v>1.0</v>
      </c>
      <c r="E48" s="10">
        <f>IFERROR(vlookup('1.2'!D:D,lookup!$A$2:$B$4,2,false),0)</f>
        <v>5</v>
      </c>
      <c r="F48" s="10">
        <f>IFERROR(vlookup('1.2'!E:E,lookup!$A$6:$B$8,2,false),0)</f>
        <v>5</v>
      </c>
      <c r="G48" s="10">
        <f>IFERROR(vlookup('1.2'!F:F,lookup!$A$10:$B$12,2,false),0)</f>
        <v>5</v>
      </c>
      <c r="H48" s="10">
        <f>IFERROR(vlookup('1.2'!G:G,lookup!$A$14:$B$16,2,false),0)</f>
        <v>5</v>
      </c>
      <c r="I48" s="10">
        <f>IFERROR(vlookup('1.2'!H:H,lookup!$A$18:$B$20,2,false),0)</f>
        <v>5</v>
      </c>
      <c r="J48" s="10">
        <f>IFERROR(vlookup('1.2'!I:I,lookup!$A$22:$B$24,2,false),0)</f>
        <v>5</v>
      </c>
      <c r="K48" s="10">
        <f>IFERROR(vlookup('1.2'!J:J,lookup!$A$26:$B$28,2,false),0)</f>
        <v>5</v>
      </c>
      <c r="L48" s="1"/>
      <c r="M48" s="10">
        <v>47.0</v>
      </c>
      <c r="N48" s="11" t="str">
        <f t="shared" si="1"/>
        <v>bnco1047@signalschool.ac.th</v>
      </c>
      <c r="O48" s="12">
        <f t="shared" si="2"/>
        <v>1</v>
      </c>
      <c r="R48" s="6" t="s">
        <v>261</v>
      </c>
    </row>
    <row r="49">
      <c r="A49" s="8">
        <f>'1.2'!A:A</f>
        <v>46264.87768</v>
      </c>
      <c r="B49" s="1" t="str">
        <f>'1.2'!B:B</f>
        <v>edu.rad@signalschool.ac.th</v>
      </c>
      <c r="C49" s="1" t="str">
        <f>'1.2'!C:C</f>
        <v>ครูอาจารย์ รร.ส.สส.</v>
      </c>
      <c r="D49" s="9">
        <v>1.0</v>
      </c>
      <c r="E49" s="10">
        <f>IFERROR(vlookup('1.2'!D:D,lookup!$A$2:$B$4,2,false),0)</f>
        <v>5</v>
      </c>
      <c r="F49" s="10">
        <f>IFERROR(vlookup('1.2'!E:E,lookup!$A$6:$B$8,2,false),0)</f>
        <v>5</v>
      </c>
      <c r="G49" s="10">
        <f>IFERROR(vlookup('1.2'!F:F,lookup!$A$10:$B$12,2,false),0)</f>
        <v>5</v>
      </c>
      <c r="H49" s="10">
        <f>IFERROR(vlookup('1.2'!G:G,lookup!$A$14:$B$16,2,false),0)</f>
        <v>5</v>
      </c>
      <c r="I49" s="10">
        <f>IFERROR(vlookup('1.2'!H:H,lookup!$A$18:$B$20,2,false),0)</f>
        <v>5</v>
      </c>
      <c r="J49" s="10">
        <f>IFERROR(vlookup('1.2'!I:I,lookup!$A$22:$B$24,2,false),0)</f>
        <v>5</v>
      </c>
      <c r="K49" s="10">
        <f>IFERROR(vlookup('1.2'!J:J,lookup!$A$26:$B$28,2,false),0)</f>
        <v>5</v>
      </c>
      <c r="L49" s="1"/>
      <c r="M49" s="10">
        <v>48.0</v>
      </c>
      <c r="N49" s="11" t="str">
        <f t="shared" si="1"/>
        <v>bnco1048@signalschool.ac.th</v>
      </c>
      <c r="O49" s="12">
        <f t="shared" si="2"/>
        <v>0</v>
      </c>
      <c r="R49" s="6" t="s">
        <v>262</v>
      </c>
    </row>
    <row r="50">
      <c r="A50" s="8">
        <f>'1.2'!A:A</f>
        <v>46265.32364</v>
      </c>
      <c r="B50" s="1" t="str">
        <f>'1.2'!B:B</f>
        <v>bnco1059@signalschool.ac.th</v>
      </c>
      <c r="C50" s="1" t="str">
        <f>'1.2'!C:C</f>
        <v>ร.อ.สุพจน์  มงคล</v>
      </c>
      <c r="D50" s="9">
        <v>1.0</v>
      </c>
      <c r="E50" s="10">
        <f>IFERROR(vlookup('1.2'!D:D,lookup!$A$2:$B$4,2,false),0)</f>
        <v>5</v>
      </c>
      <c r="F50" s="10">
        <f>IFERROR(vlookup('1.2'!E:E,lookup!$A$6:$B$8,2,false),0)</f>
        <v>5</v>
      </c>
      <c r="G50" s="10">
        <f>IFERROR(vlookup('1.2'!F:F,lookup!$A$10:$B$12,2,false),0)</f>
        <v>5</v>
      </c>
      <c r="H50" s="10">
        <f>IFERROR(vlookup('1.2'!G:G,lookup!$A$14:$B$16,2,false),0)</f>
        <v>5</v>
      </c>
      <c r="I50" s="10">
        <f>IFERROR(vlookup('1.2'!H:H,lookup!$A$18:$B$20,2,false),0)</f>
        <v>5</v>
      </c>
      <c r="J50" s="10">
        <f>IFERROR(vlookup('1.2'!I:I,lookup!$A$22:$B$24,2,false),0)</f>
        <v>5</v>
      </c>
      <c r="K50" s="10">
        <f>IFERROR(vlookup('1.2'!J:J,lookup!$A$26:$B$28,2,false),0)</f>
        <v>5</v>
      </c>
      <c r="L50" s="1"/>
      <c r="M50" s="10">
        <v>49.0</v>
      </c>
      <c r="N50" s="11" t="str">
        <f t="shared" si="1"/>
        <v>bnco1049@signalschool.ac.th</v>
      </c>
      <c r="O50" s="12">
        <f t="shared" si="2"/>
        <v>1</v>
      </c>
      <c r="R50" s="6" t="s">
        <v>263</v>
      </c>
    </row>
    <row r="51">
      <c r="A51" s="8">
        <f>'1.2'!A:A</f>
        <v>46265.67886</v>
      </c>
      <c r="B51" s="1" t="str">
        <f>'1.2'!B:B</f>
        <v>bnco1046@signalschool.ac.th</v>
      </c>
      <c r="C51" s="1" t="str">
        <f>'1.2'!C:C</f>
        <v>ร.อ.สุพจน์ มงคล</v>
      </c>
      <c r="D51" s="9">
        <v>1.0</v>
      </c>
      <c r="E51" s="10">
        <f>IFERROR(vlookup('1.2'!D:D,lookup!$A$2:$B$4,2,false),0)</f>
        <v>5</v>
      </c>
      <c r="F51" s="10">
        <f>IFERROR(vlookup('1.2'!E:E,lookup!$A$6:$B$8,2,false),0)</f>
        <v>5</v>
      </c>
      <c r="G51" s="10">
        <f>IFERROR(vlookup('1.2'!F:F,lookup!$A$10:$B$12,2,false),0)</f>
        <v>5</v>
      </c>
      <c r="H51" s="10">
        <f>IFERROR(vlookup('1.2'!G:G,lookup!$A$14:$B$16,2,false),0)</f>
        <v>5</v>
      </c>
      <c r="I51" s="10">
        <f>IFERROR(vlookup('1.2'!H:H,lookup!$A$18:$B$20,2,false),0)</f>
        <v>5</v>
      </c>
      <c r="J51" s="10">
        <f>IFERROR(vlookup('1.2'!I:I,lookup!$A$22:$B$24,2,false),0)</f>
        <v>5</v>
      </c>
      <c r="K51" s="10">
        <f>IFERROR(vlookup('1.2'!J:J,lookup!$A$26:$B$28,2,false),0)</f>
        <v>5</v>
      </c>
      <c r="L51" s="1"/>
      <c r="M51" s="10">
        <v>50.0</v>
      </c>
      <c r="N51" s="11" t="str">
        <f t="shared" si="1"/>
        <v>bnco1050@signalschool.ac.th</v>
      </c>
      <c r="O51" s="12">
        <f t="shared" si="2"/>
        <v>1</v>
      </c>
      <c r="R51" s="6" t="s">
        <v>264</v>
      </c>
    </row>
    <row r="52">
      <c r="A52" s="8">
        <f>'1.2'!A:A</f>
        <v>46265.69121</v>
      </c>
      <c r="B52" s="1" t="str">
        <f>'1.2'!B:B</f>
        <v>bnco1024@signalschool.ac.th</v>
      </c>
      <c r="C52" s="1" t="str">
        <f>'1.2'!C:C</f>
        <v>ร.อ.สุพจน์ มงคล</v>
      </c>
      <c r="D52" s="9">
        <v>1.0</v>
      </c>
      <c r="E52" s="10">
        <f>IFERROR(vlookup('1.2'!D:D,lookup!$A$2:$B$4,2,false),0)</f>
        <v>5</v>
      </c>
      <c r="F52" s="10">
        <f>IFERROR(vlookup('1.2'!E:E,lookup!$A$6:$B$8,2,false),0)</f>
        <v>5</v>
      </c>
      <c r="G52" s="10">
        <f>IFERROR(vlookup('1.2'!F:F,lookup!$A$10:$B$12,2,false),0)</f>
        <v>5</v>
      </c>
      <c r="H52" s="10">
        <f>IFERROR(vlookup('1.2'!G:G,lookup!$A$14:$B$16,2,false),0)</f>
        <v>5</v>
      </c>
      <c r="I52" s="10">
        <f>IFERROR(vlookup('1.2'!H:H,lookup!$A$18:$B$20,2,false),0)</f>
        <v>5</v>
      </c>
      <c r="J52" s="10">
        <f>IFERROR(vlookup('1.2'!I:I,lookup!$A$22:$B$24,2,false),0)</f>
        <v>5</v>
      </c>
      <c r="K52" s="10">
        <f>IFERROR(vlookup('1.2'!J:J,lookup!$A$26:$B$28,2,false),0)</f>
        <v>5</v>
      </c>
      <c r="L52" s="1"/>
      <c r="M52" s="10">
        <v>51.0</v>
      </c>
      <c r="N52" s="11" t="str">
        <f t="shared" si="1"/>
        <v>bnco1051@signalschool.ac.th</v>
      </c>
      <c r="O52" s="12">
        <f t="shared" si="2"/>
        <v>1</v>
      </c>
      <c r="R52" s="6" t="s">
        <v>265</v>
      </c>
    </row>
    <row r="53">
      <c r="A53" s="8">
        <f>'1.2'!A:A</f>
        <v>46265.70286</v>
      </c>
      <c r="B53" s="1" t="str">
        <f>'1.2'!B:B</f>
        <v>bnco1073@signalschool.ac.th</v>
      </c>
      <c r="C53" s="1" t="str">
        <f>'1.2'!C:C</f>
        <v>ร.อ.สุพจน์  มงคล</v>
      </c>
      <c r="D53" s="9">
        <v>1.0</v>
      </c>
      <c r="E53" s="10">
        <f>IFERROR(vlookup('1.2'!D:D,lookup!$A$2:$B$4,2,false),0)</f>
        <v>5</v>
      </c>
      <c r="F53" s="10">
        <f>IFERROR(vlookup('1.2'!E:E,lookup!$A$6:$B$8,2,false),0)</f>
        <v>5</v>
      </c>
      <c r="G53" s="10">
        <f>IFERROR(vlookup('1.2'!F:F,lookup!$A$10:$B$12,2,false),0)</f>
        <v>5</v>
      </c>
      <c r="H53" s="10">
        <f>IFERROR(vlookup('1.2'!G:G,lookup!$A$14:$B$16,2,false),0)</f>
        <v>5</v>
      </c>
      <c r="I53" s="10">
        <f>IFERROR(vlookup('1.2'!H:H,lookup!$A$18:$B$20,2,false),0)</f>
        <v>5</v>
      </c>
      <c r="J53" s="10">
        <f>IFERROR(vlookup('1.2'!I:I,lookup!$A$22:$B$24,2,false),0)</f>
        <v>5</v>
      </c>
      <c r="K53" s="10">
        <f>IFERROR(vlookup('1.2'!J:J,lookup!$A$26:$B$28,2,false),0)</f>
        <v>5</v>
      </c>
      <c r="L53" s="1"/>
      <c r="M53" s="10">
        <v>52.0</v>
      </c>
      <c r="N53" s="11" t="str">
        <f t="shared" si="1"/>
        <v>bnco1052@signalschool.ac.th</v>
      </c>
      <c r="O53" s="12">
        <f t="shared" si="2"/>
        <v>1</v>
      </c>
      <c r="R53" s="6" t="s">
        <v>266</v>
      </c>
    </row>
    <row r="54">
      <c r="A54" s="8">
        <f>'1.2'!A:A</f>
        <v>46265.70416</v>
      </c>
      <c r="B54" s="1" t="str">
        <f>'1.2'!B:B</f>
        <v>bnco1078@signalschool.ac.th</v>
      </c>
      <c r="C54" s="1" t="str">
        <f>'1.2'!C:C</f>
        <v>ร.อ.สุพจน์ มงคล</v>
      </c>
      <c r="D54" s="9">
        <v>1.0</v>
      </c>
      <c r="E54" s="10">
        <f>IFERROR(vlookup('1.2'!D:D,lookup!$A$2:$B$4,2,false),0)</f>
        <v>5</v>
      </c>
      <c r="F54" s="10">
        <f>IFERROR(vlookup('1.2'!E:E,lookup!$A$6:$B$8,2,false),0)</f>
        <v>5</v>
      </c>
      <c r="G54" s="10">
        <f>IFERROR(vlookup('1.2'!F:F,lookup!$A$10:$B$12,2,false),0)</f>
        <v>5</v>
      </c>
      <c r="H54" s="10">
        <f>IFERROR(vlookup('1.2'!G:G,lookup!$A$14:$B$16,2,false),0)</f>
        <v>5</v>
      </c>
      <c r="I54" s="10">
        <f>IFERROR(vlookup('1.2'!H:H,lookup!$A$18:$B$20,2,false),0)</f>
        <v>5</v>
      </c>
      <c r="J54" s="10">
        <f>IFERROR(vlookup('1.2'!I:I,lookup!$A$22:$B$24,2,false),0)</f>
        <v>5</v>
      </c>
      <c r="K54" s="10">
        <f>IFERROR(vlookup('1.2'!J:J,lookup!$A$26:$B$28,2,false),0)</f>
        <v>5</v>
      </c>
      <c r="L54" s="1"/>
      <c r="M54" s="10">
        <v>53.0</v>
      </c>
      <c r="N54" s="11" t="str">
        <f t="shared" si="1"/>
        <v>bnco1053@signalschool.ac.th</v>
      </c>
      <c r="O54" s="12">
        <f t="shared" si="2"/>
        <v>1</v>
      </c>
      <c r="R54" s="6" t="s">
        <v>267</v>
      </c>
    </row>
    <row r="55">
      <c r="A55" s="8">
        <f>'1.2'!A:A</f>
        <v>46265.73447</v>
      </c>
      <c r="B55" s="1" t="str">
        <f>'1.2'!B:B</f>
        <v>bnco1057@signalschool.ac.th</v>
      </c>
      <c r="C55" s="1" t="str">
        <f>'1.2'!C:C</f>
        <v>ร.อ.สุพจน์ มงคล</v>
      </c>
      <c r="D55" s="9">
        <v>1.0</v>
      </c>
      <c r="E55" s="10">
        <f>IFERROR(vlookup('1.2'!D:D,lookup!$A$2:$B$4,2,false),0)</f>
        <v>5</v>
      </c>
      <c r="F55" s="10">
        <f>IFERROR(vlookup('1.2'!E:E,lookup!$A$6:$B$8,2,false),0)</f>
        <v>5</v>
      </c>
      <c r="G55" s="10">
        <f>IFERROR(vlookup('1.2'!F:F,lookup!$A$10:$B$12,2,false),0)</f>
        <v>5</v>
      </c>
      <c r="H55" s="10">
        <f>IFERROR(vlookup('1.2'!G:G,lookup!$A$14:$B$16,2,false),0)</f>
        <v>5</v>
      </c>
      <c r="I55" s="10">
        <f>IFERROR(vlookup('1.2'!H:H,lookup!$A$18:$B$20,2,false),0)</f>
        <v>5</v>
      </c>
      <c r="J55" s="10">
        <f>IFERROR(vlookup('1.2'!I:I,lookup!$A$22:$B$24,2,false),0)</f>
        <v>5</v>
      </c>
      <c r="K55" s="10">
        <f>IFERROR(vlookup('1.2'!J:J,lookup!$A$26:$B$28,2,false),0)</f>
        <v>5</v>
      </c>
      <c r="L55" s="1"/>
      <c r="M55" s="10">
        <v>54.0</v>
      </c>
      <c r="N55" s="11" t="str">
        <f t="shared" si="1"/>
        <v>bnco1054@signalschool.ac.th</v>
      </c>
      <c r="O55" s="12">
        <f t="shared" si="2"/>
        <v>1</v>
      </c>
      <c r="R55" s="6" t="s">
        <v>268</v>
      </c>
    </row>
    <row r="56">
      <c r="A56" s="8">
        <f>'1.2'!A:A</f>
        <v>46266.54654</v>
      </c>
      <c r="B56" s="1" t="str">
        <f>'1.2'!B:B</f>
        <v>bnco1004@signalschool.ac.th</v>
      </c>
      <c r="C56" s="1" t="str">
        <f>'1.2'!C:C</f>
        <v>จ่าสิบเอก อนิชิท ธิบมนทรา</v>
      </c>
      <c r="D56" s="9">
        <v>1.0</v>
      </c>
      <c r="E56" s="10">
        <f>IFERROR(vlookup('1.2'!D:D,lookup!$A$2:$B$4,2,false),0)</f>
        <v>3</v>
      </c>
      <c r="F56" s="10">
        <f>IFERROR(vlookup('1.2'!E:E,lookup!$A$6:$B$8,2,false),0)</f>
        <v>3</v>
      </c>
      <c r="G56" s="10">
        <f>IFERROR(vlookup('1.2'!F:F,lookup!$A$10:$B$12,2,false),0)</f>
        <v>3</v>
      </c>
      <c r="H56" s="10">
        <f>IFERROR(vlookup('1.2'!G:G,lookup!$A$14:$B$16,2,false),0)</f>
        <v>3</v>
      </c>
      <c r="I56" s="10">
        <f>IFERROR(vlookup('1.2'!H:H,lookup!$A$18:$B$20,2,false),0)</f>
        <v>3</v>
      </c>
      <c r="J56" s="10">
        <f>IFERROR(vlookup('1.2'!I:I,lookup!$A$22:$B$24,2,false),0)</f>
        <v>3</v>
      </c>
      <c r="K56" s="10">
        <f>IFERROR(vlookup('1.2'!J:J,lookup!$A$26:$B$28,2,false),0)</f>
        <v>3</v>
      </c>
      <c r="L56" s="13"/>
      <c r="M56" s="10">
        <v>55.0</v>
      </c>
      <c r="N56" s="11" t="str">
        <f t="shared" si="1"/>
        <v>bnco1055@signalschool.ac.th</v>
      </c>
      <c r="O56" s="12">
        <f t="shared" si="2"/>
        <v>1</v>
      </c>
      <c r="R56" s="6" t="s">
        <v>269</v>
      </c>
    </row>
    <row r="57">
      <c r="A57" s="8">
        <f>'1.2'!A:A</f>
        <v>46266.67742</v>
      </c>
      <c r="B57" s="1" t="str">
        <f>'1.2'!B:B</f>
        <v>bnco1053@signalschool.ac.th</v>
      </c>
      <c r="C57" s="1" t="str">
        <f>'1.2'!C:C</f>
        <v>ร.อ.สุพจน์  มงคล</v>
      </c>
      <c r="D57" s="9">
        <v>1.0</v>
      </c>
      <c r="E57" s="10">
        <f>IFERROR(vlookup('1.2'!D:D,lookup!$A$2:$B$4,2,false),0)</f>
        <v>5</v>
      </c>
      <c r="F57" s="10">
        <f>IFERROR(vlookup('1.2'!E:E,lookup!$A$6:$B$8,2,false),0)</f>
        <v>5</v>
      </c>
      <c r="G57" s="10">
        <f>IFERROR(vlookup('1.2'!F:F,lookup!$A$10:$B$12,2,false),0)</f>
        <v>5</v>
      </c>
      <c r="H57" s="10">
        <f>IFERROR(vlookup('1.2'!G:G,lookup!$A$14:$B$16,2,false),0)</f>
        <v>5</v>
      </c>
      <c r="I57" s="10">
        <f>IFERROR(vlookup('1.2'!H:H,lookup!$A$18:$B$20,2,false),0)</f>
        <v>5</v>
      </c>
      <c r="J57" s="10">
        <f>IFERROR(vlookup('1.2'!I:I,lookup!$A$22:$B$24,2,false),0)</f>
        <v>5</v>
      </c>
      <c r="K57" s="10">
        <f>IFERROR(vlookup('1.2'!J:J,lookup!$A$26:$B$28,2,false),0)</f>
        <v>5</v>
      </c>
      <c r="L57" s="13"/>
      <c r="M57" s="10">
        <v>56.0</v>
      </c>
      <c r="N57" s="11" t="str">
        <f t="shared" si="1"/>
        <v>bnco1056@signalschool.ac.th</v>
      </c>
      <c r="O57" s="12">
        <f t="shared" si="2"/>
        <v>1</v>
      </c>
      <c r="R57" s="6" t="s">
        <v>270</v>
      </c>
    </row>
    <row r="58">
      <c r="A58" s="8">
        <f>'1.2'!A:A</f>
        <v>46266.68394</v>
      </c>
      <c r="B58" s="1" t="str">
        <f>'1.2'!B:B</f>
        <v>bnco1047@signalschool.ac.th</v>
      </c>
      <c r="C58" s="1" t="str">
        <f>'1.2'!C:C</f>
        <v>ร.อ.สุพจน์ มงคล</v>
      </c>
      <c r="D58" s="9">
        <v>1.0</v>
      </c>
      <c r="E58" s="10">
        <f>IFERROR(vlookup('1.2'!D:D,lookup!$A$2:$B$4,2,false),0)</f>
        <v>5</v>
      </c>
      <c r="F58" s="10">
        <f>IFERROR(vlookup('1.2'!E:E,lookup!$A$6:$B$8,2,false),0)</f>
        <v>5</v>
      </c>
      <c r="G58" s="10">
        <f>IFERROR(vlookup('1.2'!F:F,lookup!$A$10:$B$12,2,false),0)</f>
        <v>5</v>
      </c>
      <c r="H58" s="10">
        <f>IFERROR(vlookup('1.2'!G:G,lookup!$A$14:$B$16,2,false),0)</f>
        <v>5</v>
      </c>
      <c r="I58" s="10">
        <f>IFERROR(vlookup('1.2'!H:H,lookup!$A$18:$B$20,2,false),0)</f>
        <v>5</v>
      </c>
      <c r="J58" s="10">
        <f>IFERROR(vlookup('1.2'!I:I,lookup!$A$22:$B$24,2,false),0)</f>
        <v>5</v>
      </c>
      <c r="K58" s="10">
        <f>IFERROR(vlookup('1.2'!J:J,lookup!$A$26:$B$28,2,false),0)</f>
        <v>5</v>
      </c>
      <c r="L58" s="13"/>
      <c r="M58" s="10">
        <v>57.0</v>
      </c>
      <c r="N58" s="11" t="str">
        <f t="shared" si="1"/>
        <v>bnco1057@signalschool.ac.th</v>
      </c>
      <c r="O58" s="12">
        <f t="shared" si="2"/>
        <v>1</v>
      </c>
      <c r="R58" s="6" t="s">
        <v>271</v>
      </c>
    </row>
    <row r="59">
      <c r="A59" s="8">
        <f>'1.2'!A:A</f>
        <v>46266.6925</v>
      </c>
      <c r="B59" s="1" t="str">
        <f>'1.2'!B:B</f>
        <v>bnco1055@signalschool.ac.th</v>
      </c>
      <c r="C59" s="1" t="str">
        <f>'1.2'!C:C</f>
        <v>ร.อ.สุพจน์ มงคล</v>
      </c>
      <c r="D59" s="9">
        <v>1.0</v>
      </c>
      <c r="E59" s="10">
        <f>IFERROR(vlookup('1.2'!D:D,lookup!$A$2:$B$4,2,false),0)</f>
        <v>5</v>
      </c>
      <c r="F59" s="10">
        <f>IFERROR(vlookup('1.2'!E:E,lookup!$A$6:$B$8,2,false),0)</f>
        <v>5</v>
      </c>
      <c r="G59" s="10">
        <f>IFERROR(vlookup('1.2'!F:F,lookup!$A$10:$B$12,2,false),0)</f>
        <v>5</v>
      </c>
      <c r="H59" s="10">
        <f>IFERROR(vlookup('1.2'!G:G,lookup!$A$14:$B$16,2,false),0)</f>
        <v>5</v>
      </c>
      <c r="I59" s="10">
        <f>IFERROR(vlookup('1.2'!H:H,lookup!$A$18:$B$20,2,false),0)</f>
        <v>5</v>
      </c>
      <c r="J59" s="10">
        <f>IFERROR(vlookup('1.2'!I:I,lookup!$A$22:$B$24,2,false),0)</f>
        <v>5</v>
      </c>
      <c r="K59" s="10">
        <f>IFERROR(vlookup('1.2'!J:J,lookup!$A$26:$B$28,2,false),0)</f>
        <v>5</v>
      </c>
      <c r="L59" s="14"/>
      <c r="M59" s="10">
        <v>58.0</v>
      </c>
      <c r="N59" s="11" t="str">
        <f t="shared" si="1"/>
        <v>bnco1058@signalschool.ac.th</v>
      </c>
      <c r="O59" s="12">
        <f t="shared" si="2"/>
        <v>1</v>
      </c>
      <c r="R59" s="6" t="s">
        <v>272</v>
      </c>
    </row>
    <row r="60">
      <c r="A60" s="8">
        <f>'1.2'!A:A</f>
        <v>46266.80358</v>
      </c>
      <c r="B60" s="1" t="str">
        <f>'1.2'!B:B</f>
        <v>bnco1017@signalschool.ac.th</v>
      </c>
      <c r="C60" s="1" t="str">
        <f>'1.2'!C:C</f>
        <v>ร.อ.สุพจน์ มงคล</v>
      </c>
      <c r="D60" s="9">
        <v>1.0</v>
      </c>
      <c r="E60" s="10">
        <f>IFERROR(vlookup('1.2'!D:D,lookup!$A$2:$B$4,2,false),0)</f>
        <v>5</v>
      </c>
      <c r="F60" s="10">
        <f>IFERROR(vlookup('1.2'!E:E,lookup!$A$6:$B$8,2,false),0)</f>
        <v>5</v>
      </c>
      <c r="G60" s="10">
        <f>IFERROR(vlookup('1.2'!F:F,lookup!$A$10:$B$12,2,false),0)</f>
        <v>5</v>
      </c>
      <c r="H60" s="10">
        <f>IFERROR(vlookup('1.2'!G:G,lookup!$A$14:$B$16,2,false),0)</f>
        <v>5</v>
      </c>
      <c r="I60" s="10">
        <f>IFERROR(vlookup('1.2'!H:H,lookup!$A$18:$B$20,2,false),0)</f>
        <v>5</v>
      </c>
      <c r="J60" s="10">
        <f>IFERROR(vlookup('1.2'!I:I,lookup!$A$22:$B$24,2,false),0)</f>
        <v>5</v>
      </c>
      <c r="K60" s="10">
        <f>IFERROR(vlookup('1.2'!J:J,lookup!$A$26:$B$28,2,false),0)</f>
        <v>5</v>
      </c>
      <c r="L60" s="10"/>
      <c r="M60" s="10">
        <v>59.0</v>
      </c>
      <c r="N60" s="11" t="str">
        <f t="shared" si="1"/>
        <v>bnco1059@signalschool.ac.th</v>
      </c>
      <c r="O60" s="12">
        <f t="shared" si="2"/>
        <v>1</v>
      </c>
      <c r="R60" s="6" t="s">
        <v>273</v>
      </c>
    </row>
    <row r="61">
      <c r="A61" s="8">
        <f>'1.2'!A:A</f>
        <v>46267.30655</v>
      </c>
      <c r="B61" s="1" t="str">
        <f>'1.2'!B:B</f>
        <v>bnco1016@signalschool.ac.th</v>
      </c>
      <c r="C61" s="1" t="str">
        <f>'1.2'!C:C</f>
        <v>ร.อ.สุพจน์ มงคล</v>
      </c>
      <c r="D61" s="9">
        <v>1.0</v>
      </c>
      <c r="E61" s="10">
        <f>IFERROR(vlookup('1.2'!D:D,lookup!$A$2:$B$4,2,false),0)</f>
        <v>5</v>
      </c>
      <c r="F61" s="10">
        <f>IFERROR(vlookup('1.2'!E:E,lookup!$A$6:$B$8,2,false),0)</f>
        <v>5</v>
      </c>
      <c r="G61" s="10">
        <f>IFERROR(vlookup('1.2'!F:F,lookup!$A$10:$B$12,2,false),0)</f>
        <v>5</v>
      </c>
      <c r="H61" s="10">
        <f>IFERROR(vlookup('1.2'!G:G,lookup!$A$14:$B$16,2,false),0)</f>
        <v>5</v>
      </c>
      <c r="I61" s="10">
        <f>IFERROR(vlookup('1.2'!H:H,lookup!$A$18:$B$20,2,false),0)</f>
        <v>5</v>
      </c>
      <c r="J61" s="10">
        <f>IFERROR(vlookup('1.2'!I:I,lookup!$A$22:$B$24,2,false),0)</f>
        <v>5</v>
      </c>
      <c r="K61" s="10">
        <f>IFERROR(vlookup('1.2'!J:J,lookup!$A$26:$B$28,2,false),0)</f>
        <v>5</v>
      </c>
      <c r="M61" s="10">
        <v>60.0</v>
      </c>
      <c r="N61" s="11" t="str">
        <f t="shared" si="1"/>
        <v>bnco1060@signalschool.ac.th</v>
      </c>
      <c r="O61" s="12">
        <f t="shared" si="2"/>
        <v>1</v>
      </c>
      <c r="R61" s="6" t="s">
        <v>274</v>
      </c>
    </row>
    <row r="62">
      <c r="A62" s="8">
        <f>'1.2'!A:A</f>
        <v>46267.3073</v>
      </c>
      <c r="B62" s="1" t="str">
        <f>'1.2'!B:B</f>
        <v>bnco1019@signalschool.ac.th</v>
      </c>
      <c r="C62" s="1" t="str">
        <f>'1.2'!C:C</f>
        <v>จ.ส.อ.พัลลภ ดวงเดือน</v>
      </c>
      <c r="D62" s="9">
        <v>1.0</v>
      </c>
      <c r="E62" s="10">
        <f>IFERROR(vlookup('1.2'!D:D,lookup!$A$2:$B$4,2,false),0)</f>
        <v>5</v>
      </c>
      <c r="F62" s="10">
        <f>IFERROR(vlookup('1.2'!E:E,lookup!$A$6:$B$8,2,false),0)</f>
        <v>5</v>
      </c>
      <c r="G62" s="10">
        <f>IFERROR(vlookup('1.2'!F:F,lookup!$A$10:$B$12,2,false),0)</f>
        <v>5</v>
      </c>
      <c r="H62" s="10">
        <f>IFERROR(vlookup('1.2'!G:G,lookup!$A$14:$B$16,2,false),0)</f>
        <v>5</v>
      </c>
      <c r="I62" s="10">
        <f>IFERROR(vlookup('1.2'!H:H,lookup!$A$18:$B$20,2,false),0)</f>
        <v>5</v>
      </c>
      <c r="J62" s="10">
        <f>IFERROR(vlookup('1.2'!I:I,lookup!$A$22:$B$24,2,false),0)</f>
        <v>5</v>
      </c>
      <c r="K62" s="10">
        <f>IFERROR(vlookup('1.2'!J:J,lookup!$A$26:$B$28,2,false),0)</f>
        <v>5</v>
      </c>
      <c r="M62" s="10">
        <v>61.0</v>
      </c>
      <c r="N62" s="11" t="str">
        <f t="shared" si="1"/>
        <v>bnco1061@signalschool.ac.th</v>
      </c>
      <c r="O62" s="12">
        <f t="shared" si="2"/>
        <v>1</v>
      </c>
      <c r="R62" s="6" t="s">
        <v>275</v>
      </c>
    </row>
    <row r="63">
      <c r="A63" s="8">
        <f>'1.2'!A:A</f>
        <v>46267.55948</v>
      </c>
      <c r="B63" s="1" t="str">
        <f>'1.2'!B:B</f>
        <v>bnco1034@signalschool.ac.th</v>
      </c>
      <c r="C63" s="1" t="str">
        <f>'1.2'!C:C</f>
        <v>ร.อ.สุพจน์ มงคล</v>
      </c>
      <c r="D63" s="9">
        <v>1.0</v>
      </c>
      <c r="E63" s="10">
        <f>IFERROR(vlookup('1.2'!D:D,lookup!$A$2:$B$4,2,false),0)</f>
        <v>5</v>
      </c>
      <c r="F63" s="10">
        <f>IFERROR(vlookup('1.2'!E:E,lookup!$A$6:$B$8,2,false),0)</f>
        <v>5</v>
      </c>
      <c r="G63" s="10">
        <f>IFERROR(vlookup('1.2'!F:F,lookup!$A$10:$B$12,2,false),0)</f>
        <v>5</v>
      </c>
      <c r="H63" s="10">
        <f>IFERROR(vlookup('1.2'!G:G,lookup!$A$14:$B$16,2,false),0)</f>
        <v>5</v>
      </c>
      <c r="I63" s="10">
        <f>IFERROR(vlookup('1.2'!H:H,lookup!$A$18:$B$20,2,false),0)</f>
        <v>5</v>
      </c>
      <c r="J63" s="10">
        <f>IFERROR(vlookup('1.2'!I:I,lookup!$A$22:$B$24,2,false),0)</f>
        <v>5</v>
      </c>
      <c r="K63" s="10">
        <f>IFERROR(vlookup('1.2'!J:J,lookup!$A$26:$B$28,2,false),0)</f>
        <v>5</v>
      </c>
      <c r="M63" s="10">
        <v>62.0</v>
      </c>
      <c r="N63" s="11" t="str">
        <f t="shared" si="1"/>
        <v>bnco1062@signalschool.ac.th</v>
      </c>
      <c r="O63" s="12">
        <f t="shared" si="2"/>
        <v>1</v>
      </c>
      <c r="R63" s="6" t="s">
        <v>276</v>
      </c>
    </row>
    <row r="64">
      <c r="A64" s="8">
        <f>'1.2'!A:A</f>
        <v>46267.60539</v>
      </c>
      <c r="B64" s="1" t="str">
        <f>'1.2'!B:B</f>
        <v>bnco1001@signalschool.ac.th</v>
      </c>
      <c r="C64" s="1" t="str">
        <f>'1.2'!C:C</f>
        <v>ครู/อาจารย์</v>
      </c>
      <c r="D64" s="9">
        <v>1.0</v>
      </c>
      <c r="E64" s="10">
        <f>IFERROR(vlookup('1.2'!D:D,lookup!$A$2:$B$4,2,false),0)</f>
        <v>5</v>
      </c>
      <c r="F64" s="10">
        <f>IFERROR(vlookup('1.2'!E:E,lookup!$A$6:$B$8,2,false),0)</f>
        <v>5</v>
      </c>
      <c r="G64" s="10">
        <f>IFERROR(vlookup('1.2'!F:F,lookup!$A$10:$B$12,2,false),0)</f>
        <v>5</v>
      </c>
      <c r="H64" s="10">
        <f>IFERROR(vlookup('1.2'!G:G,lookup!$A$14:$B$16,2,false),0)</f>
        <v>5</v>
      </c>
      <c r="I64" s="10">
        <f>IFERROR(vlookup('1.2'!H:H,lookup!$A$18:$B$20,2,false),0)</f>
        <v>5</v>
      </c>
      <c r="J64" s="10">
        <f>IFERROR(vlookup('1.2'!I:I,lookup!$A$22:$B$24,2,false),0)</f>
        <v>5</v>
      </c>
      <c r="K64" s="10">
        <f>IFERROR(vlookup('1.2'!J:J,lookup!$A$26:$B$28,2,false),0)</f>
        <v>5</v>
      </c>
      <c r="M64" s="10">
        <v>63.0</v>
      </c>
      <c r="N64" s="11" t="str">
        <f t="shared" si="1"/>
        <v>bnco1063@signalschool.ac.th</v>
      </c>
      <c r="O64" s="12">
        <f t="shared" si="2"/>
        <v>1</v>
      </c>
      <c r="R64" s="6" t="s">
        <v>277</v>
      </c>
    </row>
    <row r="65">
      <c r="A65" s="8">
        <f>'1.2'!A:A</f>
        <v>46267.6059</v>
      </c>
      <c r="B65" s="1" t="str">
        <f>'1.2'!B:B</f>
        <v>bnco1011@signalschool.ac.th</v>
      </c>
      <c r="C65" s="1" t="str">
        <f>'1.2'!C:C</f>
        <v>ร.อ.สุพจน์ มงคล</v>
      </c>
      <c r="D65" s="9">
        <v>1.0</v>
      </c>
      <c r="E65" s="10">
        <f>IFERROR(vlookup('1.2'!D:D,lookup!$A$2:$B$4,2,false),0)</f>
        <v>5</v>
      </c>
      <c r="F65" s="10">
        <f>IFERROR(vlookup('1.2'!E:E,lookup!$A$6:$B$8,2,false),0)</f>
        <v>5</v>
      </c>
      <c r="G65" s="10">
        <f>IFERROR(vlookup('1.2'!F:F,lookup!$A$10:$B$12,2,false),0)</f>
        <v>5</v>
      </c>
      <c r="H65" s="10">
        <f>IFERROR(vlookup('1.2'!G:G,lookup!$A$14:$B$16,2,false),0)</f>
        <v>5</v>
      </c>
      <c r="I65" s="10">
        <f>IFERROR(vlookup('1.2'!H:H,lookup!$A$18:$B$20,2,false),0)</f>
        <v>5</v>
      </c>
      <c r="J65" s="10">
        <f>IFERROR(vlookup('1.2'!I:I,lookup!$A$22:$B$24,2,false),0)</f>
        <v>3</v>
      </c>
      <c r="K65" s="10">
        <f>IFERROR(vlookup('1.2'!J:J,lookup!$A$26:$B$28,2,false),0)</f>
        <v>5</v>
      </c>
      <c r="M65" s="10">
        <v>64.0</v>
      </c>
      <c r="N65" s="11" t="str">
        <f t="shared" si="1"/>
        <v>bnco1064@signalschool.ac.th</v>
      </c>
      <c r="O65" s="12">
        <f t="shared" si="2"/>
        <v>1</v>
      </c>
      <c r="R65" s="6" t="s">
        <v>278</v>
      </c>
    </row>
    <row r="66">
      <c r="A66" s="8">
        <f>'1.2'!A:A</f>
        <v>46267.60757</v>
      </c>
      <c r="B66" s="1" t="str">
        <f>'1.2'!B:B</f>
        <v>bnco1043@signalschool.ac.th</v>
      </c>
      <c r="C66" s="1" t="str">
        <f>'1.2'!C:C</f>
        <v>ร.อ.สุพจน์ มงคล</v>
      </c>
      <c r="D66" s="9">
        <v>1.0</v>
      </c>
      <c r="E66" s="10">
        <f>IFERROR(vlookup('1.2'!D:D,lookup!$A$2:$B$4,2,false),0)</f>
        <v>5</v>
      </c>
      <c r="F66" s="10">
        <f>IFERROR(vlookup('1.2'!E:E,lookup!$A$6:$B$8,2,false),0)</f>
        <v>5</v>
      </c>
      <c r="G66" s="10">
        <f>IFERROR(vlookup('1.2'!F:F,lookup!$A$10:$B$12,2,false),0)</f>
        <v>5</v>
      </c>
      <c r="H66" s="10">
        <f>IFERROR(vlookup('1.2'!G:G,lookup!$A$14:$B$16,2,false),0)</f>
        <v>5</v>
      </c>
      <c r="I66" s="10">
        <f>IFERROR(vlookup('1.2'!H:H,lookup!$A$18:$B$20,2,false),0)</f>
        <v>5</v>
      </c>
      <c r="J66" s="10">
        <f>IFERROR(vlookup('1.2'!I:I,lookup!$A$22:$B$24,2,false),0)</f>
        <v>5</v>
      </c>
      <c r="K66" s="10">
        <f>IFERROR(vlookup('1.2'!J:J,lookup!$A$26:$B$28,2,false),0)</f>
        <v>5</v>
      </c>
      <c r="M66" s="10">
        <v>65.0</v>
      </c>
      <c r="N66" s="11" t="str">
        <f t="shared" si="1"/>
        <v>bnco1065@signalschool.ac.th</v>
      </c>
      <c r="O66" s="12">
        <f t="shared" si="2"/>
        <v>0</v>
      </c>
      <c r="R66" s="6" t="s">
        <v>279</v>
      </c>
    </row>
    <row r="67">
      <c r="A67" s="8">
        <f>'1.2'!A:A</f>
        <v>46267.8503</v>
      </c>
      <c r="B67" s="1" t="str">
        <f>'1.2'!B:B</f>
        <v>bnco1026@signalschool.ac.th</v>
      </c>
      <c r="C67" s="1" t="str">
        <f>'1.2'!C:C</f>
        <v>อาจารย์ผู้สอน</v>
      </c>
      <c r="D67" s="9">
        <v>1.0</v>
      </c>
      <c r="E67" s="10">
        <f>IFERROR(vlookup('1.2'!D:D,lookup!$A$2:$B$4,2,false),0)</f>
        <v>5</v>
      </c>
      <c r="F67" s="10">
        <f>IFERROR(vlookup('1.2'!E:E,lookup!$A$6:$B$8,2,false),0)</f>
        <v>5</v>
      </c>
      <c r="G67" s="10">
        <f>IFERROR(vlookup('1.2'!F:F,lookup!$A$10:$B$12,2,false),0)</f>
        <v>5</v>
      </c>
      <c r="H67" s="10">
        <f>IFERROR(vlookup('1.2'!G:G,lookup!$A$14:$B$16,2,false),0)</f>
        <v>5</v>
      </c>
      <c r="I67" s="10">
        <f>IFERROR(vlookup('1.2'!H:H,lookup!$A$18:$B$20,2,false),0)</f>
        <v>5</v>
      </c>
      <c r="J67" s="10">
        <f>IFERROR(vlookup('1.2'!I:I,lookup!$A$22:$B$24,2,false),0)</f>
        <v>3</v>
      </c>
      <c r="K67" s="10">
        <f>IFERROR(vlookup('1.2'!J:J,lookup!$A$26:$B$28,2,false),0)</f>
        <v>5</v>
      </c>
      <c r="M67" s="10">
        <v>66.0</v>
      </c>
      <c r="N67" s="11" t="str">
        <f t="shared" si="1"/>
        <v>bnco1066@signalschool.ac.th</v>
      </c>
      <c r="O67" s="12">
        <f t="shared" si="2"/>
        <v>1</v>
      </c>
      <c r="R67" s="6" t="s">
        <v>280</v>
      </c>
    </row>
    <row r="68">
      <c r="A68" s="8">
        <f>'1.2'!A:A</f>
        <v>46268.34384</v>
      </c>
      <c r="B68" s="1" t="str">
        <f>'1.2'!B:B</f>
        <v>bnco1040@signalschool.ac.th</v>
      </c>
      <c r="C68" s="1" t="str">
        <f>'1.2'!C:C</f>
        <v>ร.อ.สุพจน์ มงคล</v>
      </c>
      <c r="D68" s="9">
        <v>1.0</v>
      </c>
      <c r="E68" s="10">
        <f>IFERROR(vlookup('1.2'!D:D,lookup!$A$2:$B$4,2,false),0)</f>
        <v>5</v>
      </c>
      <c r="F68" s="10">
        <f>IFERROR(vlookup('1.2'!E:E,lookup!$A$6:$B$8,2,false),0)</f>
        <v>5</v>
      </c>
      <c r="G68" s="10">
        <f>IFERROR(vlookup('1.2'!F:F,lookup!$A$10:$B$12,2,false),0)</f>
        <v>5</v>
      </c>
      <c r="H68" s="10">
        <f>IFERROR(vlookup('1.2'!G:G,lookup!$A$14:$B$16,2,false),0)</f>
        <v>5</v>
      </c>
      <c r="I68" s="10">
        <f>IFERROR(vlookup('1.2'!H:H,lookup!$A$18:$B$20,2,false),0)</f>
        <v>5</v>
      </c>
      <c r="J68" s="10">
        <f>IFERROR(vlookup('1.2'!I:I,lookup!$A$22:$B$24,2,false),0)</f>
        <v>5</v>
      </c>
      <c r="K68" s="10">
        <f>IFERROR(vlookup('1.2'!J:J,lookup!$A$26:$B$28,2,false),0)</f>
        <v>5</v>
      </c>
      <c r="M68" s="10">
        <v>67.0</v>
      </c>
      <c r="N68" s="11" t="str">
        <f t="shared" si="1"/>
        <v>bnco1067@signalschool.ac.th</v>
      </c>
      <c r="O68" s="12">
        <f t="shared" si="2"/>
        <v>1</v>
      </c>
      <c r="R68" s="6" t="s">
        <v>281</v>
      </c>
    </row>
    <row r="69">
      <c r="A69" s="8" t="str">
        <f>'1.2'!A:A</f>
        <v/>
      </c>
      <c r="B69" s="1" t="str">
        <f>'1.2'!B:B</f>
        <v/>
      </c>
      <c r="C69" s="1" t="str">
        <f>'1.2'!C:C</f>
        <v/>
      </c>
      <c r="D69" s="9">
        <v>1.0</v>
      </c>
      <c r="E69" s="10">
        <f>IFERROR(vlookup('1.2'!D:D,lookup!$A$2:$B$4,2,false),0)</f>
        <v>0</v>
      </c>
      <c r="F69" s="10">
        <f>IFERROR(vlookup('1.2'!E:E,lookup!$A$6:$B$8,2,false),0)</f>
        <v>0</v>
      </c>
      <c r="G69" s="10">
        <f>IFERROR(vlookup('1.2'!F:F,lookup!$A$10:$B$12,2,false),0)</f>
        <v>0</v>
      </c>
      <c r="H69" s="10">
        <f>IFERROR(vlookup('1.2'!G:G,lookup!$A$14:$B$16,2,false),0)</f>
        <v>0</v>
      </c>
      <c r="I69" s="10">
        <f>IFERROR(vlookup('1.2'!H:H,lookup!$A$18:$B$20,2,false),0)</f>
        <v>0</v>
      </c>
      <c r="J69" s="10">
        <f>IFERROR(vlookup('1.2'!I:I,lookup!$A$22:$B$24,2,false),0)</f>
        <v>0</v>
      </c>
      <c r="K69" s="10">
        <f>IFERROR(vlookup('1.2'!J:J,lookup!$A$26:$B$28,2,false),0)</f>
        <v>0</v>
      </c>
      <c r="M69" s="10">
        <v>68.0</v>
      </c>
      <c r="N69" s="11" t="str">
        <f t="shared" si="1"/>
        <v>bnco1068@signalschool.ac.th</v>
      </c>
      <c r="O69" s="12">
        <f t="shared" si="2"/>
        <v>1</v>
      </c>
      <c r="R69" s="6" t="s">
        <v>282</v>
      </c>
    </row>
    <row r="70">
      <c r="A70" s="8" t="str">
        <f>'1.2'!A:A</f>
        <v/>
      </c>
      <c r="B70" s="1" t="str">
        <f>'1.2'!B:B</f>
        <v/>
      </c>
      <c r="C70" s="1" t="str">
        <f>'1.2'!C:C</f>
        <v/>
      </c>
      <c r="D70" s="9">
        <v>1.0</v>
      </c>
      <c r="E70" s="10">
        <f>IFERROR(vlookup('1.2'!D:D,lookup!$A$2:$B$4,2,false),0)</f>
        <v>0</v>
      </c>
      <c r="F70" s="10">
        <f>IFERROR(vlookup('1.2'!E:E,lookup!$A$6:$B$8,2,false),0)</f>
        <v>0</v>
      </c>
      <c r="G70" s="10">
        <f>IFERROR(vlookup('1.2'!F:F,lookup!$A$10:$B$12,2,false),0)</f>
        <v>0</v>
      </c>
      <c r="H70" s="10">
        <f>IFERROR(vlookup('1.2'!G:G,lookup!$A$14:$B$16,2,false),0)</f>
        <v>0</v>
      </c>
      <c r="I70" s="10">
        <f>IFERROR(vlookup('1.2'!H:H,lookup!$A$18:$B$20,2,false),0)</f>
        <v>0</v>
      </c>
      <c r="J70" s="10">
        <f>IFERROR(vlookup('1.2'!I:I,lookup!$A$22:$B$24,2,false),0)</f>
        <v>0</v>
      </c>
      <c r="K70" s="10">
        <f>IFERROR(vlookup('1.2'!J:J,lookup!$A$26:$B$28,2,false),0)</f>
        <v>0</v>
      </c>
      <c r="M70" s="10">
        <v>69.0</v>
      </c>
      <c r="N70" s="11" t="str">
        <f t="shared" si="1"/>
        <v>bnco1069@signalschool.ac.th</v>
      </c>
      <c r="O70" s="12">
        <f t="shared" si="2"/>
        <v>1</v>
      </c>
      <c r="R70" s="6" t="s">
        <v>283</v>
      </c>
    </row>
    <row r="71">
      <c r="A71" s="8" t="str">
        <f>'1.2'!A:A</f>
        <v/>
      </c>
      <c r="B71" s="1" t="str">
        <f>'1.2'!B:B</f>
        <v/>
      </c>
      <c r="C71" s="1" t="str">
        <f>'1.2'!C:C</f>
        <v/>
      </c>
      <c r="D71" s="9">
        <v>1.0</v>
      </c>
      <c r="E71" s="10">
        <f>IFERROR(vlookup('1.2'!D:D,lookup!$A$2:$B$4,2,false),0)</f>
        <v>0</v>
      </c>
      <c r="F71" s="10">
        <f>IFERROR(vlookup('1.2'!E:E,lookup!$A$6:$B$8,2,false),0)</f>
        <v>0</v>
      </c>
      <c r="G71" s="10">
        <f>IFERROR(vlookup('1.2'!F:F,lookup!$A$10:$B$12,2,false),0)</f>
        <v>0</v>
      </c>
      <c r="H71" s="10">
        <f>IFERROR(vlookup('1.2'!G:G,lookup!$A$14:$B$16,2,false),0)</f>
        <v>0</v>
      </c>
      <c r="I71" s="10">
        <f>IFERROR(vlookup('1.2'!H:H,lookup!$A$18:$B$20,2,false),0)</f>
        <v>0</v>
      </c>
      <c r="J71" s="10">
        <f>IFERROR(vlookup('1.2'!I:I,lookup!$A$22:$B$24,2,false),0)</f>
        <v>0</v>
      </c>
      <c r="K71" s="10">
        <f>IFERROR(vlookup('1.2'!J:J,lookup!$A$26:$B$28,2,false),0)</f>
        <v>0</v>
      </c>
      <c r="M71" s="10">
        <v>70.0</v>
      </c>
      <c r="N71" s="11" t="str">
        <f t="shared" si="1"/>
        <v>bnco1070@signalschool.ac.th</v>
      </c>
      <c r="O71" s="12">
        <f t="shared" si="2"/>
        <v>1</v>
      </c>
      <c r="R71" s="6" t="s">
        <v>284</v>
      </c>
    </row>
    <row r="72">
      <c r="A72" s="8" t="str">
        <f>'1.2'!A:A</f>
        <v/>
      </c>
      <c r="B72" s="1" t="str">
        <f>'1.2'!B:B</f>
        <v/>
      </c>
      <c r="C72" s="1" t="str">
        <f>'1.2'!C:C</f>
        <v/>
      </c>
      <c r="D72" s="9">
        <v>1.0</v>
      </c>
      <c r="E72" s="10">
        <f>IFERROR(vlookup('1.2'!D:D,lookup!$A$2:$B$4,2,false),0)</f>
        <v>0</v>
      </c>
      <c r="F72" s="10">
        <f>IFERROR(vlookup('1.2'!E:E,lookup!$A$6:$B$8,2,false),0)</f>
        <v>0</v>
      </c>
      <c r="G72" s="10">
        <f>IFERROR(vlookup('1.2'!F:F,lookup!$A$10:$B$12,2,false),0)</f>
        <v>0</v>
      </c>
      <c r="H72" s="10">
        <f>IFERROR(vlookup('1.2'!G:G,lookup!$A$14:$B$16,2,false),0)</f>
        <v>0</v>
      </c>
      <c r="I72" s="10">
        <f>IFERROR(vlookup('1.2'!H:H,lookup!$A$18:$B$20,2,false),0)</f>
        <v>0</v>
      </c>
      <c r="J72" s="10">
        <f>IFERROR(vlookup('1.2'!I:I,lookup!$A$22:$B$24,2,false),0)</f>
        <v>0</v>
      </c>
      <c r="K72" s="10">
        <f>IFERROR(vlookup('1.2'!J:J,lookup!$A$26:$B$28,2,false),0)</f>
        <v>0</v>
      </c>
      <c r="M72" s="10">
        <v>71.0</v>
      </c>
      <c r="N72" s="11" t="str">
        <f t="shared" si="1"/>
        <v>bnco1071@signalschool.ac.th</v>
      </c>
      <c r="O72" s="12">
        <f t="shared" si="2"/>
        <v>1</v>
      </c>
      <c r="R72" s="6" t="s">
        <v>285</v>
      </c>
    </row>
    <row r="73">
      <c r="A73" s="8" t="str">
        <f>'1.2'!A:A</f>
        <v/>
      </c>
      <c r="B73" s="1" t="str">
        <f>'1.2'!B:B</f>
        <v/>
      </c>
      <c r="C73" s="1" t="str">
        <f>'1.2'!C:C</f>
        <v/>
      </c>
      <c r="D73" s="9">
        <v>1.0</v>
      </c>
      <c r="E73" s="10">
        <f>IFERROR(vlookup('1.2'!D:D,lookup!$A$2:$B$4,2,false),0)</f>
        <v>0</v>
      </c>
      <c r="F73" s="10">
        <f>IFERROR(vlookup('1.2'!E:E,lookup!$A$6:$B$8,2,false),0)</f>
        <v>0</v>
      </c>
      <c r="G73" s="10">
        <f>IFERROR(vlookup('1.2'!F:F,lookup!$A$10:$B$12,2,false),0)</f>
        <v>0</v>
      </c>
      <c r="H73" s="10">
        <f>IFERROR(vlookup('1.2'!G:G,lookup!$A$14:$B$16,2,false),0)</f>
        <v>0</v>
      </c>
      <c r="I73" s="10">
        <f>IFERROR(vlookup('1.2'!H:H,lookup!$A$18:$B$20,2,false),0)</f>
        <v>0</v>
      </c>
      <c r="J73" s="10">
        <f>IFERROR(vlookup('1.2'!I:I,lookup!$A$22:$B$24,2,false),0)</f>
        <v>0</v>
      </c>
      <c r="K73" s="10">
        <f>IFERROR(vlookup('1.2'!J:J,lookup!$A$26:$B$28,2,false),0)</f>
        <v>0</v>
      </c>
      <c r="M73" s="10">
        <v>72.0</v>
      </c>
      <c r="N73" s="11" t="str">
        <f t="shared" si="1"/>
        <v>bnco1072@signalschool.ac.th</v>
      </c>
      <c r="O73" s="12">
        <f t="shared" si="2"/>
        <v>1</v>
      </c>
      <c r="R73" s="6" t="s">
        <v>286</v>
      </c>
    </row>
    <row r="74">
      <c r="A74" s="8" t="str">
        <f>'1.2'!A:A</f>
        <v/>
      </c>
      <c r="B74" s="1" t="str">
        <f>'1.2'!B:B</f>
        <v/>
      </c>
      <c r="C74" s="1" t="str">
        <f>'1.2'!C:C</f>
        <v/>
      </c>
      <c r="D74" s="9">
        <v>1.0</v>
      </c>
      <c r="E74" s="10">
        <f>IFERROR(vlookup('1.2'!D:D,lookup!$A$2:$B$4,2,false),0)</f>
        <v>0</v>
      </c>
      <c r="F74" s="10">
        <f>IFERROR(vlookup('1.2'!E:E,lookup!$A$6:$B$8,2,false),0)</f>
        <v>0</v>
      </c>
      <c r="G74" s="10">
        <f>IFERROR(vlookup('1.2'!F:F,lookup!$A$10:$B$12,2,false),0)</f>
        <v>0</v>
      </c>
      <c r="H74" s="10">
        <f>IFERROR(vlookup('1.2'!G:G,lookup!$A$14:$B$16,2,false),0)</f>
        <v>0</v>
      </c>
      <c r="I74" s="10">
        <f>IFERROR(vlookup('1.2'!H:H,lookup!$A$18:$B$20,2,false),0)</f>
        <v>0</v>
      </c>
      <c r="J74" s="10">
        <f>IFERROR(vlookup('1.2'!I:I,lookup!$A$22:$B$24,2,false),0)</f>
        <v>0</v>
      </c>
      <c r="K74" s="10">
        <f>IFERROR(vlookup('1.2'!J:J,lookup!$A$26:$B$28,2,false),0)</f>
        <v>0</v>
      </c>
      <c r="M74" s="10">
        <v>73.0</v>
      </c>
      <c r="N74" s="11" t="str">
        <f t="shared" si="1"/>
        <v>bnco1073@signalschool.ac.th</v>
      </c>
      <c r="O74" s="12">
        <f t="shared" si="2"/>
        <v>1</v>
      </c>
      <c r="R74" s="6" t="s">
        <v>287</v>
      </c>
    </row>
    <row r="75">
      <c r="A75" s="8" t="str">
        <f>'1.2'!A:A</f>
        <v/>
      </c>
      <c r="B75" s="1" t="str">
        <f>'1.2'!B:B</f>
        <v/>
      </c>
      <c r="C75" s="1" t="str">
        <f>'1.2'!C:C</f>
        <v/>
      </c>
      <c r="D75" s="9">
        <v>1.0</v>
      </c>
      <c r="E75" s="10">
        <f>IFERROR(vlookup('1.2'!D:D,lookup!$A$2:$B$4,2,false),0)</f>
        <v>0</v>
      </c>
      <c r="F75" s="10">
        <f>IFERROR(vlookup('1.2'!E:E,lookup!$A$6:$B$8,2,false),0)</f>
        <v>0</v>
      </c>
      <c r="G75" s="10">
        <f>IFERROR(vlookup('1.2'!F:F,lookup!$A$10:$B$12,2,false),0)</f>
        <v>0</v>
      </c>
      <c r="H75" s="10">
        <f>IFERROR(vlookup('1.2'!G:G,lookup!$A$14:$B$16,2,false),0)</f>
        <v>0</v>
      </c>
      <c r="I75" s="10">
        <f>IFERROR(vlookup('1.2'!H:H,lookup!$A$18:$B$20,2,false),0)</f>
        <v>0</v>
      </c>
      <c r="J75" s="10">
        <f>IFERROR(vlookup('1.2'!I:I,lookup!$A$22:$B$24,2,false),0)</f>
        <v>0</v>
      </c>
      <c r="K75" s="10">
        <f>IFERROR(vlookup('1.2'!J:J,lookup!$A$26:$B$28,2,false),0)</f>
        <v>0</v>
      </c>
      <c r="M75" s="10">
        <v>74.0</v>
      </c>
      <c r="N75" s="11" t="str">
        <f t="shared" si="1"/>
        <v>bnco1074@signalschool.ac.th</v>
      </c>
      <c r="O75" s="12">
        <f t="shared" si="2"/>
        <v>0</v>
      </c>
      <c r="R75" s="6" t="s">
        <v>288</v>
      </c>
    </row>
    <row r="76">
      <c r="A76" s="8" t="str">
        <f>'1.2'!A:A</f>
        <v/>
      </c>
      <c r="B76" s="1" t="str">
        <f>'1.2'!B:B</f>
        <v/>
      </c>
      <c r="C76" s="1" t="str">
        <f>'1.2'!C:C</f>
        <v/>
      </c>
      <c r="D76" s="9">
        <v>1.0</v>
      </c>
      <c r="E76" s="10">
        <f>IFERROR(vlookup('1.2'!D:D,lookup!$A$2:$B$4,2,false),0)</f>
        <v>0</v>
      </c>
      <c r="F76" s="10">
        <f>IFERROR(vlookup('1.2'!E:E,lookup!$A$6:$B$8,2,false),0)</f>
        <v>0</v>
      </c>
      <c r="G76" s="10">
        <f>IFERROR(vlookup('1.2'!F:F,lookup!$A$10:$B$12,2,false),0)</f>
        <v>0</v>
      </c>
      <c r="H76" s="10">
        <f>IFERROR(vlookup('1.2'!G:G,lookup!$A$14:$B$16,2,false),0)</f>
        <v>0</v>
      </c>
      <c r="I76" s="10">
        <f>IFERROR(vlookup('1.2'!H:H,lookup!$A$18:$B$20,2,false),0)</f>
        <v>0</v>
      </c>
      <c r="J76" s="10">
        <f>IFERROR(vlookup('1.2'!I:I,lookup!$A$22:$B$24,2,false),0)</f>
        <v>0</v>
      </c>
      <c r="K76" s="10">
        <f>IFERROR(vlookup('1.2'!J:J,lookup!$A$26:$B$28,2,false),0)</f>
        <v>0</v>
      </c>
      <c r="M76" s="10">
        <v>75.0</v>
      </c>
      <c r="N76" s="11" t="str">
        <f t="shared" si="1"/>
        <v>bnco1075@signalschool.ac.th</v>
      </c>
      <c r="O76" s="12">
        <f t="shared" si="2"/>
        <v>0</v>
      </c>
      <c r="R76" s="6" t="s">
        <v>289</v>
      </c>
    </row>
    <row r="77">
      <c r="A77" s="8" t="str">
        <f>'1.2'!A:A</f>
        <v/>
      </c>
      <c r="B77" s="1" t="str">
        <f>'1.2'!B:B</f>
        <v/>
      </c>
      <c r="C77" s="1" t="str">
        <f>'1.2'!C:C</f>
        <v/>
      </c>
      <c r="D77" s="9">
        <v>1.0</v>
      </c>
      <c r="E77" s="10">
        <f>IFERROR(vlookup('1.2'!D:D,lookup!$A$2:$B$4,2,false),0)</f>
        <v>0</v>
      </c>
      <c r="F77" s="10">
        <f>IFERROR(vlookup('1.2'!E:E,lookup!$A$6:$B$8,2,false),0)</f>
        <v>0</v>
      </c>
      <c r="G77" s="10">
        <f>IFERROR(vlookup('1.2'!F:F,lookup!$A$10:$B$12,2,false),0)</f>
        <v>0</v>
      </c>
      <c r="H77" s="10">
        <f>IFERROR(vlookup('1.2'!G:G,lookup!$A$14:$B$16,2,false),0)</f>
        <v>0</v>
      </c>
      <c r="I77" s="10">
        <f>IFERROR(vlookup('1.2'!H:H,lookup!$A$18:$B$20,2,false),0)</f>
        <v>0</v>
      </c>
      <c r="J77" s="10">
        <f>IFERROR(vlookup('1.2'!I:I,lookup!$A$22:$B$24,2,false),0)</f>
        <v>0</v>
      </c>
      <c r="K77" s="10">
        <f>IFERROR(vlookup('1.2'!J:J,lookup!$A$26:$B$28,2,false),0)</f>
        <v>0</v>
      </c>
      <c r="M77" s="10">
        <v>76.0</v>
      </c>
      <c r="N77" s="11" t="str">
        <f t="shared" si="1"/>
        <v>bnco1076@signalschool.ac.th</v>
      </c>
      <c r="O77" s="12">
        <f t="shared" si="2"/>
        <v>1</v>
      </c>
      <c r="R77" s="6" t="s">
        <v>290</v>
      </c>
    </row>
    <row r="78">
      <c r="A78" s="8" t="str">
        <f>'1.2'!A:A</f>
        <v/>
      </c>
      <c r="B78" s="1" t="str">
        <f>'1.2'!B:B</f>
        <v/>
      </c>
      <c r="C78" s="1" t="str">
        <f>'1.2'!C:C</f>
        <v/>
      </c>
      <c r="D78" s="9">
        <v>1.0</v>
      </c>
      <c r="E78" s="10">
        <f>IFERROR(vlookup('1.2'!D:D,lookup!$A$2:$B$4,2,false),0)</f>
        <v>0</v>
      </c>
      <c r="F78" s="10">
        <f>IFERROR(vlookup('1.2'!E:E,lookup!$A$6:$B$8,2,false),0)</f>
        <v>0</v>
      </c>
      <c r="G78" s="10">
        <f>IFERROR(vlookup('1.2'!F:F,lookup!$A$10:$B$12,2,false),0)</f>
        <v>0</v>
      </c>
      <c r="H78" s="10">
        <f>IFERROR(vlookup('1.2'!G:G,lookup!$A$14:$B$16,2,false),0)</f>
        <v>0</v>
      </c>
      <c r="I78" s="10">
        <f>IFERROR(vlookup('1.2'!H:H,lookup!$A$18:$B$20,2,false),0)</f>
        <v>0</v>
      </c>
      <c r="J78" s="10">
        <f>IFERROR(vlookup('1.2'!I:I,lookup!$A$22:$B$24,2,false),0)</f>
        <v>0</v>
      </c>
      <c r="K78" s="10">
        <f>IFERROR(vlookup('1.2'!J:J,lookup!$A$26:$B$28,2,false),0)</f>
        <v>0</v>
      </c>
      <c r="M78" s="10">
        <v>77.0</v>
      </c>
      <c r="N78" s="11" t="str">
        <f t="shared" si="1"/>
        <v>bnco1077@signalschool.ac.th</v>
      </c>
      <c r="O78" s="12">
        <f t="shared" si="2"/>
        <v>0</v>
      </c>
      <c r="R78" s="6" t="s">
        <v>291</v>
      </c>
    </row>
    <row r="79">
      <c r="A79" s="8" t="str">
        <f>'1.2'!A:A</f>
        <v/>
      </c>
      <c r="B79" s="1" t="str">
        <f>'1.2'!B:B</f>
        <v/>
      </c>
      <c r="C79" s="1" t="str">
        <f>'1.2'!C:C</f>
        <v/>
      </c>
      <c r="D79" s="9">
        <v>1.0</v>
      </c>
      <c r="E79" s="10">
        <f>IFERROR(vlookup('1.2'!D:D,lookup!$A$2:$B$4,2,false),0)</f>
        <v>0</v>
      </c>
      <c r="F79" s="10">
        <f>IFERROR(vlookup('1.2'!E:E,lookup!$A$6:$B$8,2,false),0)</f>
        <v>0</v>
      </c>
      <c r="G79" s="10">
        <f>IFERROR(vlookup('1.2'!F:F,lookup!$A$10:$B$12,2,false),0)</f>
        <v>0</v>
      </c>
      <c r="H79" s="10">
        <f>IFERROR(vlookup('1.2'!G:G,lookup!$A$14:$B$16,2,false),0)</f>
        <v>0</v>
      </c>
      <c r="I79" s="10">
        <f>IFERROR(vlookup('1.2'!H:H,lookup!$A$18:$B$20,2,false),0)</f>
        <v>0</v>
      </c>
      <c r="J79" s="10">
        <f>IFERROR(vlookup('1.2'!I:I,lookup!$A$22:$B$24,2,false),0)</f>
        <v>0</v>
      </c>
      <c r="K79" s="10">
        <f>IFERROR(vlookup('1.2'!J:J,lookup!$A$26:$B$28,2,false),0)</f>
        <v>0</v>
      </c>
      <c r="M79" s="10">
        <v>78.0</v>
      </c>
      <c r="N79" s="11" t="str">
        <f t="shared" si="1"/>
        <v>bnco1078@signalschool.ac.th</v>
      </c>
      <c r="O79" s="12">
        <f t="shared" si="2"/>
        <v>1</v>
      </c>
      <c r="R79" s="6" t="s">
        <v>292</v>
      </c>
    </row>
    <row r="80">
      <c r="A80" s="8" t="str">
        <f>'1.2'!A:A</f>
        <v/>
      </c>
      <c r="B80" s="1" t="str">
        <f>'1.2'!B:B</f>
        <v/>
      </c>
      <c r="C80" s="1" t="str">
        <f>'1.2'!C:C</f>
        <v/>
      </c>
      <c r="D80" s="9">
        <v>1.0</v>
      </c>
      <c r="E80" s="10">
        <f>IFERROR(vlookup('1.2'!D:D,lookup!$A$2:$B$4,2,false),0)</f>
        <v>0</v>
      </c>
      <c r="F80" s="10">
        <f>IFERROR(vlookup('1.2'!E:E,lookup!$A$6:$B$8,2,false),0)</f>
        <v>0</v>
      </c>
      <c r="G80" s="10">
        <f>IFERROR(vlookup('1.2'!F:F,lookup!$A$10:$B$12,2,false),0)</f>
        <v>0</v>
      </c>
      <c r="H80" s="10">
        <f>IFERROR(vlookup('1.2'!G:G,lookup!$A$14:$B$16,2,false),0)</f>
        <v>0</v>
      </c>
      <c r="I80" s="10">
        <f>IFERROR(vlookup('1.2'!H:H,lookup!$A$18:$B$20,2,false),0)</f>
        <v>0</v>
      </c>
      <c r="J80" s="10">
        <f>IFERROR(vlookup('1.2'!I:I,lookup!$A$22:$B$24,2,false),0)</f>
        <v>0</v>
      </c>
      <c r="K80" s="10">
        <f>IFERROR(vlookup('1.2'!J:J,lookup!$A$26:$B$28,2,false),0)</f>
        <v>0</v>
      </c>
      <c r="M80" s="10">
        <v>79.0</v>
      </c>
      <c r="N80" s="11" t="str">
        <f t="shared" si="1"/>
        <v>bnco1079@signalschool.ac.th</v>
      </c>
      <c r="O80" s="12">
        <f t="shared" si="2"/>
        <v>1</v>
      </c>
      <c r="R80" s="6" t="s">
        <v>293</v>
      </c>
    </row>
    <row r="81">
      <c r="A81" s="8" t="str">
        <f>'1.2'!A:A</f>
        <v/>
      </c>
      <c r="B81" s="1" t="str">
        <f>'1.2'!B:B</f>
        <v/>
      </c>
      <c r="C81" s="1" t="str">
        <f>'1.2'!C:C</f>
        <v/>
      </c>
      <c r="D81" s="9">
        <v>1.0</v>
      </c>
      <c r="E81" s="10">
        <f>IFERROR(vlookup('1.2'!D:D,lookup!$A$2:$B$4,2,false),0)</f>
        <v>0</v>
      </c>
      <c r="F81" s="10">
        <f>IFERROR(vlookup('1.2'!E:E,lookup!$A$6:$B$8,2,false),0)</f>
        <v>0</v>
      </c>
      <c r="G81" s="10">
        <f>IFERROR(vlookup('1.2'!F:F,lookup!$A$10:$B$12,2,false),0)</f>
        <v>0</v>
      </c>
      <c r="H81" s="10">
        <f>IFERROR(vlookup('1.2'!G:G,lookup!$A$14:$B$16,2,false),0)</f>
        <v>0</v>
      </c>
      <c r="I81" s="10">
        <f>IFERROR(vlookup('1.2'!H:H,lookup!$A$18:$B$20,2,false),0)</f>
        <v>0</v>
      </c>
      <c r="J81" s="10">
        <f>IFERROR(vlookup('1.2'!I:I,lookup!$A$22:$B$24,2,false),0)</f>
        <v>0</v>
      </c>
      <c r="K81" s="10">
        <f>IFERROR(vlookup('1.2'!J:J,lookup!$A$26:$B$28,2,false),0)</f>
        <v>0</v>
      </c>
      <c r="M81" s="10">
        <v>80.0</v>
      </c>
      <c r="N81" s="11" t="str">
        <f t="shared" si="1"/>
        <v>bnco1080@signalschool.ac.th</v>
      </c>
      <c r="O81" s="12">
        <f t="shared" si="2"/>
        <v>1</v>
      </c>
      <c r="R81" s="6" t="s">
        <v>294</v>
      </c>
    </row>
    <row r="82">
      <c r="A82" s="8" t="str">
        <f>'1.2'!A:A</f>
        <v/>
      </c>
      <c r="B82" s="1" t="str">
        <f>'1.2'!B:B</f>
        <v/>
      </c>
      <c r="C82" s="1" t="str">
        <f>'1.2'!C:C</f>
        <v/>
      </c>
      <c r="D82" s="9"/>
      <c r="E82" s="15"/>
      <c r="F82" s="15"/>
      <c r="G82" s="15"/>
      <c r="H82" s="15"/>
      <c r="I82" s="15"/>
      <c r="J82" s="15"/>
      <c r="K82" s="15"/>
    </row>
    <row r="83">
      <c r="A83" s="8" t="str">
        <f>'1.2'!A:A</f>
        <v/>
      </c>
      <c r="B83" s="1" t="str">
        <f>'1.2'!B:B</f>
        <v/>
      </c>
      <c r="C83" s="1" t="str">
        <f>'1.2'!C:C</f>
        <v/>
      </c>
      <c r="D83" s="9"/>
      <c r="E83" s="15"/>
      <c r="F83" s="15"/>
      <c r="G83" s="15"/>
      <c r="H83" s="15"/>
      <c r="I83" s="15"/>
      <c r="J83" s="15"/>
      <c r="K83" s="15"/>
    </row>
    <row r="84">
      <c r="A84" s="8" t="str">
        <f>'1.2'!A:A</f>
        <v/>
      </c>
      <c r="B84" s="1" t="str">
        <f>'1.2'!B:B</f>
        <v/>
      </c>
      <c r="C84" s="1" t="str">
        <f>'1.2'!C:C</f>
        <v/>
      </c>
      <c r="D84" s="9"/>
      <c r="E84" s="15"/>
      <c r="F84" s="15"/>
      <c r="G84" s="15"/>
      <c r="H84" s="15"/>
      <c r="I84" s="15"/>
      <c r="J84" s="15"/>
      <c r="K84" s="15"/>
    </row>
    <row r="85">
      <c r="A85" s="8" t="str">
        <f>'1.2'!A:A</f>
        <v/>
      </c>
      <c r="B85" s="1" t="str">
        <f>'1.2'!B:B</f>
        <v/>
      </c>
      <c r="C85" s="1" t="str">
        <f>'1.2'!C:C</f>
        <v/>
      </c>
      <c r="D85" s="9"/>
      <c r="E85" s="15"/>
      <c r="F85" s="15"/>
      <c r="G85" s="15"/>
      <c r="H85" s="15"/>
      <c r="I85" s="15"/>
      <c r="J85" s="15"/>
      <c r="K85" s="15"/>
    </row>
    <row r="86">
      <c r="A86" s="8" t="str">
        <f>'1.2'!A:A</f>
        <v/>
      </c>
      <c r="B86" s="1" t="str">
        <f>'1.2'!B:B</f>
        <v/>
      </c>
      <c r="C86" s="1" t="str">
        <f>'1.2'!C:C</f>
        <v/>
      </c>
      <c r="D86" s="9"/>
      <c r="E86" s="15"/>
      <c r="F86" s="15"/>
      <c r="G86" s="15"/>
      <c r="H86" s="15"/>
      <c r="I86" s="15"/>
      <c r="J86" s="15"/>
      <c r="K86" s="15"/>
    </row>
    <row r="87">
      <c r="A87" s="8" t="str">
        <f>'1.2'!A:A</f>
        <v/>
      </c>
      <c r="B87" s="1" t="str">
        <f>'1.2'!B:B</f>
        <v/>
      </c>
      <c r="C87" s="1" t="str">
        <f>'1.2'!C:C</f>
        <v/>
      </c>
      <c r="D87" s="9"/>
      <c r="E87" s="15"/>
      <c r="F87" s="15"/>
      <c r="G87" s="15"/>
      <c r="H87" s="15"/>
      <c r="I87" s="15"/>
      <c r="J87" s="15"/>
      <c r="K87" s="15"/>
    </row>
    <row r="88">
      <c r="A88" s="8" t="str">
        <f>'1.2'!A:A</f>
        <v/>
      </c>
      <c r="B88" s="1" t="str">
        <f>'1.2'!B:B</f>
        <v/>
      </c>
      <c r="C88" s="1" t="str">
        <f>'1.2'!C:C</f>
        <v/>
      </c>
      <c r="D88" s="9"/>
      <c r="E88" s="15"/>
      <c r="F88" s="15"/>
      <c r="G88" s="15"/>
      <c r="H88" s="15"/>
      <c r="I88" s="15"/>
      <c r="J88" s="15"/>
      <c r="K88" s="15"/>
    </row>
    <row r="89">
      <c r="A89" s="8" t="str">
        <f>'1.2'!A:A</f>
        <v/>
      </c>
      <c r="B89" s="1" t="str">
        <f>'1.2'!B:B</f>
        <v/>
      </c>
      <c r="C89" s="1" t="str">
        <f>'1.2'!C:C</f>
        <v/>
      </c>
      <c r="D89" s="9"/>
      <c r="E89" s="15"/>
      <c r="F89" s="15"/>
      <c r="G89" s="15"/>
      <c r="H89" s="15"/>
      <c r="I89" s="15"/>
      <c r="J89" s="15"/>
      <c r="K89" s="15"/>
    </row>
    <row r="90">
      <c r="A90" s="8" t="str">
        <f>'1.2'!A:A</f>
        <v/>
      </c>
      <c r="B90" s="1" t="str">
        <f>'1.2'!B:B</f>
        <v/>
      </c>
      <c r="C90" s="1" t="str">
        <f>'1.2'!C:C</f>
        <v/>
      </c>
      <c r="D90" s="9"/>
      <c r="E90" s="15"/>
      <c r="F90" s="15"/>
      <c r="G90" s="15"/>
      <c r="H90" s="15"/>
      <c r="I90" s="15"/>
      <c r="J90" s="15"/>
      <c r="K90" s="15"/>
    </row>
    <row r="91">
      <c r="A91" s="8" t="str">
        <f>'1.2'!A:A</f>
        <v/>
      </c>
      <c r="B91" s="1" t="str">
        <f>'1.2'!B:B</f>
        <v/>
      </c>
      <c r="C91" s="1" t="str">
        <f>'1.2'!C:C</f>
        <v/>
      </c>
      <c r="D91" s="9"/>
      <c r="E91" s="15"/>
      <c r="F91" s="15"/>
      <c r="G91" s="15"/>
      <c r="H91" s="15"/>
      <c r="I91" s="15"/>
      <c r="J91" s="15"/>
      <c r="K91" s="15"/>
    </row>
    <row r="92">
      <c r="A92" s="8" t="str">
        <f>'1.2'!A:A</f>
        <v/>
      </c>
      <c r="B92" s="1" t="str">
        <f>'1.2'!B:B</f>
        <v/>
      </c>
      <c r="C92" s="1" t="str">
        <f>'1.2'!C:C</f>
        <v/>
      </c>
      <c r="D92" s="9"/>
      <c r="E92" s="15"/>
      <c r="F92" s="15"/>
      <c r="G92" s="15"/>
      <c r="H92" s="15"/>
      <c r="I92" s="15"/>
      <c r="J92" s="15"/>
      <c r="K92" s="15"/>
    </row>
    <row r="93">
      <c r="A93" s="8" t="str">
        <f>'1.2'!A:A</f>
        <v/>
      </c>
      <c r="B93" s="1" t="str">
        <f>'1.2'!B:B</f>
        <v/>
      </c>
      <c r="C93" s="1" t="str">
        <f>'1.2'!C:C</f>
        <v/>
      </c>
      <c r="D93" s="9"/>
      <c r="E93" s="15"/>
      <c r="F93" s="15"/>
      <c r="G93" s="15"/>
      <c r="H93" s="15"/>
      <c r="I93" s="15"/>
      <c r="J93" s="15"/>
      <c r="K93" s="15"/>
    </row>
    <row r="94">
      <c r="A94" s="8" t="str">
        <f>'1.2'!A:A</f>
        <v/>
      </c>
      <c r="B94" s="1" t="str">
        <f>'1.2'!B:B</f>
        <v/>
      </c>
      <c r="C94" s="1" t="str">
        <f>'1.2'!C:C</f>
        <v/>
      </c>
      <c r="D94" s="9"/>
      <c r="E94" s="15"/>
      <c r="F94" s="15"/>
      <c r="G94" s="15"/>
      <c r="H94" s="15"/>
      <c r="I94" s="15"/>
      <c r="J94" s="15"/>
      <c r="K94" s="15"/>
    </row>
    <row r="95">
      <c r="A95" s="8" t="str">
        <f>'1.2'!A:A</f>
        <v/>
      </c>
      <c r="B95" s="1" t="str">
        <f>'1.2'!B:B</f>
        <v/>
      </c>
      <c r="C95" s="1" t="str">
        <f>'1.2'!C:C</f>
        <v/>
      </c>
      <c r="D95" s="9"/>
      <c r="E95" s="15"/>
      <c r="F95" s="15"/>
      <c r="G95" s="15"/>
      <c r="H95" s="15"/>
      <c r="I95" s="15"/>
      <c r="J95" s="15"/>
      <c r="K95" s="15"/>
    </row>
    <row r="96">
      <c r="A96" s="8" t="str">
        <f>'1.2'!A:A</f>
        <v/>
      </c>
      <c r="B96" s="1" t="str">
        <f>'1.2'!B:B</f>
        <v/>
      </c>
      <c r="C96" s="1" t="str">
        <f>'1.2'!C:C</f>
        <v/>
      </c>
      <c r="D96" s="9"/>
      <c r="E96" s="15"/>
      <c r="F96" s="15"/>
      <c r="G96" s="15"/>
      <c r="H96" s="15"/>
      <c r="I96" s="15"/>
      <c r="J96" s="15"/>
      <c r="K96" s="15"/>
    </row>
    <row r="97">
      <c r="A97" s="8" t="str">
        <f>'1.2'!A:A</f>
        <v/>
      </c>
      <c r="B97" s="1" t="str">
        <f>'1.2'!B:B</f>
        <v/>
      </c>
      <c r="C97" s="1" t="str">
        <f>'1.2'!C:C</f>
        <v/>
      </c>
      <c r="D97" s="9"/>
      <c r="E97" s="15"/>
      <c r="F97" s="15"/>
      <c r="G97" s="15"/>
      <c r="H97" s="15"/>
      <c r="I97" s="15"/>
      <c r="J97" s="15"/>
      <c r="K97" s="15"/>
    </row>
    <row r="98">
      <c r="A98" s="8" t="str">
        <f>'1.2'!A:A</f>
        <v/>
      </c>
      <c r="B98" s="1" t="str">
        <f>'1.2'!B:B</f>
        <v/>
      </c>
      <c r="C98" s="1" t="str">
        <f>'1.2'!C:C</f>
        <v/>
      </c>
      <c r="D98" s="9"/>
      <c r="E98" s="15"/>
      <c r="F98" s="15"/>
      <c r="G98" s="15"/>
      <c r="H98" s="15"/>
      <c r="I98" s="15"/>
      <c r="J98" s="15"/>
      <c r="K98" s="15"/>
    </row>
    <row r="99">
      <c r="A99" s="8" t="str">
        <f>'1.2'!A:A</f>
        <v/>
      </c>
      <c r="B99" s="1" t="str">
        <f>'1.2'!B:B</f>
        <v/>
      </c>
      <c r="C99" s="1" t="str">
        <f>'1.2'!C:C</f>
        <v/>
      </c>
      <c r="D99" s="9"/>
      <c r="E99" s="15"/>
      <c r="F99" s="15"/>
      <c r="G99" s="15"/>
      <c r="H99" s="15"/>
      <c r="I99" s="15"/>
      <c r="J99" s="15"/>
      <c r="K99" s="15"/>
    </row>
    <row r="100">
      <c r="A100" s="8" t="str">
        <f>'1.2'!A:A</f>
        <v/>
      </c>
      <c r="B100" s="1" t="str">
        <f>'1.2'!B:B</f>
        <v/>
      </c>
      <c r="C100" s="1" t="str">
        <f>'1.2'!C:C</f>
        <v/>
      </c>
      <c r="D100" s="9"/>
      <c r="E100" s="15"/>
      <c r="F100" s="15"/>
      <c r="G100" s="15"/>
      <c r="H100" s="15"/>
      <c r="I100" s="15"/>
      <c r="J100" s="15"/>
      <c r="K100" s="15"/>
    </row>
    <row r="101">
      <c r="A101" s="8" t="str">
        <f>'1.2'!A:A</f>
        <v/>
      </c>
      <c r="B101" s="1" t="str">
        <f>'1.2'!B:B</f>
        <v/>
      </c>
      <c r="C101" s="1" t="str">
        <f>'1.2'!C:C</f>
        <v/>
      </c>
      <c r="D101" s="9"/>
      <c r="E101" s="15"/>
      <c r="F101" s="15"/>
      <c r="G101" s="15"/>
      <c r="H101" s="15"/>
      <c r="I101" s="15"/>
      <c r="J101" s="15"/>
      <c r="K101" s="15"/>
      <c r="N101" s="1" t="s">
        <v>295</v>
      </c>
      <c r="O101" s="12">
        <f>SUM(O2:O81)</f>
        <v>66</v>
      </c>
    </row>
    <row r="102">
      <c r="C102" s="1"/>
      <c r="E102" s="14">
        <f t="shared" ref="E102:K102" si="3">AVERAGE(E2:E81)</f>
        <v>4.1125</v>
      </c>
      <c r="F102" s="14">
        <f t="shared" si="3"/>
        <v>4.1625</v>
      </c>
      <c r="G102" s="14">
        <f t="shared" si="3"/>
        <v>4.1375</v>
      </c>
      <c r="H102" s="14">
        <f t="shared" si="3"/>
        <v>4.0875</v>
      </c>
      <c r="I102" s="14">
        <f t="shared" si="3"/>
        <v>4.1625</v>
      </c>
      <c r="J102" s="14">
        <f t="shared" si="3"/>
        <v>4.1125</v>
      </c>
      <c r="K102" s="14">
        <f t="shared" si="3"/>
        <v>4.1625</v>
      </c>
      <c r="L102" s="16">
        <f>AVERAGE(E102:K102)</f>
        <v>4.133928571</v>
      </c>
      <c r="N102" s="1" t="s">
        <v>296</v>
      </c>
      <c r="O102" s="12">
        <f>(O101*100)/80</f>
        <v>82.5</v>
      </c>
    </row>
    <row r="103">
      <c r="C103" s="1"/>
    </row>
    <row r="104">
      <c r="C104" s="1"/>
    </row>
    <row r="105">
      <c r="C105" s="1"/>
    </row>
    <row r="106">
      <c r="C106" s="1"/>
    </row>
  </sheetData>
  <mergeCells count="1">
    <mergeCell ref="M1:O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5">
        <v>46210.37886103009</v>
      </c>
      <c r="B2" s="6" t="s">
        <v>11</v>
      </c>
      <c r="C2" s="6" t="s">
        <v>146</v>
      </c>
      <c r="D2" s="6" t="s">
        <v>13</v>
      </c>
      <c r="E2" s="6" t="s">
        <v>14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</row>
    <row r="3">
      <c r="A3" s="5">
        <v>46210.38002090278</v>
      </c>
      <c r="B3" s="6" t="s">
        <v>111</v>
      </c>
      <c r="C3" s="6" t="s">
        <v>147</v>
      </c>
      <c r="D3" s="6" t="s">
        <v>13</v>
      </c>
      <c r="E3" s="6" t="s">
        <v>14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</row>
    <row r="4">
      <c r="A4" s="5">
        <v>46210.38012335648</v>
      </c>
      <c r="B4" s="6" t="s">
        <v>121</v>
      </c>
      <c r="C4" s="6" t="s">
        <v>148</v>
      </c>
      <c r="D4" s="6" t="s">
        <v>13</v>
      </c>
      <c r="E4" s="6" t="s">
        <v>14</v>
      </c>
      <c r="F4" s="6" t="s">
        <v>16</v>
      </c>
      <c r="G4" s="6" t="s">
        <v>17</v>
      </c>
      <c r="H4" s="6" t="s">
        <v>18</v>
      </c>
      <c r="I4" s="6" t="s">
        <v>55</v>
      </c>
      <c r="J4" s="6" t="s">
        <v>56</v>
      </c>
    </row>
    <row r="5">
      <c r="A5" s="5">
        <v>46210.38054668982</v>
      </c>
      <c r="B5" s="6" t="s">
        <v>25</v>
      </c>
      <c r="C5" s="6" t="s">
        <v>149</v>
      </c>
      <c r="D5" s="6" t="s">
        <v>13</v>
      </c>
      <c r="E5" s="6" t="s">
        <v>14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</row>
    <row r="6">
      <c r="A6" s="5">
        <v>46210.38149876158</v>
      </c>
      <c r="B6" s="6" t="s">
        <v>71</v>
      </c>
      <c r="C6" s="6" t="s">
        <v>150</v>
      </c>
      <c r="D6" s="6" t="s">
        <v>13</v>
      </c>
      <c r="E6" s="6" t="s">
        <v>14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20</v>
      </c>
    </row>
    <row r="7">
      <c r="A7" s="5">
        <v>46210.38173991899</v>
      </c>
      <c r="B7" s="6" t="s">
        <v>59</v>
      </c>
      <c r="C7" s="6" t="s">
        <v>146</v>
      </c>
      <c r="D7" s="6" t="s">
        <v>13</v>
      </c>
      <c r="E7" s="6" t="s">
        <v>14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151</v>
      </c>
    </row>
    <row r="8">
      <c r="A8" s="5">
        <v>46210.38205565972</v>
      </c>
      <c r="B8" s="6" t="s">
        <v>57</v>
      </c>
      <c r="C8" s="6" t="s">
        <v>148</v>
      </c>
      <c r="D8" s="6" t="s">
        <v>13</v>
      </c>
      <c r="E8" s="6" t="s">
        <v>14</v>
      </c>
      <c r="F8" s="6" t="s">
        <v>16</v>
      </c>
      <c r="G8" s="6" t="s">
        <v>17</v>
      </c>
      <c r="H8" s="6" t="s">
        <v>18</v>
      </c>
      <c r="I8" s="6" t="s">
        <v>19</v>
      </c>
      <c r="J8" s="6" t="s">
        <v>20</v>
      </c>
      <c r="K8" s="6" t="s">
        <v>152</v>
      </c>
    </row>
    <row r="9">
      <c r="A9" s="5">
        <v>46210.383295277774</v>
      </c>
      <c r="B9" s="6" t="s">
        <v>85</v>
      </c>
      <c r="C9" s="6" t="s">
        <v>146</v>
      </c>
      <c r="D9" s="6" t="s">
        <v>13</v>
      </c>
      <c r="E9" s="6" t="s">
        <v>14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>
      <c r="A10" s="5">
        <v>46210.38437461806</v>
      </c>
      <c r="B10" s="6" t="s">
        <v>93</v>
      </c>
      <c r="C10" s="6" t="s">
        <v>148</v>
      </c>
      <c r="D10" s="6" t="s">
        <v>13</v>
      </c>
      <c r="E10" s="6" t="s">
        <v>14</v>
      </c>
      <c r="F10" s="6" t="s">
        <v>16</v>
      </c>
      <c r="G10" s="6" t="s">
        <v>17</v>
      </c>
      <c r="H10" s="6" t="s">
        <v>18</v>
      </c>
      <c r="I10" s="6" t="s">
        <v>19</v>
      </c>
      <c r="J10" s="6" t="s">
        <v>20</v>
      </c>
    </row>
    <row r="11">
      <c r="A11" s="5">
        <v>46210.384649872685</v>
      </c>
      <c r="B11" s="6" t="s">
        <v>72</v>
      </c>
      <c r="C11" s="6" t="s">
        <v>146</v>
      </c>
      <c r="D11" s="6" t="s">
        <v>13</v>
      </c>
      <c r="E11" s="6" t="s">
        <v>14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20</v>
      </c>
      <c r="K11" s="6" t="s">
        <v>153</v>
      </c>
    </row>
    <row r="12">
      <c r="A12" s="5">
        <v>46210.38563606481</v>
      </c>
      <c r="B12" s="6" t="s">
        <v>114</v>
      </c>
      <c r="C12" s="6" t="s">
        <v>154</v>
      </c>
      <c r="D12" s="6" t="s">
        <v>13</v>
      </c>
      <c r="E12" s="6" t="s">
        <v>14</v>
      </c>
      <c r="F12" s="6" t="s">
        <v>16</v>
      </c>
      <c r="G12" s="6" t="s">
        <v>17</v>
      </c>
      <c r="H12" s="6" t="s">
        <v>18</v>
      </c>
      <c r="I12" s="6" t="s">
        <v>19</v>
      </c>
      <c r="J12" s="6" t="s">
        <v>20</v>
      </c>
    </row>
    <row r="13">
      <c r="A13" s="5">
        <v>46210.38732940972</v>
      </c>
      <c r="B13" s="6" t="s">
        <v>115</v>
      </c>
      <c r="C13" s="6" t="s">
        <v>146</v>
      </c>
      <c r="D13" s="6" t="s">
        <v>13</v>
      </c>
      <c r="E13" s="6" t="s">
        <v>14</v>
      </c>
      <c r="F13" s="6" t="s">
        <v>16</v>
      </c>
      <c r="G13" s="6" t="s">
        <v>17</v>
      </c>
      <c r="H13" s="6" t="s">
        <v>18</v>
      </c>
      <c r="I13" s="6" t="s">
        <v>19</v>
      </c>
      <c r="J13" s="6" t="s">
        <v>20</v>
      </c>
    </row>
    <row r="14">
      <c r="A14" s="5">
        <v>46210.387731828705</v>
      </c>
      <c r="B14" s="6" t="s">
        <v>98</v>
      </c>
      <c r="C14" s="6" t="s">
        <v>156</v>
      </c>
      <c r="D14" s="6" t="s">
        <v>13</v>
      </c>
      <c r="E14" s="6" t="s">
        <v>14</v>
      </c>
      <c r="F14" s="6" t="s">
        <v>16</v>
      </c>
      <c r="G14" s="6" t="s">
        <v>17</v>
      </c>
      <c r="H14" s="6" t="s">
        <v>18</v>
      </c>
      <c r="I14" s="6" t="s">
        <v>19</v>
      </c>
      <c r="J14" s="6" t="s">
        <v>20</v>
      </c>
    </row>
    <row r="15">
      <c r="A15" s="5">
        <v>46210.38792940972</v>
      </c>
      <c r="B15" s="6" t="s">
        <v>51</v>
      </c>
      <c r="C15" s="6" t="s">
        <v>157</v>
      </c>
      <c r="D15" s="6" t="s">
        <v>13</v>
      </c>
      <c r="E15" s="6" t="s">
        <v>14</v>
      </c>
      <c r="F15" s="6" t="s">
        <v>16</v>
      </c>
      <c r="G15" s="6" t="s">
        <v>17</v>
      </c>
      <c r="H15" s="6" t="s">
        <v>18</v>
      </c>
      <c r="I15" s="6" t="s">
        <v>19</v>
      </c>
      <c r="J15" s="6" t="s">
        <v>20</v>
      </c>
    </row>
    <row r="16">
      <c r="A16" s="5">
        <v>46210.388337384255</v>
      </c>
      <c r="B16" s="6" t="s">
        <v>116</v>
      </c>
      <c r="C16" s="6">
        <v>57.0</v>
      </c>
      <c r="D16" s="6" t="s">
        <v>13</v>
      </c>
      <c r="E16" s="6" t="s">
        <v>14</v>
      </c>
      <c r="F16" s="6" t="s">
        <v>16</v>
      </c>
      <c r="G16" s="6" t="s">
        <v>17</v>
      </c>
      <c r="H16" s="6" t="s">
        <v>18</v>
      </c>
      <c r="I16" s="6" t="s">
        <v>19</v>
      </c>
      <c r="J16" s="6" t="s">
        <v>20</v>
      </c>
    </row>
    <row r="17">
      <c r="A17" s="5">
        <v>46210.38882168982</v>
      </c>
      <c r="B17" s="6" t="s">
        <v>140</v>
      </c>
      <c r="C17" s="6" t="s">
        <v>158</v>
      </c>
      <c r="D17" s="6" t="s">
        <v>13</v>
      </c>
      <c r="E17" s="6" t="s">
        <v>14</v>
      </c>
      <c r="F17" s="6" t="s">
        <v>16</v>
      </c>
      <c r="G17" s="6" t="s">
        <v>17</v>
      </c>
      <c r="H17" s="6" t="s">
        <v>18</v>
      </c>
      <c r="I17" s="6" t="s">
        <v>19</v>
      </c>
      <c r="J17" s="6" t="s">
        <v>20</v>
      </c>
    </row>
    <row r="18">
      <c r="A18" s="5">
        <v>46210.38915418982</v>
      </c>
      <c r="B18" s="6" t="s">
        <v>60</v>
      </c>
      <c r="C18" s="6" t="s">
        <v>159</v>
      </c>
      <c r="D18" s="6" t="s">
        <v>13</v>
      </c>
      <c r="E18" s="6" t="s">
        <v>14</v>
      </c>
      <c r="F18" s="6" t="s">
        <v>16</v>
      </c>
      <c r="G18" s="6" t="s">
        <v>17</v>
      </c>
      <c r="H18" s="6" t="s">
        <v>18</v>
      </c>
      <c r="I18" s="6" t="s">
        <v>19</v>
      </c>
      <c r="J18" s="6" t="s">
        <v>20</v>
      </c>
    </row>
    <row r="19">
      <c r="A19" s="5">
        <v>46210.38960947917</v>
      </c>
      <c r="B19" s="6" t="s">
        <v>79</v>
      </c>
      <c r="C19" s="6" t="s">
        <v>148</v>
      </c>
      <c r="D19" s="6" t="s">
        <v>13</v>
      </c>
      <c r="E19" s="6" t="s">
        <v>14</v>
      </c>
      <c r="F19" s="6" t="s">
        <v>16</v>
      </c>
      <c r="G19" s="6" t="s">
        <v>17</v>
      </c>
      <c r="H19" s="6" t="s">
        <v>18</v>
      </c>
      <c r="I19" s="6" t="s">
        <v>19</v>
      </c>
      <c r="J19" s="6" t="s">
        <v>20</v>
      </c>
    </row>
    <row r="20">
      <c r="A20" s="5">
        <v>46210.38966037037</v>
      </c>
      <c r="B20" s="6" t="s">
        <v>74</v>
      </c>
      <c r="C20" s="6" t="s">
        <v>160</v>
      </c>
      <c r="D20" s="6" t="s">
        <v>13</v>
      </c>
      <c r="E20" s="6" t="s">
        <v>14</v>
      </c>
      <c r="F20" s="6" t="s">
        <v>16</v>
      </c>
      <c r="G20" s="6" t="s">
        <v>17</v>
      </c>
      <c r="H20" s="6" t="s">
        <v>18</v>
      </c>
      <c r="I20" s="6" t="s">
        <v>19</v>
      </c>
      <c r="J20" s="6" t="s">
        <v>20</v>
      </c>
    </row>
    <row r="21">
      <c r="A21" s="5">
        <v>46210.39004435185</v>
      </c>
      <c r="B21" s="6" t="s">
        <v>97</v>
      </c>
      <c r="C21" s="6">
        <v>72.0</v>
      </c>
      <c r="D21" s="6" t="s">
        <v>13</v>
      </c>
      <c r="E21" s="6" t="s">
        <v>14</v>
      </c>
      <c r="F21" s="6" t="s">
        <v>16</v>
      </c>
      <c r="G21" s="6" t="s">
        <v>17</v>
      </c>
      <c r="H21" s="6" t="s">
        <v>18</v>
      </c>
      <c r="I21" s="6" t="s">
        <v>19</v>
      </c>
      <c r="J21" s="6" t="s">
        <v>20</v>
      </c>
    </row>
    <row r="22">
      <c r="A22" s="5">
        <v>46210.390045</v>
      </c>
      <c r="B22" s="6" t="s">
        <v>105</v>
      </c>
      <c r="C22" s="6" t="s">
        <v>148</v>
      </c>
      <c r="D22" s="6" t="s">
        <v>13</v>
      </c>
      <c r="E22" s="6" t="s">
        <v>14</v>
      </c>
      <c r="F22" s="6" t="s">
        <v>16</v>
      </c>
      <c r="G22" s="6" t="s">
        <v>17</v>
      </c>
      <c r="H22" s="6" t="s">
        <v>18</v>
      </c>
      <c r="I22" s="6" t="s">
        <v>19</v>
      </c>
      <c r="J22" s="6" t="s">
        <v>20</v>
      </c>
    </row>
    <row r="23">
      <c r="A23" s="5">
        <v>46210.39008186343</v>
      </c>
      <c r="B23" s="6" t="s">
        <v>46</v>
      </c>
      <c r="C23" s="6" t="s">
        <v>147</v>
      </c>
      <c r="D23" s="6" t="s">
        <v>13</v>
      </c>
      <c r="E23" s="6" t="s">
        <v>14</v>
      </c>
      <c r="F23" s="6" t="s">
        <v>16</v>
      </c>
      <c r="G23" s="6" t="s">
        <v>17</v>
      </c>
      <c r="H23" s="6" t="s">
        <v>18</v>
      </c>
      <c r="I23" s="6" t="s">
        <v>19</v>
      </c>
      <c r="J23" s="6" t="s">
        <v>20</v>
      </c>
    </row>
    <row r="24">
      <c r="A24" s="5">
        <v>46210.39071237268</v>
      </c>
      <c r="B24" s="6" t="s">
        <v>66</v>
      </c>
      <c r="C24" s="6" t="s">
        <v>161</v>
      </c>
      <c r="D24" s="6" t="s">
        <v>13</v>
      </c>
      <c r="E24" s="6" t="s">
        <v>14</v>
      </c>
      <c r="F24" s="6" t="s">
        <v>16</v>
      </c>
      <c r="G24" s="6" t="s">
        <v>17</v>
      </c>
      <c r="H24" s="6" t="s">
        <v>18</v>
      </c>
      <c r="I24" s="6" t="s">
        <v>19</v>
      </c>
      <c r="J24" s="6" t="s">
        <v>20</v>
      </c>
      <c r="K24" s="6" t="s">
        <v>162</v>
      </c>
    </row>
    <row r="25">
      <c r="A25" s="5">
        <v>46210.390810983794</v>
      </c>
      <c r="B25" s="6" t="s">
        <v>101</v>
      </c>
      <c r="C25" s="6" t="s">
        <v>142</v>
      </c>
      <c r="D25" s="6" t="s">
        <v>13</v>
      </c>
      <c r="E25" s="6" t="s">
        <v>14</v>
      </c>
      <c r="F25" s="6" t="s">
        <v>16</v>
      </c>
      <c r="G25" s="6" t="s">
        <v>17</v>
      </c>
      <c r="H25" s="6" t="s">
        <v>18</v>
      </c>
      <c r="I25" s="6" t="s">
        <v>19</v>
      </c>
      <c r="J25" s="6" t="s">
        <v>20</v>
      </c>
      <c r="K25" s="6" t="s">
        <v>163</v>
      </c>
    </row>
    <row r="26">
      <c r="A26" s="5">
        <v>46210.3910441551</v>
      </c>
      <c r="B26" s="6" t="s">
        <v>49</v>
      </c>
      <c r="C26" s="6" t="s">
        <v>142</v>
      </c>
      <c r="D26" s="6" t="s">
        <v>13</v>
      </c>
      <c r="E26" s="6" t="s">
        <v>14</v>
      </c>
      <c r="F26" s="6" t="s">
        <v>16</v>
      </c>
      <c r="G26" s="6" t="s">
        <v>17</v>
      </c>
      <c r="H26" s="6" t="s">
        <v>18</v>
      </c>
      <c r="I26" s="6" t="s">
        <v>19</v>
      </c>
      <c r="J26" s="6" t="s">
        <v>20</v>
      </c>
      <c r="K26" s="6" t="s">
        <v>164</v>
      </c>
    </row>
    <row r="27">
      <c r="A27" s="5">
        <v>46210.39105534722</v>
      </c>
      <c r="B27" s="6" t="s">
        <v>37</v>
      </c>
      <c r="C27" s="6" t="s">
        <v>148</v>
      </c>
      <c r="D27" s="6" t="s">
        <v>13</v>
      </c>
      <c r="E27" s="6" t="s">
        <v>14</v>
      </c>
      <c r="F27" s="6" t="s">
        <v>16</v>
      </c>
      <c r="G27" s="6" t="s">
        <v>17</v>
      </c>
      <c r="H27" s="6" t="s">
        <v>18</v>
      </c>
      <c r="I27" s="6" t="s">
        <v>19</v>
      </c>
      <c r="J27" s="6" t="s">
        <v>20</v>
      </c>
      <c r="K27" s="6" t="s">
        <v>165</v>
      </c>
    </row>
    <row r="28">
      <c r="A28" s="5">
        <v>46210.39131219908</v>
      </c>
      <c r="B28" s="6" t="s">
        <v>126</v>
      </c>
      <c r="C28" s="6" t="s">
        <v>146</v>
      </c>
      <c r="D28" s="6" t="s">
        <v>13</v>
      </c>
      <c r="E28" s="6" t="s">
        <v>14</v>
      </c>
      <c r="F28" s="6" t="s">
        <v>16</v>
      </c>
      <c r="G28" s="6" t="s">
        <v>17</v>
      </c>
      <c r="H28" s="6" t="s">
        <v>18</v>
      </c>
      <c r="I28" s="6" t="s">
        <v>19</v>
      </c>
      <c r="J28" s="6" t="s">
        <v>20</v>
      </c>
    </row>
    <row r="29">
      <c r="A29" s="5">
        <v>46210.39142811343</v>
      </c>
      <c r="B29" s="6" t="s">
        <v>130</v>
      </c>
      <c r="C29" s="6" t="s">
        <v>167</v>
      </c>
      <c r="D29" s="6" t="s">
        <v>73</v>
      </c>
      <c r="E29" s="6" t="s">
        <v>14</v>
      </c>
      <c r="F29" s="6" t="s">
        <v>16</v>
      </c>
      <c r="G29" s="6" t="s">
        <v>17</v>
      </c>
      <c r="H29" s="6" t="s">
        <v>18</v>
      </c>
      <c r="I29" s="6" t="s">
        <v>19</v>
      </c>
      <c r="J29" s="6" t="s">
        <v>20</v>
      </c>
    </row>
    <row r="30">
      <c r="A30" s="5">
        <v>46210.39150572917</v>
      </c>
      <c r="B30" s="6" t="s">
        <v>44</v>
      </c>
      <c r="C30" s="6" t="s">
        <v>148</v>
      </c>
      <c r="D30" s="6" t="s">
        <v>13</v>
      </c>
      <c r="E30" s="6" t="s">
        <v>14</v>
      </c>
      <c r="F30" s="6" t="s">
        <v>16</v>
      </c>
      <c r="G30" s="6" t="s">
        <v>17</v>
      </c>
      <c r="H30" s="6" t="s">
        <v>18</v>
      </c>
      <c r="I30" s="6" t="s">
        <v>19</v>
      </c>
      <c r="J30" s="6" t="s">
        <v>20</v>
      </c>
    </row>
    <row r="31">
      <c r="A31" s="5">
        <v>46210.391681249996</v>
      </c>
      <c r="B31" s="6" t="s">
        <v>138</v>
      </c>
      <c r="C31" s="6" t="s">
        <v>168</v>
      </c>
      <c r="D31" s="6" t="s">
        <v>13</v>
      </c>
      <c r="E31" s="6" t="s">
        <v>14</v>
      </c>
      <c r="F31" s="6" t="s">
        <v>16</v>
      </c>
      <c r="G31" s="6" t="s">
        <v>17</v>
      </c>
      <c r="H31" s="6" t="s">
        <v>18</v>
      </c>
      <c r="I31" s="6" t="s">
        <v>55</v>
      </c>
      <c r="J31" s="6" t="s">
        <v>56</v>
      </c>
      <c r="K31" s="6" t="s">
        <v>169</v>
      </c>
    </row>
    <row r="32">
      <c r="A32" s="5">
        <v>46210.39172201389</v>
      </c>
      <c r="B32" s="6" t="s">
        <v>77</v>
      </c>
      <c r="C32" s="6" t="s">
        <v>146</v>
      </c>
      <c r="D32" s="6" t="s">
        <v>13</v>
      </c>
      <c r="E32" s="6" t="s">
        <v>14</v>
      </c>
      <c r="F32" s="6" t="s">
        <v>16</v>
      </c>
      <c r="G32" s="6" t="s">
        <v>17</v>
      </c>
      <c r="H32" s="6" t="s">
        <v>18</v>
      </c>
      <c r="I32" s="6" t="s">
        <v>19</v>
      </c>
      <c r="J32" s="6" t="s">
        <v>56</v>
      </c>
    </row>
    <row r="33">
      <c r="A33" s="5">
        <v>46210.391847164356</v>
      </c>
      <c r="B33" s="6" t="s">
        <v>78</v>
      </c>
      <c r="C33" s="6" t="s">
        <v>146</v>
      </c>
      <c r="D33" s="6" t="s">
        <v>13</v>
      </c>
      <c r="E33" s="6" t="s">
        <v>14</v>
      </c>
      <c r="F33" s="6" t="s">
        <v>16</v>
      </c>
      <c r="G33" s="6" t="s">
        <v>17</v>
      </c>
      <c r="H33" s="6" t="s">
        <v>18</v>
      </c>
      <c r="I33" s="6" t="s">
        <v>19</v>
      </c>
      <c r="J33" s="6" t="s">
        <v>20</v>
      </c>
      <c r="K33" s="6" t="s">
        <v>170</v>
      </c>
    </row>
    <row r="34">
      <c r="A34" s="5">
        <v>46210.39201960649</v>
      </c>
      <c r="B34" s="6" t="s">
        <v>28</v>
      </c>
      <c r="C34" s="6" t="s">
        <v>149</v>
      </c>
      <c r="D34" s="6" t="s">
        <v>13</v>
      </c>
      <c r="E34" s="6" t="s">
        <v>14</v>
      </c>
      <c r="F34" s="6" t="s">
        <v>16</v>
      </c>
      <c r="G34" s="6" t="s">
        <v>17</v>
      </c>
      <c r="H34" s="6" t="s">
        <v>18</v>
      </c>
      <c r="I34" s="6" t="s">
        <v>55</v>
      </c>
      <c r="J34" s="6" t="s">
        <v>56</v>
      </c>
    </row>
    <row r="35">
      <c r="A35" s="5">
        <v>46210.39235388889</v>
      </c>
      <c r="B35" s="6" t="s">
        <v>125</v>
      </c>
      <c r="C35" s="6" t="s">
        <v>149</v>
      </c>
      <c r="D35" s="6" t="s">
        <v>13</v>
      </c>
      <c r="E35" s="6" t="s">
        <v>14</v>
      </c>
      <c r="F35" s="6" t="s">
        <v>16</v>
      </c>
      <c r="G35" s="6" t="s">
        <v>17</v>
      </c>
      <c r="H35" s="6" t="s">
        <v>18</v>
      </c>
      <c r="I35" s="6" t="s">
        <v>19</v>
      </c>
      <c r="J35" s="6" t="s">
        <v>20</v>
      </c>
    </row>
    <row r="36">
      <c r="A36" s="5">
        <v>46210.392372789356</v>
      </c>
      <c r="B36" s="6" t="s">
        <v>69</v>
      </c>
      <c r="C36" s="6" t="s">
        <v>146</v>
      </c>
      <c r="D36" s="6" t="s">
        <v>13</v>
      </c>
      <c r="E36" s="6" t="s">
        <v>14</v>
      </c>
      <c r="F36" s="6" t="s">
        <v>16</v>
      </c>
      <c r="G36" s="6" t="s">
        <v>17</v>
      </c>
      <c r="H36" s="6" t="s">
        <v>18</v>
      </c>
      <c r="I36" s="6" t="s">
        <v>55</v>
      </c>
      <c r="J36" s="6" t="s">
        <v>56</v>
      </c>
    </row>
    <row r="37">
      <c r="A37" s="5">
        <v>46210.39310410879</v>
      </c>
      <c r="B37" s="6" t="s">
        <v>63</v>
      </c>
      <c r="C37" s="6" t="s">
        <v>142</v>
      </c>
      <c r="D37" s="6" t="s">
        <v>13</v>
      </c>
      <c r="E37" s="6" t="s">
        <v>14</v>
      </c>
      <c r="F37" s="6" t="s">
        <v>16</v>
      </c>
      <c r="G37" s="6" t="s">
        <v>17</v>
      </c>
      <c r="H37" s="6" t="s">
        <v>18</v>
      </c>
      <c r="I37" s="6" t="s">
        <v>55</v>
      </c>
      <c r="J37" s="6" t="s">
        <v>56</v>
      </c>
      <c r="K37" s="6" t="s">
        <v>171</v>
      </c>
    </row>
    <row r="38">
      <c r="A38" s="5">
        <v>46210.39311030092</v>
      </c>
      <c r="B38" s="6" t="s">
        <v>103</v>
      </c>
      <c r="C38" s="6" t="s">
        <v>172</v>
      </c>
      <c r="D38" s="6" t="s">
        <v>13</v>
      </c>
      <c r="E38" s="6" t="s">
        <v>14</v>
      </c>
      <c r="F38" s="6" t="s">
        <v>16</v>
      </c>
      <c r="G38" s="6" t="s">
        <v>17</v>
      </c>
      <c r="H38" s="6" t="s">
        <v>18</v>
      </c>
      <c r="I38" s="6" t="s">
        <v>19</v>
      </c>
      <c r="J38" s="6" t="s">
        <v>56</v>
      </c>
      <c r="K38" s="6" t="s">
        <v>36</v>
      </c>
    </row>
    <row r="39">
      <c r="A39" s="5">
        <v>46210.39311680556</v>
      </c>
      <c r="B39" s="6" t="s">
        <v>52</v>
      </c>
      <c r="C39" s="6" t="s">
        <v>173</v>
      </c>
      <c r="D39" s="6" t="s">
        <v>13</v>
      </c>
      <c r="E39" s="6" t="s">
        <v>14</v>
      </c>
      <c r="F39" s="6" t="s">
        <v>54</v>
      </c>
      <c r="G39" s="6" t="s">
        <v>17</v>
      </c>
      <c r="H39" s="6" t="s">
        <v>87</v>
      </c>
      <c r="I39" s="6" t="s">
        <v>55</v>
      </c>
      <c r="J39" s="6" t="s">
        <v>20</v>
      </c>
    </row>
    <row r="40">
      <c r="A40" s="5">
        <v>46210.39323140046</v>
      </c>
      <c r="B40" s="6" t="s">
        <v>100</v>
      </c>
      <c r="C40" s="6" t="s">
        <v>142</v>
      </c>
      <c r="D40" s="6" t="s">
        <v>13</v>
      </c>
      <c r="E40" s="6" t="s">
        <v>14</v>
      </c>
      <c r="F40" s="6" t="s">
        <v>16</v>
      </c>
      <c r="G40" s="6" t="s">
        <v>17</v>
      </c>
      <c r="H40" s="6" t="s">
        <v>18</v>
      </c>
      <c r="I40" s="6" t="s">
        <v>19</v>
      </c>
      <c r="J40" s="6" t="s">
        <v>20</v>
      </c>
    </row>
    <row r="41">
      <c r="A41" s="5">
        <v>46210.39336439814</v>
      </c>
      <c r="B41" s="6" t="s">
        <v>99</v>
      </c>
      <c r="C41" s="6" t="s">
        <v>147</v>
      </c>
      <c r="D41" s="6" t="s">
        <v>13</v>
      </c>
      <c r="E41" s="6" t="s">
        <v>14</v>
      </c>
      <c r="F41" s="6" t="s">
        <v>16</v>
      </c>
      <c r="G41" s="6" t="s">
        <v>17</v>
      </c>
      <c r="H41" s="6" t="s">
        <v>18</v>
      </c>
      <c r="I41" s="6" t="s">
        <v>19</v>
      </c>
      <c r="J41" s="6" t="s">
        <v>20</v>
      </c>
    </row>
    <row r="42">
      <c r="A42" s="5">
        <v>46210.39373545139</v>
      </c>
      <c r="B42" s="6" t="s">
        <v>75</v>
      </c>
      <c r="C42" s="6" t="s">
        <v>147</v>
      </c>
      <c r="D42" s="6" t="s">
        <v>13</v>
      </c>
      <c r="E42" s="6" t="s">
        <v>14</v>
      </c>
      <c r="F42" s="6" t="s">
        <v>16</v>
      </c>
      <c r="G42" s="6" t="s">
        <v>17</v>
      </c>
      <c r="H42" s="6" t="s">
        <v>18</v>
      </c>
      <c r="I42" s="6" t="s">
        <v>19</v>
      </c>
      <c r="J42" s="6" t="s">
        <v>20</v>
      </c>
    </row>
    <row r="43">
      <c r="A43" s="5">
        <v>46210.393791608796</v>
      </c>
      <c r="B43" s="6" t="s">
        <v>118</v>
      </c>
      <c r="C43" s="6" t="s">
        <v>174</v>
      </c>
      <c r="D43" s="6" t="s">
        <v>13</v>
      </c>
      <c r="E43" s="6" t="s">
        <v>14</v>
      </c>
      <c r="F43" s="6" t="s">
        <v>16</v>
      </c>
      <c r="G43" s="6" t="s">
        <v>17</v>
      </c>
      <c r="H43" s="6" t="s">
        <v>18</v>
      </c>
      <c r="I43" s="6" t="s">
        <v>19</v>
      </c>
      <c r="J43" s="6" t="s">
        <v>20</v>
      </c>
    </row>
    <row r="44">
      <c r="A44" s="5">
        <v>46210.39647420139</v>
      </c>
      <c r="B44" s="6" t="s">
        <v>136</v>
      </c>
      <c r="C44" s="6" t="s">
        <v>146</v>
      </c>
      <c r="D44" s="6" t="s">
        <v>13</v>
      </c>
      <c r="E44" s="6" t="s">
        <v>14</v>
      </c>
      <c r="F44" s="6" t="s">
        <v>16</v>
      </c>
      <c r="G44" s="6" t="s">
        <v>17</v>
      </c>
      <c r="H44" s="6" t="s">
        <v>18</v>
      </c>
      <c r="I44" s="6" t="s">
        <v>19</v>
      </c>
      <c r="J44" s="6" t="s">
        <v>20</v>
      </c>
    </row>
    <row r="45">
      <c r="A45" s="5">
        <v>46210.39737947917</v>
      </c>
      <c r="B45" s="6" t="s">
        <v>83</v>
      </c>
      <c r="C45" s="6" t="s">
        <v>142</v>
      </c>
      <c r="D45" s="6" t="s">
        <v>13</v>
      </c>
      <c r="E45" s="6" t="s">
        <v>14</v>
      </c>
      <c r="F45" s="6" t="s">
        <v>16</v>
      </c>
      <c r="G45" s="6" t="s">
        <v>17</v>
      </c>
      <c r="H45" s="6" t="s">
        <v>18</v>
      </c>
      <c r="I45" s="6" t="s">
        <v>19</v>
      </c>
      <c r="J45" s="6" t="s">
        <v>20</v>
      </c>
    </row>
    <row r="46">
      <c r="A46" s="5">
        <v>46210.397567824075</v>
      </c>
      <c r="B46" s="6" t="s">
        <v>176</v>
      </c>
      <c r="C46" s="6" t="s">
        <v>177</v>
      </c>
      <c r="D46" s="6" t="s">
        <v>13</v>
      </c>
      <c r="E46" s="6" t="s">
        <v>14</v>
      </c>
      <c r="F46" s="6" t="s">
        <v>16</v>
      </c>
      <c r="G46" s="6" t="s">
        <v>17</v>
      </c>
      <c r="H46" s="6" t="s">
        <v>18</v>
      </c>
      <c r="I46" s="6" t="s">
        <v>19</v>
      </c>
      <c r="J46" s="6" t="s">
        <v>20</v>
      </c>
    </row>
    <row r="47">
      <c r="A47" s="5">
        <v>46210.39774010416</v>
      </c>
      <c r="B47" s="6" t="s">
        <v>178</v>
      </c>
      <c r="C47" s="6" t="s">
        <v>149</v>
      </c>
      <c r="D47" s="6" t="s">
        <v>13</v>
      </c>
      <c r="E47" s="6" t="s">
        <v>14</v>
      </c>
      <c r="F47" s="6" t="s">
        <v>16</v>
      </c>
      <c r="G47" s="6" t="s">
        <v>17</v>
      </c>
      <c r="H47" s="6" t="s">
        <v>18</v>
      </c>
      <c r="I47" s="6" t="s">
        <v>19</v>
      </c>
      <c r="J47" s="6" t="s">
        <v>20</v>
      </c>
    </row>
    <row r="48">
      <c r="A48" s="5">
        <v>46210.39788276621</v>
      </c>
      <c r="B48" s="6" t="s">
        <v>24</v>
      </c>
      <c r="C48" s="6" t="s">
        <v>179</v>
      </c>
      <c r="D48" s="6" t="s">
        <v>13</v>
      </c>
      <c r="E48" s="6" t="s">
        <v>14</v>
      </c>
      <c r="F48" s="6" t="s">
        <v>16</v>
      </c>
      <c r="G48" s="6" t="s">
        <v>17</v>
      </c>
      <c r="H48" s="6" t="s">
        <v>18</v>
      </c>
      <c r="I48" s="6" t="s">
        <v>19</v>
      </c>
      <c r="J48" s="6" t="s">
        <v>20</v>
      </c>
    </row>
    <row r="49">
      <c r="A49" s="5">
        <v>46210.398751851855</v>
      </c>
      <c r="B49" s="6" t="s">
        <v>132</v>
      </c>
      <c r="C49" s="6" t="s">
        <v>180</v>
      </c>
      <c r="D49" s="6" t="s">
        <v>13</v>
      </c>
      <c r="E49" s="6" t="s">
        <v>14</v>
      </c>
      <c r="F49" s="6" t="s">
        <v>16</v>
      </c>
      <c r="G49" s="6" t="s">
        <v>17</v>
      </c>
      <c r="H49" s="6" t="s">
        <v>18</v>
      </c>
      <c r="I49" s="6" t="s">
        <v>55</v>
      </c>
      <c r="J49" s="6" t="s">
        <v>56</v>
      </c>
    </row>
    <row r="50">
      <c r="A50" s="5">
        <v>46210.39881399306</v>
      </c>
      <c r="B50" s="6" t="s">
        <v>82</v>
      </c>
      <c r="C50" s="6" t="s">
        <v>142</v>
      </c>
      <c r="D50" s="6" t="s">
        <v>13</v>
      </c>
      <c r="E50" s="6" t="s">
        <v>14</v>
      </c>
      <c r="F50" s="6" t="s">
        <v>16</v>
      </c>
      <c r="G50" s="6" t="s">
        <v>17</v>
      </c>
      <c r="H50" s="6" t="s">
        <v>18</v>
      </c>
      <c r="I50" s="6" t="s">
        <v>19</v>
      </c>
      <c r="J50" s="6" t="s">
        <v>20</v>
      </c>
      <c r="K50" s="6" t="s">
        <v>181</v>
      </c>
    </row>
    <row r="51">
      <c r="A51" s="5">
        <v>46210.39936275463</v>
      </c>
      <c r="B51" s="6" t="s">
        <v>30</v>
      </c>
      <c r="C51" s="6" t="s">
        <v>182</v>
      </c>
      <c r="D51" s="6" t="s">
        <v>13</v>
      </c>
      <c r="E51" s="6" t="s">
        <v>14</v>
      </c>
      <c r="F51" s="6" t="s">
        <v>16</v>
      </c>
      <c r="G51" s="6" t="s">
        <v>17</v>
      </c>
      <c r="H51" s="6" t="s">
        <v>18</v>
      </c>
      <c r="I51" s="6" t="s">
        <v>19</v>
      </c>
      <c r="J51" s="6" t="s">
        <v>20</v>
      </c>
      <c r="K51" s="6" t="s">
        <v>183</v>
      </c>
    </row>
    <row r="52">
      <c r="A52" s="5">
        <v>46210.40095607639</v>
      </c>
      <c r="B52" s="6" t="s">
        <v>104</v>
      </c>
      <c r="C52" s="6" t="s">
        <v>184</v>
      </c>
      <c r="D52" s="6" t="s">
        <v>13</v>
      </c>
      <c r="E52" s="6" t="s">
        <v>14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  <c r="K52" s="6" t="s">
        <v>92</v>
      </c>
    </row>
    <row r="53">
      <c r="A53" s="5">
        <v>46210.40254784722</v>
      </c>
      <c r="B53" s="6" t="s">
        <v>80</v>
      </c>
      <c r="C53" s="6" t="s">
        <v>185</v>
      </c>
      <c r="D53" s="6" t="s">
        <v>13</v>
      </c>
      <c r="E53" s="6" t="s">
        <v>14</v>
      </c>
      <c r="F53" s="6" t="s">
        <v>16</v>
      </c>
      <c r="G53" s="6" t="s">
        <v>17</v>
      </c>
      <c r="H53" s="6" t="s">
        <v>18</v>
      </c>
      <c r="I53" s="6" t="s">
        <v>19</v>
      </c>
      <c r="J53" s="6" t="s">
        <v>20</v>
      </c>
      <c r="K53" s="6" t="s">
        <v>186</v>
      </c>
    </row>
    <row r="54">
      <c r="A54" s="5">
        <v>46210.40382278935</v>
      </c>
      <c r="B54" s="6" t="s">
        <v>88</v>
      </c>
      <c r="C54" s="6" t="s">
        <v>187</v>
      </c>
      <c r="D54" s="6" t="s">
        <v>13</v>
      </c>
      <c r="E54" s="6" t="s">
        <v>14</v>
      </c>
      <c r="F54" s="6" t="s">
        <v>16</v>
      </c>
      <c r="G54" s="6" t="s">
        <v>17</v>
      </c>
      <c r="H54" s="6" t="s">
        <v>18</v>
      </c>
      <c r="I54" s="6" t="s">
        <v>19</v>
      </c>
      <c r="J54" s="6" t="s">
        <v>20</v>
      </c>
    </row>
    <row r="55">
      <c r="A55" s="5">
        <v>46210.40467488426</v>
      </c>
      <c r="B55" s="6" t="s">
        <v>33</v>
      </c>
      <c r="C55" s="6" t="s">
        <v>188</v>
      </c>
      <c r="D55" s="6" t="s">
        <v>13</v>
      </c>
      <c r="E55" s="6" t="s">
        <v>14</v>
      </c>
      <c r="F55" s="6" t="s">
        <v>16</v>
      </c>
      <c r="G55" s="6" t="s">
        <v>17</v>
      </c>
      <c r="H55" s="6" t="s">
        <v>18</v>
      </c>
      <c r="I55" s="6" t="s">
        <v>19</v>
      </c>
      <c r="J55" s="6" t="s">
        <v>20</v>
      </c>
      <c r="K55" s="6" t="s">
        <v>189</v>
      </c>
    </row>
    <row r="56">
      <c r="A56" s="5">
        <v>46210.40473805556</v>
      </c>
      <c r="B56" s="6" t="s">
        <v>113</v>
      </c>
      <c r="C56" s="6" t="s">
        <v>142</v>
      </c>
      <c r="D56" s="6" t="s">
        <v>13</v>
      </c>
      <c r="E56" s="6" t="s">
        <v>14</v>
      </c>
      <c r="F56" s="6" t="s">
        <v>16</v>
      </c>
      <c r="G56" s="6" t="s">
        <v>17</v>
      </c>
      <c r="H56" s="6" t="s">
        <v>18</v>
      </c>
      <c r="I56" s="6" t="s">
        <v>19</v>
      </c>
      <c r="J56" s="6" t="s">
        <v>20</v>
      </c>
    </row>
    <row r="57">
      <c r="A57" s="5">
        <v>46210.404866296296</v>
      </c>
      <c r="B57" s="6" t="s">
        <v>190</v>
      </c>
      <c r="C57" s="6" t="s">
        <v>142</v>
      </c>
      <c r="D57" s="6" t="s">
        <v>13</v>
      </c>
      <c r="E57" s="6" t="s">
        <v>14</v>
      </c>
      <c r="F57" s="6" t="s">
        <v>16</v>
      </c>
      <c r="G57" s="6" t="s">
        <v>17</v>
      </c>
      <c r="H57" s="6" t="s">
        <v>18</v>
      </c>
      <c r="I57" s="6" t="s">
        <v>55</v>
      </c>
      <c r="J57" s="6" t="s">
        <v>56</v>
      </c>
    </row>
    <row r="58">
      <c r="A58" s="5">
        <v>46210.40877155092</v>
      </c>
      <c r="B58" s="6" t="s">
        <v>90</v>
      </c>
      <c r="C58" s="6" t="s">
        <v>168</v>
      </c>
      <c r="D58" s="6" t="s">
        <v>13</v>
      </c>
      <c r="E58" s="6" t="s">
        <v>14</v>
      </c>
      <c r="F58" s="6" t="s">
        <v>16</v>
      </c>
      <c r="G58" s="6" t="s">
        <v>17</v>
      </c>
      <c r="H58" s="6" t="s">
        <v>18</v>
      </c>
      <c r="I58" s="6" t="s">
        <v>19</v>
      </c>
      <c r="J58" s="6" t="s">
        <v>20</v>
      </c>
      <c r="K58" s="6" t="s">
        <v>36</v>
      </c>
    </row>
    <row r="59">
      <c r="A59" s="5">
        <v>46210.413419212964</v>
      </c>
      <c r="B59" s="6" t="s">
        <v>40</v>
      </c>
      <c r="C59" s="6" t="s">
        <v>142</v>
      </c>
      <c r="D59" s="6" t="s">
        <v>13</v>
      </c>
      <c r="E59" s="6" t="s">
        <v>14</v>
      </c>
      <c r="F59" s="6" t="s">
        <v>16</v>
      </c>
      <c r="G59" s="6" t="s">
        <v>17</v>
      </c>
      <c r="H59" s="6" t="s">
        <v>18</v>
      </c>
      <c r="I59" s="6" t="s">
        <v>19</v>
      </c>
      <c r="J59" s="6" t="s">
        <v>20</v>
      </c>
    </row>
    <row r="60">
      <c r="A60" s="5">
        <v>46210.41381770834</v>
      </c>
      <c r="B60" s="6" t="s">
        <v>124</v>
      </c>
      <c r="C60" s="6" t="s">
        <v>142</v>
      </c>
      <c r="D60" s="6" t="s">
        <v>13</v>
      </c>
      <c r="E60" s="6" t="s">
        <v>14</v>
      </c>
      <c r="F60" s="6" t="s">
        <v>16</v>
      </c>
      <c r="G60" s="6" t="s">
        <v>17</v>
      </c>
      <c r="H60" s="6" t="s">
        <v>18</v>
      </c>
      <c r="I60" s="6" t="s">
        <v>19</v>
      </c>
      <c r="J60" s="6" t="s">
        <v>20</v>
      </c>
      <c r="K60" s="6" t="s">
        <v>191</v>
      </c>
    </row>
    <row r="61">
      <c r="A61" s="5">
        <v>46210.41492652778</v>
      </c>
      <c r="B61" s="6" t="s">
        <v>106</v>
      </c>
      <c r="C61" s="6" t="s">
        <v>193</v>
      </c>
      <c r="D61" s="6" t="s">
        <v>13</v>
      </c>
      <c r="E61" s="6" t="s">
        <v>14</v>
      </c>
      <c r="F61" s="6" t="s">
        <v>16</v>
      </c>
      <c r="G61" s="6" t="s">
        <v>17</v>
      </c>
      <c r="H61" s="6" t="s">
        <v>18</v>
      </c>
      <c r="I61" s="6" t="s">
        <v>19</v>
      </c>
      <c r="J61" s="6" t="s">
        <v>20</v>
      </c>
      <c r="K61" s="6" t="s">
        <v>194</v>
      </c>
    </row>
    <row r="62">
      <c r="A62" s="5">
        <v>46210.41836814815</v>
      </c>
      <c r="B62" s="6" t="s">
        <v>133</v>
      </c>
      <c r="C62" s="6" t="s">
        <v>146</v>
      </c>
      <c r="D62" s="6" t="s">
        <v>13</v>
      </c>
      <c r="E62" s="6" t="s">
        <v>14</v>
      </c>
      <c r="F62" s="6" t="s">
        <v>16</v>
      </c>
      <c r="G62" s="6" t="s">
        <v>17</v>
      </c>
      <c r="H62" s="6" t="s">
        <v>18</v>
      </c>
      <c r="I62" s="6" t="s">
        <v>19</v>
      </c>
      <c r="J62" s="6" t="s">
        <v>20</v>
      </c>
    </row>
    <row r="63">
      <c r="A63" s="5">
        <v>46210.42651451389</v>
      </c>
      <c r="B63" s="6" t="s">
        <v>129</v>
      </c>
      <c r="C63" s="6" t="s">
        <v>195</v>
      </c>
      <c r="D63" s="6" t="s">
        <v>13</v>
      </c>
      <c r="E63" s="6" t="s">
        <v>14</v>
      </c>
      <c r="F63" s="6" t="s">
        <v>16</v>
      </c>
      <c r="G63" s="6" t="s">
        <v>17</v>
      </c>
      <c r="H63" s="6" t="s">
        <v>18</v>
      </c>
      <c r="I63" s="6" t="s">
        <v>19</v>
      </c>
      <c r="J63" s="6" t="s">
        <v>20</v>
      </c>
    </row>
    <row r="64">
      <c r="A64" s="5">
        <v>46210.42658</v>
      </c>
      <c r="B64" s="6" t="s">
        <v>21</v>
      </c>
      <c r="C64" s="6" t="s">
        <v>147</v>
      </c>
      <c r="D64" s="6" t="s">
        <v>13</v>
      </c>
      <c r="E64" s="6" t="s">
        <v>14</v>
      </c>
      <c r="F64" s="6" t="s">
        <v>16</v>
      </c>
      <c r="G64" s="6" t="s">
        <v>17</v>
      </c>
      <c r="H64" s="6" t="s">
        <v>18</v>
      </c>
      <c r="I64" s="6" t="s">
        <v>55</v>
      </c>
      <c r="J64" s="6" t="s">
        <v>56</v>
      </c>
    </row>
    <row r="65">
      <c r="A65" s="5">
        <v>46210.4273955324</v>
      </c>
      <c r="B65" s="6" t="s">
        <v>135</v>
      </c>
      <c r="C65" s="6" t="s">
        <v>142</v>
      </c>
      <c r="D65" s="6" t="s">
        <v>73</v>
      </c>
      <c r="E65" s="6" t="s">
        <v>14</v>
      </c>
      <c r="F65" s="6" t="s">
        <v>16</v>
      </c>
      <c r="G65" s="6" t="s">
        <v>17</v>
      </c>
      <c r="H65" s="6" t="s">
        <v>18</v>
      </c>
      <c r="I65" s="6" t="s">
        <v>19</v>
      </c>
      <c r="J65" s="6" t="s">
        <v>20</v>
      </c>
      <c r="K65" s="6" t="s">
        <v>92</v>
      </c>
    </row>
    <row r="66">
      <c r="A66" s="5">
        <v>46210.42744471064</v>
      </c>
      <c r="B66" s="6" t="s">
        <v>86</v>
      </c>
      <c r="C66" s="6" t="s">
        <v>146</v>
      </c>
      <c r="D66" s="6" t="s">
        <v>13</v>
      </c>
      <c r="E66" s="6" t="s">
        <v>14</v>
      </c>
      <c r="F66" s="6" t="s">
        <v>16</v>
      </c>
      <c r="G66" s="6" t="s">
        <v>17</v>
      </c>
      <c r="H66" s="6" t="s">
        <v>87</v>
      </c>
      <c r="I66" s="6" t="s">
        <v>55</v>
      </c>
      <c r="J66" s="6" t="s">
        <v>20</v>
      </c>
    </row>
    <row r="67">
      <c r="A67" s="5">
        <v>46210.427633900465</v>
      </c>
      <c r="B67" s="6" t="s">
        <v>196</v>
      </c>
      <c r="C67" s="6" t="s">
        <v>197</v>
      </c>
      <c r="D67" s="6" t="s">
        <v>13</v>
      </c>
      <c r="E67" s="6" t="s">
        <v>14</v>
      </c>
      <c r="F67" s="6" t="s">
        <v>16</v>
      </c>
      <c r="G67" s="6" t="s">
        <v>17</v>
      </c>
      <c r="H67" s="6" t="s">
        <v>18</v>
      </c>
      <c r="I67" s="6" t="s">
        <v>19</v>
      </c>
      <c r="J67" s="6" t="s">
        <v>20</v>
      </c>
    </row>
    <row r="68">
      <c r="A68" s="5">
        <v>46210.42779638889</v>
      </c>
      <c r="B68" s="6" t="s">
        <v>61</v>
      </c>
      <c r="C68" s="6" t="s">
        <v>198</v>
      </c>
      <c r="D68" s="6" t="s">
        <v>13</v>
      </c>
      <c r="E68" s="6" t="s">
        <v>14</v>
      </c>
      <c r="F68" s="6" t="s">
        <v>16</v>
      </c>
      <c r="G68" s="6" t="s">
        <v>17</v>
      </c>
      <c r="H68" s="6" t="s">
        <v>18</v>
      </c>
      <c r="I68" s="6" t="s">
        <v>19</v>
      </c>
      <c r="J68" s="6" t="s">
        <v>20</v>
      </c>
    </row>
    <row r="69">
      <c r="A69" s="5">
        <v>46210.427913680556</v>
      </c>
      <c r="B69" s="6" t="s">
        <v>199</v>
      </c>
      <c r="C69" s="6" t="s">
        <v>142</v>
      </c>
      <c r="D69" s="6" t="s">
        <v>13</v>
      </c>
      <c r="E69" s="6" t="s">
        <v>14</v>
      </c>
      <c r="F69" s="6" t="s">
        <v>16</v>
      </c>
      <c r="G69" s="6" t="s">
        <v>17</v>
      </c>
      <c r="H69" s="6" t="s">
        <v>18</v>
      </c>
      <c r="I69" s="6" t="s">
        <v>19</v>
      </c>
      <c r="J69" s="6" t="s">
        <v>20</v>
      </c>
    </row>
    <row r="70">
      <c r="A70" s="5">
        <v>46210.428182476855</v>
      </c>
      <c r="B70" s="6" t="s">
        <v>200</v>
      </c>
      <c r="C70" s="6" t="s">
        <v>142</v>
      </c>
      <c r="D70" s="6" t="s">
        <v>13</v>
      </c>
      <c r="E70" s="6" t="s">
        <v>14</v>
      </c>
      <c r="F70" s="6" t="s">
        <v>16</v>
      </c>
      <c r="G70" s="6" t="s">
        <v>17</v>
      </c>
      <c r="H70" s="6" t="s">
        <v>18</v>
      </c>
      <c r="I70" s="6" t="s">
        <v>19</v>
      </c>
      <c r="J70" s="6" t="s">
        <v>20</v>
      </c>
    </row>
    <row r="71">
      <c r="A71" s="5">
        <v>46210.42912994213</v>
      </c>
      <c r="B71" s="6" t="s">
        <v>42</v>
      </c>
      <c r="C71" s="6" t="s">
        <v>142</v>
      </c>
      <c r="D71" s="6" t="s">
        <v>13</v>
      </c>
      <c r="E71" s="6" t="s">
        <v>14</v>
      </c>
      <c r="F71" s="6" t="s">
        <v>16</v>
      </c>
      <c r="G71" s="6" t="s">
        <v>17</v>
      </c>
      <c r="H71" s="6" t="s">
        <v>18</v>
      </c>
      <c r="I71" s="6" t="s">
        <v>19</v>
      </c>
      <c r="J71" s="6" t="s">
        <v>20</v>
      </c>
    </row>
    <row r="72">
      <c r="A72" s="5">
        <v>46210.42999099537</v>
      </c>
      <c r="B72" s="6" t="s">
        <v>201</v>
      </c>
      <c r="C72" s="6" t="s">
        <v>146</v>
      </c>
      <c r="D72" s="6" t="s">
        <v>13</v>
      </c>
      <c r="E72" s="6" t="s">
        <v>14</v>
      </c>
      <c r="F72" s="6" t="s">
        <v>16</v>
      </c>
      <c r="G72" s="6" t="s">
        <v>17</v>
      </c>
      <c r="H72" s="6" t="s">
        <v>18</v>
      </c>
      <c r="I72" s="6" t="s">
        <v>19</v>
      </c>
      <c r="J72" s="6" t="s">
        <v>20</v>
      </c>
    </row>
    <row r="73">
      <c r="A73" s="5">
        <v>46210.430018495375</v>
      </c>
      <c r="B73" s="6" t="s">
        <v>127</v>
      </c>
      <c r="C73" s="6" t="s">
        <v>202</v>
      </c>
      <c r="D73" s="6" t="s">
        <v>13</v>
      </c>
      <c r="E73" s="6" t="s">
        <v>14</v>
      </c>
      <c r="F73" s="6" t="s">
        <v>16</v>
      </c>
      <c r="G73" s="6" t="s">
        <v>17</v>
      </c>
      <c r="H73" s="6" t="s">
        <v>87</v>
      </c>
      <c r="I73" s="6" t="s">
        <v>19</v>
      </c>
      <c r="J73" s="6" t="s">
        <v>20</v>
      </c>
      <c r="K73" s="6" t="s">
        <v>170</v>
      </c>
    </row>
    <row r="74">
      <c r="A74" s="5">
        <v>46210.43047846065</v>
      </c>
      <c r="B74" s="6" t="s">
        <v>203</v>
      </c>
      <c r="C74" s="6" t="s">
        <v>204</v>
      </c>
      <c r="D74" s="6" t="s">
        <v>13</v>
      </c>
      <c r="E74" s="6" t="s">
        <v>14</v>
      </c>
      <c r="F74" s="6" t="s">
        <v>16</v>
      </c>
      <c r="G74" s="6" t="s">
        <v>17</v>
      </c>
      <c r="H74" s="6" t="s">
        <v>18</v>
      </c>
      <c r="I74" s="6" t="s">
        <v>19</v>
      </c>
      <c r="J74" s="6" t="s">
        <v>20</v>
      </c>
      <c r="K74" s="6" t="s">
        <v>92</v>
      </c>
    </row>
    <row r="75">
      <c r="A75" s="5">
        <v>46210.43153844908</v>
      </c>
      <c r="B75" s="6" t="s">
        <v>205</v>
      </c>
      <c r="C75" s="6" t="s">
        <v>206</v>
      </c>
      <c r="D75" s="6" t="s">
        <v>13</v>
      </c>
      <c r="E75" s="6" t="s">
        <v>14</v>
      </c>
      <c r="F75" s="6" t="s">
        <v>16</v>
      </c>
      <c r="G75" s="6" t="s">
        <v>17</v>
      </c>
      <c r="H75" s="6" t="s">
        <v>18</v>
      </c>
      <c r="I75" s="6" t="s">
        <v>19</v>
      </c>
      <c r="J75" s="6" t="s">
        <v>20</v>
      </c>
    </row>
    <row r="76">
      <c r="A76" s="5">
        <v>46210.43256741898</v>
      </c>
      <c r="B76" s="6" t="s">
        <v>207</v>
      </c>
      <c r="C76" s="6" t="s">
        <v>147</v>
      </c>
      <c r="D76" s="6" t="s">
        <v>13</v>
      </c>
      <c r="E76" s="6" t="s">
        <v>14</v>
      </c>
      <c r="F76" s="6" t="s">
        <v>16</v>
      </c>
      <c r="G76" s="6" t="s">
        <v>17</v>
      </c>
      <c r="H76" s="6" t="s">
        <v>18</v>
      </c>
      <c r="I76" s="6" t="s">
        <v>19</v>
      </c>
      <c r="J76" s="6" t="s">
        <v>20</v>
      </c>
    </row>
    <row r="77">
      <c r="A77" s="5">
        <v>46210.436219247684</v>
      </c>
      <c r="B77" s="6" t="s">
        <v>112</v>
      </c>
      <c r="C77" s="6" t="s">
        <v>148</v>
      </c>
      <c r="D77" s="6" t="s">
        <v>13</v>
      </c>
      <c r="E77" s="6" t="s">
        <v>14</v>
      </c>
      <c r="F77" s="6" t="s">
        <v>16</v>
      </c>
      <c r="G77" s="6" t="s">
        <v>17</v>
      </c>
      <c r="H77" s="6" t="s">
        <v>18</v>
      </c>
      <c r="I77" s="6" t="s">
        <v>19</v>
      </c>
      <c r="J77" s="6" t="s">
        <v>20</v>
      </c>
    </row>
    <row r="78">
      <c r="A78" s="5">
        <v>46210.43685574074</v>
      </c>
      <c r="B78" s="6" t="s">
        <v>95</v>
      </c>
      <c r="C78" s="6" t="s">
        <v>208</v>
      </c>
      <c r="D78" s="6" t="s">
        <v>13</v>
      </c>
      <c r="E78" s="6" t="s">
        <v>14</v>
      </c>
      <c r="F78" s="6" t="s">
        <v>16</v>
      </c>
      <c r="G78" s="6" t="s">
        <v>17</v>
      </c>
      <c r="H78" s="6" t="s">
        <v>18</v>
      </c>
      <c r="I78" s="6" t="s">
        <v>55</v>
      </c>
      <c r="J78" s="6" t="s">
        <v>20</v>
      </c>
    </row>
    <row r="79">
      <c r="A79" s="5">
        <v>46210.43695128472</v>
      </c>
      <c r="B79" s="6" t="s">
        <v>210</v>
      </c>
      <c r="C79" s="6" t="s">
        <v>211</v>
      </c>
      <c r="D79" s="6" t="s">
        <v>13</v>
      </c>
      <c r="E79" s="6" t="s">
        <v>14</v>
      </c>
      <c r="F79" s="6" t="s">
        <v>16</v>
      </c>
      <c r="G79" s="6" t="s">
        <v>17</v>
      </c>
      <c r="H79" s="6" t="s">
        <v>18</v>
      </c>
      <c r="I79" s="6" t="s">
        <v>19</v>
      </c>
      <c r="J79" s="6" t="s">
        <v>20</v>
      </c>
      <c r="K79" s="6" t="s">
        <v>212</v>
      </c>
    </row>
    <row r="80">
      <c r="A80" s="5">
        <v>46264.87400092593</v>
      </c>
      <c r="B80" s="6" t="s">
        <v>108</v>
      </c>
      <c r="C80" s="6" t="s">
        <v>109</v>
      </c>
      <c r="D80" s="6" t="s">
        <v>13</v>
      </c>
      <c r="E80" s="6" t="s">
        <v>14</v>
      </c>
      <c r="F80" s="6" t="s">
        <v>16</v>
      </c>
      <c r="G80" s="6" t="s">
        <v>17</v>
      </c>
      <c r="H80" s="6" t="s">
        <v>18</v>
      </c>
      <c r="I80" s="6" t="s">
        <v>19</v>
      </c>
      <c r="J80" s="6" t="s">
        <v>20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1" t="s">
        <v>0</v>
      </c>
      <c r="B1" s="1" t="s">
        <v>1</v>
      </c>
      <c r="C1" s="3" t="s">
        <v>2</v>
      </c>
      <c r="D1" s="4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1"/>
      <c r="M1" s="7" t="s">
        <v>15</v>
      </c>
    </row>
    <row r="2">
      <c r="A2" s="8">
        <f>'1.3'!A:A</f>
        <v>46210.37886</v>
      </c>
      <c r="B2" s="1" t="str">
        <f>'1.3'!B:B</f>
        <v>bnco1013@signalschool.ac.th</v>
      </c>
      <c r="C2" s="1" t="str">
        <f>'1.3'!C:C</f>
        <v>จ.ส.อ. พัลลภ  ดวงเดือน, ส.อ. สิทธิศักดิ์  รินไธสง</v>
      </c>
      <c r="D2" s="9">
        <v>1.0</v>
      </c>
      <c r="E2" s="10">
        <f>IFERROR(vlookup('1.3'!D:D,lookup!$A$2:$B$4,2,false),0)</f>
        <v>5</v>
      </c>
      <c r="F2" s="10">
        <f>IFERROR(vlookup('1.3'!E:E,lookup!$A$6:$B$8,2,false),0)</f>
        <v>5</v>
      </c>
      <c r="G2" s="10">
        <f>IFERROR(vlookup('1.3'!F:F,lookup!$A$10:$B$12,2,false),0)</f>
        <v>5</v>
      </c>
      <c r="H2" s="10">
        <f>IFERROR(vlookup('1.3'!G:G,lookup!$A$14:$B$16,2,false),0)</f>
        <v>5</v>
      </c>
      <c r="I2" s="10">
        <f>IFERROR(vlookup('1.3'!H:H,lookup!$A$18:$B$20,2,false),0)</f>
        <v>5</v>
      </c>
      <c r="J2" s="10">
        <f>IFERROR(vlookup('1.3'!I:I,lookup!$A$22:$B$24,2,false),0)</f>
        <v>5</v>
      </c>
      <c r="K2" s="10">
        <f>IFERROR(vlookup('1.3'!J:J,lookup!$A$26:$B$28,2,false),0)</f>
        <v>5</v>
      </c>
      <c r="L2" s="1"/>
      <c r="M2" s="10">
        <v>1.0</v>
      </c>
      <c r="N2" s="11" t="str">
        <f t="shared" ref="N2:N81" si="1">CONCAT(R2,"@signalschool.ac.th")</f>
        <v>bnco1001@signalschool.ac.th</v>
      </c>
      <c r="O2" s="12">
        <f t="shared" ref="O2:O81" si="2">IFERROR(VLOOKUP(N2,B$2:D$81,3,FALSE),0)</f>
        <v>1</v>
      </c>
      <c r="R2" s="6" t="s">
        <v>91</v>
      </c>
    </row>
    <row r="3">
      <c r="A3" s="8">
        <f>'1.3'!A:A</f>
        <v>46210.38002</v>
      </c>
      <c r="B3" s="1" t="str">
        <f>'1.3'!B:B</f>
        <v>bnco1059@signalschool.ac.th</v>
      </c>
      <c r="C3" s="1" t="str">
        <f>'1.3'!C:C</f>
        <v>จ.ส.อ. พัลลภ  ดวงเดือน</v>
      </c>
      <c r="D3" s="9">
        <v>1.0</v>
      </c>
      <c r="E3" s="10">
        <f>IFERROR(vlookup('1.3'!D:D,lookup!$A$2:$B$4,2,false),0)</f>
        <v>5</v>
      </c>
      <c r="F3" s="10">
        <f>IFERROR(vlookup('1.3'!E:E,lookup!$A$6:$B$8,2,false),0)</f>
        <v>5</v>
      </c>
      <c r="G3" s="10">
        <f>IFERROR(vlookup('1.3'!F:F,lookup!$A$10:$B$12,2,false),0)</f>
        <v>5</v>
      </c>
      <c r="H3" s="10">
        <f>IFERROR(vlookup('1.3'!G:G,lookup!$A$14:$B$16,2,false),0)</f>
        <v>5</v>
      </c>
      <c r="I3" s="10">
        <f>IFERROR(vlookup('1.3'!H:H,lookup!$A$18:$B$20,2,false),0)</f>
        <v>5</v>
      </c>
      <c r="J3" s="10">
        <f>IFERROR(vlookup('1.3'!I:I,lookup!$A$22:$B$24,2,false),0)</f>
        <v>5</v>
      </c>
      <c r="K3" s="10">
        <f>IFERROR(vlookup('1.3'!J:J,lookup!$A$26:$B$28,2,false),0)</f>
        <v>5</v>
      </c>
      <c r="L3" s="1"/>
      <c r="M3" s="10">
        <v>2.0</v>
      </c>
      <c r="N3" s="11" t="str">
        <f t="shared" si="1"/>
        <v>bnco1002@signalschool.ac.th</v>
      </c>
      <c r="O3" s="12">
        <f t="shared" si="2"/>
        <v>1</v>
      </c>
      <c r="R3" s="6" t="s">
        <v>123</v>
      </c>
    </row>
    <row r="4">
      <c r="A4" s="8">
        <f>'1.3'!A:A</f>
        <v>46210.38012</v>
      </c>
      <c r="B4" s="1" t="str">
        <f>'1.3'!B:B</f>
        <v>bnco1053@signalschool.ac.th</v>
      </c>
      <c r="C4" s="1" t="str">
        <f>'1.3'!C:C</f>
        <v>จ.ส.อ. พัลลภ  ดวงเดือน, ส.อ. สิทธิศักดิ์  รินไธสง</v>
      </c>
      <c r="D4" s="9">
        <v>1.0</v>
      </c>
      <c r="E4" s="10">
        <f>IFERROR(vlookup('1.3'!D:D,lookup!$A$2:$B$4,2,false),0)</f>
        <v>5</v>
      </c>
      <c r="F4" s="10">
        <f>IFERROR(vlookup('1.3'!E:E,lookup!$A$6:$B$8,2,false),0)</f>
        <v>5</v>
      </c>
      <c r="G4" s="10">
        <f>IFERROR(vlookup('1.3'!F:F,lookup!$A$10:$B$12,2,false),0)</f>
        <v>5</v>
      </c>
      <c r="H4" s="10">
        <f>IFERROR(vlookup('1.3'!G:G,lookup!$A$14:$B$16,2,false),0)</f>
        <v>5</v>
      </c>
      <c r="I4" s="10">
        <f>IFERROR(vlookup('1.3'!H:H,lookup!$A$18:$B$20,2,false),0)</f>
        <v>5</v>
      </c>
      <c r="J4" s="10">
        <f>IFERROR(vlookup('1.3'!I:I,lookup!$A$22:$B$24,2,false),0)</f>
        <v>3</v>
      </c>
      <c r="K4" s="10">
        <f>IFERROR(vlookup('1.3'!J:J,lookup!$A$26:$B$28,2,false),0)</f>
        <v>3</v>
      </c>
      <c r="L4" s="1"/>
      <c r="M4" s="10">
        <v>3.0</v>
      </c>
      <c r="N4" s="11" t="str">
        <f t="shared" si="1"/>
        <v>bnco1003@signalschool.ac.th</v>
      </c>
      <c r="O4" s="12">
        <f t="shared" si="2"/>
        <v>1</v>
      </c>
      <c r="R4" s="6" t="s">
        <v>141</v>
      </c>
    </row>
    <row r="5">
      <c r="A5" s="8">
        <f>'1.3'!A:A</f>
        <v>46210.38055</v>
      </c>
      <c r="B5" s="1" t="str">
        <f>'1.3'!B:B</f>
        <v>bnco1056@signalschool.ac.th</v>
      </c>
      <c r="C5" s="1" t="str">
        <f>'1.3'!C:C</f>
        <v>จ.ส.อ. พัลลภ ดวงเดือน</v>
      </c>
      <c r="D5" s="9">
        <v>1.0</v>
      </c>
      <c r="E5" s="10">
        <f>IFERROR(vlookup('1.3'!D:D,lookup!$A$2:$B$4,2,false),0)</f>
        <v>5</v>
      </c>
      <c r="F5" s="10">
        <f>IFERROR(vlookup('1.3'!E:E,lookup!$A$6:$B$8,2,false),0)</f>
        <v>5</v>
      </c>
      <c r="G5" s="10">
        <f>IFERROR(vlookup('1.3'!F:F,lookup!$A$10:$B$12,2,false),0)</f>
        <v>5</v>
      </c>
      <c r="H5" s="10">
        <f>IFERROR(vlookup('1.3'!G:G,lookup!$A$14:$B$16,2,false),0)</f>
        <v>5</v>
      </c>
      <c r="I5" s="10">
        <f>IFERROR(vlookup('1.3'!H:H,lookup!$A$18:$B$20,2,false),0)</f>
        <v>5</v>
      </c>
      <c r="J5" s="10">
        <f>IFERROR(vlookup('1.3'!I:I,lookup!$A$22:$B$24,2,false),0)</f>
        <v>5</v>
      </c>
      <c r="K5" s="10">
        <f>IFERROR(vlookup('1.3'!J:J,lookup!$A$26:$B$28,2,false),0)</f>
        <v>5</v>
      </c>
      <c r="L5" s="1"/>
      <c r="M5" s="10">
        <v>4.0</v>
      </c>
      <c r="N5" s="11" t="str">
        <f t="shared" si="1"/>
        <v>bnco1004@signalschool.ac.th</v>
      </c>
      <c r="O5" s="12">
        <f t="shared" si="2"/>
        <v>1</v>
      </c>
      <c r="R5" s="6" t="s">
        <v>143</v>
      </c>
    </row>
    <row r="6">
      <c r="A6" s="8">
        <f>'1.3'!A:A</f>
        <v>46210.3815</v>
      </c>
      <c r="B6" s="1" t="str">
        <f>'1.3'!B:B</f>
        <v>bnco1063@signalschool.ac.th</v>
      </c>
      <c r="C6" s="1" t="str">
        <f>'1.3'!C:C</f>
        <v>จ.ส.อ. พัลลภ  ดวงเดือน,ส.อ.พงษ์สิทธิ์ เทกะมล</v>
      </c>
      <c r="D6" s="9">
        <v>1.0</v>
      </c>
      <c r="E6" s="10">
        <f>IFERROR(vlookup('1.3'!D:D,lookup!$A$2:$B$4,2,false),0)</f>
        <v>5</v>
      </c>
      <c r="F6" s="10">
        <f>IFERROR(vlookup('1.3'!E:E,lookup!$A$6:$B$8,2,false),0)</f>
        <v>5</v>
      </c>
      <c r="G6" s="10">
        <f>IFERROR(vlookup('1.3'!F:F,lookup!$A$10:$B$12,2,false),0)</f>
        <v>5</v>
      </c>
      <c r="H6" s="10">
        <f>IFERROR(vlookup('1.3'!G:G,lookup!$A$14:$B$16,2,false),0)</f>
        <v>5</v>
      </c>
      <c r="I6" s="10">
        <f>IFERROR(vlookup('1.3'!H:H,lookup!$A$18:$B$20,2,false),0)</f>
        <v>5</v>
      </c>
      <c r="J6" s="10">
        <f>IFERROR(vlookup('1.3'!I:I,lookup!$A$22:$B$24,2,false),0)</f>
        <v>5</v>
      </c>
      <c r="K6" s="10">
        <f>IFERROR(vlookup('1.3'!J:J,lookup!$A$26:$B$28,2,false),0)</f>
        <v>5</v>
      </c>
      <c r="L6" s="1"/>
      <c r="M6" s="10">
        <v>5.0</v>
      </c>
      <c r="N6" s="11" t="str">
        <f t="shared" si="1"/>
        <v>bnco1005@signalschool.ac.th</v>
      </c>
      <c r="O6" s="12">
        <f t="shared" si="2"/>
        <v>1</v>
      </c>
      <c r="R6" s="6" t="s">
        <v>144</v>
      </c>
    </row>
    <row r="7">
      <c r="A7" s="8">
        <f>'1.3'!A:A</f>
        <v>46210.38174</v>
      </c>
      <c r="B7" s="1" t="str">
        <f>'1.3'!B:B</f>
        <v>bnco1042@signalschool.ac.th</v>
      </c>
      <c r="C7" s="1" t="str">
        <f>'1.3'!C:C</f>
        <v>จ.ส.อ. พัลลภ  ดวงเดือน, ส.อ. สิทธิศักดิ์  รินไธสง</v>
      </c>
      <c r="D7" s="9">
        <v>1.0</v>
      </c>
      <c r="E7" s="10">
        <f>IFERROR(vlookup('1.3'!D:D,lookup!$A$2:$B$4,2,false),0)</f>
        <v>5</v>
      </c>
      <c r="F7" s="10">
        <f>IFERROR(vlookup('1.3'!E:E,lookup!$A$6:$B$8,2,false),0)</f>
        <v>5</v>
      </c>
      <c r="G7" s="10">
        <f>IFERROR(vlookup('1.3'!F:F,lookup!$A$10:$B$12,2,false),0)</f>
        <v>5</v>
      </c>
      <c r="H7" s="10">
        <f>IFERROR(vlookup('1.3'!G:G,lookup!$A$14:$B$16,2,false),0)</f>
        <v>5</v>
      </c>
      <c r="I7" s="10">
        <f>IFERROR(vlookup('1.3'!H:H,lookup!$A$18:$B$20,2,false),0)</f>
        <v>5</v>
      </c>
      <c r="J7" s="10">
        <f>IFERROR(vlookup('1.3'!I:I,lookup!$A$22:$B$24,2,false),0)</f>
        <v>5</v>
      </c>
      <c r="K7" s="10">
        <f>IFERROR(vlookup('1.3'!J:J,lookup!$A$26:$B$28,2,false),0)</f>
        <v>5</v>
      </c>
      <c r="L7" s="1"/>
      <c r="M7" s="10">
        <v>6.0</v>
      </c>
      <c r="N7" s="11" t="str">
        <f t="shared" si="1"/>
        <v>bnco1006@signalschool.ac.th</v>
      </c>
      <c r="O7" s="12">
        <f t="shared" si="2"/>
        <v>1</v>
      </c>
      <c r="R7" s="6" t="s">
        <v>145</v>
      </c>
    </row>
    <row r="8">
      <c r="A8" s="8">
        <f>'1.3'!A:A</f>
        <v>46210.38206</v>
      </c>
      <c r="B8" s="1" t="str">
        <f>'1.3'!B:B</f>
        <v>bnco1036@signalschool.ac.th</v>
      </c>
      <c r="C8" s="1" t="str">
        <f>'1.3'!C:C</f>
        <v>จ.ส.อ. พัลลภ  ดวงเดือน, ส.อ. สิทธิศักดิ์  รินไธสง</v>
      </c>
      <c r="D8" s="9">
        <v>1.0</v>
      </c>
      <c r="E8" s="10">
        <f>IFERROR(vlookup('1.3'!D:D,lookup!$A$2:$B$4,2,false),0)</f>
        <v>5</v>
      </c>
      <c r="F8" s="10">
        <f>IFERROR(vlookup('1.3'!E:E,lookup!$A$6:$B$8,2,false),0)</f>
        <v>5</v>
      </c>
      <c r="G8" s="10">
        <f>IFERROR(vlookup('1.3'!F:F,lookup!$A$10:$B$12,2,false),0)</f>
        <v>5</v>
      </c>
      <c r="H8" s="10">
        <f>IFERROR(vlookup('1.3'!G:G,lookup!$A$14:$B$16,2,false),0)</f>
        <v>5</v>
      </c>
      <c r="I8" s="10">
        <f>IFERROR(vlookup('1.3'!H:H,lookup!$A$18:$B$20,2,false),0)</f>
        <v>5</v>
      </c>
      <c r="J8" s="10">
        <f>IFERROR(vlookup('1.3'!I:I,lookup!$A$22:$B$24,2,false),0)</f>
        <v>5</v>
      </c>
      <c r="K8" s="10">
        <f>IFERROR(vlookup('1.3'!J:J,lookup!$A$26:$B$28,2,false),0)</f>
        <v>5</v>
      </c>
      <c r="L8" s="1"/>
      <c r="M8" s="10">
        <v>7.0</v>
      </c>
      <c r="N8" s="11" t="str">
        <f t="shared" si="1"/>
        <v>bnco1007@signalschool.ac.th</v>
      </c>
      <c r="O8" s="12">
        <f t="shared" si="2"/>
        <v>1</v>
      </c>
      <c r="R8" s="6" t="s">
        <v>155</v>
      </c>
    </row>
    <row r="9">
      <c r="A9" s="8">
        <f>'1.3'!A:A</f>
        <v>46210.3833</v>
      </c>
      <c r="B9" s="1" t="str">
        <f>'1.3'!B:B</f>
        <v>bnco1039@signalschool.ac.th</v>
      </c>
      <c r="C9" s="1" t="str">
        <f>'1.3'!C:C</f>
        <v>จ.ส.อ. พัลลภ  ดวงเดือน, ส.อ. สิทธิศักดิ์  รินไธสง</v>
      </c>
      <c r="D9" s="9">
        <v>1.0</v>
      </c>
      <c r="E9" s="10">
        <f>IFERROR(vlookup('1.3'!D:D,lookup!$A$2:$B$4,2,false),0)</f>
        <v>5</v>
      </c>
      <c r="F9" s="10">
        <f>IFERROR(vlookup('1.3'!E:E,lookup!$A$6:$B$8,2,false),0)</f>
        <v>5</v>
      </c>
      <c r="G9" s="10">
        <f>IFERROR(vlookup('1.3'!F:F,lookup!$A$10:$B$12,2,false),0)</f>
        <v>5</v>
      </c>
      <c r="H9" s="10">
        <f>IFERROR(vlookup('1.3'!G:G,lookup!$A$14:$B$16,2,false),0)</f>
        <v>5</v>
      </c>
      <c r="I9" s="10">
        <f>IFERROR(vlookup('1.3'!H:H,lookup!$A$18:$B$20,2,false),0)</f>
        <v>5</v>
      </c>
      <c r="J9" s="10">
        <f>IFERROR(vlookup('1.3'!I:I,lookup!$A$22:$B$24,2,false),0)</f>
        <v>5</v>
      </c>
      <c r="K9" s="10">
        <f>IFERROR(vlookup('1.3'!J:J,lookup!$A$26:$B$28,2,false),0)</f>
        <v>5</v>
      </c>
      <c r="L9" s="1"/>
      <c r="M9" s="10">
        <v>8.0</v>
      </c>
      <c r="N9" s="11" t="str">
        <f t="shared" si="1"/>
        <v>bnco1008@signalschool.ac.th</v>
      </c>
      <c r="O9" s="12">
        <f t="shared" si="2"/>
        <v>1</v>
      </c>
      <c r="R9" s="6" t="s">
        <v>166</v>
      </c>
    </row>
    <row r="10">
      <c r="A10" s="8">
        <f>'1.3'!A:A</f>
        <v>46210.38437</v>
      </c>
      <c r="B10" s="1" t="str">
        <f>'1.3'!B:B</f>
        <v>bnco1021@signalschool.ac.th</v>
      </c>
      <c r="C10" s="1" t="str">
        <f>'1.3'!C:C</f>
        <v>จ.ส.อ. พัลลภ  ดวงเดือน, ส.อ. สิทธิศักดิ์  รินไธสง</v>
      </c>
      <c r="D10" s="9">
        <v>1.0</v>
      </c>
      <c r="E10" s="10">
        <f>IFERROR(vlookup('1.3'!D:D,lookup!$A$2:$B$4,2,false),0)</f>
        <v>5</v>
      </c>
      <c r="F10" s="10">
        <f>IFERROR(vlookup('1.3'!E:E,lookup!$A$6:$B$8,2,false),0)</f>
        <v>5</v>
      </c>
      <c r="G10" s="10">
        <f>IFERROR(vlookup('1.3'!F:F,lookup!$A$10:$B$12,2,false),0)</f>
        <v>5</v>
      </c>
      <c r="H10" s="10">
        <f>IFERROR(vlookup('1.3'!G:G,lookup!$A$14:$B$16,2,false),0)</f>
        <v>5</v>
      </c>
      <c r="I10" s="10">
        <f>IFERROR(vlookup('1.3'!H:H,lookup!$A$18:$B$20,2,false),0)</f>
        <v>5</v>
      </c>
      <c r="J10" s="10">
        <f>IFERROR(vlookup('1.3'!I:I,lookup!$A$22:$B$24,2,false),0)</f>
        <v>5</v>
      </c>
      <c r="K10" s="10">
        <f>IFERROR(vlookup('1.3'!J:J,lookup!$A$26:$B$28,2,false),0)</f>
        <v>5</v>
      </c>
      <c r="L10" s="1"/>
      <c r="M10" s="10">
        <v>9.0</v>
      </c>
      <c r="N10" s="11" t="str">
        <f t="shared" si="1"/>
        <v>bnco1009@signalschool.ac.th</v>
      </c>
      <c r="O10" s="12">
        <f t="shared" si="2"/>
        <v>1</v>
      </c>
      <c r="R10" s="6" t="s">
        <v>175</v>
      </c>
    </row>
    <row r="11">
      <c r="A11" s="8">
        <f>'1.3'!A:A</f>
        <v>46210.38465</v>
      </c>
      <c r="B11" s="1" t="str">
        <f>'1.3'!B:B</f>
        <v>bnco1066@signalschool.ac.th</v>
      </c>
      <c r="C11" s="1" t="str">
        <f>'1.3'!C:C</f>
        <v>จ.ส.อ. พัลลภ  ดวงเดือน, ส.อ. สิทธิศักดิ์  รินไธสง</v>
      </c>
      <c r="D11" s="9">
        <v>1.0</v>
      </c>
      <c r="E11" s="10">
        <f>IFERROR(vlookup('1.3'!D:D,lookup!$A$2:$B$4,2,false),0)</f>
        <v>5</v>
      </c>
      <c r="F11" s="10">
        <f>IFERROR(vlookup('1.3'!E:E,lookup!$A$6:$B$8,2,false),0)</f>
        <v>5</v>
      </c>
      <c r="G11" s="10">
        <f>IFERROR(vlookup('1.3'!F:F,lookup!$A$10:$B$12,2,false),0)</f>
        <v>5</v>
      </c>
      <c r="H11" s="10">
        <f>IFERROR(vlookup('1.3'!G:G,lookup!$A$14:$B$16,2,false),0)</f>
        <v>5</v>
      </c>
      <c r="I11" s="10">
        <f>IFERROR(vlookup('1.3'!H:H,lookup!$A$18:$B$20,2,false),0)</f>
        <v>5</v>
      </c>
      <c r="J11" s="10">
        <f>IFERROR(vlookup('1.3'!I:I,lookup!$A$22:$B$24,2,false),0)</f>
        <v>5</v>
      </c>
      <c r="K11" s="10">
        <f>IFERROR(vlookup('1.3'!J:J,lookup!$A$26:$B$28,2,false),0)</f>
        <v>5</v>
      </c>
      <c r="L11" s="1"/>
      <c r="M11" s="10">
        <v>10.0</v>
      </c>
      <c r="N11" s="11" t="str">
        <f t="shared" si="1"/>
        <v>bnco1010@signalschool.ac.th</v>
      </c>
      <c r="O11" s="12">
        <f t="shared" si="2"/>
        <v>1</v>
      </c>
      <c r="R11" s="6" t="s">
        <v>192</v>
      </c>
    </row>
    <row r="12">
      <c r="A12" s="8">
        <f>'1.3'!A:A</f>
        <v>46210.38564</v>
      </c>
      <c r="B12" s="1" t="str">
        <f>'1.3'!B:B</f>
        <v>bnco1073@signalschool.ac.th</v>
      </c>
      <c r="C12" s="1" t="str">
        <f>'1.3'!C:C</f>
        <v>ส.อ.ธีรโชติ สีหะวงษ์</v>
      </c>
      <c r="D12" s="9">
        <v>1.0</v>
      </c>
      <c r="E12" s="10">
        <f>IFERROR(vlookup('1.3'!D:D,lookup!$A$2:$B$4,2,false),0)</f>
        <v>5</v>
      </c>
      <c r="F12" s="10">
        <f>IFERROR(vlookup('1.3'!E:E,lookup!$A$6:$B$8,2,false),0)</f>
        <v>5</v>
      </c>
      <c r="G12" s="10">
        <f>IFERROR(vlookup('1.3'!F:F,lookup!$A$10:$B$12,2,false),0)</f>
        <v>5</v>
      </c>
      <c r="H12" s="10">
        <f>IFERROR(vlookup('1.3'!G:G,lookup!$A$14:$B$16,2,false),0)</f>
        <v>5</v>
      </c>
      <c r="I12" s="10">
        <f>IFERROR(vlookup('1.3'!H:H,lookup!$A$18:$B$20,2,false),0)</f>
        <v>5</v>
      </c>
      <c r="J12" s="10">
        <f>IFERROR(vlookup('1.3'!I:I,lookup!$A$22:$B$24,2,false),0)</f>
        <v>5</v>
      </c>
      <c r="K12" s="10">
        <f>IFERROR(vlookup('1.3'!J:J,lookup!$A$26:$B$28,2,false),0)</f>
        <v>5</v>
      </c>
      <c r="L12" s="1"/>
      <c r="M12" s="10">
        <v>11.0</v>
      </c>
      <c r="N12" s="11" t="str">
        <f t="shared" si="1"/>
        <v>bnco1011@signalschool.ac.th</v>
      </c>
      <c r="O12" s="12">
        <f t="shared" si="2"/>
        <v>1</v>
      </c>
      <c r="R12" s="6" t="s">
        <v>209</v>
      </c>
    </row>
    <row r="13">
      <c r="A13" s="8">
        <f>'1.3'!A:A</f>
        <v>46210.38733</v>
      </c>
      <c r="B13" s="1" t="str">
        <f>'1.3'!B:B</f>
        <v>bnco1078@signalschool.ac.th</v>
      </c>
      <c r="C13" s="1" t="str">
        <f>'1.3'!C:C</f>
        <v>จ.ส.อ. พัลลภ  ดวงเดือน, ส.อ. สิทธิศักดิ์  รินไธสง</v>
      </c>
      <c r="D13" s="9">
        <v>1.0</v>
      </c>
      <c r="E13" s="10">
        <f>IFERROR(vlookup('1.3'!D:D,lookup!$A$2:$B$4,2,false),0)</f>
        <v>5</v>
      </c>
      <c r="F13" s="10">
        <f>IFERROR(vlookup('1.3'!E:E,lookup!$A$6:$B$8,2,false),0)</f>
        <v>5</v>
      </c>
      <c r="G13" s="10">
        <f>IFERROR(vlookup('1.3'!F:F,lookup!$A$10:$B$12,2,false),0)</f>
        <v>5</v>
      </c>
      <c r="H13" s="10">
        <f>IFERROR(vlookup('1.3'!G:G,lookup!$A$14:$B$16,2,false),0)</f>
        <v>5</v>
      </c>
      <c r="I13" s="10">
        <f>IFERROR(vlookup('1.3'!H:H,lookup!$A$18:$B$20,2,false),0)</f>
        <v>5</v>
      </c>
      <c r="J13" s="10">
        <f>IFERROR(vlookup('1.3'!I:I,lookup!$A$22:$B$24,2,false),0)</f>
        <v>5</v>
      </c>
      <c r="K13" s="10">
        <f>IFERROR(vlookup('1.3'!J:J,lookup!$A$26:$B$28,2,false),0)</f>
        <v>5</v>
      </c>
      <c r="L13" s="1"/>
      <c r="M13" s="10">
        <v>12.0</v>
      </c>
      <c r="N13" s="11" t="str">
        <f t="shared" si="1"/>
        <v>bnco1012@signalschool.ac.th</v>
      </c>
      <c r="O13" s="12">
        <f t="shared" si="2"/>
        <v>1</v>
      </c>
      <c r="R13" s="6" t="s">
        <v>213</v>
      </c>
    </row>
    <row r="14">
      <c r="A14" s="8">
        <f>'1.3'!A:A</f>
        <v>46210.38773</v>
      </c>
      <c r="B14" s="1" t="str">
        <f>'1.3'!B:B</f>
        <v>bnco1014@signalschool.ac.th</v>
      </c>
      <c r="C14" s="1" t="str">
        <f>'1.3'!C:C</f>
        <v>ส.อ.พงษ์พิสิทธิ์ สุธาทัศน์</v>
      </c>
      <c r="D14" s="9">
        <v>1.0</v>
      </c>
      <c r="E14" s="10">
        <f>IFERROR(vlookup('1.3'!D:D,lookup!$A$2:$B$4,2,false),0)</f>
        <v>5</v>
      </c>
      <c r="F14" s="10">
        <f>IFERROR(vlookup('1.3'!E:E,lookup!$A$6:$B$8,2,false),0)</f>
        <v>5</v>
      </c>
      <c r="G14" s="10">
        <f>IFERROR(vlookup('1.3'!F:F,lookup!$A$10:$B$12,2,false),0)</f>
        <v>5</v>
      </c>
      <c r="H14" s="10">
        <f>IFERROR(vlookup('1.3'!G:G,lookup!$A$14:$B$16,2,false),0)</f>
        <v>5</v>
      </c>
      <c r="I14" s="10">
        <f>IFERROR(vlookup('1.3'!H:H,lookup!$A$18:$B$20,2,false),0)</f>
        <v>5</v>
      </c>
      <c r="J14" s="10">
        <f>IFERROR(vlookup('1.3'!I:I,lookup!$A$22:$B$24,2,false),0)</f>
        <v>5</v>
      </c>
      <c r="K14" s="10">
        <f>IFERROR(vlookup('1.3'!J:J,lookup!$A$26:$B$28,2,false),0)</f>
        <v>5</v>
      </c>
      <c r="L14" s="1"/>
      <c r="M14" s="10">
        <v>13.0</v>
      </c>
      <c r="N14" s="11" t="str">
        <f t="shared" si="1"/>
        <v>bnco1013@signalschool.ac.th</v>
      </c>
      <c r="O14" s="12">
        <f t="shared" si="2"/>
        <v>1</v>
      </c>
      <c r="R14" s="6" t="s">
        <v>214</v>
      </c>
    </row>
    <row r="15">
      <c r="A15" s="8">
        <f>'1.3'!A:A</f>
        <v>46210.38793</v>
      </c>
      <c r="B15" s="1" t="str">
        <f>'1.3'!B:B</f>
        <v>bnco1035@signalschool.ac.th</v>
      </c>
      <c r="C15" s="1" t="str">
        <f>'1.3'!C:C</f>
        <v>จ.ส.อ. พัลลภ  ดวงเดือน, ส.อ. สิทธิศักดิ์  ริน</v>
      </c>
      <c r="D15" s="9">
        <v>1.0</v>
      </c>
      <c r="E15" s="10">
        <f>IFERROR(vlookup('1.3'!D:D,lookup!$A$2:$B$4,2,false),0)</f>
        <v>5</v>
      </c>
      <c r="F15" s="10">
        <f>IFERROR(vlookup('1.3'!E:E,lookup!$A$6:$B$8,2,false),0)</f>
        <v>5</v>
      </c>
      <c r="G15" s="10">
        <f>IFERROR(vlookup('1.3'!F:F,lookup!$A$10:$B$12,2,false),0)</f>
        <v>5</v>
      </c>
      <c r="H15" s="10">
        <f>IFERROR(vlookup('1.3'!G:G,lookup!$A$14:$B$16,2,false),0)</f>
        <v>5</v>
      </c>
      <c r="I15" s="10">
        <f>IFERROR(vlookup('1.3'!H:H,lookup!$A$18:$B$20,2,false),0)</f>
        <v>5</v>
      </c>
      <c r="J15" s="10">
        <f>IFERROR(vlookup('1.3'!I:I,lookup!$A$22:$B$24,2,false),0)</f>
        <v>5</v>
      </c>
      <c r="K15" s="10">
        <f>IFERROR(vlookup('1.3'!J:J,lookup!$A$26:$B$28,2,false),0)</f>
        <v>5</v>
      </c>
      <c r="L15" s="1"/>
      <c r="M15" s="10">
        <v>14.0</v>
      </c>
      <c r="N15" s="11" t="str">
        <f t="shared" si="1"/>
        <v>bnco1014@signalschool.ac.th</v>
      </c>
      <c r="O15" s="12">
        <f t="shared" si="2"/>
        <v>1</v>
      </c>
      <c r="R15" s="6" t="s">
        <v>215</v>
      </c>
    </row>
    <row r="16">
      <c r="A16" s="8">
        <f>'1.3'!A:A</f>
        <v>46210.38834</v>
      </c>
      <c r="B16" s="1" t="str">
        <f>'1.3'!B:B</f>
        <v>bnco1057@signalschool.ac.th</v>
      </c>
      <c r="C16" s="1">
        <f>'1.3'!C:C</f>
        <v>57</v>
      </c>
      <c r="D16" s="9">
        <v>1.0</v>
      </c>
      <c r="E16" s="10">
        <f>IFERROR(vlookup('1.3'!D:D,lookup!$A$2:$B$4,2,false),0)</f>
        <v>5</v>
      </c>
      <c r="F16" s="10">
        <f>IFERROR(vlookup('1.3'!E:E,lookup!$A$6:$B$8,2,false),0)</f>
        <v>5</v>
      </c>
      <c r="G16" s="10">
        <f>IFERROR(vlookup('1.3'!F:F,lookup!$A$10:$B$12,2,false),0)</f>
        <v>5</v>
      </c>
      <c r="H16" s="10">
        <f>IFERROR(vlookup('1.3'!G:G,lookup!$A$14:$B$16,2,false),0)</f>
        <v>5</v>
      </c>
      <c r="I16" s="10">
        <f>IFERROR(vlookup('1.3'!H:H,lookup!$A$18:$B$20,2,false),0)</f>
        <v>5</v>
      </c>
      <c r="J16" s="10">
        <f>IFERROR(vlookup('1.3'!I:I,lookup!$A$22:$B$24,2,false),0)</f>
        <v>5</v>
      </c>
      <c r="K16" s="10">
        <f>IFERROR(vlookup('1.3'!J:J,lookup!$A$26:$B$28,2,false),0)</f>
        <v>5</v>
      </c>
      <c r="L16" s="1"/>
      <c r="M16" s="10">
        <v>15.0</v>
      </c>
      <c r="N16" s="11" t="str">
        <f t="shared" si="1"/>
        <v>bnco1015@signalschool.ac.th</v>
      </c>
      <c r="O16" s="12">
        <f t="shared" si="2"/>
        <v>1</v>
      </c>
      <c r="R16" s="6" t="s">
        <v>221</v>
      </c>
    </row>
    <row r="17">
      <c r="A17" s="8">
        <f>'1.3'!A:A</f>
        <v>46210.38882</v>
      </c>
      <c r="B17" s="1" t="str">
        <f>'1.3'!B:B</f>
        <v>bnco1040@signalschool.ac.th</v>
      </c>
      <c r="C17" s="1" t="str">
        <f>'1.3'!C:C</f>
        <v>จ.ส.อ พัลลภ  ดวงเดือน</v>
      </c>
      <c r="D17" s="9">
        <v>1.0</v>
      </c>
      <c r="E17" s="10">
        <f>IFERROR(vlookup('1.3'!D:D,lookup!$A$2:$B$4,2,false),0)</f>
        <v>5</v>
      </c>
      <c r="F17" s="10">
        <f>IFERROR(vlookup('1.3'!E:E,lookup!$A$6:$B$8,2,false),0)</f>
        <v>5</v>
      </c>
      <c r="G17" s="10">
        <f>IFERROR(vlookup('1.3'!F:F,lookup!$A$10:$B$12,2,false),0)</f>
        <v>5</v>
      </c>
      <c r="H17" s="10">
        <f>IFERROR(vlookup('1.3'!G:G,lookup!$A$14:$B$16,2,false),0)</f>
        <v>5</v>
      </c>
      <c r="I17" s="10">
        <f>IFERROR(vlookup('1.3'!H:H,lookup!$A$18:$B$20,2,false),0)</f>
        <v>5</v>
      </c>
      <c r="J17" s="10">
        <f>IFERROR(vlookup('1.3'!I:I,lookup!$A$22:$B$24,2,false),0)</f>
        <v>5</v>
      </c>
      <c r="K17" s="10">
        <f>IFERROR(vlookup('1.3'!J:J,lookup!$A$26:$B$28,2,false),0)</f>
        <v>5</v>
      </c>
      <c r="L17" s="1"/>
      <c r="M17" s="10">
        <v>16.0</v>
      </c>
      <c r="N17" s="11" t="str">
        <f t="shared" si="1"/>
        <v>bnco1016@signalschool.ac.th</v>
      </c>
      <c r="O17" s="12">
        <f t="shared" si="2"/>
        <v>1</v>
      </c>
      <c r="R17" s="6" t="s">
        <v>223</v>
      </c>
    </row>
    <row r="18">
      <c r="A18" s="8">
        <f>'1.3'!A:A</f>
        <v>46210.38915</v>
      </c>
      <c r="B18" s="1" t="str">
        <f>'1.3'!B:B</f>
        <v>bnco1003@signalschool.ac.th</v>
      </c>
      <c r="C18" s="1" t="str">
        <f>'1.3'!C:C</f>
        <v>ส.อ.ภูริทัต  ศิริโชติสกล</v>
      </c>
      <c r="D18" s="9">
        <v>1.0</v>
      </c>
      <c r="E18" s="10">
        <f>IFERROR(vlookup('1.3'!D:D,lookup!$A$2:$B$4,2,false),0)</f>
        <v>5</v>
      </c>
      <c r="F18" s="10">
        <f>IFERROR(vlookup('1.3'!E:E,lookup!$A$6:$B$8,2,false),0)</f>
        <v>5</v>
      </c>
      <c r="G18" s="10">
        <f>IFERROR(vlookup('1.3'!F:F,lookup!$A$10:$B$12,2,false),0)</f>
        <v>5</v>
      </c>
      <c r="H18" s="10">
        <f>IFERROR(vlookup('1.3'!G:G,lookup!$A$14:$B$16,2,false),0)</f>
        <v>5</v>
      </c>
      <c r="I18" s="10">
        <f>IFERROR(vlookup('1.3'!H:H,lookup!$A$18:$B$20,2,false),0)</f>
        <v>5</v>
      </c>
      <c r="J18" s="10">
        <f>IFERROR(vlookup('1.3'!I:I,lookup!$A$22:$B$24,2,false),0)</f>
        <v>5</v>
      </c>
      <c r="K18" s="10">
        <f>IFERROR(vlookup('1.3'!J:J,lookup!$A$26:$B$28,2,false),0)</f>
        <v>5</v>
      </c>
      <c r="L18" s="1"/>
      <c r="M18" s="10">
        <v>17.0</v>
      </c>
      <c r="N18" s="11" t="str">
        <f t="shared" si="1"/>
        <v>bnco1017@signalschool.ac.th</v>
      </c>
      <c r="O18" s="12">
        <f t="shared" si="2"/>
        <v>1</v>
      </c>
      <c r="R18" s="6" t="s">
        <v>229</v>
      </c>
    </row>
    <row r="19">
      <c r="A19" s="8">
        <f>'1.3'!A:A</f>
        <v>46210.38961</v>
      </c>
      <c r="B19" s="1" t="str">
        <f>'1.3'!B:B</f>
        <v>bnco1008@signalschool.ac.th</v>
      </c>
      <c r="C19" s="1" t="str">
        <f>'1.3'!C:C</f>
        <v>จ.ส.อ. พัลลภ  ดวงเดือน, ส.อ. สิทธิศักดิ์  รินไธสง</v>
      </c>
      <c r="D19" s="9">
        <v>1.0</v>
      </c>
      <c r="E19" s="10">
        <f>IFERROR(vlookup('1.3'!D:D,lookup!$A$2:$B$4,2,false),0)</f>
        <v>5</v>
      </c>
      <c r="F19" s="10">
        <f>IFERROR(vlookup('1.3'!E:E,lookup!$A$6:$B$8,2,false),0)</f>
        <v>5</v>
      </c>
      <c r="G19" s="10">
        <f>IFERROR(vlookup('1.3'!F:F,lookup!$A$10:$B$12,2,false),0)</f>
        <v>5</v>
      </c>
      <c r="H19" s="10">
        <f>IFERROR(vlookup('1.3'!G:G,lookup!$A$14:$B$16,2,false),0)</f>
        <v>5</v>
      </c>
      <c r="I19" s="10">
        <f>IFERROR(vlookup('1.3'!H:H,lookup!$A$18:$B$20,2,false),0)</f>
        <v>5</v>
      </c>
      <c r="J19" s="10">
        <f>IFERROR(vlookup('1.3'!I:I,lookup!$A$22:$B$24,2,false),0)</f>
        <v>5</v>
      </c>
      <c r="K19" s="10">
        <f>IFERROR(vlookup('1.3'!J:J,lookup!$A$26:$B$28,2,false),0)</f>
        <v>5</v>
      </c>
      <c r="L19" s="1"/>
      <c r="M19" s="10">
        <v>18.0</v>
      </c>
      <c r="N19" s="11" t="str">
        <f t="shared" si="1"/>
        <v>bnco1018@signalschool.ac.th</v>
      </c>
      <c r="O19" s="12">
        <f t="shared" si="2"/>
        <v>1</v>
      </c>
      <c r="R19" s="6" t="s">
        <v>232</v>
      </c>
    </row>
    <row r="20">
      <c r="A20" s="8">
        <f>'1.3'!A:A</f>
        <v>46210.38966</v>
      </c>
      <c r="B20" s="1" t="str">
        <f>'1.3'!B:B</f>
        <v>bnco1069@signalschool.ac.th</v>
      </c>
      <c r="C20" s="1" t="str">
        <f>'1.3'!C:C</f>
        <v>จ.ส.อ.พัลลภ  ดวงเดือน</v>
      </c>
      <c r="D20" s="9">
        <v>1.0</v>
      </c>
      <c r="E20" s="10">
        <f>IFERROR(vlookup('1.3'!D:D,lookup!$A$2:$B$4,2,false),0)</f>
        <v>5</v>
      </c>
      <c r="F20" s="10">
        <f>IFERROR(vlookup('1.3'!E:E,lookup!$A$6:$B$8,2,false),0)</f>
        <v>5</v>
      </c>
      <c r="G20" s="10">
        <f>IFERROR(vlookup('1.3'!F:F,lookup!$A$10:$B$12,2,false),0)</f>
        <v>5</v>
      </c>
      <c r="H20" s="10">
        <f>IFERROR(vlookup('1.3'!G:G,lookup!$A$14:$B$16,2,false),0)</f>
        <v>5</v>
      </c>
      <c r="I20" s="10">
        <f>IFERROR(vlookup('1.3'!H:H,lookup!$A$18:$B$20,2,false),0)</f>
        <v>5</v>
      </c>
      <c r="J20" s="10">
        <f>IFERROR(vlookup('1.3'!I:I,lookup!$A$22:$B$24,2,false),0)</f>
        <v>5</v>
      </c>
      <c r="K20" s="10">
        <f>IFERROR(vlookup('1.3'!J:J,lookup!$A$26:$B$28,2,false),0)</f>
        <v>5</v>
      </c>
      <c r="L20" s="1"/>
      <c r="M20" s="10">
        <v>19.0</v>
      </c>
      <c r="N20" s="11" t="str">
        <f t="shared" si="1"/>
        <v>bnco1019@signalschool.ac.th</v>
      </c>
      <c r="O20" s="12">
        <f t="shared" si="2"/>
        <v>1</v>
      </c>
      <c r="R20" s="6" t="s">
        <v>233</v>
      </c>
    </row>
    <row r="21">
      <c r="A21" s="8">
        <f>'1.3'!A:A</f>
        <v>46210.39004</v>
      </c>
      <c r="B21" s="1" t="str">
        <f>'1.3'!B:B</f>
        <v>bnco1072@signalschool.ac.th</v>
      </c>
      <c r="C21" s="1">
        <f>'1.3'!C:C</f>
        <v>72</v>
      </c>
      <c r="D21" s="9">
        <v>1.0</v>
      </c>
      <c r="E21" s="10">
        <f>IFERROR(vlookup('1.3'!D:D,lookup!$A$2:$B$4,2,false),0)</f>
        <v>5</v>
      </c>
      <c r="F21" s="10">
        <f>IFERROR(vlookup('1.3'!E:E,lookup!$A$6:$B$8,2,false),0)</f>
        <v>5</v>
      </c>
      <c r="G21" s="10">
        <f>IFERROR(vlookup('1.3'!F:F,lookup!$A$10:$B$12,2,false),0)</f>
        <v>5</v>
      </c>
      <c r="H21" s="10">
        <f>IFERROR(vlookup('1.3'!G:G,lookup!$A$14:$B$16,2,false),0)</f>
        <v>5</v>
      </c>
      <c r="I21" s="10">
        <f>IFERROR(vlookup('1.3'!H:H,lookup!$A$18:$B$20,2,false),0)</f>
        <v>5</v>
      </c>
      <c r="J21" s="10">
        <f>IFERROR(vlookup('1.3'!I:I,lookup!$A$22:$B$24,2,false),0)</f>
        <v>5</v>
      </c>
      <c r="K21" s="10">
        <f>IFERROR(vlookup('1.3'!J:J,lookup!$A$26:$B$28,2,false),0)</f>
        <v>5</v>
      </c>
      <c r="L21" s="1"/>
      <c r="M21" s="10">
        <v>20.0</v>
      </c>
      <c r="N21" s="11" t="str">
        <f t="shared" si="1"/>
        <v>bnco1020@signalschool.ac.th</v>
      </c>
      <c r="O21" s="12">
        <f t="shared" si="2"/>
        <v>1</v>
      </c>
      <c r="R21" s="6" t="s">
        <v>234</v>
      </c>
    </row>
    <row r="22">
      <c r="A22" s="8">
        <f>'1.3'!A:A</f>
        <v>46210.39005</v>
      </c>
      <c r="B22" s="1" t="str">
        <f>'1.3'!B:B</f>
        <v>bnco1015@signalschool.ac.th</v>
      </c>
      <c r="C22" s="1" t="str">
        <f>'1.3'!C:C</f>
        <v>จ.ส.อ. พัลลภ  ดวงเดือน, ส.อ. สิทธิศักดิ์  รินไธสง</v>
      </c>
      <c r="D22" s="9">
        <v>1.0</v>
      </c>
      <c r="E22" s="10">
        <f>IFERROR(vlookup('1.3'!D:D,lookup!$A$2:$B$4,2,false),0)</f>
        <v>5</v>
      </c>
      <c r="F22" s="10">
        <f>IFERROR(vlookup('1.3'!E:E,lookup!$A$6:$B$8,2,false),0)</f>
        <v>5</v>
      </c>
      <c r="G22" s="10">
        <f>IFERROR(vlookup('1.3'!F:F,lookup!$A$10:$B$12,2,false),0)</f>
        <v>5</v>
      </c>
      <c r="H22" s="10">
        <f>IFERROR(vlookup('1.3'!G:G,lookup!$A$14:$B$16,2,false),0)</f>
        <v>5</v>
      </c>
      <c r="I22" s="10">
        <f>IFERROR(vlookup('1.3'!H:H,lookup!$A$18:$B$20,2,false),0)</f>
        <v>5</v>
      </c>
      <c r="J22" s="10">
        <f>IFERROR(vlookup('1.3'!I:I,lookup!$A$22:$B$24,2,false),0)</f>
        <v>5</v>
      </c>
      <c r="K22" s="10">
        <f>IFERROR(vlookup('1.3'!J:J,lookup!$A$26:$B$28,2,false),0)</f>
        <v>5</v>
      </c>
      <c r="L22" s="1"/>
      <c r="M22" s="10">
        <v>21.0</v>
      </c>
      <c r="N22" s="11" t="str">
        <f t="shared" si="1"/>
        <v>bnco1021@signalschool.ac.th</v>
      </c>
      <c r="O22" s="12">
        <f t="shared" si="2"/>
        <v>1</v>
      </c>
      <c r="R22" s="6" t="s">
        <v>235</v>
      </c>
    </row>
    <row r="23">
      <c r="A23" s="8">
        <f>'1.3'!A:A</f>
        <v>46210.39008</v>
      </c>
      <c r="B23" s="1" t="str">
        <f>'1.3'!B:B</f>
        <v>bnco1018@signalschool.ac.th</v>
      </c>
      <c r="C23" s="1" t="str">
        <f>'1.3'!C:C</f>
        <v>จ.ส.อ. พัลลภ  ดวงเดือน</v>
      </c>
      <c r="D23" s="9">
        <v>1.0</v>
      </c>
      <c r="E23" s="10">
        <f>IFERROR(vlookup('1.3'!D:D,lookup!$A$2:$B$4,2,false),0)</f>
        <v>5</v>
      </c>
      <c r="F23" s="10">
        <f>IFERROR(vlookup('1.3'!E:E,lookup!$A$6:$B$8,2,false),0)</f>
        <v>5</v>
      </c>
      <c r="G23" s="10">
        <f>IFERROR(vlookup('1.3'!F:F,lookup!$A$10:$B$12,2,false),0)</f>
        <v>5</v>
      </c>
      <c r="H23" s="10">
        <f>IFERROR(vlookup('1.3'!G:G,lookup!$A$14:$B$16,2,false),0)</f>
        <v>5</v>
      </c>
      <c r="I23" s="10">
        <f>IFERROR(vlookup('1.3'!H:H,lookup!$A$18:$B$20,2,false),0)</f>
        <v>5</v>
      </c>
      <c r="J23" s="10">
        <f>IFERROR(vlookup('1.3'!I:I,lookup!$A$22:$B$24,2,false),0)</f>
        <v>5</v>
      </c>
      <c r="K23" s="10">
        <f>IFERROR(vlookup('1.3'!J:J,lookup!$A$26:$B$28,2,false),0)</f>
        <v>5</v>
      </c>
      <c r="L23" s="1"/>
      <c r="M23" s="10">
        <v>22.0</v>
      </c>
      <c r="N23" s="11" t="str">
        <f t="shared" si="1"/>
        <v>bnco1022@signalschool.ac.th</v>
      </c>
      <c r="O23" s="12">
        <f t="shared" si="2"/>
        <v>1</v>
      </c>
      <c r="R23" s="6" t="s">
        <v>236</v>
      </c>
    </row>
    <row r="24">
      <c r="A24" s="8">
        <f>'1.3'!A:A</f>
        <v>46210.39071</v>
      </c>
      <c r="B24" s="1" t="str">
        <f>'1.3'!B:B</f>
        <v>bnco1060@signalschool.ac.th</v>
      </c>
      <c r="C24" s="1" t="str">
        <f>'1.3'!C:C</f>
        <v>ส.อ.ธนวัฒน์ เนียมชาวนา</v>
      </c>
      <c r="D24" s="9">
        <v>1.0</v>
      </c>
      <c r="E24" s="10">
        <f>IFERROR(vlookup('1.3'!D:D,lookup!$A$2:$B$4,2,false),0)</f>
        <v>5</v>
      </c>
      <c r="F24" s="10">
        <f>IFERROR(vlookup('1.3'!E:E,lookup!$A$6:$B$8,2,false),0)</f>
        <v>5</v>
      </c>
      <c r="G24" s="10">
        <f>IFERROR(vlookup('1.3'!F:F,lookup!$A$10:$B$12,2,false),0)</f>
        <v>5</v>
      </c>
      <c r="H24" s="10">
        <f>IFERROR(vlookup('1.3'!G:G,lookup!$A$14:$B$16,2,false),0)</f>
        <v>5</v>
      </c>
      <c r="I24" s="10">
        <f>IFERROR(vlookup('1.3'!H:H,lookup!$A$18:$B$20,2,false),0)</f>
        <v>5</v>
      </c>
      <c r="J24" s="10">
        <f>IFERROR(vlookup('1.3'!I:I,lookup!$A$22:$B$24,2,false),0)</f>
        <v>5</v>
      </c>
      <c r="K24" s="10">
        <f>IFERROR(vlookup('1.3'!J:J,lookup!$A$26:$B$28,2,false),0)</f>
        <v>5</v>
      </c>
      <c r="L24" s="1"/>
      <c r="M24" s="10">
        <v>23.0</v>
      </c>
      <c r="N24" s="11" t="str">
        <f t="shared" si="1"/>
        <v>bnco1023@signalschool.ac.th</v>
      </c>
      <c r="O24" s="12">
        <f t="shared" si="2"/>
        <v>1</v>
      </c>
      <c r="R24" s="6" t="s">
        <v>237</v>
      </c>
    </row>
    <row r="25">
      <c r="A25" s="8">
        <f>'1.3'!A:A</f>
        <v>46210.39081</v>
      </c>
      <c r="B25" s="1" t="str">
        <f>'1.3'!B:B</f>
        <v>bnco1061@signalschool.ac.th</v>
      </c>
      <c r="C25" s="1" t="str">
        <f>'1.3'!C:C</f>
        <v>จ.ส.อ.พัลลภ ดวงเดือน</v>
      </c>
      <c r="D25" s="9">
        <v>1.0</v>
      </c>
      <c r="E25" s="10">
        <f>IFERROR(vlookup('1.3'!D:D,lookup!$A$2:$B$4,2,false),0)</f>
        <v>5</v>
      </c>
      <c r="F25" s="10">
        <f>IFERROR(vlookup('1.3'!E:E,lookup!$A$6:$B$8,2,false),0)</f>
        <v>5</v>
      </c>
      <c r="G25" s="10">
        <f>IFERROR(vlookup('1.3'!F:F,lookup!$A$10:$B$12,2,false),0)</f>
        <v>5</v>
      </c>
      <c r="H25" s="10">
        <f>IFERROR(vlookup('1.3'!G:G,lookup!$A$14:$B$16,2,false),0)</f>
        <v>5</v>
      </c>
      <c r="I25" s="10">
        <f>IFERROR(vlookup('1.3'!H:H,lookup!$A$18:$B$20,2,false),0)</f>
        <v>5</v>
      </c>
      <c r="J25" s="10">
        <f>IFERROR(vlookup('1.3'!I:I,lookup!$A$22:$B$24,2,false),0)</f>
        <v>5</v>
      </c>
      <c r="K25" s="10">
        <f>IFERROR(vlookup('1.3'!J:J,lookup!$A$26:$B$28,2,false),0)</f>
        <v>5</v>
      </c>
      <c r="L25" s="1"/>
      <c r="M25" s="10">
        <v>24.0</v>
      </c>
      <c r="N25" s="11" t="str">
        <f t="shared" si="1"/>
        <v>bnco1024@signalschool.ac.th</v>
      </c>
      <c r="O25" s="12">
        <f t="shared" si="2"/>
        <v>1</v>
      </c>
      <c r="R25" s="6" t="s">
        <v>238</v>
      </c>
    </row>
    <row r="26">
      <c r="A26" s="8">
        <f>'1.3'!A:A</f>
        <v>46210.39104</v>
      </c>
      <c r="B26" s="1" t="str">
        <f>'1.3'!B:B</f>
        <v>bnco1038@signalschool.ac.th</v>
      </c>
      <c r="C26" s="1" t="str">
        <f>'1.3'!C:C</f>
        <v>จ.ส.อ.พัลลภ ดวงเดือน</v>
      </c>
      <c r="D26" s="9">
        <v>1.0</v>
      </c>
      <c r="E26" s="10">
        <f>IFERROR(vlookup('1.3'!D:D,lookup!$A$2:$B$4,2,false),0)</f>
        <v>5</v>
      </c>
      <c r="F26" s="10">
        <f>IFERROR(vlookup('1.3'!E:E,lookup!$A$6:$B$8,2,false),0)</f>
        <v>5</v>
      </c>
      <c r="G26" s="10">
        <f>IFERROR(vlookup('1.3'!F:F,lookup!$A$10:$B$12,2,false),0)</f>
        <v>5</v>
      </c>
      <c r="H26" s="10">
        <f>IFERROR(vlookup('1.3'!G:G,lookup!$A$14:$B$16,2,false),0)</f>
        <v>5</v>
      </c>
      <c r="I26" s="10">
        <f>IFERROR(vlookup('1.3'!H:H,lookup!$A$18:$B$20,2,false),0)</f>
        <v>5</v>
      </c>
      <c r="J26" s="10">
        <f>IFERROR(vlookup('1.3'!I:I,lookup!$A$22:$B$24,2,false),0)</f>
        <v>5</v>
      </c>
      <c r="K26" s="10">
        <f>IFERROR(vlookup('1.3'!J:J,lookup!$A$26:$B$28,2,false),0)</f>
        <v>5</v>
      </c>
      <c r="L26" s="1"/>
      <c r="M26" s="10">
        <v>25.0</v>
      </c>
      <c r="N26" s="11" t="str">
        <f t="shared" si="1"/>
        <v>bnco1025@signalschool.ac.th</v>
      </c>
      <c r="O26" s="12">
        <f t="shared" si="2"/>
        <v>1</v>
      </c>
      <c r="R26" s="6" t="s">
        <v>239</v>
      </c>
    </row>
    <row r="27">
      <c r="A27" s="8">
        <f>'1.3'!A:A</f>
        <v>46210.39106</v>
      </c>
      <c r="B27" s="1" t="str">
        <f>'1.3'!B:B</f>
        <v>bnco1006@signalschool.ac.th</v>
      </c>
      <c r="C27" s="1" t="str">
        <f>'1.3'!C:C</f>
        <v>จ.ส.อ. พัลลภ  ดวงเดือน, ส.อ. สิทธิศักดิ์  รินไธสง</v>
      </c>
      <c r="D27" s="9">
        <v>1.0</v>
      </c>
      <c r="E27" s="10">
        <f>IFERROR(vlookup('1.3'!D:D,lookup!$A$2:$B$4,2,false),0)</f>
        <v>5</v>
      </c>
      <c r="F27" s="10">
        <f>IFERROR(vlookup('1.3'!E:E,lookup!$A$6:$B$8,2,false),0)</f>
        <v>5</v>
      </c>
      <c r="G27" s="10">
        <f>IFERROR(vlookup('1.3'!F:F,lookup!$A$10:$B$12,2,false),0)</f>
        <v>5</v>
      </c>
      <c r="H27" s="10">
        <f>IFERROR(vlookup('1.3'!G:G,lookup!$A$14:$B$16,2,false),0)</f>
        <v>5</v>
      </c>
      <c r="I27" s="10">
        <f>IFERROR(vlookup('1.3'!H:H,lookup!$A$18:$B$20,2,false),0)</f>
        <v>5</v>
      </c>
      <c r="J27" s="10">
        <f>IFERROR(vlookup('1.3'!I:I,lookup!$A$22:$B$24,2,false),0)</f>
        <v>5</v>
      </c>
      <c r="K27" s="10">
        <f>IFERROR(vlookup('1.3'!J:J,lookup!$A$26:$B$28,2,false),0)</f>
        <v>5</v>
      </c>
      <c r="L27" s="1"/>
      <c r="M27" s="10">
        <v>26.0</v>
      </c>
      <c r="N27" s="11" t="str">
        <f t="shared" si="1"/>
        <v>bnco1026@signalschool.ac.th</v>
      </c>
      <c r="O27" s="12">
        <f t="shared" si="2"/>
        <v>1</v>
      </c>
      <c r="R27" s="6" t="s">
        <v>240</v>
      </c>
    </row>
    <row r="28">
      <c r="A28" s="8">
        <f>'1.3'!A:A</f>
        <v>46210.39131</v>
      </c>
      <c r="B28" s="1" t="str">
        <f>'1.3'!B:B</f>
        <v>bnco1017@signalschool.ac.th</v>
      </c>
      <c r="C28" s="1" t="str">
        <f>'1.3'!C:C</f>
        <v>จ.ส.อ. พัลลภ  ดวงเดือน, ส.อ. สิทธิศักดิ์  รินไธสง</v>
      </c>
      <c r="D28" s="9">
        <v>1.0</v>
      </c>
      <c r="E28" s="10">
        <f>IFERROR(vlookup('1.3'!D:D,lookup!$A$2:$B$4,2,false),0)</f>
        <v>5</v>
      </c>
      <c r="F28" s="10">
        <f>IFERROR(vlookup('1.3'!E:E,lookup!$A$6:$B$8,2,false),0)</f>
        <v>5</v>
      </c>
      <c r="G28" s="10">
        <f>IFERROR(vlookup('1.3'!F:F,lookup!$A$10:$B$12,2,false),0)</f>
        <v>5</v>
      </c>
      <c r="H28" s="10">
        <f>IFERROR(vlookup('1.3'!G:G,lookup!$A$14:$B$16,2,false),0)</f>
        <v>5</v>
      </c>
      <c r="I28" s="10">
        <f>IFERROR(vlookup('1.3'!H:H,lookup!$A$18:$B$20,2,false),0)</f>
        <v>5</v>
      </c>
      <c r="J28" s="10">
        <f>IFERROR(vlookup('1.3'!I:I,lookup!$A$22:$B$24,2,false),0)</f>
        <v>5</v>
      </c>
      <c r="K28" s="10">
        <f>IFERROR(vlookup('1.3'!J:J,lookup!$A$26:$B$28,2,false),0)</f>
        <v>5</v>
      </c>
      <c r="L28" s="1"/>
      <c r="M28" s="10">
        <v>27.0</v>
      </c>
      <c r="N28" s="11" t="str">
        <f t="shared" si="1"/>
        <v>bnco1027@signalschool.ac.th</v>
      </c>
      <c r="O28" s="12">
        <f t="shared" si="2"/>
        <v>1</v>
      </c>
      <c r="R28" s="6" t="s">
        <v>241</v>
      </c>
    </row>
    <row r="29">
      <c r="A29" s="8">
        <f>'1.3'!A:A</f>
        <v>46210.39143</v>
      </c>
      <c r="B29" s="1" t="str">
        <f>'1.3'!B:B</f>
        <v>bnco1020@signalschool.ac.th</v>
      </c>
      <c r="C29" s="1" t="str">
        <f>'1.3'!C:C</f>
        <v>จ.ส.อ  พัลลภ ดวงเดือน</v>
      </c>
      <c r="D29" s="9">
        <v>1.0</v>
      </c>
      <c r="E29" s="10">
        <f>IFERROR(vlookup('1.3'!D:D,lookup!$A$2:$B$4,2,false),0)</f>
        <v>3</v>
      </c>
      <c r="F29" s="10">
        <f>IFERROR(vlookup('1.3'!E:E,lookup!$A$6:$B$8,2,false),0)</f>
        <v>5</v>
      </c>
      <c r="G29" s="10">
        <f>IFERROR(vlookup('1.3'!F:F,lookup!$A$10:$B$12,2,false),0)</f>
        <v>5</v>
      </c>
      <c r="H29" s="10">
        <f>IFERROR(vlookup('1.3'!G:G,lookup!$A$14:$B$16,2,false),0)</f>
        <v>5</v>
      </c>
      <c r="I29" s="10">
        <f>IFERROR(vlookup('1.3'!H:H,lookup!$A$18:$B$20,2,false),0)</f>
        <v>5</v>
      </c>
      <c r="J29" s="10">
        <f>IFERROR(vlookup('1.3'!I:I,lookup!$A$22:$B$24,2,false),0)</f>
        <v>5</v>
      </c>
      <c r="K29" s="10">
        <f>IFERROR(vlookup('1.3'!J:J,lookup!$A$26:$B$28,2,false),0)</f>
        <v>5</v>
      </c>
      <c r="L29" s="1"/>
      <c r="M29" s="10">
        <v>28.0</v>
      </c>
      <c r="N29" s="11" t="str">
        <f t="shared" si="1"/>
        <v>bnco1028@signalschool.ac.th</v>
      </c>
      <c r="O29" s="12">
        <f t="shared" si="2"/>
        <v>0</v>
      </c>
      <c r="R29" s="6" t="s">
        <v>242</v>
      </c>
    </row>
    <row r="30">
      <c r="A30" s="8">
        <f>'1.3'!A:A</f>
        <v>46210.39151</v>
      </c>
      <c r="B30" s="1" t="str">
        <f>'1.3'!B:B</f>
        <v>bnco1052@signalschool.ac.th</v>
      </c>
      <c r="C30" s="1" t="str">
        <f>'1.3'!C:C</f>
        <v>จ.ส.อ. พัลลภ  ดวงเดือน, ส.อ. สิทธิศักดิ์  รินไธสง</v>
      </c>
      <c r="D30" s="9">
        <v>1.0</v>
      </c>
      <c r="E30" s="10">
        <f>IFERROR(vlookup('1.3'!D:D,lookup!$A$2:$B$4,2,false),0)</f>
        <v>5</v>
      </c>
      <c r="F30" s="10">
        <f>IFERROR(vlookup('1.3'!E:E,lookup!$A$6:$B$8,2,false),0)</f>
        <v>5</v>
      </c>
      <c r="G30" s="10">
        <f>IFERROR(vlookup('1.3'!F:F,lookup!$A$10:$B$12,2,false),0)</f>
        <v>5</v>
      </c>
      <c r="H30" s="10">
        <f>IFERROR(vlookup('1.3'!G:G,lookup!$A$14:$B$16,2,false),0)</f>
        <v>5</v>
      </c>
      <c r="I30" s="10">
        <f>IFERROR(vlookup('1.3'!H:H,lookup!$A$18:$B$20,2,false),0)</f>
        <v>5</v>
      </c>
      <c r="J30" s="10">
        <f>IFERROR(vlookup('1.3'!I:I,lookup!$A$22:$B$24,2,false),0)</f>
        <v>5</v>
      </c>
      <c r="K30" s="10">
        <f>IFERROR(vlookup('1.3'!J:J,lookup!$A$26:$B$28,2,false),0)</f>
        <v>5</v>
      </c>
      <c r="L30" s="1"/>
      <c r="M30" s="10">
        <v>29.0</v>
      </c>
      <c r="N30" s="11" t="str">
        <f t="shared" si="1"/>
        <v>bnco1029@signalschool.ac.th</v>
      </c>
      <c r="O30" s="12">
        <f t="shared" si="2"/>
        <v>0</v>
      </c>
      <c r="R30" s="6" t="s">
        <v>243</v>
      </c>
    </row>
    <row r="31">
      <c r="A31" s="8">
        <f>'1.3'!A:A</f>
        <v>46210.39168</v>
      </c>
      <c r="B31" s="1" t="str">
        <f>'1.3'!B:B</f>
        <v>bnco1026@signalschool.ac.th</v>
      </c>
      <c r="C31" s="1" t="str">
        <f>'1.3'!C:C</f>
        <v>จ.ส.อ. พัลลภ  ดวงเดือน</v>
      </c>
      <c r="D31" s="9">
        <v>1.0</v>
      </c>
      <c r="E31" s="10">
        <f>IFERROR(vlookup('1.3'!D:D,lookup!$A$2:$B$4,2,false),0)</f>
        <v>5</v>
      </c>
      <c r="F31" s="10">
        <f>IFERROR(vlookup('1.3'!E:E,lookup!$A$6:$B$8,2,false),0)</f>
        <v>5</v>
      </c>
      <c r="G31" s="10">
        <f>IFERROR(vlookup('1.3'!F:F,lookup!$A$10:$B$12,2,false),0)</f>
        <v>5</v>
      </c>
      <c r="H31" s="10">
        <f>IFERROR(vlookup('1.3'!G:G,lookup!$A$14:$B$16,2,false),0)</f>
        <v>5</v>
      </c>
      <c r="I31" s="10">
        <f>IFERROR(vlookup('1.3'!H:H,lookup!$A$18:$B$20,2,false),0)</f>
        <v>5</v>
      </c>
      <c r="J31" s="10">
        <f>IFERROR(vlookup('1.3'!I:I,lookup!$A$22:$B$24,2,false),0)</f>
        <v>3</v>
      </c>
      <c r="K31" s="10">
        <f>IFERROR(vlookup('1.3'!J:J,lookup!$A$26:$B$28,2,false),0)</f>
        <v>3</v>
      </c>
      <c r="L31" s="1"/>
      <c r="M31" s="10">
        <v>30.0</v>
      </c>
      <c r="N31" s="11" t="str">
        <f t="shared" si="1"/>
        <v>bnco1030@signalschool.ac.th</v>
      </c>
      <c r="O31" s="12">
        <f t="shared" si="2"/>
        <v>1</v>
      </c>
      <c r="R31" s="6" t="s">
        <v>244</v>
      </c>
    </row>
    <row r="32">
      <c r="A32" s="8">
        <f>'1.3'!A:A</f>
        <v>46210.39172</v>
      </c>
      <c r="B32" s="1" t="str">
        <f>'1.3'!B:B</f>
        <v>bnco1068@signalschool.ac.th</v>
      </c>
      <c r="C32" s="1" t="str">
        <f>'1.3'!C:C</f>
        <v>จ.ส.อ. พัลลภ  ดวงเดือน, ส.อ. สิทธิศักดิ์  รินไธสง</v>
      </c>
      <c r="D32" s="9">
        <v>1.0</v>
      </c>
      <c r="E32" s="10">
        <f>IFERROR(vlookup('1.3'!D:D,lookup!$A$2:$B$4,2,false),0)</f>
        <v>5</v>
      </c>
      <c r="F32" s="10">
        <f>IFERROR(vlookup('1.3'!E:E,lookup!$A$6:$B$8,2,false),0)</f>
        <v>5</v>
      </c>
      <c r="G32" s="10">
        <f>IFERROR(vlookup('1.3'!F:F,lookup!$A$10:$B$12,2,false),0)</f>
        <v>5</v>
      </c>
      <c r="H32" s="10">
        <f>IFERROR(vlookup('1.3'!G:G,lookup!$A$14:$B$16,2,false),0)</f>
        <v>5</v>
      </c>
      <c r="I32" s="10">
        <f>IFERROR(vlookup('1.3'!H:H,lookup!$A$18:$B$20,2,false),0)</f>
        <v>5</v>
      </c>
      <c r="J32" s="10">
        <f>IFERROR(vlookup('1.3'!I:I,lookup!$A$22:$B$24,2,false),0)</f>
        <v>5</v>
      </c>
      <c r="K32" s="10">
        <f>IFERROR(vlookup('1.3'!J:J,lookup!$A$26:$B$28,2,false),0)</f>
        <v>3</v>
      </c>
      <c r="L32" s="1"/>
      <c r="M32" s="10">
        <v>31.0</v>
      </c>
      <c r="N32" s="11" t="str">
        <f t="shared" si="1"/>
        <v>bnco1031@signalschool.ac.th</v>
      </c>
      <c r="O32" s="12">
        <f t="shared" si="2"/>
        <v>1</v>
      </c>
      <c r="R32" s="6" t="s">
        <v>245</v>
      </c>
    </row>
    <row r="33">
      <c r="A33" s="8">
        <f>'1.3'!A:A</f>
        <v>46210.39185</v>
      </c>
      <c r="B33" s="1" t="str">
        <f>'1.3'!B:B</f>
        <v>bnco1049@signalschool.ac.th</v>
      </c>
      <c r="C33" s="1" t="str">
        <f>'1.3'!C:C</f>
        <v>จ.ส.อ. พัลลภ  ดวงเดือน, ส.อ. สิทธิศักดิ์  รินไธสง</v>
      </c>
      <c r="D33" s="9">
        <v>1.0</v>
      </c>
      <c r="E33" s="10">
        <f>IFERROR(vlookup('1.3'!D:D,lookup!$A$2:$B$4,2,false),0)</f>
        <v>5</v>
      </c>
      <c r="F33" s="10">
        <f>IFERROR(vlookup('1.3'!E:E,lookup!$A$6:$B$8,2,false),0)</f>
        <v>5</v>
      </c>
      <c r="G33" s="10">
        <f>IFERROR(vlookup('1.3'!F:F,lookup!$A$10:$B$12,2,false),0)</f>
        <v>5</v>
      </c>
      <c r="H33" s="10">
        <f>IFERROR(vlookup('1.3'!G:G,lookup!$A$14:$B$16,2,false),0)</f>
        <v>5</v>
      </c>
      <c r="I33" s="10">
        <f>IFERROR(vlookup('1.3'!H:H,lookup!$A$18:$B$20,2,false),0)</f>
        <v>5</v>
      </c>
      <c r="J33" s="10">
        <f>IFERROR(vlookup('1.3'!I:I,lookup!$A$22:$B$24,2,false),0)</f>
        <v>5</v>
      </c>
      <c r="K33" s="10">
        <f>IFERROR(vlookup('1.3'!J:J,lookup!$A$26:$B$28,2,false),0)</f>
        <v>5</v>
      </c>
      <c r="L33" s="1"/>
      <c r="M33" s="10">
        <v>32.0</v>
      </c>
      <c r="N33" s="11" t="str">
        <f t="shared" si="1"/>
        <v>bnco1032@signalschool.ac.th</v>
      </c>
      <c r="O33" s="12">
        <f t="shared" si="2"/>
        <v>1</v>
      </c>
      <c r="R33" s="6" t="s">
        <v>246</v>
      </c>
    </row>
    <row r="34">
      <c r="A34" s="8">
        <f>'1.3'!A:A</f>
        <v>46210.39202</v>
      </c>
      <c r="B34" s="1" t="str">
        <f>'1.3'!B:B</f>
        <v>bnco1062@signalschool.ac.th</v>
      </c>
      <c r="C34" s="1" t="str">
        <f>'1.3'!C:C</f>
        <v>จ.ส.อ. พัลลภ ดวงเดือน</v>
      </c>
      <c r="D34" s="9">
        <v>1.0</v>
      </c>
      <c r="E34" s="10">
        <f>IFERROR(vlookup('1.3'!D:D,lookup!$A$2:$B$4,2,false),0)</f>
        <v>5</v>
      </c>
      <c r="F34" s="10">
        <f>IFERROR(vlookup('1.3'!E:E,lookup!$A$6:$B$8,2,false),0)</f>
        <v>5</v>
      </c>
      <c r="G34" s="10">
        <f>IFERROR(vlookup('1.3'!F:F,lookup!$A$10:$B$12,2,false),0)</f>
        <v>5</v>
      </c>
      <c r="H34" s="10">
        <f>IFERROR(vlookup('1.3'!G:G,lookup!$A$14:$B$16,2,false),0)</f>
        <v>5</v>
      </c>
      <c r="I34" s="10">
        <f>IFERROR(vlookup('1.3'!H:H,lookup!$A$18:$B$20,2,false),0)</f>
        <v>5</v>
      </c>
      <c r="J34" s="10">
        <f>IFERROR(vlookup('1.3'!I:I,lookup!$A$22:$B$24,2,false),0)</f>
        <v>3</v>
      </c>
      <c r="K34" s="10">
        <f>IFERROR(vlookup('1.3'!J:J,lookup!$A$26:$B$28,2,false),0)</f>
        <v>3</v>
      </c>
      <c r="L34" s="1"/>
      <c r="M34" s="10">
        <v>33.0</v>
      </c>
      <c r="N34" s="11" t="str">
        <f t="shared" si="1"/>
        <v>bnco1033@signalschool.ac.th</v>
      </c>
      <c r="O34" s="12">
        <f t="shared" si="2"/>
        <v>1</v>
      </c>
      <c r="R34" s="6" t="s">
        <v>247</v>
      </c>
    </row>
    <row r="35">
      <c r="A35" s="8">
        <f>'1.3'!A:A</f>
        <v>46210.39235</v>
      </c>
      <c r="B35" s="1" t="str">
        <f>'1.3'!B:B</f>
        <v>bnco1055@signalschool.ac.th</v>
      </c>
      <c r="C35" s="1" t="str">
        <f>'1.3'!C:C</f>
        <v>จ.ส.อ. พัลลภ ดวงเดือน</v>
      </c>
      <c r="D35" s="9">
        <v>1.0</v>
      </c>
      <c r="E35" s="10">
        <f>IFERROR(vlookup('1.3'!D:D,lookup!$A$2:$B$4,2,false),0)</f>
        <v>5</v>
      </c>
      <c r="F35" s="10">
        <f>IFERROR(vlookup('1.3'!E:E,lookup!$A$6:$B$8,2,false),0)</f>
        <v>5</v>
      </c>
      <c r="G35" s="10">
        <f>IFERROR(vlookup('1.3'!F:F,lookup!$A$10:$B$12,2,false),0)</f>
        <v>5</v>
      </c>
      <c r="H35" s="10">
        <f>IFERROR(vlookup('1.3'!G:G,lookup!$A$14:$B$16,2,false),0)</f>
        <v>5</v>
      </c>
      <c r="I35" s="10">
        <f>IFERROR(vlookup('1.3'!H:H,lookup!$A$18:$B$20,2,false),0)</f>
        <v>5</v>
      </c>
      <c r="J35" s="10">
        <f>IFERROR(vlookup('1.3'!I:I,lookup!$A$22:$B$24,2,false),0)</f>
        <v>5</v>
      </c>
      <c r="K35" s="10">
        <f>IFERROR(vlookup('1.3'!J:J,lookup!$A$26:$B$28,2,false),0)</f>
        <v>5</v>
      </c>
      <c r="L35" s="1"/>
      <c r="M35" s="10">
        <v>34.0</v>
      </c>
      <c r="N35" s="11" t="str">
        <f t="shared" si="1"/>
        <v>bnco1034@signalschool.ac.th</v>
      </c>
      <c r="O35" s="12">
        <f t="shared" si="2"/>
        <v>1</v>
      </c>
      <c r="R35" s="6" t="s">
        <v>248</v>
      </c>
    </row>
    <row r="36">
      <c r="A36" s="8">
        <f>'1.3'!A:A</f>
        <v>46210.39237</v>
      </c>
      <c r="B36" s="1" t="str">
        <f>'1.3'!B:B</f>
        <v>bnco1031@signalschool.ac.th</v>
      </c>
      <c r="C36" s="1" t="str">
        <f>'1.3'!C:C</f>
        <v>จ.ส.อ. พัลลภ  ดวงเดือน, ส.อ. สิทธิศักดิ์  รินไธสง</v>
      </c>
      <c r="D36" s="9">
        <v>1.0</v>
      </c>
      <c r="E36" s="10">
        <f>IFERROR(vlookup('1.3'!D:D,lookup!$A$2:$B$4,2,false),0)</f>
        <v>5</v>
      </c>
      <c r="F36" s="10">
        <f>IFERROR(vlookup('1.3'!E:E,lookup!$A$6:$B$8,2,false),0)</f>
        <v>5</v>
      </c>
      <c r="G36" s="10">
        <f>IFERROR(vlookup('1.3'!F:F,lookup!$A$10:$B$12,2,false),0)</f>
        <v>5</v>
      </c>
      <c r="H36" s="10">
        <f>IFERROR(vlookup('1.3'!G:G,lookup!$A$14:$B$16,2,false),0)</f>
        <v>5</v>
      </c>
      <c r="I36" s="10">
        <f>IFERROR(vlookup('1.3'!H:H,lookup!$A$18:$B$20,2,false),0)</f>
        <v>5</v>
      </c>
      <c r="J36" s="10">
        <f>IFERROR(vlookup('1.3'!I:I,lookup!$A$22:$B$24,2,false),0)</f>
        <v>3</v>
      </c>
      <c r="K36" s="10">
        <f>IFERROR(vlookup('1.3'!J:J,lookup!$A$26:$B$28,2,false),0)</f>
        <v>3</v>
      </c>
      <c r="L36" s="1"/>
      <c r="M36" s="10">
        <v>35.0</v>
      </c>
      <c r="N36" s="11" t="str">
        <f t="shared" si="1"/>
        <v>bnco1035@signalschool.ac.th</v>
      </c>
      <c r="O36" s="12">
        <f t="shared" si="2"/>
        <v>1</v>
      </c>
      <c r="R36" s="6" t="s">
        <v>249</v>
      </c>
    </row>
    <row r="37">
      <c r="A37" s="8">
        <f>'1.3'!A:A</f>
        <v>46210.3931</v>
      </c>
      <c r="B37" s="1" t="str">
        <f>'1.3'!B:B</f>
        <v>bnco1032@signalschool.ac.th</v>
      </c>
      <c r="C37" s="1" t="str">
        <f>'1.3'!C:C</f>
        <v>จ.ส.อ.พัลลภ ดวงเดือน</v>
      </c>
      <c r="D37" s="9">
        <v>1.0</v>
      </c>
      <c r="E37" s="10">
        <f>IFERROR(vlookup('1.3'!D:D,lookup!$A$2:$B$4,2,false),0)</f>
        <v>5</v>
      </c>
      <c r="F37" s="10">
        <f>IFERROR(vlookup('1.3'!E:E,lookup!$A$6:$B$8,2,false),0)</f>
        <v>5</v>
      </c>
      <c r="G37" s="10">
        <f>IFERROR(vlookup('1.3'!F:F,lookup!$A$10:$B$12,2,false),0)</f>
        <v>5</v>
      </c>
      <c r="H37" s="10">
        <f>IFERROR(vlookup('1.3'!G:G,lookup!$A$14:$B$16,2,false),0)</f>
        <v>5</v>
      </c>
      <c r="I37" s="10">
        <f>IFERROR(vlookup('1.3'!H:H,lookup!$A$18:$B$20,2,false),0)</f>
        <v>5</v>
      </c>
      <c r="J37" s="10">
        <f>IFERROR(vlookup('1.3'!I:I,lookup!$A$22:$B$24,2,false),0)</f>
        <v>3</v>
      </c>
      <c r="K37" s="10">
        <f>IFERROR(vlookup('1.3'!J:J,lookup!$A$26:$B$28,2,false),0)</f>
        <v>3</v>
      </c>
      <c r="L37" s="1"/>
      <c r="M37" s="10">
        <v>36.0</v>
      </c>
      <c r="N37" s="11" t="str">
        <f t="shared" si="1"/>
        <v>bnco1036@signalschool.ac.th</v>
      </c>
      <c r="O37" s="12">
        <f t="shared" si="2"/>
        <v>1</v>
      </c>
      <c r="R37" s="6" t="s">
        <v>250</v>
      </c>
    </row>
    <row r="38">
      <c r="A38" s="8">
        <f>'1.3'!A:A</f>
        <v>46210.39311</v>
      </c>
      <c r="B38" s="1" t="str">
        <f>'1.3'!B:B</f>
        <v>bnco1054@signalschool.ac.th</v>
      </c>
      <c r="C38" s="1" t="str">
        <f>'1.3'!C:C</f>
        <v>ส.อ.ณัฐพล เรืองทัพ</v>
      </c>
      <c r="D38" s="9">
        <v>1.0</v>
      </c>
      <c r="E38" s="10">
        <f>IFERROR(vlookup('1.3'!D:D,lookup!$A$2:$B$4,2,false),0)</f>
        <v>5</v>
      </c>
      <c r="F38" s="10">
        <f>IFERROR(vlookup('1.3'!E:E,lookup!$A$6:$B$8,2,false),0)</f>
        <v>5</v>
      </c>
      <c r="G38" s="10">
        <f>IFERROR(vlookup('1.3'!F:F,lookup!$A$10:$B$12,2,false),0)</f>
        <v>5</v>
      </c>
      <c r="H38" s="10">
        <f>IFERROR(vlookup('1.3'!G:G,lookup!$A$14:$B$16,2,false),0)</f>
        <v>5</v>
      </c>
      <c r="I38" s="10">
        <f>IFERROR(vlookup('1.3'!H:H,lookup!$A$18:$B$20,2,false),0)</f>
        <v>5</v>
      </c>
      <c r="J38" s="10">
        <f>IFERROR(vlookup('1.3'!I:I,lookup!$A$22:$B$24,2,false),0)</f>
        <v>5</v>
      </c>
      <c r="K38" s="10">
        <f>IFERROR(vlookup('1.3'!J:J,lookup!$A$26:$B$28,2,false),0)</f>
        <v>3</v>
      </c>
      <c r="L38" s="1"/>
      <c r="M38" s="10">
        <v>37.0</v>
      </c>
      <c r="N38" s="11" t="str">
        <f t="shared" si="1"/>
        <v>bnco1037@signalschool.ac.th</v>
      </c>
      <c r="O38" s="12">
        <f t="shared" si="2"/>
        <v>1</v>
      </c>
      <c r="R38" s="6" t="s">
        <v>251</v>
      </c>
    </row>
    <row r="39">
      <c r="A39" s="8">
        <f>'1.3'!A:A</f>
        <v>46210.39312</v>
      </c>
      <c r="B39" s="1" t="str">
        <f>'1.3'!B:B</f>
        <v>bnco1070@signalschool.ac.th</v>
      </c>
      <c r="C39" s="1" t="str">
        <f>'1.3'!C:C</f>
        <v>จ.ส.อ.พัลลภ ดวงเดือน  อาจารย์อู๋ครับ</v>
      </c>
      <c r="D39" s="9">
        <v>1.0</v>
      </c>
      <c r="E39" s="10">
        <f>IFERROR(vlookup('1.3'!D:D,lookup!$A$2:$B$4,2,false),0)</f>
        <v>5</v>
      </c>
      <c r="F39" s="10">
        <f>IFERROR(vlookup('1.3'!E:E,lookup!$A$6:$B$8,2,false),0)</f>
        <v>5</v>
      </c>
      <c r="G39" s="10">
        <f>IFERROR(vlookup('1.3'!F:F,lookup!$A$10:$B$12,2,false),0)</f>
        <v>3</v>
      </c>
      <c r="H39" s="10">
        <f>IFERROR(vlookup('1.3'!G:G,lookup!$A$14:$B$16,2,false),0)</f>
        <v>5</v>
      </c>
      <c r="I39" s="10">
        <f>IFERROR(vlookup('1.3'!H:H,lookup!$A$18:$B$20,2,false),0)</f>
        <v>3</v>
      </c>
      <c r="J39" s="10">
        <f>IFERROR(vlookup('1.3'!I:I,lookup!$A$22:$B$24,2,false),0)</f>
        <v>3</v>
      </c>
      <c r="K39" s="10">
        <f>IFERROR(vlookup('1.3'!J:J,lookup!$A$26:$B$28,2,false),0)</f>
        <v>5</v>
      </c>
      <c r="L39" s="1"/>
      <c r="M39" s="10">
        <v>38.0</v>
      </c>
      <c r="N39" s="11" t="str">
        <f t="shared" si="1"/>
        <v>bnco1038@signalschool.ac.th</v>
      </c>
      <c r="O39" s="12">
        <f t="shared" si="2"/>
        <v>1</v>
      </c>
      <c r="R39" s="6" t="s">
        <v>252</v>
      </c>
    </row>
    <row r="40">
      <c r="A40" s="8">
        <f>'1.3'!A:A</f>
        <v>46210.39323</v>
      </c>
      <c r="B40" s="1" t="str">
        <f>'1.3'!B:B</f>
        <v>bnco1071@signalschool.ac.th</v>
      </c>
      <c r="C40" s="1" t="str">
        <f>'1.3'!C:C</f>
        <v>จ.ส.อ.พัลลภ ดวงเดือน</v>
      </c>
      <c r="D40" s="9">
        <v>1.0</v>
      </c>
      <c r="E40" s="10">
        <f>IFERROR(vlookup('1.3'!D:D,lookup!$A$2:$B$4,2,false),0)</f>
        <v>5</v>
      </c>
      <c r="F40" s="10">
        <f>IFERROR(vlookup('1.3'!E:E,lookup!$A$6:$B$8,2,false),0)</f>
        <v>5</v>
      </c>
      <c r="G40" s="10">
        <f>IFERROR(vlookup('1.3'!F:F,lookup!$A$10:$B$12,2,false),0)</f>
        <v>5</v>
      </c>
      <c r="H40" s="10">
        <f>IFERROR(vlookup('1.3'!G:G,lookup!$A$14:$B$16,2,false),0)</f>
        <v>5</v>
      </c>
      <c r="I40" s="10">
        <f>IFERROR(vlookup('1.3'!H:H,lookup!$A$18:$B$20,2,false),0)</f>
        <v>5</v>
      </c>
      <c r="J40" s="10">
        <f>IFERROR(vlookup('1.3'!I:I,lookup!$A$22:$B$24,2,false),0)</f>
        <v>5</v>
      </c>
      <c r="K40" s="10">
        <f>IFERROR(vlookup('1.3'!J:J,lookup!$A$26:$B$28,2,false),0)</f>
        <v>5</v>
      </c>
      <c r="L40" s="1"/>
      <c r="M40" s="10">
        <v>39.0</v>
      </c>
      <c r="N40" s="11" t="str">
        <f t="shared" si="1"/>
        <v>bnco1039@signalschool.ac.th</v>
      </c>
      <c r="O40" s="12">
        <f t="shared" si="2"/>
        <v>1</v>
      </c>
      <c r="R40" s="6" t="s">
        <v>253</v>
      </c>
    </row>
    <row r="41">
      <c r="A41" s="8">
        <f>'1.3'!A:A</f>
        <v>46210.39336</v>
      </c>
      <c r="B41" s="1" t="str">
        <f>'1.3'!B:B</f>
        <v>bnco1076@signalschool.ac.th</v>
      </c>
      <c r="C41" s="1" t="str">
        <f>'1.3'!C:C</f>
        <v>จ.ส.อ. พัลลภ  ดวงเดือน</v>
      </c>
      <c r="D41" s="9">
        <v>1.0</v>
      </c>
      <c r="E41" s="10">
        <f>IFERROR(vlookup('1.3'!D:D,lookup!$A$2:$B$4,2,false),0)</f>
        <v>5</v>
      </c>
      <c r="F41" s="10">
        <f>IFERROR(vlookup('1.3'!E:E,lookup!$A$6:$B$8,2,false),0)</f>
        <v>5</v>
      </c>
      <c r="G41" s="10">
        <f>IFERROR(vlookup('1.3'!F:F,lookup!$A$10:$B$12,2,false),0)</f>
        <v>5</v>
      </c>
      <c r="H41" s="10">
        <f>IFERROR(vlookup('1.3'!G:G,lookup!$A$14:$B$16,2,false),0)</f>
        <v>5</v>
      </c>
      <c r="I41" s="10">
        <f>IFERROR(vlookup('1.3'!H:H,lookup!$A$18:$B$20,2,false),0)</f>
        <v>5</v>
      </c>
      <c r="J41" s="10">
        <f>IFERROR(vlookup('1.3'!I:I,lookup!$A$22:$B$24,2,false),0)</f>
        <v>5</v>
      </c>
      <c r="K41" s="10">
        <f>IFERROR(vlookup('1.3'!J:J,lookup!$A$26:$B$28,2,false),0)</f>
        <v>5</v>
      </c>
      <c r="L41" s="1"/>
      <c r="M41" s="10">
        <v>40.0</v>
      </c>
      <c r="N41" s="11" t="str">
        <f t="shared" si="1"/>
        <v>bnco1040@signalschool.ac.th</v>
      </c>
      <c r="O41" s="12">
        <f t="shared" si="2"/>
        <v>1</v>
      </c>
      <c r="R41" s="6" t="s">
        <v>254</v>
      </c>
    </row>
    <row r="42">
      <c r="A42" s="8">
        <f>'1.3'!A:A</f>
        <v>46210.39374</v>
      </c>
      <c r="B42" s="1" t="str">
        <f>'1.3'!B:B</f>
        <v>bnco1044@signalschool.ac.th</v>
      </c>
      <c r="C42" s="1" t="str">
        <f>'1.3'!C:C</f>
        <v>จ.ส.อ. พัลลภ  ดวงเดือน</v>
      </c>
      <c r="D42" s="9">
        <v>1.0</v>
      </c>
      <c r="E42" s="10">
        <f>IFERROR(vlookup('1.3'!D:D,lookup!$A$2:$B$4,2,false),0)</f>
        <v>5</v>
      </c>
      <c r="F42" s="10">
        <f>IFERROR(vlookup('1.3'!E:E,lookup!$A$6:$B$8,2,false),0)</f>
        <v>5</v>
      </c>
      <c r="G42" s="10">
        <f>IFERROR(vlookup('1.3'!F:F,lookup!$A$10:$B$12,2,false),0)</f>
        <v>5</v>
      </c>
      <c r="H42" s="10">
        <f>IFERROR(vlookup('1.3'!G:G,lookup!$A$14:$B$16,2,false),0)</f>
        <v>5</v>
      </c>
      <c r="I42" s="10">
        <f>IFERROR(vlookup('1.3'!H:H,lookup!$A$18:$B$20,2,false),0)</f>
        <v>5</v>
      </c>
      <c r="J42" s="10">
        <f>IFERROR(vlookup('1.3'!I:I,lookup!$A$22:$B$24,2,false),0)</f>
        <v>5</v>
      </c>
      <c r="K42" s="10">
        <f>IFERROR(vlookup('1.3'!J:J,lookup!$A$26:$B$28,2,false),0)</f>
        <v>5</v>
      </c>
      <c r="L42" s="1"/>
      <c r="M42" s="10">
        <v>41.0</v>
      </c>
      <c r="N42" s="11" t="str">
        <f t="shared" si="1"/>
        <v>bnco1041@signalschool.ac.th</v>
      </c>
      <c r="O42" s="12">
        <f t="shared" si="2"/>
        <v>1</v>
      </c>
      <c r="R42" s="6" t="s">
        <v>255</v>
      </c>
    </row>
    <row r="43">
      <c r="A43" s="8">
        <f>'1.3'!A:A</f>
        <v>46210.39379</v>
      </c>
      <c r="B43" s="1" t="str">
        <f>'1.3'!B:B</f>
        <v>bnco1004@signalschool.ac.th</v>
      </c>
      <c r="C43" s="1" t="str">
        <f>'1.3'!C:C</f>
        <v>จ.ส.อ พัลลภ ดวงเดือน , ส.อ. สิทธิศักดิ์ รืนไธสง</v>
      </c>
      <c r="D43" s="9">
        <v>1.0</v>
      </c>
      <c r="E43" s="10">
        <f>IFERROR(vlookup('1.3'!D:D,lookup!$A$2:$B$4,2,false),0)</f>
        <v>5</v>
      </c>
      <c r="F43" s="10">
        <f>IFERROR(vlookup('1.3'!E:E,lookup!$A$6:$B$8,2,false),0)</f>
        <v>5</v>
      </c>
      <c r="G43" s="10">
        <f>IFERROR(vlookup('1.3'!F:F,lookup!$A$10:$B$12,2,false),0)</f>
        <v>5</v>
      </c>
      <c r="H43" s="10">
        <f>IFERROR(vlookup('1.3'!G:G,lookup!$A$14:$B$16,2,false),0)</f>
        <v>5</v>
      </c>
      <c r="I43" s="10">
        <f>IFERROR(vlookup('1.3'!H:H,lookup!$A$18:$B$20,2,false),0)</f>
        <v>5</v>
      </c>
      <c r="J43" s="10">
        <f>IFERROR(vlookup('1.3'!I:I,lookup!$A$22:$B$24,2,false),0)</f>
        <v>5</v>
      </c>
      <c r="K43" s="10">
        <f>IFERROR(vlookup('1.3'!J:J,lookup!$A$26:$B$28,2,false),0)</f>
        <v>5</v>
      </c>
      <c r="L43" s="1"/>
      <c r="M43" s="10">
        <v>42.0</v>
      </c>
      <c r="N43" s="11" t="str">
        <f t="shared" si="1"/>
        <v>bnco1042@signalschool.ac.th</v>
      </c>
      <c r="O43" s="12">
        <f t="shared" si="2"/>
        <v>1</v>
      </c>
      <c r="R43" s="6" t="s">
        <v>256</v>
      </c>
    </row>
    <row r="44">
      <c r="A44" s="8">
        <f>'1.3'!A:A</f>
        <v>46210.39647</v>
      </c>
      <c r="B44" s="1" t="str">
        <f>'1.3'!B:B</f>
        <v>bnco1043@signalschool.ac.th</v>
      </c>
      <c r="C44" s="1" t="str">
        <f>'1.3'!C:C</f>
        <v>จ.ส.อ. พัลลภ  ดวงเดือน, ส.อ. สิทธิศักดิ์  รินไธสง</v>
      </c>
      <c r="D44" s="9">
        <v>1.0</v>
      </c>
      <c r="E44" s="10">
        <f>IFERROR(vlookup('1.3'!D:D,lookup!$A$2:$B$4,2,false),0)</f>
        <v>5</v>
      </c>
      <c r="F44" s="10">
        <f>IFERROR(vlookup('1.3'!E:E,lookup!$A$6:$B$8,2,false),0)</f>
        <v>5</v>
      </c>
      <c r="G44" s="10">
        <f>IFERROR(vlookup('1.3'!F:F,lookup!$A$10:$B$12,2,false),0)</f>
        <v>5</v>
      </c>
      <c r="H44" s="10">
        <f>IFERROR(vlookup('1.3'!G:G,lookup!$A$14:$B$16,2,false),0)</f>
        <v>5</v>
      </c>
      <c r="I44" s="10">
        <f>IFERROR(vlookup('1.3'!H:H,lookup!$A$18:$B$20,2,false),0)</f>
        <v>5</v>
      </c>
      <c r="J44" s="10">
        <f>IFERROR(vlookup('1.3'!I:I,lookup!$A$22:$B$24,2,false),0)</f>
        <v>5</v>
      </c>
      <c r="K44" s="10">
        <f>IFERROR(vlookup('1.3'!J:J,lookup!$A$26:$B$28,2,false),0)</f>
        <v>5</v>
      </c>
      <c r="L44" s="1"/>
      <c r="M44" s="10">
        <v>43.0</v>
      </c>
      <c r="N44" s="11" t="str">
        <f t="shared" si="1"/>
        <v>bnco1043@signalschool.ac.th</v>
      </c>
      <c r="O44" s="12">
        <f t="shared" si="2"/>
        <v>1</v>
      </c>
      <c r="R44" s="6" t="s">
        <v>257</v>
      </c>
    </row>
    <row r="45">
      <c r="A45" s="8">
        <f>'1.3'!A:A</f>
        <v>46210.39738</v>
      </c>
      <c r="B45" s="1" t="str">
        <f>'1.3'!B:B</f>
        <v>bnco1067@signalschool.ac.th</v>
      </c>
      <c r="C45" s="1" t="str">
        <f>'1.3'!C:C</f>
        <v>จ.ส.อ.พัลลภ ดวงเดือน</v>
      </c>
      <c r="D45" s="9">
        <v>1.0</v>
      </c>
      <c r="E45" s="10">
        <f>IFERROR(vlookup('1.3'!D:D,lookup!$A$2:$B$4,2,false),0)</f>
        <v>5</v>
      </c>
      <c r="F45" s="10">
        <f>IFERROR(vlookup('1.3'!E:E,lookup!$A$6:$B$8,2,false),0)</f>
        <v>5</v>
      </c>
      <c r="G45" s="10">
        <f>IFERROR(vlookup('1.3'!F:F,lookup!$A$10:$B$12,2,false),0)</f>
        <v>5</v>
      </c>
      <c r="H45" s="10">
        <f>IFERROR(vlookup('1.3'!G:G,lookup!$A$14:$B$16,2,false),0)</f>
        <v>5</v>
      </c>
      <c r="I45" s="10">
        <f>IFERROR(vlookup('1.3'!H:H,lookup!$A$18:$B$20,2,false),0)</f>
        <v>5</v>
      </c>
      <c r="J45" s="10">
        <f>IFERROR(vlookup('1.3'!I:I,lookup!$A$22:$B$24,2,false),0)</f>
        <v>5</v>
      </c>
      <c r="K45" s="10">
        <f>IFERROR(vlookup('1.3'!J:J,lookup!$A$26:$B$28,2,false),0)</f>
        <v>5</v>
      </c>
      <c r="L45" s="1"/>
      <c r="M45" s="10">
        <v>44.0</v>
      </c>
      <c r="N45" s="11" t="str">
        <f t="shared" si="1"/>
        <v>bnco1044@signalschool.ac.th</v>
      </c>
      <c r="O45" s="12">
        <f t="shared" si="2"/>
        <v>1</v>
      </c>
      <c r="R45" s="6" t="s">
        <v>258</v>
      </c>
    </row>
    <row r="46">
      <c r="A46" s="8">
        <f>'1.3'!A:A</f>
        <v>46210.39757</v>
      </c>
      <c r="B46" s="1" t="str">
        <f>'1.3'!B:B</f>
        <v>bnco1010@signalschool.ac.th</v>
      </c>
      <c r="C46" s="1" t="str">
        <f>'1.3'!C:C</f>
        <v>จ.ส.อ.พัลลภ </v>
      </c>
      <c r="D46" s="9">
        <v>1.0</v>
      </c>
      <c r="E46" s="10">
        <f>IFERROR(vlookup('1.3'!D:D,lookup!$A$2:$B$4,2,false),0)</f>
        <v>5</v>
      </c>
      <c r="F46" s="10">
        <f>IFERROR(vlookup('1.3'!E:E,lookup!$A$6:$B$8,2,false),0)</f>
        <v>5</v>
      </c>
      <c r="G46" s="10">
        <f>IFERROR(vlookup('1.3'!F:F,lookup!$A$10:$B$12,2,false),0)</f>
        <v>5</v>
      </c>
      <c r="H46" s="10">
        <f>IFERROR(vlookup('1.3'!G:G,lookup!$A$14:$B$16,2,false),0)</f>
        <v>5</v>
      </c>
      <c r="I46" s="10">
        <f>IFERROR(vlookup('1.3'!H:H,lookup!$A$18:$B$20,2,false),0)</f>
        <v>5</v>
      </c>
      <c r="J46" s="10">
        <f>IFERROR(vlookup('1.3'!I:I,lookup!$A$22:$B$24,2,false),0)</f>
        <v>5</v>
      </c>
      <c r="K46" s="10">
        <f>IFERROR(vlookup('1.3'!J:J,lookup!$A$26:$B$28,2,false),0)</f>
        <v>5</v>
      </c>
      <c r="L46" s="1"/>
      <c r="M46" s="10">
        <v>45.0</v>
      </c>
      <c r="N46" s="11" t="str">
        <f t="shared" si="1"/>
        <v>bnco1045@signalschool.ac.th</v>
      </c>
      <c r="O46" s="12">
        <f t="shared" si="2"/>
        <v>1</v>
      </c>
      <c r="R46" s="6" t="s">
        <v>259</v>
      </c>
    </row>
    <row r="47">
      <c r="A47" s="8">
        <f>'1.3'!A:A</f>
        <v>46210.39774</v>
      </c>
      <c r="B47" s="1" t="str">
        <f>'1.3'!B:B</f>
        <v>bnco1030@signalschool.ac.th</v>
      </c>
      <c r="C47" s="1" t="str">
        <f>'1.3'!C:C</f>
        <v>จ.ส.อ. พัลลภ ดวงเดือน</v>
      </c>
      <c r="D47" s="9">
        <v>1.0</v>
      </c>
      <c r="E47" s="10">
        <f>IFERROR(vlookup('1.3'!D:D,lookup!$A$2:$B$4,2,false),0)</f>
        <v>5</v>
      </c>
      <c r="F47" s="10">
        <f>IFERROR(vlookup('1.3'!E:E,lookup!$A$6:$B$8,2,false),0)</f>
        <v>5</v>
      </c>
      <c r="G47" s="10">
        <f>IFERROR(vlookup('1.3'!F:F,lookup!$A$10:$B$12,2,false),0)</f>
        <v>5</v>
      </c>
      <c r="H47" s="10">
        <f>IFERROR(vlookup('1.3'!G:G,lookup!$A$14:$B$16,2,false),0)</f>
        <v>5</v>
      </c>
      <c r="I47" s="10">
        <f>IFERROR(vlookup('1.3'!H:H,lookup!$A$18:$B$20,2,false),0)</f>
        <v>5</v>
      </c>
      <c r="J47" s="10">
        <f>IFERROR(vlookup('1.3'!I:I,lookup!$A$22:$B$24,2,false),0)</f>
        <v>5</v>
      </c>
      <c r="K47" s="10">
        <f>IFERROR(vlookup('1.3'!J:J,lookup!$A$26:$B$28,2,false),0)</f>
        <v>5</v>
      </c>
      <c r="L47" s="1"/>
      <c r="M47" s="10">
        <v>46.0</v>
      </c>
      <c r="N47" s="11" t="str">
        <f t="shared" si="1"/>
        <v>bnco1046@signalschool.ac.th</v>
      </c>
      <c r="O47" s="12">
        <f t="shared" si="2"/>
        <v>1</v>
      </c>
      <c r="R47" s="6" t="s">
        <v>260</v>
      </c>
    </row>
    <row r="48">
      <c r="A48" s="8">
        <f>'1.3'!A:A</f>
        <v>46210.39788</v>
      </c>
      <c r="B48" s="1" t="str">
        <f>'1.3'!B:B</f>
        <v>bnco1009@signalschool.ac.th</v>
      </c>
      <c r="C48" s="1" t="str">
        <f>'1.3'!C:C</f>
        <v>จ.ส.อ.พัลลพ ดวงเดือน</v>
      </c>
      <c r="D48" s="9">
        <v>1.0</v>
      </c>
      <c r="E48" s="10">
        <f>IFERROR(vlookup('1.3'!D:D,lookup!$A$2:$B$4,2,false),0)</f>
        <v>5</v>
      </c>
      <c r="F48" s="10">
        <f>IFERROR(vlookup('1.3'!E:E,lookup!$A$6:$B$8,2,false),0)</f>
        <v>5</v>
      </c>
      <c r="G48" s="10">
        <f>IFERROR(vlookup('1.3'!F:F,lookup!$A$10:$B$12,2,false),0)</f>
        <v>5</v>
      </c>
      <c r="H48" s="10">
        <f>IFERROR(vlookup('1.3'!G:G,lookup!$A$14:$B$16,2,false),0)</f>
        <v>5</v>
      </c>
      <c r="I48" s="10">
        <f>IFERROR(vlookup('1.3'!H:H,lookup!$A$18:$B$20,2,false),0)</f>
        <v>5</v>
      </c>
      <c r="J48" s="10">
        <f>IFERROR(vlookup('1.3'!I:I,lookup!$A$22:$B$24,2,false),0)</f>
        <v>5</v>
      </c>
      <c r="K48" s="10">
        <f>IFERROR(vlookup('1.3'!J:J,lookup!$A$26:$B$28,2,false),0)</f>
        <v>5</v>
      </c>
      <c r="L48" s="1"/>
      <c r="M48" s="10">
        <v>47.0</v>
      </c>
      <c r="N48" s="11" t="str">
        <f t="shared" si="1"/>
        <v>bnco1047@signalschool.ac.th</v>
      </c>
      <c r="O48" s="12">
        <f t="shared" si="2"/>
        <v>1</v>
      </c>
      <c r="R48" s="6" t="s">
        <v>261</v>
      </c>
    </row>
    <row r="49">
      <c r="A49" s="8">
        <f>'1.3'!A:A</f>
        <v>46210.39875</v>
      </c>
      <c r="B49" s="1" t="str">
        <f>'1.3'!B:B</f>
        <v>bnco1034@signalschool.ac.th</v>
      </c>
      <c r="C49" s="1" t="str">
        <f>'1.3'!C:C</f>
        <v>ส.อ.ภัคณวัตร ฮวดประสิทธิ์ </v>
      </c>
      <c r="D49" s="9">
        <v>1.0</v>
      </c>
      <c r="E49" s="10">
        <f>IFERROR(vlookup('1.3'!D:D,lookup!$A$2:$B$4,2,false),0)</f>
        <v>5</v>
      </c>
      <c r="F49" s="10">
        <f>IFERROR(vlookup('1.3'!E:E,lookup!$A$6:$B$8,2,false),0)</f>
        <v>5</v>
      </c>
      <c r="G49" s="10">
        <f>IFERROR(vlookup('1.3'!F:F,lookup!$A$10:$B$12,2,false),0)</f>
        <v>5</v>
      </c>
      <c r="H49" s="10">
        <f>IFERROR(vlookup('1.3'!G:G,lookup!$A$14:$B$16,2,false),0)</f>
        <v>5</v>
      </c>
      <c r="I49" s="10">
        <f>IFERROR(vlookup('1.3'!H:H,lookup!$A$18:$B$20,2,false),0)</f>
        <v>5</v>
      </c>
      <c r="J49" s="10">
        <f>IFERROR(vlookup('1.3'!I:I,lookup!$A$22:$B$24,2,false),0)</f>
        <v>3</v>
      </c>
      <c r="K49" s="10">
        <f>IFERROR(vlookup('1.3'!J:J,lookup!$A$26:$B$28,2,false),0)</f>
        <v>3</v>
      </c>
      <c r="L49" s="1"/>
      <c r="M49" s="10">
        <v>48.0</v>
      </c>
      <c r="N49" s="11" t="str">
        <f t="shared" si="1"/>
        <v>bnco1048@signalschool.ac.th</v>
      </c>
      <c r="O49" s="12">
        <f t="shared" si="2"/>
        <v>1</v>
      </c>
      <c r="R49" s="6" t="s">
        <v>262</v>
      </c>
    </row>
    <row r="50">
      <c r="A50" s="8">
        <f>'1.3'!A:A</f>
        <v>46210.39881</v>
      </c>
      <c r="B50" s="1" t="str">
        <f>'1.3'!B:B</f>
        <v>bnco1005@signalschool.ac.th</v>
      </c>
      <c r="C50" s="1" t="str">
        <f>'1.3'!C:C</f>
        <v>จ.ส.อ.พัลลภ ดวงเดือน</v>
      </c>
      <c r="D50" s="9">
        <v>1.0</v>
      </c>
      <c r="E50" s="10">
        <f>IFERROR(vlookup('1.3'!D:D,lookup!$A$2:$B$4,2,false),0)</f>
        <v>5</v>
      </c>
      <c r="F50" s="10">
        <f>IFERROR(vlookup('1.3'!E:E,lookup!$A$6:$B$8,2,false),0)</f>
        <v>5</v>
      </c>
      <c r="G50" s="10">
        <f>IFERROR(vlookup('1.3'!F:F,lookup!$A$10:$B$12,2,false),0)</f>
        <v>5</v>
      </c>
      <c r="H50" s="10">
        <f>IFERROR(vlookup('1.3'!G:G,lookup!$A$14:$B$16,2,false),0)</f>
        <v>5</v>
      </c>
      <c r="I50" s="10">
        <f>IFERROR(vlookup('1.3'!H:H,lookup!$A$18:$B$20,2,false),0)</f>
        <v>5</v>
      </c>
      <c r="J50" s="10">
        <f>IFERROR(vlookup('1.3'!I:I,lookup!$A$22:$B$24,2,false),0)</f>
        <v>5</v>
      </c>
      <c r="K50" s="10">
        <f>IFERROR(vlookup('1.3'!J:J,lookup!$A$26:$B$28,2,false),0)</f>
        <v>5</v>
      </c>
      <c r="L50" s="1"/>
      <c r="M50" s="10">
        <v>49.0</v>
      </c>
      <c r="N50" s="11" t="str">
        <f t="shared" si="1"/>
        <v>bnco1049@signalschool.ac.th</v>
      </c>
      <c r="O50" s="12">
        <f t="shared" si="2"/>
        <v>1</v>
      </c>
      <c r="R50" s="6" t="s">
        <v>263</v>
      </c>
    </row>
    <row r="51">
      <c r="A51" s="8">
        <f>'1.3'!A:A</f>
        <v>46210.39936</v>
      </c>
      <c r="B51" s="1" t="str">
        <f>'1.3'!B:B</f>
        <v>bnco1041@signalschool.ac.th</v>
      </c>
      <c r="C51" s="1" t="str">
        <f>'1.3'!C:C</f>
        <v>จ.ส.อ.พัลลภ ดวงเดือน , ส.อ. สิทธิศักด์ รินไธสง</v>
      </c>
      <c r="D51" s="9">
        <v>1.0</v>
      </c>
      <c r="E51" s="10">
        <f>IFERROR(vlookup('1.3'!D:D,lookup!$A$2:$B$4,2,false),0)</f>
        <v>5</v>
      </c>
      <c r="F51" s="10">
        <f>IFERROR(vlookup('1.3'!E:E,lookup!$A$6:$B$8,2,false),0)</f>
        <v>5</v>
      </c>
      <c r="G51" s="10">
        <f>IFERROR(vlookup('1.3'!F:F,lookup!$A$10:$B$12,2,false),0)</f>
        <v>5</v>
      </c>
      <c r="H51" s="10">
        <f>IFERROR(vlookup('1.3'!G:G,lookup!$A$14:$B$16,2,false),0)</f>
        <v>5</v>
      </c>
      <c r="I51" s="10">
        <f>IFERROR(vlookup('1.3'!H:H,lookup!$A$18:$B$20,2,false),0)</f>
        <v>5</v>
      </c>
      <c r="J51" s="10">
        <f>IFERROR(vlookup('1.3'!I:I,lookup!$A$22:$B$24,2,false),0)</f>
        <v>5</v>
      </c>
      <c r="K51" s="10">
        <f>IFERROR(vlookup('1.3'!J:J,lookup!$A$26:$B$28,2,false),0)</f>
        <v>5</v>
      </c>
      <c r="L51" s="1"/>
      <c r="M51" s="10">
        <v>50.0</v>
      </c>
      <c r="N51" s="11" t="str">
        <f t="shared" si="1"/>
        <v>bnco1050@signalschool.ac.th</v>
      </c>
      <c r="O51" s="12">
        <f t="shared" si="2"/>
        <v>1</v>
      </c>
      <c r="R51" s="6" t="s">
        <v>264</v>
      </c>
    </row>
    <row r="52">
      <c r="A52" s="8">
        <f>'1.3'!A:A</f>
        <v>46210.40096</v>
      </c>
      <c r="B52" s="1" t="str">
        <f>'1.3'!B:B</f>
        <v>bnco1023@signalschool.ac.th</v>
      </c>
      <c r="C52" s="1" t="str">
        <f>'1.3'!C:C</f>
        <v>23 ส.อ.วีรภัทร  ป้อมบุญมี</v>
      </c>
      <c r="D52" s="9">
        <v>1.0</v>
      </c>
      <c r="E52" s="10">
        <f>IFERROR(vlookup('1.3'!D:D,lookup!$A$2:$B$4,2,false),0)</f>
        <v>5</v>
      </c>
      <c r="F52" s="10">
        <f>IFERROR(vlookup('1.3'!E:E,lookup!$A$6:$B$8,2,false),0)</f>
        <v>5</v>
      </c>
      <c r="G52" s="10">
        <f>IFERROR(vlookup('1.3'!F:F,lookup!$A$10:$B$12,2,false),0)</f>
        <v>5</v>
      </c>
      <c r="H52" s="10">
        <f>IFERROR(vlookup('1.3'!G:G,lookup!$A$14:$B$16,2,false),0)</f>
        <v>5</v>
      </c>
      <c r="I52" s="10">
        <f>IFERROR(vlookup('1.3'!H:H,lookup!$A$18:$B$20,2,false),0)</f>
        <v>5</v>
      </c>
      <c r="J52" s="10">
        <f>IFERROR(vlookup('1.3'!I:I,lookup!$A$22:$B$24,2,false),0)</f>
        <v>5</v>
      </c>
      <c r="K52" s="10">
        <f>IFERROR(vlookup('1.3'!J:J,lookup!$A$26:$B$28,2,false),0)</f>
        <v>5</v>
      </c>
      <c r="L52" s="1"/>
      <c r="M52" s="10">
        <v>51.0</v>
      </c>
      <c r="N52" s="11" t="str">
        <f t="shared" si="1"/>
        <v>bnco1051@signalschool.ac.th</v>
      </c>
      <c r="O52" s="12">
        <f t="shared" si="2"/>
        <v>1</v>
      </c>
      <c r="R52" s="6" t="s">
        <v>265</v>
      </c>
    </row>
    <row r="53">
      <c r="A53" s="8">
        <f>'1.3'!A:A</f>
        <v>46210.40255</v>
      </c>
      <c r="B53" s="1" t="str">
        <f>'1.3'!B:B</f>
        <v>bnco1022@signalschool.ac.th</v>
      </c>
      <c r="C53" s="1" t="str">
        <f>'1.3'!C:C</f>
        <v>จ.ส.อ.พัลลภ ดวงเดือน  ส.อ.สิทธิศักดิ์ รินไธสง</v>
      </c>
      <c r="D53" s="9">
        <v>1.0</v>
      </c>
      <c r="E53" s="10">
        <f>IFERROR(vlookup('1.3'!D:D,lookup!$A$2:$B$4,2,false),0)</f>
        <v>5</v>
      </c>
      <c r="F53" s="10">
        <f>IFERROR(vlookup('1.3'!E:E,lookup!$A$6:$B$8,2,false),0)</f>
        <v>5</v>
      </c>
      <c r="G53" s="10">
        <f>IFERROR(vlookup('1.3'!F:F,lookup!$A$10:$B$12,2,false),0)</f>
        <v>5</v>
      </c>
      <c r="H53" s="10">
        <f>IFERROR(vlookup('1.3'!G:G,lookup!$A$14:$B$16,2,false),0)</f>
        <v>5</v>
      </c>
      <c r="I53" s="10">
        <f>IFERROR(vlookup('1.3'!H:H,lookup!$A$18:$B$20,2,false),0)</f>
        <v>5</v>
      </c>
      <c r="J53" s="10">
        <f>IFERROR(vlookup('1.3'!I:I,lookup!$A$22:$B$24,2,false),0)</f>
        <v>5</v>
      </c>
      <c r="K53" s="10">
        <f>IFERROR(vlookup('1.3'!J:J,lookup!$A$26:$B$28,2,false),0)</f>
        <v>5</v>
      </c>
      <c r="L53" s="1"/>
      <c r="M53" s="10">
        <v>52.0</v>
      </c>
      <c r="N53" s="11" t="str">
        <f t="shared" si="1"/>
        <v>bnco1052@signalschool.ac.th</v>
      </c>
      <c r="O53" s="12">
        <f t="shared" si="2"/>
        <v>1</v>
      </c>
      <c r="R53" s="6" t="s">
        <v>266</v>
      </c>
    </row>
    <row r="54">
      <c r="A54" s="8">
        <f>'1.3'!A:A</f>
        <v>46210.40382</v>
      </c>
      <c r="B54" s="1" t="str">
        <f>'1.3'!B:B</f>
        <v>bnco1080@signalschool.ac.th</v>
      </c>
      <c r="C54" s="1" t="str">
        <f>'1.3'!C:C</f>
        <v>จ.ส.อ.พัลลภ  ดวงเดือน, ส.อ.สิทธิศักดิ์  รินไธสง</v>
      </c>
      <c r="D54" s="9">
        <v>1.0</v>
      </c>
      <c r="E54" s="10">
        <f>IFERROR(vlookup('1.3'!D:D,lookup!$A$2:$B$4,2,false),0)</f>
        <v>5</v>
      </c>
      <c r="F54" s="10">
        <f>IFERROR(vlookup('1.3'!E:E,lookup!$A$6:$B$8,2,false),0)</f>
        <v>5</v>
      </c>
      <c r="G54" s="10">
        <f>IFERROR(vlookup('1.3'!F:F,lookup!$A$10:$B$12,2,false),0)</f>
        <v>5</v>
      </c>
      <c r="H54" s="10">
        <f>IFERROR(vlookup('1.3'!G:G,lookup!$A$14:$B$16,2,false),0)</f>
        <v>5</v>
      </c>
      <c r="I54" s="10">
        <f>IFERROR(vlookup('1.3'!H:H,lookup!$A$18:$B$20,2,false),0)</f>
        <v>5</v>
      </c>
      <c r="J54" s="10">
        <f>IFERROR(vlookup('1.3'!I:I,lookup!$A$22:$B$24,2,false),0)</f>
        <v>5</v>
      </c>
      <c r="K54" s="10">
        <f>IFERROR(vlookup('1.3'!J:J,lookup!$A$26:$B$28,2,false),0)</f>
        <v>5</v>
      </c>
      <c r="L54" s="1"/>
      <c r="M54" s="10">
        <v>53.0</v>
      </c>
      <c r="N54" s="11" t="str">
        <f t="shared" si="1"/>
        <v>bnco1053@signalschool.ac.th</v>
      </c>
      <c r="O54" s="12">
        <f t="shared" si="2"/>
        <v>1</v>
      </c>
      <c r="R54" s="6" t="s">
        <v>267</v>
      </c>
    </row>
    <row r="55">
      <c r="A55" s="8">
        <f>'1.3'!A:A</f>
        <v>46210.40467</v>
      </c>
      <c r="B55" s="1" t="str">
        <f>'1.3'!B:B</f>
        <v>bnco1012@signalschool.ac.th</v>
      </c>
      <c r="C55" s="1" t="str">
        <f>'1.3'!C:C</f>
        <v>จ.ส.อ.พัลลภ  ดวงเดือน ,ส.อ.สิทธิศักดิ์  รินไธสง</v>
      </c>
      <c r="D55" s="9">
        <v>1.0</v>
      </c>
      <c r="E55" s="10">
        <f>IFERROR(vlookup('1.3'!D:D,lookup!$A$2:$B$4,2,false),0)</f>
        <v>5</v>
      </c>
      <c r="F55" s="10">
        <f>IFERROR(vlookup('1.3'!E:E,lookup!$A$6:$B$8,2,false),0)</f>
        <v>5</v>
      </c>
      <c r="G55" s="10">
        <f>IFERROR(vlookup('1.3'!F:F,lookup!$A$10:$B$12,2,false),0)</f>
        <v>5</v>
      </c>
      <c r="H55" s="10">
        <f>IFERROR(vlookup('1.3'!G:G,lookup!$A$14:$B$16,2,false),0)</f>
        <v>5</v>
      </c>
      <c r="I55" s="10">
        <f>IFERROR(vlookup('1.3'!H:H,lookup!$A$18:$B$20,2,false),0)</f>
        <v>5</v>
      </c>
      <c r="J55" s="10">
        <f>IFERROR(vlookup('1.3'!I:I,lookup!$A$22:$B$24,2,false),0)</f>
        <v>5</v>
      </c>
      <c r="K55" s="10">
        <f>IFERROR(vlookup('1.3'!J:J,lookup!$A$26:$B$28,2,false),0)</f>
        <v>5</v>
      </c>
      <c r="L55" s="1"/>
      <c r="M55" s="10">
        <v>54.0</v>
      </c>
      <c r="N55" s="11" t="str">
        <f t="shared" si="1"/>
        <v>bnco1054@signalschool.ac.th</v>
      </c>
      <c r="O55" s="12">
        <f t="shared" si="2"/>
        <v>1</v>
      </c>
      <c r="R55" s="6" t="s">
        <v>268</v>
      </c>
    </row>
    <row r="56">
      <c r="A56" s="8">
        <f>'1.3'!A:A</f>
        <v>46210.40474</v>
      </c>
      <c r="B56" s="1" t="str">
        <f>'1.3'!B:B</f>
        <v>bnco1024@signalschool.ac.th</v>
      </c>
      <c r="C56" s="1" t="str">
        <f>'1.3'!C:C</f>
        <v>จ.ส.อ.พัลลภ ดวงเดือน</v>
      </c>
      <c r="D56" s="9">
        <v>1.0</v>
      </c>
      <c r="E56" s="10">
        <f>IFERROR(vlookup('1.3'!D:D,lookup!$A$2:$B$4,2,false),0)</f>
        <v>5</v>
      </c>
      <c r="F56" s="10">
        <f>IFERROR(vlookup('1.3'!E:E,lookup!$A$6:$B$8,2,false),0)</f>
        <v>5</v>
      </c>
      <c r="G56" s="10">
        <f>IFERROR(vlookup('1.3'!F:F,lookup!$A$10:$B$12,2,false),0)</f>
        <v>5</v>
      </c>
      <c r="H56" s="10">
        <f>IFERROR(vlookup('1.3'!G:G,lookup!$A$14:$B$16,2,false),0)</f>
        <v>5</v>
      </c>
      <c r="I56" s="10">
        <f>IFERROR(vlookup('1.3'!H:H,lookup!$A$18:$B$20,2,false),0)</f>
        <v>5</v>
      </c>
      <c r="J56" s="10">
        <f>IFERROR(vlookup('1.3'!I:I,lookup!$A$22:$B$24,2,false),0)</f>
        <v>5</v>
      </c>
      <c r="K56" s="10">
        <f>IFERROR(vlookup('1.3'!J:J,lookup!$A$26:$B$28,2,false),0)</f>
        <v>5</v>
      </c>
      <c r="L56" s="13"/>
      <c r="M56" s="10">
        <v>55.0</v>
      </c>
      <c r="N56" s="11" t="str">
        <f t="shared" si="1"/>
        <v>bnco1055@signalschool.ac.th</v>
      </c>
      <c r="O56" s="12">
        <f t="shared" si="2"/>
        <v>1</v>
      </c>
      <c r="R56" s="6" t="s">
        <v>269</v>
      </c>
    </row>
    <row r="57">
      <c r="A57" s="8">
        <f>'1.3'!A:A</f>
        <v>46210.40487</v>
      </c>
      <c r="B57" s="1" t="str">
        <f>'1.3'!B:B</f>
        <v>bnco1065@signalschool.ac.th</v>
      </c>
      <c r="C57" s="1" t="str">
        <f>'1.3'!C:C</f>
        <v>จ.ส.อ.พัลลภ ดวงเดือน</v>
      </c>
      <c r="D57" s="9">
        <v>1.0</v>
      </c>
      <c r="E57" s="10">
        <f>IFERROR(vlookup('1.3'!D:D,lookup!$A$2:$B$4,2,false),0)</f>
        <v>5</v>
      </c>
      <c r="F57" s="10">
        <f>IFERROR(vlookup('1.3'!E:E,lookup!$A$6:$B$8,2,false),0)</f>
        <v>5</v>
      </c>
      <c r="G57" s="10">
        <f>IFERROR(vlookup('1.3'!F:F,lookup!$A$10:$B$12,2,false),0)</f>
        <v>5</v>
      </c>
      <c r="H57" s="10">
        <f>IFERROR(vlookup('1.3'!G:G,lookup!$A$14:$B$16,2,false),0)</f>
        <v>5</v>
      </c>
      <c r="I57" s="10">
        <f>IFERROR(vlookup('1.3'!H:H,lookup!$A$18:$B$20,2,false),0)</f>
        <v>5</v>
      </c>
      <c r="J57" s="10">
        <f>IFERROR(vlookup('1.3'!I:I,lookup!$A$22:$B$24,2,false),0)</f>
        <v>3</v>
      </c>
      <c r="K57" s="10">
        <f>IFERROR(vlookup('1.3'!J:J,lookup!$A$26:$B$28,2,false),0)</f>
        <v>3</v>
      </c>
      <c r="L57" s="13"/>
      <c r="M57" s="10">
        <v>56.0</v>
      </c>
      <c r="N57" s="11" t="str">
        <f t="shared" si="1"/>
        <v>bnco1056@signalschool.ac.th</v>
      </c>
      <c r="O57" s="12">
        <f t="shared" si="2"/>
        <v>1</v>
      </c>
      <c r="R57" s="6" t="s">
        <v>270</v>
      </c>
    </row>
    <row r="58">
      <c r="A58" s="8">
        <f>'1.3'!A:A</f>
        <v>46210.40877</v>
      </c>
      <c r="B58" s="1" t="str">
        <f>'1.3'!B:B</f>
        <v>bnco1064@signalschool.ac.th</v>
      </c>
      <c r="C58" s="1" t="str">
        <f>'1.3'!C:C</f>
        <v>จ.ส.อ. พัลลภ  ดวงเดือน</v>
      </c>
      <c r="D58" s="9">
        <v>1.0</v>
      </c>
      <c r="E58" s="10">
        <f>IFERROR(vlookup('1.3'!D:D,lookup!$A$2:$B$4,2,false),0)</f>
        <v>5</v>
      </c>
      <c r="F58" s="10">
        <f>IFERROR(vlookup('1.3'!E:E,lookup!$A$6:$B$8,2,false),0)</f>
        <v>5</v>
      </c>
      <c r="G58" s="10">
        <f>IFERROR(vlookup('1.3'!F:F,lookup!$A$10:$B$12,2,false),0)</f>
        <v>5</v>
      </c>
      <c r="H58" s="10">
        <f>IFERROR(vlookup('1.3'!G:G,lookup!$A$14:$B$16,2,false),0)</f>
        <v>5</v>
      </c>
      <c r="I58" s="10">
        <f>IFERROR(vlookup('1.3'!H:H,lookup!$A$18:$B$20,2,false),0)</f>
        <v>5</v>
      </c>
      <c r="J58" s="10">
        <f>IFERROR(vlookup('1.3'!I:I,lookup!$A$22:$B$24,2,false),0)</f>
        <v>5</v>
      </c>
      <c r="K58" s="10">
        <f>IFERROR(vlookup('1.3'!J:J,lookup!$A$26:$B$28,2,false),0)</f>
        <v>5</v>
      </c>
      <c r="L58" s="13"/>
      <c r="M58" s="10">
        <v>57.0</v>
      </c>
      <c r="N58" s="11" t="str">
        <f t="shared" si="1"/>
        <v>bnco1057@signalschool.ac.th</v>
      </c>
      <c r="O58" s="12">
        <f t="shared" si="2"/>
        <v>1</v>
      </c>
      <c r="R58" s="6" t="s">
        <v>271</v>
      </c>
    </row>
    <row r="59">
      <c r="A59" s="8">
        <f>'1.3'!A:A</f>
        <v>46210.41342</v>
      </c>
      <c r="B59" s="1" t="str">
        <f>'1.3'!B:B</f>
        <v>bnco1051@signalschool.ac.th</v>
      </c>
      <c r="C59" s="1" t="str">
        <f>'1.3'!C:C</f>
        <v>จ.ส.อ.พัลลภ ดวงเดือน</v>
      </c>
      <c r="D59" s="9">
        <v>1.0</v>
      </c>
      <c r="E59" s="10">
        <f>IFERROR(vlookup('1.3'!D:D,lookup!$A$2:$B$4,2,false),0)</f>
        <v>5</v>
      </c>
      <c r="F59" s="10">
        <f>IFERROR(vlookup('1.3'!E:E,lookup!$A$6:$B$8,2,false),0)</f>
        <v>5</v>
      </c>
      <c r="G59" s="10">
        <f>IFERROR(vlookup('1.3'!F:F,lookup!$A$10:$B$12,2,false),0)</f>
        <v>5</v>
      </c>
      <c r="H59" s="10">
        <f>IFERROR(vlookup('1.3'!G:G,lookup!$A$14:$B$16,2,false),0)</f>
        <v>5</v>
      </c>
      <c r="I59" s="10">
        <f>IFERROR(vlookup('1.3'!H:H,lookup!$A$18:$B$20,2,false),0)</f>
        <v>5</v>
      </c>
      <c r="J59" s="10">
        <f>IFERROR(vlookup('1.3'!I:I,lookup!$A$22:$B$24,2,false),0)</f>
        <v>5</v>
      </c>
      <c r="K59" s="10">
        <f>IFERROR(vlookup('1.3'!J:J,lookup!$A$26:$B$28,2,false),0)</f>
        <v>5</v>
      </c>
      <c r="L59" s="14"/>
      <c r="M59" s="10">
        <v>58.0</v>
      </c>
      <c r="N59" s="11" t="str">
        <f t="shared" si="1"/>
        <v>bnco1058@signalschool.ac.th</v>
      </c>
      <c r="O59" s="12">
        <f t="shared" si="2"/>
        <v>1</v>
      </c>
      <c r="R59" s="6" t="s">
        <v>272</v>
      </c>
    </row>
    <row r="60">
      <c r="A60" s="8">
        <f>'1.3'!A:A</f>
        <v>46210.41382</v>
      </c>
      <c r="B60" s="1" t="str">
        <f>'1.3'!B:B</f>
        <v>bnco1047@signalschool.ac.th</v>
      </c>
      <c r="C60" s="1" t="str">
        <f>'1.3'!C:C</f>
        <v>จ.ส.อ.พัลลภ ดวงเดือน</v>
      </c>
      <c r="D60" s="9">
        <v>1.0</v>
      </c>
      <c r="E60" s="10">
        <f>IFERROR(vlookup('1.3'!D:D,lookup!$A$2:$B$4,2,false),0)</f>
        <v>5</v>
      </c>
      <c r="F60" s="10">
        <f>IFERROR(vlookup('1.3'!E:E,lookup!$A$6:$B$8,2,false),0)</f>
        <v>5</v>
      </c>
      <c r="G60" s="10">
        <f>IFERROR(vlookup('1.3'!F:F,lookup!$A$10:$B$12,2,false),0)</f>
        <v>5</v>
      </c>
      <c r="H60" s="10">
        <f>IFERROR(vlookup('1.3'!G:G,lookup!$A$14:$B$16,2,false),0)</f>
        <v>5</v>
      </c>
      <c r="I60" s="10">
        <f>IFERROR(vlookup('1.3'!H:H,lookup!$A$18:$B$20,2,false),0)</f>
        <v>5</v>
      </c>
      <c r="J60" s="10">
        <f>IFERROR(vlookup('1.3'!I:I,lookup!$A$22:$B$24,2,false),0)</f>
        <v>5</v>
      </c>
      <c r="K60" s="10">
        <f>IFERROR(vlookup('1.3'!J:J,lookup!$A$26:$B$28,2,false),0)</f>
        <v>5</v>
      </c>
      <c r="L60" s="10"/>
      <c r="M60" s="10">
        <v>59.0</v>
      </c>
      <c r="N60" s="11" t="str">
        <f t="shared" si="1"/>
        <v>bnco1059@signalschool.ac.th</v>
      </c>
      <c r="O60" s="12">
        <f t="shared" si="2"/>
        <v>1</v>
      </c>
      <c r="R60" s="6" t="s">
        <v>273</v>
      </c>
    </row>
    <row r="61">
      <c r="A61" s="8">
        <f>'1.3'!A:A</f>
        <v>46210.41493</v>
      </c>
      <c r="B61" s="1" t="str">
        <f>'1.3'!B:B</f>
        <v>bnco1002@signalschool.ac.th</v>
      </c>
      <c r="C61" s="1" t="str">
        <f>'1.3'!C:C</f>
        <v>จ.ส.อ.พัลลภ ดวงเดือน </v>
      </c>
      <c r="D61" s="9">
        <v>1.0</v>
      </c>
      <c r="E61" s="10">
        <f>IFERROR(vlookup('1.3'!D:D,lookup!$A$2:$B$4,2,false),0)</f>
        <v>5</v>
      </c>
      <c r="F61" s="10">
        <f>IFERROR(vlookup('1.3'!E:E,lookup!$A$6:$B$8,2,false),0)</f>
        <v>5</v>
      </c>
      <c r="G61" s="10">
        <f>IFERROR(vlookup('1.3'!F:F,lookup!$A$10:$B$12,2,false),0)</f>
        <v>5</v>
      </c>
      <c r="H61" s="10">
        <f>IFERROR(vlookup('1.3'!G:G,lookup!$A$14:$B$16,2,false),0)</f>
        <v>5</v>
      </c>
      <c r="I61" s="10">
        <f>IFERROR(vlookup('1.3'!H:H,lookup!$A$18:$B$20,2,false),0)</f>
        <v>5</v>
      </c>
      <c r="J61" s="10">
        <f>IFERROR(vlookup('1.3'!I:I,lookup!$A$22:$B$24,2,false),0)</f>
        <v>5</v>
      </c>
      <c r="K61" s="10">
        <f>IFERROR(vlookup('1.3'!J:J,lookup!$A$26:$B$28,2,false),0)</f>
        <v>5</v>
      </c>
      <c r="M61" s="10">
        <v>60.0</v>
      </c>
      <c r="N61" s="11" t="str">
        <f t="shared" si="1"/>
        <v>bnco1060@signalschool.ac.th</v>
      </c>
      <c r="O61" s="12">
        <f t="shared" si="2"/>
        <v>1</v>
      </c>
      <c r="R61" s="6" t="s">
        <v>274</v>
      </c>
    </row>
    <row r="62">
      <c r="A62" s="8">
        <f>'1.3'!A:A</f>
        <v>46210.41837</v>
      </c>
      <c r="B62" s="1" t="str">
        <f>'1.3'!B:B</f>
        <v>bnco1001@signalschool.ac.th</v>
      </c>
      <c r="C62" s="1" t="str">
        <f>'1.3'!C:C</f>
        <v>จ.ส.อ. พัลลภ  ดวงเดือน, ส.อ. สิทธิศักดิ์  รินไธสง</v>
      </c>
      <c r="D62" s="9">
        <v>1.0</v>
      </c>
      <c r="E62" s="10">
        <f>IFERROR(vlookup('1.3'!D:D,lookup!$A$2:$B$4,2,false),0)</f>
        <v>5</v>
      </c>
      <c r="F62" s="10">
        <f>IFERROR(vlookup('1.3'!E:E,lookup!$A$6:$B$8,2,false),0)</f>
        <v>5</v>
      </c>
      <c r="G62" s="10">
        <f>IFERROR(vlookup('1.3'!F:F,lookup!$A$10:$B$12,2,false),0)</f>
        <v>5</v>
      </c>
      <c r="H62" s="10">
        <f>IFERROR(vlookup('1.3'!G:G,lookup!$A$14:$B$16,2,false),0)</f>
        <v>5</v>
      </c>
      <c r="I62" s="10">
        <f>IFERROR(vlookup('1.3'!H:H,lookup!$A$18:$B$20,2,false),0)</f>
        <v>5</v>
      </c>
      <c r="J62" s="10">
        <f>IFERROR(vlookup('1.3'!I:I,lookup!$A$22:$B$24,2,false),0)</f>
        <v>5</v>
      </c>
      <c r="K62" s="10">
        <f>IFERROR(vlookup('1.3'!J:J,lookup!$A$26:$B$28,2,false),0)</f>
        <v>5</v>
      </c>
      <c r="M62" s="10">
        <v>61.0</v>
      </c>
      <c r="N62" s="11" t="str">
        <f t="shared" si="1"/>
        <v>bnco1061@signalschool.ac.th</v>
      </c>
      <c r="O62" s="12">
        <f t="shared" si="2"/>
        <v>1</v>
      </c>
      <c r="R62" s="6" t="s">
        <v>275</v>
      </c>
    </row>
    <row r="63">
      <c r="A63" s="8">
        <f>'1.3'!A:A</f>
        <v>46210.42651</v>
      </c>
      <c r="B63" s="1" t="str">
        <f>'1.3'!B:B</f>
        <v>bnco1016@signalschool.ac.th</v>
      </c>
      <c r="C63" s="1" t="str">
        <f>'1.3'!C:C</f>
        <v>ส.อ.สิทธิพร กันนุฬา </v>
      </c>
      <c r="D63" s="9">
        <v>1.0</v>
      </c>
      <c r="E63" s="10">
        <f>IFERROR(vlookup('1.3'!D:D,lookup!$A$2:$B$4,2,false),0)</f>
        <v>5</v>
      </c>
      <c r="F63" s="10">
        <f>IFERROR(vlookup('1.3'!E:E,lookup!$A$6:$B$8,2,false),0)</f>
        <v>5</v>
      </c>
      <c r="G63" s="10">
        <f>IFERROR(vlookup('1.3'!F:F,lookup!$A$10:$B$12,2,false),0)</f>
        <v>5</v>
      </c>
      <c r="H63" s="10">
        <f>IFERROR(vlookup('1.3'!G:G,lookup!$A$14:$B$16,2,false),0)</f>
        <v>5</v>
      </c>
      <c r="I63" s="10">
        <f>IFERROR(vlookup('1.3'!H:H,lookup!$A$18:$B$20,2,false),0)</f>
        <v>5</v>
      </c>
      <c r="J63" s="10">
        <f>IFERROR(vlookup('1.3'!I:I,lookup!$A$22:$B$24,2,false),0)</f>
        <v>5</v>
      </c>
      <c r="K63" s="10">
        <f>IFERROR(vlookup('1.3'!J:J,lookup!$A$26:$B$28,2,false),0)</f>
        <v>5</v>
      </c>
      <c r="M63" s="10">
        <v>62.0</v>
      </c>
      <c r="N63" s="11" t="str">
        <f t="shared" si="1"/>
        <v>bnco1062@signalschool.ac.th</v>
      </c>
      <c r="O63" s="12">
        <f t="shared" si="2"/>
        <v>1</v>
      </c>
      <c r="R63" s="6" t="s">
        <v>276</v>
      </c>
    </row>
    <row r="64">
      <c r="A64" s="8">
        <f>'1.3'!A:A</f>
        <v>46210.42658</v>
      </c>
      <c r="B64" s="1" t="str">
        <f>'1.3'!B:B</f>
        <v>bnco1058@signalschool.ac.th</v>
      </c>
      <c r="C64" s="1" t="str">
        <f>'1.3'!C:C</f>
        <v>จ.ส.อ. พัลลภ  ดวงเดือน</v>
      </c>
      <c r="D64" s="9">
        <v>1.0</v>
      </c>
      <c r="E64" s="10">
        <f>IFERROR(vlookup('1.3'!D:D,lookup!$A$2:$B$4,2,false),0)</f>
        <v>5</v>
      </c>
      <c r="F64" s="10">
        <f>IFERROR(vlookup('1.3'!E:E,lookup!$A$6:$B$8,2,false),0)</f>
        <v>5</v>
      </c>
      <c r="G64" s="10">
        <f>IFERROR(vlookup('1.3'!F:F,lookup!$A$10:$B$12,2,false),0)</f>
        <v>5</v>
      </c>
      <c r="H64" s="10">
        <f>IFERROR(vlookup('1.3'!G:G,lookup!$A$14:$B$16,2,false),0)</f>
        <v>5</v>
      </c>
      <c r="I64" s="10">
        <f>IFERROR(vlookup('1.3'!H:H,lookup!$A$18:$B$20,2,false),0)</f>
        <v>5</v>
      </c>
      <c r="J64" s="10">
        <f>IFERROR(vlookup('1.3'!I:I,lookup!$A$22:$B$24,2,false),0)</f>
        <v>3</v>
      </c>
      <c r="K64" s="10">
        <f>IFERROR(vlookup('1.3'!J:J,lookup!$A$26:$B$28,2,false),0)</f>
        <v>3</v>
      </c>
      <c r="M64" s="10">
        <v>63.0</v>
      </c>
      <c r="N64" s="11" t="str">
        <f t="shared" si="1"/>
        <v>bnco1063@signalschool.ac.th</v>
      </c>
      <c r="O64" s="12">
        <f t="shared" si="2"/>
        <v>1</v>
      </c>
      <c r="R64" s="6" t="s">
        <v>277</v>
      </c>
    </row>
    <row r="65">
      <c r="A65" s="8">
        <f>'1.3'!A:A</f>
        <v>46210.4274</v>
      </c>
      <c r="B65" s="1" t="str">
        <f>'1.3'!B:B</f>
        <v>bnco1011@signalschool.ac.th</v>
      </c>
      <c r="C65" s="1" t="str">
        <f>'1.3'!C:C</f>
        <v>จ.ส.อ.พัลลภ ดวงเดือน</v>
      </c>
      <c r="D65" s="9">
        <v>1.0</v>
      </c>
      <c r="E65" s="10">
        <f>IFERROR(vlookup('1.3'!D:D,lookup!$A$2:$B$4,2,false),0)</f>
        <v>3</v>
      </c>
      <c r="F65" s="10">
        <f>IFERROR(vlookup('1.3'!E:E,lookup!$A$6:$B$8,2,false),0)</f>
        <v>5</v>
      </c>
      <c r="G65" s="10">
        <f>IFERROR(vlookup('1.3'!F:F,lookup!$A$10:$B$12,2,false),0)</f>
        <v>5</v>
      </c>
      <c r="H65" s="10">
        <f>IFERROR(vlookup('1.3'!G:G,lookup!$A$14:$B$16,2,false),0)</f>
        <v>5</v>
      </c>
      <c r="I65" s="10">
        <f>IFERROR(vlookup('1.3'!H:H,lookup!$A$18:$B$20,2,false),0)</f>
        <v>5</v>
      </c>
      <c r="J65" s="10">
        <f>IFERROR(vlookup('1.3'!I:I,lookup!$A$22:$B$24,2,false),0)</f>
        <v>5</v>
      </c>
      <c r="K65" s="10">
        <f>IFERROR(vlookup('1.3'!J:J,lookup!$A$26:$B$28,2,false),0)</f>
        <v>5</v>
      </c>
      <c r="M65" s="10">
        <v>64.0</v>
      </c>
      <c r="N65" s="11" t="str">
        <f t="shared" si="1"/>
        <v>bnco1064@signalschool.ac.th</v>
      </c>
      <c r="O65" s="12">
        <f t="shared" si="2"/>
        <v>1</v>
      </c>
      <c r="R65" s="6" t="s">
        <v>278</v>
      </c>
    </row>
    <row r="66">
      <c r="A66" s="8">
        <f>'1.3'!A:A</f>
        <v>46210.42744</v>
      </c>
      <c r="B66" s="1" t="str">
        <f>'1.3'!B:B</f>
        <v>bnco1045@signalschool.ac.th</v>
      </c>
      <c r="C66" s="1" t="str">
        <f>'1.3'!C:C</f>
        <v>จ.ส.อ. พัลลภ  ดวงเดือน, ส.อ. สิทธิศักดิ์  รินไธสง</v>
      </c>
      <c r="D66" s="9">
        <v>1.0</v>
      </c>
      <c r="E66" s="10">
        <f>IFERROR(vlookup('1.3'!D:D,lookup!$A$2:$B$4,2,false),0)</f>
        <v>5</v>
      </c>
      <c r="F66" s="10">
        <f>IFERROR(vlookup('1.3'!E:E,lookup!$A$6:$B$8,2,false),0)</f>
        <v>5</v>
      </c>
      <c r="G66" s="10">
        <f>IFERROR(vlookup('1.3'!F:F,lookup!$A$10:$B$12,2,false),0)</f>
        <v>5</v>
      </c>
      <c r="H66" s="10">
        <f>IFERROR(vlookup('1.3'!G:G,lookup!$A$14:$B$16,2,false),0)</f>
        <v>5</v>
      </c>
      <c r="I66" s="10">
        <f>IFERROR(vlookup('1.3'!H:H,lookup!$A$18:$B$20,2,false),0)</f>
        <v>3</v>
      </c>
      <c r="J66" s="10">
        <f>IFERROR(vlookup('1.3'!I:I,lookup!$A$22:$B$24,2,false),0)</f>
        <v>3</v>
      </c>
      <c r="K66" s="10">
        <f>IFERROR(vlookup('1.3'!J:J,lookup!$A$26:$B$28,2,false),0)</f>
        <v>5</v>
      </c>
      <c r="M66" s="10">
        <v>65.0</v>
      </c>
      <c r="N66" s="11" t="str">
        <f t="shared" si="1"/>
        <v>bnco1065@signalschool.ac.th</v>
      </c>
      <c r="O66" s="12">
        <f t="shared" si="2"/>
        <v>1</v>
      </c>
      <c r="R66" s="6" t="s">
        <v>279</v>
      </c>
    </row>
    <row r="67">
      <c r="A67" s="8">
        <f>'1.3'!A:A</f>
        <v>46210.42763</v>
      </c>
      <c r="B67" s="1" t="str">
        <f>'1.3'!B:B</f>
        <v>bnco1074@signalschool.ac.th</v>
      </c>
      <c r="C67" s="1" t="str">
        <f>'1.3'!C:C</f>
        <v>จ.ส.อ.พัลลภ ดวงเดือน ครับ</v>
      </c>
      <c r="D67" s="9">
        <v>1.0</v>
      </c>
      <c r="E67" s="10">
        <f>IFERROR(vlookup('1.3'!D:D,lookup!$A$2:$B$4,2,false),0)</f>
        <v>5</v>
      </c>
      <c r="F67" s="10">
        <f>IFERROR(vlookup('1.3'!E:E,lookup!$A$6:$B$8,2,false),0)</f>
        <v>5</v>
      </c>
      <c r="G67" s="10">
        <f>IFERROR(vlookup('1.3'!F:F,lookup!$A$10:$B$12,2,false),0)</f>
        <v>5</v>
      </c>
      <c r="H67" s="10">
        <f>IFERROR(vlookup('1.3'!G:G,lookup!$A$14:$B$16,2,false),0)</f>
        <v>5</v>
      </c>
      <c r="I67" s="10">
        <f>IFERROR(vlookup('1.3'!H:H,lookup!$A$18:$B$20,2,false),0)</f>
        <v>5</v>
      </c>
      <c r="J67" s="10">
        <f>IFERROR(vlookup('1.3'!I:I,lookup!$A$22:$B$24,2,false),0)</f>
        <v>5</v>
      </c>
      <c r="K67" s="10">
        <f>IFERROR(vlookup('1.3'!J:J,lookup!$A$26:$B$28,2,false),0)</f>
        <v>5</v>
      </c>
      <c r="M67" s="10">
        <v>66.0</v>
      </c>
      <c r="N67" s="11" t="str">
        <f t="shared" si="1"/>
        <v>bnco1066@signalschool.ac.th</v>
      </c>
      <c r="O67" s="12">
        <f t="shared" si="2"/>
        <v>1</v>
      </c>
      <c r="R67" s="6" t="s">
        <v>280</v>
      </c>
    </row>
    <row r="68">
      <c r="A68" s="8">
        <f>'1.3'!A:A</f>
        <v>46210.4278</v>
      </c>
      <c r="B68" s="1" t="str">
        <f>'1.3'!B:B</f>
        <v>bnco1079@signalschool.ac.th</v>
      </c>
      <c r="C68" s="1" t="str">
        <f>'1.3'!C:C</f>
        <v>จ.ส.อ. พัลลภ ดวงเดือน, ส.อ.สิทธิศักดิ์ รนไธสง</v>
      </c>
      <c r="D68" s="9">
        <v>1.0</v>
      </c>
      <c r="E68" s="10">
        <f>IFERROR(vlookup('1.3'!D:D,lookup!$A$2:$B$4,2,false),0)</f>
        <v>5</v>
      </c>
      <c r="F68" s="10">
        <f>IFERROR(vlookup('1.3'!E:E,lookup!$A$6:$B$8,2,false),0)</f>
        <v>5</v>
      </c>
      <c r="G68" s="10">
        <f>IFERROR(vlookup('1.3'!F:F,lookup!$A$10:$B$12,2,false),0)</f>
        <v>5</v>
      </c>
      <c r="H68" s="10">
        <f>IFERROR(vlookup('1.3'!G:G,lookup!$A$14:$B$16,2,false),0)</f>
        <v>5</v>
      </c>
      <c r="I68" s="10">
        <f>IFERROR(vlookup('1.3'!H:H,lookup!$A$18:$B$20,2,false),0)</f>
        <v>5</v>
      </c>
      <c r="J68" s="10">
        <f>IFERROR(vlookup('1.3'!I:I,lookup!$A$22:$B$24,2,false),0)</f>
        <v>5</v>
      </c>
      <c r="K68" s="10">
        <f>IFERROR(vlookup('1.3'!J:J,lookup!$A$26:$B$28,2,false),0)</f>
        <v>5</v>
      </c>
      <c r="M68" s="10">
        <v>67.0</v>
      </c>
      <c r="N68" s="11" t="str">
        <f t="shared" si="1"/>
        <v>bnco1067@signalschool.ac.th</v>
      </c>
      <c r="O68" s="12">
        <f t="shared" si="2"/>
        <v>1</v>
      </c>
      <c r="R68" s="6" t="s">
        <v>281</v>
      </c>
    </row>
    <row r="69">
      <c r="A69" s="8">
        <f>'1.3'!A:A</f>
        <v>46210.42791</v>
      </c>
      <c r="B69" s="1" t="str">
        <f>'1.3'!B:B</f>
        <v>bnco1048@signalschool.ac.th</v>
      </c>
      <c r="C69" s="1" t="str">
        <f>'1.3'!C:C</f>
        <v>จ.ส.อ.พัลลภ ดวงเดือน</v>
      </c>
      <c r="D69" s="9">
        <v>1.0</v>
      </c>
      <c r="E69" s="10">
        <f>IFERROR(vlookup('1.3'!D:D,lookup!$A$2:$B$4,2,false),0)</f>
        <v>5</v>
      </c>
      <c r="F69" s="10">
        <f>IFERROR(vlookup('1.3'!E:E,lookup!$A$6:$B$8,2,false),0)</f>
        <v>5</v>
      </c>
      <c r="G69" s="10">
        <f>IFERROR(vlookup('1.3'!F:F,lookup!$A$10:$B$12,2,false),0)</f>
        <v>5</v>
      </c>
      <c r="H69" s="10">
        <f>IFERROR(vlookup('1.3'!G:G,lookup!$A$14:$B$16,2,false),0)</f>
        <v>5</v>
      </c>
      <c r="I69" s="10">
        <f>IFERROR(vlookup('1.3'!H:H,lookup!$A$18:$B$20,2,false),0)</f>
        <v>5</v>
      </c>
      <c r="J69" s="10">
        <f>IFERROR(vlookup('1.3'!I:I,lookup!$A$22:$B$24,2,false),0)</f>
        <v>5</v>
      </c>
      <c r="K69" s="10">
        <f>IFERROR(vlookup('1.3'!J:J,lookup!$A$26:$B$28,2,false),0)</f>
        <v>5</v>
      </c>
      <c r="M69" s="10">
        <v>68.0</v>
      </c>
      <c r="N69" s="11" t="str">
        <f t="shared" si="1"/>
        <v>bnco1068@signalschool.ac.th</v>
      </c>
      <c r="O69" s="12">
        <f t="shared" si="2"/>
        <v>1</v>
      </c>
      <c r="R69" s="6" t="s">
        <v>282</v>
      </c>
    </row>
    <row r="70">
      <c r="A70" s="8">
        <f>'1.3'!A:A</f>
        <v>46210.42818</v>
      </c>
      <c r="B70" s="1" t="str">
        <f>'1.3'!B:B</f>
        <v>bnco1007@signalschool.ac.th</v>
      </c>
      <c r="C70" s="1" t="str">
        <f>'1.3'!C:C</f>
        <v>จ.ส.อ.พัลลภ ดวงเดือน</v>
      </c>
      <c r="D70" s="9">
        <v>1.0</v>
      </c>
      <c r="E70" s="10">
        <f>IFERROR(vlookup('1.3'!D:D,lookup!$A$2:$B$4,2,false),0)</f>
        <v>5</v>
      </c>
      <c r="F70" s="10">
        <f>IFERROR(vlookup('1.3'!E:E,lookup!$A$6:$B$8,2,false),0)</f>
        <v>5</v>
      </c>
      <c r="G70" s="10">
        <f>IFERROR(vlookup('1.3'!F:F,lookup!$A$10:$B$12,2,false),0)</f>
        <v>5</v>
      </c>
      <c r="H70" s="10">
        <f>IFERROR(vlookup('1.3'!G:G,lookup!$A$14:$B$16,2,false),0)</f>
        <v>5</v>
      </c>
      <c r="I70" s="10">
        <f>IFERROR(vlookup('1.3'!H:H,lookup!$A$18:$B$20,2,false),0)</f>
        <v>5</v>
      </c>
      <c r="J70" s="10">
        <f>IFERROR(vlookup('1.3'!I:I,lookup!$A$22:$B$24,2,false),0)</f>
        <v>5</v>
      </c>
      <c r="K70" s="10">
        <f>IFERROR(vlookup('1.3'!J:J,lookup!$A$26:$B$28,2,false),0)</f>
        <v>5</v>
      </c>
      <c r="M70" s="10">
        <v>69.0</v>
      </c>
      <c r="N70" s="11" t="str">
        <f t="shared" si="1"/>
        <v>bnco1069@signalschool.ac.th</v>
      </c>
      <c r="O70" s="12">
        <f t="shared" si="2"/>
        <v>1</v>
      </c>
      <c r="R70" s="6" t="s">
        <v>283</v>
      </c>
    </row>
    <row r="71">
      <c r="A71" s="8">
        <f>'1.3'!A:A</f>
        <v>46210.42913</v>
      </c>
      <c r="B71" s="1" t="str">
        <f>'1.3'!B:B</f>
        <v>bnco1050@signalschool.ac.th</v>
      </c>
      <c r="C71" s="1" t="str">
        <f>'1.3'!C:C</f>
        <v>จ.ส.อ.พัลลภ ดวงเดือน</v>
      </c>
      <c r="D71" s="9">
        <v>1.0</v>
      </c>
      <c r="E71" s="10">
        <f>IFERROR(vlookup('1.3'!D:D,lookup!$A$2:$B$4,2,false),0)</f>
        <v>5</v>
      </c>
      <c r="F71" s="10">
        <f>IFERROR(vlookup('1.3'!E:E,lookup!$A$6:$B$8,2,false),0)</f>
        <v>5</v>
      </c>
      <c r="G71" s="10">
        <f>IFERROR(vlookup('1.3'!F:F,lookup!$A$10:$B$12,2,false),0)</f>
        <v>5</v>
      </c>
      <c r="H71" s="10">
        <f>IFERROR(vlookup('1.3'!G:G,lookup!$A$14:$B$16,2,false),0)</f>
        <v>5</v>
      </c>
      <c r="I71" s="10">
        <f>IFERROR(vlookup('1.3'!H:H,lookup!$A$18:$B$20,2,false),0)</f>
        <v>5</v>
      </c>
      <c r="J71" s="10">
        <f>IFERROR(vlookup('1.3'!I:I,lookup!$A$22:$B$24,2,false),0)</f>
        <v>5</v>
      </c>
      <c r="K71" s="10">
        <f>IFERROR(vlookup('1.3'!J:J,lookup!$A$26:$B$28,2,false),0)</f>
        <v>5</v>
      </c>
      <c r="M71" s="10">
        <v>70.0</v>
      </c>
      <c r="N71" s="11" t="str">
        <f t="shared" si="1"/>
        <v>bnco1070@signalschool.ac.th</v>
      </c>
      <c r="O71" s="12">
        <f t="shared" si="2"/>
        <v>1</v>
      </c>
      <c r="R71" s="6" t="s">
        <v>284</v>
      </c>
    </row>
    <row r="72">
      <c r="A72" s="8">
        <f>'1.3'!A:A</f>
        <v>46210.42999</v>
      </c>
      <c r="B72" s="1" t="str">
        <f>'1.3'!B:B</f>
        <v>bnco1037@signalschool.ac.th</v>
      </c>
      <c r="C72" s="1" t="str">
        <f>'1.3'!C:C</f>
        <v>จ.ส.อ. พัลลภ  ดวงเดือน, ส.อ. สิทธิศักดิ์  รินไธสง</v>
      </c>
      <c r="D72" s="9">
        <v>1.0</v>
      </c>
      <c r="E72" s="10">
        <f>IFERROR(vlookup('1.3'!D:D,lookup!$A$2:$B$4,2,false),0)</f>
        <v>5</v>
      </c>
      <c r="F72" s="10">
        <f>IFERROR(vlookup('1.3'!E:E,lookup!$A$6:$B$8,2,false),0)</f>
        <v>5</v>
      </c>
      <c r="G72" s="10">
        <f>IFERROR(vlookup('1.3'!F:F,lookup!$A$10:$B$12,2,false),0)</f>
        <v>5</v>
      </c>
      <c r="H72" s="10">
        <f>IFERROR(vlookup('1.3'!G:G,lookup!$A$14:$B$16,2,false),0)</f>
        <v>5</v>
      </c>
      <c r="I72" s="10">
        <f>IFERROR(vlookup('1.3'!H:H,lookup!$A$18:$B$20,2,false),0)</f>
        <v>5</v>
      </c>
      <c r="J72" s="10">
        <f>IFERROR(vlookup('1.3'!I:I,lookup!$A$22:$B$24,2,false),0)</f>
        <v>5</v>
      </c>
      <c r="K72" s="10">
        <f>IFERROR(vlookup('1.3'!J:J,lookup!$A$26:$B$28,2,false),0)</f>
        <v>5</v>
      </c>
      <c r="M72" s="10">
        <v>71.0</v>
      </c>
      <c r="N72" s="11" t="str">
        <f t="shared" si="1"/>
        <v>bnco1071@signalschool.ac.th</v>
      </c>
      <c r="O72" s="12">
        <f t="shared" si="2"/>
        <v>1</v>
      </c>
      <c r="R72" s="6" t="s">
        <v>285</v>
      </c>
    </row>
    <row r="73">
      <c r="A73" s="8">
        <f>'1.3'!A:A</f>
        <v>46210.43002</v>
      </c>
      <c r="B73" s="1" t="str">
        <f>'1.3'!B:B</f>
        <v>bnco1019@signalschool.ac.th</v>
      </c>
      <c r="C73" s="1" t="str">
        <f>'1.3'!C:C</f>
        <v>จ.ส.อ.ภัลลพ  ดวงเดือน, ส.อ.สิทธิศักดิ์  รินไธสง</v>
      </c>
      <c r="D73" s="9">
        <v>1.0</v>
      </c>
      <c r="E73" s="10">
        <f>IFERROR(vlookup('1.3'!D:D,lookup!$A$2:$B$4,2,false),0)</f>
        <v>5</v>
      </c>
      <c r="F73" s="10">
        <f>IFERROR(vlookup('1.3'!E:E,lookup!$A$6:$B$8,2,false),0)</f>
        <v>5</v>
      </c>
      <c r="G73" s="10">
        <f>IFERROR(vlookup('1.3'!F:F,lookup!$A$10:$B$12,2,false),0)</f>
        <v>5</v>
      </c>
      <c r="H73" s="10">
        <f>IFERROR(vlookup('1.3'!G:G,lookup!$A$14:$B$16,2,false),0)</f>
        <v>5</v>
      </c>
      <c r="I73" s="10">
        <f>IFERROR(vlookup('1.3'!H:H,lookup!$A$18:$B$20,2,false),0)</f>
        <v>3</v>
      </c>
      <c r="J73" s="10">
        <f>IFERROR(vlookup('1.3'!I:I,lookup!$A$22:$B$24,2,false),0)</f>
        <v>5</v>
      </c>
      <c r="K73" s="10">
        <f>IFERROR(vlookup('1.3'!J:J,lookup!$A$26:$B$28,2,false),0)</f>
        <v>5</v>
      </c>
      <c r="M73" s="10">
        <v>72.0</v>
      </c>
      <c r="N73" s="11" t="str">
        <f t="shared" si="1"/>
        <v>bnco1072@signalschool.ac.th</v>
      </c>
      <c r="O73" s="12">
        <f t="shared" si="2"/>
        <v>1</v>
      </c>
      <c r="R73" s="6" t="s">
        <v>286</v>
      </c>
    </row>
    <row r="74">
      <c r="A74" s="8">
        <f>'1.3'!A:A</f>
        <v>46210.43048</v>
      </c>
      <c r="B74" s="1" t="str">
        <f>'1.3'!B:B</f>
        <v>bnco1075@signalschool.ac.th</v>
      </c>
      <c r="C74" s="1" t="str">
        <f>'1.3'!C:C</f>
        <v>จ.ส.อ.พัลลภ ดวงเดือน,ส.อ.สิทธิศักดิ์ รินไธสง</v>
      </c>
      <c r="D74" s="9">
        <v>1.0</v>
      </c>
      <c r="E74" s="10">
        <f>IFERROR(vlookup('1.3'!D:D,lookup!$A$2:$B$4,2,false),0)</f>
        <v>5</v>
      </c>
      <c r="F74" s="10">
        <f>IFERROR(vlookup('1.3'!E:E,lookup!$A$6:$B$8,2,false),0)</f>
        <v>5</v>
      </c>
      <c r="G74" s="10">
        <f>IFERROR(vlookup('1.3'!F:F,lookup!$A$10:$B$12,2,false),0)</f>
        <v>5</v>
      </c>
      <c r="H74" s="10">
        <f>IFERROR(vlookup('1.3'!G:G,lookup!$A$14:$B$16,2,false),0)</f>
        <v>5</v>
      </c>
      <c r="I74" s="10">
        <f>IFERROR(vlookup('1.3'!H:H,lookup!$A$18:$B$20,2,false),0)</f>
        <v>5</v>
      </c>
      <c r="J74" s="10">
        <f>IFERROR(vlookup('1.3'!I:I,lookup!$A$22:$B$24,2,false),0)</f>
        <v>5</v>
      </c>
      <c r="K74" s="10">
        <f>IFERROR(vlookup('1.3'!J:J,lookup!$A$26:$B$28,2,false),0)</f>
        <v>5</v>
      </c>
      <c r="M74" s="10">
        <v>73.0</v>
      </c>
      <c r="N74" s="11" t="str">
        <f t="shared" si="1"/>
        <v>bnco1073@signalschool.ac.th</v>
      </c>
      <c r="O74" s="12">
        <f t="shared" si="2"/>
        <v>1</v>
      </c>
      <c r="R74" s="6" t="s">
        <v>287</v>
      </c>
    </row>
    <row r="75">
      <c r="A75" s="8">
        <f>'1.3'!A:A</f>
        <v>46210.43154</v>
      </c>
      <c r="B75" s="1" t="str">
        <f>'1.3'!B:B</f>
        <v>bnco1025@signalschool.ac.th</v>
      </c>
      <c r="C75" s="1" t="str">
        <f>'1.3'!C:C</f>
        <v>จ.ส.อ. พัลลภ  ดวงเดือน, ส.อ. สิทธิศักดิ์  รินไธสง,</v>
      </c>
      <c r="D75" s="9">
        <v>1.0</v>
      </c>
      <c r="E75" s="10">
        <f>IFERROR(vlookup('1.3'!D:D,lookup!$A$2:$B$4,2,false),0)</f>
        <v>5</v>
      </c>
      <c r="F75" s="10">
        <f>IFERROR(vlookup('1.3'!E:E,lookup!$A$6:$B$8,2,false),0)</f>
        <v>5</v>
      </c>
      <c r="G75" s="10">
        <f>IFERROR(vlookup('1.3'!F:F,lookup!$A$10:$B$12,2,false),0)</f>
        <v>5</v>
      </c>
      <c r="H75" s="10">
        <f>IFERROR(vlookup('1.3'!G:G,lookup!$A$14:$B$16,2,false),0)</f>
        <v>5</v>
      </c>
      <c r="I75" s="10">
        <f>IFERROR(vlookup('1.3'!H:H,lookup!$A$18:$B$20,2,false),0)</f>
        <v>5</v>
      </c>
      <c r="J75" s="10">
        <f>IFERROR(vlookup('1.3'!I:I,lookup!$A$22:$B$24,2,false),0)</f>
        <v>5</v>
      </c>
      <c r="K75" s="10">
        <f>IFERROR(vlookup('1.3'!J:J,lookup!$A$26:$B$28,2,false),0)</f>
        <v>5</v>
      </c>
      <c r="M75" s="10">
        <v>74.0</v>
      </c>
      <c r="N75" s="11" t="str">
        <f t="shared" si="1"/>
        <v>bnco1074@signalschool.ac.th</v>
      </c>
      <c r="O75" s="12">
        <f t="shared" si="2"/>
        <v>1</v>
      </c>
      <c r="R75" s="6" t="s">
        <v>288</v>
      </c>
    </row>
    <row r="76">
      <c r="A76" s="8">
        <f>'1.3'!A:A</f>
        <v>46210.43257</v>
      </c>
      <c r="B76" s="1" t="str">
        <f>'1.3'!B:B</f>
        <v>bnco1077@signalschool.ac.th</v>
      </c>
      <c r="C76" s="1" t="str">
        <f>'1.3'!C:C</f>
        <v>จ.ส.อ. พัลลภ  ดวงเดือน</v>
      </c>
      <c r="D76" s="9">
        <v>1.0</v>
      </c>
      <c r="E76" s="10">
        <f>IFERROR(vlookup('1.3'!D:D,lookup!$A$2:$B$4,2,false),0)</f>
        <v>5</v>
      </c>
      <c r="F76" s="10">
        <f>IFERROR(vlookup('1.3'!E:E,lookup!$A$6:$B$8,2,false),0)</f>
        <v>5</v>
      </c>
      <c r="G76" s="10">
        <f>IFERROR(vlookup('1.3'!F:F,lookup!$A$10:$B$12,2,false),0)</f>
        <v>5</v>
      </c>
      <c r="H76" s="10">
        <f>IFERROR(vlookup('1.3'!G:G,lookup!$A$14:$B$16,2,false),0)</f>
        <v>5</v>
      </c>
      <c r="I76" s="10">
        <f>IFERROR(vlookup('1.3'!H:H,lookup!$A$18:$B$20,2,false),0)</f>
        <v>5</v>
      </c>
      <c r="J76" s="10">
        <f>IFERROR(vlookup('1.3'!I:I,lookup!$A$22:$B$24,2,false),0)</f>
        <v>5</v>
      </c>
      <c r="K76" s="10">
        <f>IFERROR(vlookup('1.3'!J:J,lookup!$A$26:$B$28,2,false),0)</f>
        <v>5</v>
      </c>
      <c r="M76" s="10">
        <v>75.0</v>
      </c>
      <c r="N76" s="11" t="str">
        <f t="shared" si="1"/>
        <v>bnco1075@signalschool.ac.th</v>
      </c>
      <c r="O76" s="12">
        <f t="shared" si="2"/>
        <v>1</v>
      </c>
      <c r="R76" s="6" t="s">
        <v>289</v>
      </c>
    </row>
    <row r="77">
      <c r="A77" s="8">
        <f>'1.3'!A:A</f>
        <v>46210.43622</v>
      </c>
      <c r="B77" s="1" t="str">
        <f>'1.3'!B:B</f>
        <v>bnco1046@signalschool.ac.th</v>
      </c>
      <c r="C77" s="1" t="str">
        <f>'1.3'!C:C</f>
        <v>จ.ส.อ. พัลลภ  ดวงเดือน, ส.อ. สิทธิศักดิ์  รินไธสง</v>
      </c>
      <c r="D77" s="9">
        <v>1.0</v>
      </c>
      <c r="E77" s="10">
        <f>IFERROR(vlookup('1.3'!D:D,lookup!$A$2:$B$4,2,false),0)</f>
        <v>5</v>
      </c>
      <c r="F77" s="10">
        <f>IFERROR(vlookup('1.3'!E:E,lookup!$A$6:$B$8,2,false),0)</f>
        <v>5</v>
      </c>
      <c r="G77" s="10">
        <f>IFERROR(vlookup('1.3'!F:F,lookup!$A$10:$B$12,2,false),0)</f>
        <v>5</v>
      </c>
      <c r="H77" s="10">
        <f>IFERROR(vlookup('1.3'!G:G,lookup!$A$14:$B$16,2,false),0)</f>
        <v>5</v>
      </c>
      <c r="I77" s="10">
        <f>IFERROR(vlookup('1.3'!H:H,lookup!$A$18:$B$20,2,false),0)</f>
        <v>5</v>
      </c>
      <c r="J77" s="10">
        <f>IFERROR(vlookup('1.3'!I:I,lookup!$A$22:$B$24,2,false),0)</f>
        <v>5</v>
      </c>
      <c r="K77" s="10">
        <f>IFERROR(vlookup('1.3'!J:J,lookup!$A$26:$B$28,2,false),0)</f>
        <v>5</v>
      </c>
      <c r="M77" s="10">
        <v>76.0</v>
      </c>
      <c r="N77" s="11" t="str">
        <f t="shared" si="1"/>
        <v>bnco1076@signalschool.ac.th</v>
      </c>
      <c r="O77" s="12">
        <f t="shared" si="2"/>
        <v>1</v>
      </c>
      <c r="R77" s="6" t="s">
        <v>290</v>
      </c>
    </row>
    <row r="78">
      <c r="A78" s="8">
        <f>'1.3'!A:A</f>
        <v>46210.43686</v>
      </c>
      <c r="B78" s="1" t="str">
        <f>'1.3'!B:B</f>
        <v>bnco1027@signalschool.ac.th</v>
      </c>
      <c r="C78" s="1" t="str">
        <f>'1.3'!C:C</f>
        <v>ส.อ.ไวยวุฒิ จิตต์นิยม</v>
      </c>
      <c r="D78" s="9">
        <v>1.0</v>
      </c>
      <c r="E78" s="10">
        <f>IFERROR(vlookup('1.3'!D:D,lookup!$A$2:$B$4,2,false),0)</f>
        <v>5</v>
      </c>
      <c r="F78" s="10">
        <f>IFERROR(vlookup('1.3'!E:E,lookup!$A$6:$B$8,2,false),0)</f>
        <v>5</v>
      </c>
      <c r="G78" s="10">
        <f>IFERROR(vlookup('1.3'!F:F,lookup!$A$10:$B$12,2,false),0)</f>
        <v>5</v>
      </c>
      <c r="H78" s="10">
        <f>IFERROR(vlookup('1.3'!G:G,lookup!$A$14:$B$16,2,false),0)</f>
        <v>5</v>
      </c>
      <c r="I78" s="10">
        <f>IFERROR(vlookup('1.3'!H:H,lookup!$A$18:$B$20,2,false),0)</f>
        <v>5</v>
      </c>
      <c r="J78" s="10">
        <f>IFERROR(vlookup('1.3'!I:I,lookup!$A$22:$B$24,2,false),0)</f>
        <v>3</v>
      </c>
      <c r="K78" s="10">
        <f>IFERROR(vlookup('1.3'!J:J,lookup!$A$26:$B$28,2,false),0)</f>
        <v>5</v>
      </c>
      <c r="M78" s="10">
        <v>77.0</v>
      </c>
      <c r="N78" s="11" t="str">
        <f t="shared" si="1"/>
        <v>bnco1077@signalschool.ac.th</v>
      </c>
      <c r="O78" s="12">
        <f t="shared" si="2"/>
        <v>1</v>
      </c>
      <c r="R78" s="6" t="s">
        <v>291</v>
      </c>
    </row>
    <row r="79">
      <c r="A79" s="8">
        <f>'1.3'!A:A</f>
        <v>46210.43695</v>
      </c>
      <c r="B79" s="1" t="str">
        <f>'1.3'!B:B</f>
        <v>bnco1033@signalschool.ac.th</v>
      </c>
      <c r="C79" s="1" t="str">
        <f>'1.3'!C:C</f>
        <v>จ.ส.อ. พัลลภ ดวงเดือน, ส.อ. สิทธิ ศักดิ์ รินไธสง</v>
      </c>
      <c r="D79" s="9">
        <v>1.0</v>
      </c>
      <c r="E79" s="10">
        <f>IFERROR(vlookup('1.3'!D:D,lookup!$A$2:$B$4,2,false),0)</f>
        <v>5</v>
      </c>
      <c r="F79" s="10">
        <f>IFERROR(vlookup('1.3'!E:E,lookup!$A$6:$B$8,2,false),0)</f>
        <v>5</v>
      </c>
      <c r="G79" s="10">
        <f>IFERROR(vlookup('1.3'!F:F,lookup!$A$10:$B$12,2,false),0)</f>
        <v>5</v>
      </c>
      <c r="H79" s="10">
        <f>IFERROR(vlookup('1.3'!G:G,lookup!$A$14:$B$16,2,false),0)</f>
        <v>5</v>
      </c>
      <c r="I79" s="10">
        <f>IFERROR(vlookup('1.3'!H:H,lookup!$A$18:$B$20,2,false),0)</f>
        <v>5</v>
      </c>
      <c r="J79" s="10">
        <f>IFERROR(vlookup('1.3'!I:I,lookup!$A$22:$B$24,2,false),0)</f>
        <v>5</v>
      </c>
      <c r="K79" s="10">
        <f>IFERROR(vlookup('1.3'!J:J,lookup!$A$26:$B$28,2,false),0)</f>
        <v>5</v>
      </c>
      <c r="M79" s="10">
        <v>78.0</v>
      </c>
      <c r="N79" s="11" t="str">
        <f t="shared" si="1"/>
        <v>bnco1078@signalschool.ac.th</v>
      </c>
      <c r="O79" s="12">
        <f t="shared" si="2"/>
        <v>1</v>
      </c>
      <c r="R79" s="6" t="s">
        <v>292</v>
      </c>
    </row>
    <row r="80">
      <c r="A80" s="8">
        <f>'1.3'!A:A</f>
        <v>46264.874</v>
      </c>
      <c r="B80" s="1" t="str">
        <f>'1.3'!B:B</f>
        <v>edu.rad@signalschool.ac.th</v>
      </c>
      <c r="C80" s="1" t="str">
        <f>'1.3'!C:C</f>
        <v>ครูอาจารย์ รร.ส.สส.</v>
      </c>
      <c r="D80" s="9">
        <v>1.0</v>
      </c>
      <c r="E80" s="10">
        <f>IFERROR(vlookup('1.3'!D:D,lookup!$A$2:$B$4,2,false),0)</f>
        <v>5</v>
      </c>
      <c r="F80" s="10">
        <f>IFERROR(vlookup('1.3'!E:E,lookup!$A$6:$B$8,2,false),0)</f>
        <v>5</v>
      </c>
      <c r="G80" s="10">
        <f>IFERROR(vlookup('1.3'!F:F,lookup!$A$10:$B$12,2,false),0)</f>
        <v>5</v>
      </c>
      <c r="H80" s="10">
        <f>IFERROR(vlookup('1.3'!G:G,lookup!$A$14:$B$16,2,false),0)</f>
        <v>5</v>
      </c>
      <c r="I80" s="10">
        <f>IFERROR(vlookup('1.3'!H:H,lookup!$A$18:$B$20,2,false),0)</f>
        <v>5</v>
      </c>
      <c r="J80" s="10">
        <f>IFERROR(vlookup('1.3'!I:I,lookup!$A$22:$B$24,2,false),0)</f>
        <v>5</v>
      </c>
      <c r="K80" s="10">
        <f>IFERROR(vlookup('1.3'!J:J,lookup!$A$26:$B$28,2,false),0)</f>
        <v>5</v>
      </c>
      <c r="M80" s="10">
        <v>79.0</v>
      </c>
      <c r="N80" s="11" t="str">
        <f t="shared" si="1"/>
        <v>bnco1079@signalschool.ac.th</v>
      </c>
      <c r="O80" s="12">
        <f t="shared" si="2"/>
        <v>1</v>
      </c>
      <c r="R80" s="6" t="s">
        <v>293</v>
      </c>
    </row>
    <row r="81">
      <c r="A81" s="8" t="str">
        <f>'1.3'!A:A</f>
        <v/>
      </c>
      <c r="B81" s="1" t="str">
        <f>'1.3'!B:B</f>
        <v/>
      </c>
      <c r="C81" s="1" t="str">
        <f>'1.3'!C:C</f>
        <v/>
      </c>
      <c r="D81" s="9">
        <v>1.0</v>
      </c>
      <c r="E81" s="10">
        <f>IFERROR(vlookup('1.3'!D:D,lookup!$A$2:$B$4,2,false),0)</f>
        <v>0</v>
      </c>
      <c r="F81" s="10">
        <f>IFERROR(vlookup('1.3'!E:E,lookup!$A$6:$B$8,2,false),0)</f>
        <v>0</v>
      </c>
      <c r="G81" s="10">
        <f>IFERROR(vlookup('1.3'!F:F,lookup!$A$10:$B$12,2,false),0)</f>
        <v>0</v>
      </c>
      <c r="H81" s="10">
        <f>IFERROR(vlookup('1.3'!G:G,lookup!$A$14:$B$16,2,false),0)</f>
        <v>0</v>
      </c>
      <c r="I81" s="10">
        <f>IFERROR(vlookup('1.3'!H:H,lookup!$A$18:$B$20,2,false),0)</f>
        <v>0</v>
      </c>
      <c r="J81" s="10">
        <f>IFERROR(vlookup('1.3'!I:I,lookup!$A$22:$B$24,2,false),0)</f>
        <v>0</v>
      </c>
      <c r="K81" s="10">
        <f>IFERROR(vlookup('1.3'!J:J,lookup!$A$26:$B$28,2,false),0)</f>
        <v>0</v>
      </c>
      <c r="M81" s="10">
        <v>80.0</v>
      </c>
      <c r="N81" s="11" t="str">
        <f t="shared" si="1"/>
        <v>bnco1080@signalschool.ac.th</v>
      </c>
      <c r="O81" s="12">
        <f t="shared" si="2"/>
        <v>1</v>
      </c>
      <c r="R81" s="6" t="s">
        <v>294</v>
      </c>
    </row>
    <row r="82">
      <c r="A82" s="8" t="str">
        <f>'1.3'!A:A</f>
        <v/>
      </c>
      <c r="B82" s="1" t="str">
        <f>'1.3'!B:B</f>
        <v/>
      </c>
      <c r="C82" s="1" t="str">
        <f>'1.3'!C:C</f>
        <v/>
      </c>
      <c r="D82" s="9"/>
      <c r="E82" s="15"/>
      <c r="F82" s="15"/>
      <c r="G82" s="15"/>
      <c r="H82" s="15"/>
      <c r="I82" s="15"/>
      <c r="J82" s="15"/>
      <c r="K82" s="15"/>
    </row>
    <row r="83">
      <c r="A83" s="8" t="str">
        <f>'1.3'!A:A</f>
        <v/>
      </c>
      <c r="B83" s="1" t="str">
        <f>'1.3'!B:B</f>
        <v/>
      </c>
      <c r="C83" s="1" t="str">
        <f>'1.3'!C:C</f>
        <v/>
      </c>
      <c r="D83" s="9"/>
      <c r="E83" s="15"/>
      <c r="F83" s="15"/>
      <c r="G83" s="15"/>
      <c r="H83" s="15"/>
      <c r="I83" s="15"/>
      <c r="J83" s="15"/>
      <c r="K83" s="15"/>
    </row>
    <row r="84">
      <c r="A84" s="8" t="str">
        <f>'1.3'!A:A</f>
        <v/>
      </c>
      <c r="B84" s="1" t="str">
        <f>'1.3'!B:B</f>
        <v/>
      </c>
      <c r="C84" s="1" t="str">
        <f>'1.3'!C:C</f>
        <v/>
      </c>
      <c r="D84" s="9"/>
      <c r="E84" s="15"/>
      <c r="F84" s="15"/>
      <c r="G84" s="15"/>
      <c r="H84" s="15"/>
      <c r="I84" s="15"/>
      <c r="J84" s="15"/>
      <c r="K84" s="15"/>
    </row>
    <row r="85">
      <c r="A85" s="8" t="str">
        <f>'1.3'!A:A</f>
        <v/>
      </c>
      <c r="B85" s="1" t="str">
        <f>'1.3'!B:B</f>
        <v/>
      </c>
      <c r="C85" s="1" t="str">
        <f>'1.3'!C:C</f>
        <v/>
      </c>
      <c r="D85" s="9"/>
      <c r="E85" s="15"/>
      <c r="F85" s="15"/>
      <c r="G85" s="15"/>
      <c r="H85" s="15"/>
      <c r="I85" s="15"/>
      <c r="J85" s="15"/>
      <c r="K85" s="15"/>
    </row>
    <row r="86">
      <c r="A86" s="8" t="str">
        <f>'1.3'!A:A</f>
        <v/>
      </c>
      <c r="B86" s="1" t="str">
        <f>'1.3'!B:B</f>
        <v/>
      </c>
      <c r="C86" s="1" t="str">
        <f>'1.3'!C:C</f>
        <v/>
      </c>
      <c r="D86" s="9"/>
      <c r="E86" s="15"/>
      <c r="F86" s="15"/>
      <c r="G86" s="15"/>
      <c r="H86" s="15"/>
      <c r="I86" s="15"/>
      <c r="J86" s="15"/>
      <c r="K86" s="15"/>
    </row>
    <row r="87">
      <c r="A87" s="8" t="str">
        <f>'1.3'!A:A</f>
        <v/>
      </c>
      <c r="B87" s="1" t="str">
        <f>'1.3'!B:B</f>
        <v/>
      </c>
      <c r="C87" s="1" t="str">
        <f>'1.3'!C:C</f>
        <v/>
      </c>
      <c r="D87" s="9"/>
      <c r="E87" s="15"/>
      <c r="F87" s="15"/>
      <c r="G87" s="15"/>
      <c r="H87" s="15"/>
      <c r="I87" s="15"/>
      <c r="J87" s="15"/>
      <c r="K87" s="15"/>
    </row>
    <row r="88">
      <c r="A88" s="8" t="str">
        <f>'1.3'!A:A</f>
        <v/>
      </c>
      <c r="B88" s="1" t="str">
        <f>'1.3'!B:B</f>
        <v/>
      </c>
      <c r="C88" s="1" t="str">
        <f>'1.3'!C:C</f>
        <v/>
      </c>
      <c r="D88" s="9"/>
      <c r="E88" s="15"/>
      <c r="F88" s="15"/>
      <c r="G88" s="15"/>
      <c r="H88" s="15"/>
      <c r="I88" s="15"/>
      <c r="J88" s="15"/>
      <c r="K88" s="15"/>
    </row>
    <row r="89">
      <c r="A89" s="8" t="str">
        <f>'1.3'!A:A</f>
        <v/>
      </c>
      <c r="B89" s="1" t="str">
        <f>'1.3'!B:B</f>
        <v/>
      </c>
      <c r="C89" s="1" t="str">
        <f>'1.3'!C:C</f>
        <v/>
      </c>
      <c r="D89" s="9"/>
      <c r="E89" s="15"/>
      <c r="F89" s="15"/>
      <c r="G89" s="15"/>
      <c r="H89" s="15"/>
      <c r="I89" s="15"/>
      <c r="J89" s="15"/>
      <c r="K89" s="15"/>
    </row>
    <row r="90">
      <c r="A90" s="8" t="str">
        <f>'1.3'!A:A</f>
        <v/>
      </c>
      <c r="B90" s="1" t="str">
        <f>'1.3'!B:B</f>
        <v/>
      </c>
      <c r="C90" s="1" t="str">
        <f>'1.3'!C:C</f>
        <v/>
      </c>
      <c r="D90" s="9"/>
      <c r="E90" s="15"/>
      <c r="F90" s="15"/>
      <c r="G90" s="15"/>
      <c r="H90" s="15"/>
      <c r="I90" s="15"/>
      <c r="J90" s="15"/>
      <c r="K90" s="15"/>
    </row>
    <row r="91">
      <c r="A91" s="8" t="str">
        <f>'1.3'!A:A</f>
        <v/>
      </c>
      <c r="B91" s="1" t="str">
        <f>'1.3'!B:B</f>
        <v/>
      </c>
      <c r="C91" s="1" t="str">
        <f>'1.3'!C:C</f>
        <v/>
      </c>
      <c r="D91" s="9"/>
      <c r="E91" s="15"/>
      <c r="F91" s="15"/>
      <c r="G91" s="15"/>
      <c r="H91" s="15"/>
      <c r="I91" s="15"/>
      <c r="J91" s="15"/>
      <c r="K91" s="15"/>
    </row>
    <row r="92">
      <c r="A92" s="8" t="str">
        <f>'1.3'!A:A</f>
        <v/>
      </c>
      <c r="B92" s="1" t="str">
        <f>'1.3'!B:B</f>
        <v/>
      </c>
      <c r="C92" s="1" t="str">
        <f>'1.3'!C:C</f>
        <v/>
      </c>
      <c r="D92" s="9"/>
      <c r="E92" s="15"/>
      <c r="F92" s="15"/>
      <c r="G92" s="15"/>
      <c r="H92" s="15"/>
      <c r="I92" s="15"/>
      <c r="J92" s="15"/>
      <c r="K92" s="15"/>
    </row>
    <row r="93">
      <c r="A93" s="8" t="str">
        <f>'1.3'!A:A</f>
        <v/>
      </c>
      <c r="B93" s="1" t="str">
        <f>'1.3'!B:B</f>
        <v/>
      </c>
      <c r="C93" s="1" t="str">
        <f>'1.3'!C:C</f>
        <v/>
      </c>
      <c r="D93" s="9"/>
      <c r="E93" s="15"/>
      <c r="F93" s="15"/>
      <c r="G93" s="15"/>
      <c r="H93" s="15"/>
      <c r="I93" s="15"/>
      <c r="J93" s="15"/>
      <c r="K93" s="15"/>
    </row>
    <row r="94">
      <c r="A94" s="8" t="str">
        <f>'1.3'!A:A</f>
        <v/>
      </c>
      <c r="B94" s="1" t="str">
        <f>'1.3'!B:B</f>
        <v/>
      </c>
      <c r="C94" s="1" t="str">
        <f>'1.3'!C:C</f>
        <v/>
      </c>
      <c r="D94" s="9"/>
      <c r="E94" s="15"/>
      <c r="F94" s="15"/>
      <c r="G94" s="15"/>
      <c r="H94" s="15"/>
      <c r="I94" s="15"/>
      <c r="J94" s="15"/>
      <c r="K94" s="15"/>
    </row>
    <row r="95">
      <c r="A95" s="8" t="str">
        <f>'1.3'!A:A</f>
        <v/>
      </c>
      <c r="B95" s="1" t="str">
        <f>'1.3'!B:B</f>
        <v/>
      </c>
      <c r="C95" s="1" t="str">
        <f>'1.3'!C:C</f>
        <v/>
      </c>
      <c r="D95" s="9"/>
      <c r="E95" s="15"/>
      <c r="F95" s="15"/>
      <c r="G95" s="15"/>
      <c r="H95" s="15"/>
      <c r="I95" s="15"/>
      <c r="J95" s="15"/>
      <c r="K95" s="15"/>
    </row>
    <row r="96">
      <c r="A96" s="8" t="str">
        <f>'1.3'!A:A</f>
        <v/>
      </c>
      <c r="B96" s="1" t="str">
        <f>'1.3'!B:B</f>
        <v/>
      </c>
      <c r="C96" s="1" t="str">
        <f>'1.3'!C:C</f>
        <v/>
      </c>
      <c r="D96" s="9"/>
      <c r="E96" s="15"/>
      <c r="F96" s="15"/>
      <c r="G96" s="15"/>
      <c r="H96" s="15"/>
      <c r="I96" s="15"/>
      <c r="J96" s="15"/>
      <c r="K96" s="15"/>
    </row>
    <row r="97">
      <c r="A97" s="8" t="str">
        <f>'1.3'!A:A</f>
        <v/>
      </c>
      <c r="B97" s="1" t="str">
        <f>'1.3'!B:B</f>
        <v/>
      </c>
      <c r="C97" s="1" t="str">
        <f>'1.3'!C:C</f>
        <v/>
      </c>
      <c r="D97" s="9"/>
      <c r="E97" s="15"/>
      <c r="F97" s="15"/>
      <c r="G97" s="15"/>
      <c r="H97" s="15"/>
      <c r="I97" s="15"/>
      <c r="J97" s="15"/>
      <c r="K97" s="15"/>
    </row>
    <row r="98">
      <c r="A98" s="8" t="str">
        <f>'1.3'!A:A</f>
        <v/>
      </c>
      <c r="B98" s="1" t="str">
        <f>'1.3'!B:B</f>
        <v/>
      </c>
      <c r="C98" s="1" t="str">
        <f>'1.3'!C:C</f>
        <v/>
      </c>
      <c r="D98" s="9"/>
      <c r="E98" s="15"/>
      <c r="F98" s="15"/>
      <c r="G98" s="15"/>
      <c r="H98" s="15"/>
      <c r="I98" s="15"/>
      <c r="J98" s="15"/>
      <c r="K98" s="15"/>
    </row>
    <row r="99">
      <c r="A99" s="8" t="str">
        <f>'1.3'!A:A</f>
        <v/>
      </c>
      <c r="B99" s="1" t="str">
        <f>'1.3'!B:B</f>
        <v/>
      </c>
      <c r="C99" s="1" t="str">
        <f>'1.3'!C:C</f>
        <v/>
      </c>
      <c r="D99" s="9"/>
      <c r="E99" s="15"/>
      <c r="F99" s="15"/>
      <c r="G99" s="15"/>
      <c r="H99" s="15"/>
      <c r="I99" s="15"/>
      <c r="J99" s="15"/>
      <c r="K99" s="15"/>
    </row>
    <row r="100">
      <c r="A100" s="8" t="str">
        <f>'1.3'!A:A</f>
        <v/>
      </c>
      <c r="B100" s="1" t="str">
        <f>'1.3'!B:B</f>
        <v/>
      </c>
      <c r="C100" s="1" t="str">
        <f>'1.3'!C:C</f>
        <v/>
      </c>
      <c r="D100" s="9"/>
      <c r="E100" s="15"/>
      <c r="F100" s="15"/>
      <c r="G100" s="15"/>
      <c r="H100" s="15"/>
      <c r="I100" s="15"/>
      <c r="J100" s="15"/>
      <c r="K100" s="15"/>
    </row>
    <row r="101">
      <c r="A101" s="8" t="str">
        <f>'1.3'!A:A</f>
        <v/>
      </c>
      <c r="B101" s="1" t="str">
        <f>'1.3'!B:B</f>
        <v/>
      </c>
      <c r="C101" s="1" t="str">
        <f>'1.3'!C:C</f>
        <v/>
      </c>
      <c r="D101" s="9"/>
      <c r="E101" s="15"/>
      <c r="F101" s="15"/>
      <c r="G101" s="15"/>
      <c r="H101" s="15"/>
      <c r="I101" s="15"/>
      <c r="J101" s="15"/>
      <c r="K101" s="15"/>
      <c r="N101" s="1" t="s">
        <v>295</v>
      </c>
      <c r="O101" s="12">
        <f>SUM(O2:O81)</f>
        <v>78</v>
      </c>
    </row>
    <row r="102">
      <c r="C102" s="1"/>
      <c r="E102" s="14">
        <f t="shared" ref="E102:K102" si="3">AVERAGE(E2:E81)</f>
        <v>4.8875</v>
      </c>
      <c r="F102" s="14">
        <f t="shared" si="3"/>
        <v>4.9375</v>
      </c>
      <c r="G102" s="14">
        <f t="shared" si="3"/>
        <v>4.9125</v>
      </c>
      <c r="H102" s="14">
        <f t="shared" si="3"/>
        <v>4.9375</v>
      </c>
      <c r="I102" s="14">
        <f t="shared" si="3"/>
        <v>4.8625</v>
      </c>
      <c r="J102" s="14">
        <f t="shared" si="3"/>
        <v>4.6625</v>
      </c>
      <c r="K102" s="14">
        <f t="shared" si="3"/>
        <v>4.6875</v>
      </c>
      <c r="L102" s="16">
        <f>AVERAGE(E102:K102)</f>
        <v>4.841071429</v>
      </c>
      <c r="N102" s="1" t="s">
        <v>296</v>
      </c>
      <c r="O102" s="12">
        <f>(O101*100)/80</f>
        <v>97.5</v>
      </c>
    </row>
    <row r="103">
      <c r="C103" s="1"/>
    </row>
    <row r="104">
      <c r="C104" s="1"/>
    </row>
    <row r="105">
      <c r="C105" s="1"/>
    </row>
    <row r="106">
      <c r="C106" s="1"/>
    </row>
  </sheetData>
  <mergeCells count="1">
    <mergeCell ref="M1:O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5">
        <v>46262.41258185185</v>
      </c>
      <c r="B2" s="6" t="s">
        <v>11</v>
      </c>
      <c r="C2" s="6" t="s">
        <v>216</v>
      </c>
      <c r="D2" s="6" t="s">
        <v>13</v>
      </c>
      <c r="E2" s="6" t="s">
        <v>14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</row>
    <row r="3">
      <c r="A3" s="5">
        <v>46262.41595043981</v>
      </c>
      <c r="B3" s="6" t="s">
        <v>24</v>
      </c>
      <c r="C3" s="6" t="s">
        <v>35</v>
      </c>
      <c r="D3" s="6" t="s">
        <v>13</v>
      </c>
      <c r="E3" s="6" t="s">
        <v>14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</row>
    <row r="4">
      <c r="A4" s="5">
        <v>46262.41850050926</v>
      </c>
      <c r="B4" s="6" t="s">
        <v>21</v>
      </c>
      <c r="C4" s="6" t="s">
        <v>217</v>
      </c>
      <c r="D4" s="6" t="s">
        <v>13</v>
      </c>
      <c r="E4" s="6" t="s">
        <v>14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</row>
    <row r="5">
      <c r="A5" s="5">
        <v>46262.41877856481</v>
      </c>
      <c r="B5" s="6" t="s">
        <v>25</v>
      </c>
      <c r="C5" s="6" t="s">
        <v>218</v>
      </c>
      <c r="D5" s="6" t="s">
        <v>13</v>
      </c>
      <c r="E5" s="6" t="s">
        <v>14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</row>
    <row r="6">
      <c r="A6" s="5">
        <v>46262.425337673616</v>
      </c>
      <c r="B6" s="6" t="s">
        <v>28</v>
      </c>
      <c r="C6" s="6" t="s">
        <v>219</v>
      </c>
      <c r="D6" s="6" t="s">
        <v>13</v>
      </c>
      <c r="E6" s="6" t="s">
        <v>14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20</v>
      </c>
    </row>
    <row r="7">
      <c r="A7" s="5">
        <v>46262.42689195602</v>
      </c>
      <c r="B7" s="6" t="s">
        <v>30</v>
      </c>
      <c r="C7" s="6" t="s">
        <v>35</v>
      </c>
      <c r="D7" s="6" t="s">
        <v>13</v>
      </c>
      <c r="E7" s="6" t="s">
        <v>14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</row>
    <row r="8">
      <c r="A8" s="5">
        <v>46262.4358033912</v>
      </c>
      <c r="B8" s="6" t="s">
        <v>33</v>
      </c>
      <c r="C8" s="6" t="s">
        <v>35</v>
      </c>
      <c r="D8" s="6" t="s">
        <v>13</v>
      </c>
      <c r="E8" s="6" t="s">
        <v>14</v>
      </c>
      <c r="F8" s="6" t="s">
        <v>16</v>
      </c>
      <c r="G8" s="6" t="s">
        <v>17</v>
      </c>
      <c r="H8" s="6" t="s">
        <v>18</v>
      </c>
      <c r="I8" s="6" t="s">
        <v>19</v>
      </c>
      <c r="J8" s="6" t="s">
        <v>20</v>
      </c>
      <c r="K8" s="6" t="s">
        <v>36</v>
      </c>
    </row>
    <row r="9">
      <c r="A9" s="5">
        <v>46262.43700247685</v>
      </c>
      <c r="B9" s="6" t="s">
        <v>37</v>
      </c>
      <c r="C9" s="6" t="s">
        <v>38</v>
      </c>
      <c r="D9" s="6" t="s">
        <v>13</v>
      </c>
      <c r="E9" s="6" t="s">
        <v>14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>
      <c r="A10" s="5">
        <v>46262.443082708334</v>
      </c>
      <c r="B10" s="6" t="s">
        <v>40</v>
      </c>
      <c r="C10" s="6" t="s">
        <v>216</v>
      </c>
      <c r="D10" s="6" t="s">
        <v>13</v>
      </c>
      <c r="E10" s="6" t="s">
        <v>14</v>
      </c>
      <c r="F10" s="6" t="s">
        <v>16</v>
      </c>
      <c r="G10" s="6" t="s">
        <v>17</v>
      </c>
      <c r="H10" s="6" t="s">
        <v>18</v>
      </c>
      <c r="I10" s="6" t="s">
        <v>19</v>
      </c>
      <c r="J10" s="6" t="s">
        <v>20</v>
      </c>
    </row>
    <row r="11">
      <c r="A11" s="5">
        <v>46262.44336326389</v>
      </c>
      <c r="B11" s="6" t="s">
        <v>42</v>
      </c>
      <c r="C11" s="6" t="s">
        <v>216</v>
      </c>
      <c r="D11" s="6" t="s">
        <v>13</v>
      </c>
      <c r="E11" s="6" t="s">
        <v>14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20</v>
      </c>
    </row>
    <row r="12">
      <c r="A12" s="5">
        <v>46262.44519366898</v>
      </c>
      <c r="B12" s="6" t="s">
        <v>44</v>
      </c>
      <c r="C12" s="6" t="s">
        <v>45</v>
      </c>
      <c r="D12" s="6" t="s">
        <v>13</v>
      </c>
      <c r="E12" s="6" t="s">
        <v>14</v>
      </c>
      <c r="F12" s="6" t="s">
        <v>16</v>
      </c>
      <c r="G12" s="6" t="s">
        <v>17</v>
      </c>
      <c r="H12" s="6" t="s">
        <v>18</v>
      </c>
      <c r="I12" s="6" t="s">
        <v>19</v>
      </c>
      <c r="J12" s="6" t="s">
        <v>20</v>
      </c>
    </row>
    <row r="13">
      <c r="A13" s="5">
        <v>46262.445389189816</v>
      </c>
      <c r="B13" s="6" t="s">
        <v>46</v>
      </c>
      <c r="C13" s="6" t="s">
        <v>38</v>
      </c>
      <c r="D13" s="6" t="s">
        <v>13</v>
      </c>
      <c r="E13" s="6" t="s">
        <v>14</v>
      </c>
      <c r="F13" s="6" t="s">
        <v>16</v>
      </c>
      <c r="G13" s="6" t="s">
        <v>17</v>
      </c>
      <c r="H13" s="6" t="s">
        <v>18</v>
      </c>
      <c r="I13" s="6" t="s">
        <v>19</v>
      </c>
      <c r="J13" s="6" t="s">
        <v>20</v>
      </c>
      <c r="K13" s="6" t="s">
        <v>48</v>
      </c>
    </row>
    <row r="14">
      <c r="A14" s="5">
        <v>46262.45056221065</v>
      </c>
      <c r="B14" s="6" t="s">
        <v>49</v>
      </c>
      <c r="C14" s="6" t="s">
        <v>38</v>
      </c>
      <c r="D14" s="6" t="s">
        <v>13</v>
      </c>
      <c r="E14" s="6" t="s">
        <v>14</v>
      </c>
      <c r="F14" s="6" t="s">
        <v>16</v>
      </c>
      <c r="G14" s="6" t="s">
        <v>17</v>
      </c>
      <c r="H14" s="6" t="s">
        <v>18</v>
      </c>
      <c r="I14" s="6" t="s">
        <v>19</v>
      </c>
      <c r="J14" s="6" t="s">
        <v>20</v>
      </c>
      <c r="K14" s="6" t="s">
        <v>220</v>
      </c>
    </row>
    <row r="15">
      <c r="A15" s="5">
        <v>46262.451478206014</v>
      </c>
      <c r="B15" s="6" t="s">
        <v>51</v>
      </c>
      <c r="C15" s="6" t="s">
        <v>70</v>
      </c>
      <c r="D15" s="6" t="s">
        <v>13</v>
      </c>
      <c r="E15" s="6" t="s">
        <v>14</v>
      </c>
      <c r="F15" s="6" t="s">
        <v>16</v>
      </c>
      <c r="G15" s="6" t="s">
        <v>17</v>
      </c>
      <c r="H15" s="6" t="s">
        <v>18</v>
      </c>
      <c r="I15" s="6" t="s">
        <v>19</v>
      </c>
      <c r="J15" s="6" t="s">
        <v>20</v>
      </c>
    </row>
    <row r="16">
      <c r="A16" s="5">
        <v>46262.458318206016</v>
      </c>
      <c r="B16" s="6" t="s">
        <v>57</v>
      </c>
      <c r="C16" s="6" t="s">
        <v>38</v>
      </c>
      <c r="D16" s="6" t="s">
        <v>13</v>
      </c>
      <c r="E16" s="6" t="s">
        <v>14</v>
      </c>
      <c r="F16" s="6" t="s">
        <v>16</v>
      </c>
      <c r="G16" s="6" t="s">
        <v>17</v>
      </c>
      <c r="H16" s="6" t="s">
        <v>18</v>
      </c>
      <c r="I16" s="6" t="s">
        <v>19</v>
      </c>
      <c r="J16" s="6" t="s">
        <v>20</v>
      </c>
    </row>
    <row r="17">
      <c r="A17" s="5">
        <v>46262.45953072917</v>
      </c>
      <c r="B17" s="6" t="s">
        <v>52</v>
      </c>
      <c r="C17" s="6" t="s">
        <v>38</v>
      </c>
      <c r="D17" s="6" t="s">
        <v>13</v>
      </c>
      <c r="E17" s="6" t="s">
        <v>120</v>
      </c>
      <c r="F17" s="6" t="s">
        <v>16</v>
      </c>
      <c r="G17" s="6" t="s">
        <v>17</v>
      </c>
      <c r="H17" s="6" t="s">
        <v>87</v>
      </c>
      <c r="I17" s="6" t="s">
        <v>19</v>
      </c>
      <c r="J17" s="6" t="s">
        <v>20</v>
      </c>
    </row>
    <row r="18">
      <c r="A18" s="5">
        <v>46262.46141471065</v>
      </c>
      <c r="B18" s="6" t="s">
        <v>59</v>
      </c>
      <c r="C18" s="6" t="s">
        <v>45</v>
      </c>
      <c r="D18" s="6" t="s">
        <v>13</v>
      </c>
      <c r="E18" s="6" t="s">
        <v>14</v>
      </c>
      <c r="F18" s="6" t="s">
        <v>16</v>
      </c>
      <c r="G18" s="6" t="s">
        <v>17</v>
      </c>
      <c r="H18" s="6" t="s">
        <v>18</v>
      </c>
      <c r="I18" s="6" t="s">
        <v>19</v>
      </c>
      <c r="J18" s="6" t="s">
        <v>20</v>
      </c>
    </row>
    <row r="19">
      <c r="A19" s="5">
        <v>46262.46492053241</v>
      </c>
      <c r="B19" s="6" t="s">
        <v>60</v>
      </c>
      <c r="C19" s="6" t="s">
        <v>45</v>
      </c>
      <c r="D19" s="6" t="s">
        <v>13</v>
      </c>
      <c r="E19" s="6" t="s">
        <v>14</v>
      </c>
      <c r="F19" s="6" t="s">
        <v>16</v>
      </c>
      <c r="G19" s="6" t="s">
        <v>17</v>
      </c>
      <c r="H19" s="6" t="s">
        <v>18</v>
      </c>
      <c r="I19" s="6" t="s">
        <v>19</v>
      </c>
      <c r="J19" s="6" t="s">
        <v>20</v>
      </c>
    </row>
    <row r="20">
      <c r="A20" s="5">
        <v>46262.46829275463</v>
      </c>
      <c r="B20" s="6" t="s">
        <v>61</v>
      </c>
      <c r="C20" s="6" t="s">
        <v>38</v>
      </c>
      <c r="D20" s="6" t="s">
        <v>13</v>
      </c>
      <c r="E20" s="6" t="s">
        <v>14</v>
      </c>
      <c r="F20" s="6" t="s">
        <v>16</v>
      </c>
      <c r="G20" s="6" t="s">
        <v>17</v>
      </c>
      <c r="H20" s="6" t="s">
        <v>18</v>
      </c>
      <c r="I20" s="6" t="s">
        <v>19</v>
      </c>
      <c r="J20" s="6" t="s">
        <v>20</v>
      </c>
    </row>
    <row r="21">
      <c r="A21" s="5">
        <v>46262.482705381946</v>
      </c>
      <c r="B21" s="6" t="s">
        <v>63</v>
      </c>
      <c r="C21" s="6" t="s">
        <v>35</v>
      </c>
      <c r="D21" s="6" t="s">
        <v>13</v>
      </c>
      <c r="E21" s="6" t="s">
        <v>14</v>
      </c>
      <c r="F21" s="6" t="s">
        <v>16</v>
      </c>
      <c r="G21" s="6" t="s">
        <v>17</v>
      </c>
      <c r="H21" s="6" t="s">
        <v>18</v>
      </c>
      <c r="I21" s="6" t="s">
        <v>19</v>
      </c>
      <c r="J21" s="6" t="s">
        <v>20</v>
      </c>
      <c r="K21" s="6" t="s">
        <v>64</v>
      </c>
    </row>
    <row r="22">
      <c r="A22" s="5">
        <v>46262.48744349537</v>
      </c>
      <c r="B22" s="6" t="s">
        <v>66</v>
      </c>
      <c r="C22" s="6" t="s">
        <v>67</v>
      </c>
      <c r="D22" s="6" t="s">
        <v>13</v>
      </c>
      <c r="E22" s="6" t="s">
        <v>14</v>
      </c>
      <c r="F22" s="6" t="s">
        <v>16</v>
      </c>
      <c r="G22" s="6" t="s">
        <v>17</v>
      </c>
      <c r="H22" s="6" t="s">
        <v>18</v>
      </c>
      <c r="I22" s="6" t="s">
        <v>19</v>
      </c>
      <c r="J22" s="6" t="s">
        <v>20</v>
      </c>
      <c r="K22" s="6" t="s">
        <v>68</v>
      </c>
    </row>
    <row r="23">
      <c r="A23" s="5">
        <v>46262.49744047454</v>
      </c>
      <c r="B23" s="6" t="s">
        <v>69</v>
      </c>
      <c r="C23" s="6" t="s">
        <v>70</v>
      </c>
      <c r="D23" s="6" t="s">
        <v>13</v>
      </c>
      <c r="E23" s="6" t="s">
        <v>14</v>
      </c>
      <c r="F23" s="6" t="s">
        <v>16</v>
      </c>
      <c r="G23" s="6" t="s">
        <v>17</v>
      </c>
      <c r="H23" s="6" t="s">
        <v>18</v>
      </c>
      <c r="I23" s="6" t="s">
        <v>19</v>
      </c>
      <c r="J23" s="6" t="s">
        <v>20</v>
      </c>
    </row>
    <row r="24">
      <c r="A24" s="5">
        <v>46262.50095025463</v>
      </c>
      <c r="B24" s="6" t="s">
        <v>71</v>
      </c>
      <c r="C24" s="6" t="s">
        <v>38</v>
      </c>
      <c r="D24" s="6" t="s">
        <v>13</v>
      </c>
      <c r="E24" s="6" t="s">
        <v>14</v>
      </c>
      <c r="F24" s="6" t="s">
        <v>16</v>
      </c>
      <c r="G24" s="6" t="s">
        <v>17</v>
      </c>
      <c r="H24" s="6" t="s">
        <v>18</v>
      </c>
      <c r="I24" s="6" t="s">
        <v>19</v>
      </c>
      <c r="J24" s="6" t="s">
        <v>20</v>
      </c>
    </row>
    <row r="25">
      <c r="A25" s="5">
        <v>46262.52481844908</v>
      </c>
      <c r="B25" s="6" t="s">
        <v>72</v>
      </c>
      <c r="C25" s="6" t="s">
        <v>38</v>
      </c>
      <c r="D25" s="6" t="s">
        <v>13</v>
      </c>
      <c r="E25" s="6" t="s">
        <v>14</v>
      </c>
      <c r="F25" s="6" t="s">
        <v>16</v>
      </c>
      <c r="G25" s="6" t="s">
        <v>17</v>
      </c>
      <c r="H25" s="6" t="s">
        <v>18</v>
      </c>
      <c r="I25" s="6" t="s">
        <v>19</v>
      </c>
      <c r="J25" s="6" t="s">
        <v>20</v>
      </c>
    </row>
    <row r="26">
      <c r="A26" s="5">
        <v>46262.53052826389</v>
      </c>
      <c r="B26" s="6" t="s">
        <v>74</v>
      </c>
      <c r="C26" s="6" t="s">
        <v>45</v>
      </c>
      <c r="D26" s="6" t="s">
        <v>13</v>
      </c>
      <c r="E26" s="6" t="s">
        <v>14</v>
      </c>
      <c r="F26" s="6" t="s">
        <v>16</v>
      </c>
      <c r="G26" s="6" t="s">
        <v>17</v>
      </c>
      <c r="H26" s="6" t="s">
        <v>18</v>
      </c>
      <c r="I26" s="6" t="s">
        <v>19</v>
      </c>
      <c r="J26" s="6" t="s">
        <v>20</v>
      </c>
    </row>
    <row r="27">
      <c r="A27" s="5">
        <v>46262.554241481484</v>
      </c>
      <c r="B27" s="6" t="s">
        <v>77</v>
      </c>
      <c r="C27" s="6" t="s">
        <v>45</v>
      </c>
      <c r="D27" s="6" t="s">
        <v>13</v>
      </c>
      <c r="E27" s="6" t="s">
        <v>14</v>
      </c>
      <c r="F27" s="6" t="s">
        <v>16</v>
      </c>
      <c r="G27" s="6" t="s">
        <v>17</v>
      </c>
      <c r="H27" s="6" t="s">
        <v>18</v>
      </c>
      <c r="I27" s="6" t="s">
        <v>19</v>
      </c>
      <c r="J27" s="6" t="s">
        <v>20</v>
      </c>
    </row>
    <row r="28">
      <c r="A28" s="5">
        <v>46262.554754537035</v>
      </c>
      <c r="B28" s="6" t="s">
        <v>75</v>
      </c>
      <c r="C28" s="6" t="s">
        <v>76</v>
      </c>
      <c r="D28" s="6" t="s">
        <v>13</v>
      </c>
      <c r="E28" s="6" t="s">
        <v>14</v>
      </c>
      <c r="F28" s="6" t="s">
        <v>16</v>
      </c>
      <c r="G28" s="6" t="s">
        <v>17</v>
      </c>
      <c r="H28" s="6" t="s">
        <v>18</v>
      </c>
      <c r="I28" s="6" t="s">
        <v>19</v>
      </c>
      <c r="J28" s="6" t="s">
        <v>20</v>
      </c>
    </row>
    <row r="29">
      <c r="A29" s="5">
        <v>46262.56094193287</v>
      </c>
      <c r="B29" s="6" t="s">
        <v>79</v>
      </c>
      <c r="C29" s="6" t="s">
        <v>38</v>
      </c>
      <c r="D29" s="6" t="s">
        <v>13</v>
      </c>
      <c r="E29" s="6" t="s">
        <v>14</v>
      </c>
      <c r="F29" s="6" t="s">
        <v>16</v>
      </c>
      <c r="G29" s="6" t="s">
        <v>17</v>
      </c>
      <c r="H29" s="6" t="s">
        <v>18</v>
      </c>
      <c r="I29" s="6" t="s">
        <v>19</v>
      </c>
      <c r="J29" s="6" t="s">
        <v>20</v>
      </c>
    </row>
    <row r="30">
      <c r="A30" s="5">
        <v>46262.56172898148</v>
      </c>
      <c r="B30" s="6" t="s">
        <v>78</v>
      </c>
      <c r="C30" s="6" t="s">
        <v>38</v>
      </c>
      <c r="D30" s="6" t="s">
        <v>13</v>
      </c>
      <c r="E30" s="6" t="s">
        <v>14</v>
      </c>
      <c r="F30" s="6" t="s">
        <v>16</v>
      </c>
      <c r="G30" s="6" t="s">
        <v>17</v>
      </c>
      <c r="H30" s="6" t="s">
        <v>18</v>
      </c>
      <c r="I30" s="6" t="s">
        <v>19</v>
      </c>
      <c r="J30" s="6" t="s">
        <v>20</v>
      </c>
    </row>
    <row r="31">
      <c r="A31" s="5">
        <v>46262.57098796296</v>
      </c>
      <c r="B31" s="6" t="s">
        <v>80</v>
      </c>
      <c r="C31" s="6" t="s">
        <v>35</v>
      </c>
      <c r="D31" s="6" t="s">
        <v>13</v>
      </c>
      <c r="E31" s="6" t="s">
        <v>14</v>
      </c>
      <c r="F31" s="6" t="s">
        <v>16</v>
      </c>
      <c r="G31" s="6" t="s">
        <v>17</v>
      </c>
      <c r="H31" s="6" t="s">
        <v>18</v>
      </c>
      <c r="I31" s="6" t="s">
        <v>19</v>
      </c>
      <c r="J31" s="6" t="s">
        <v>20</v>
      </c>
      <c r="K31" s="6" t="s">
        <v>81</v>
      </c>
    </row>
    <row r="32">
      <c r="A32" s="5">
        <v>46262.581712893516</v>
      </c>
      <c r="B32" s="6" t="s">
        <v>82</v>
      </c>
      <c r="C32" s="6" t="s">
        <v>26</v>
      </c>
      <c r="D32" s="6" t="s">
        <v>13</v>
      </c>
      <c r="E32" s="6" t="s">
        <v>14</v>
      </c>
      <c r="F32" s="6" t="s">
        <v>16</v>
      </c>
      <c r="G32" s="6" t="s">
        <v>17</v>
      </c>
      <c r="H32" s="6" t="s">
        <v>18</v>
      </c>
      <c r="I32" s="6" t="s">
        <v>19</v>
      </c>
      <c r="J32" s="6" t="s">
        <v>20</v>
      </c>
    </row>
    <row r="33">
      <c r="A33" s="5">
        <v>46262.58209480324</v>
      </c>
      <c r="B33" s="6" t="s">
        <v>83</v>
      </c>
      <c r="C33" s="6" t="s">
        <v>26</v>
      </c>
      <c r="D33" s="6" t="s">
        <v>13</v>
      </c>
      <c r="E33" s="6" t="s">
        <v>14</v>
      </c>
      <c r="F33" s="6" t="s">
        <v>16</v>
      </c>
      <c r="G33" s="6" t="s">
        <v>17</v>
      </c>
      <c r="H33" s="6" t="s">
        <v>18</v>
      </c>
      <c r="I33" s="6" t="s">
        <v>19</v>
      </c>
      <c r="J33" s="6" t="s">
        <v>20</v>
      </c>
    </row>
    <row r="34">
      <c r="A34" s="5">
        <v>46262.58706184028</v>
      </c>
      <c r="B34" s="6" t="s">
        <v>85</v>
      </c>
      <c r="C34" s="6" t="s">
        <v>222</v>
      </c>
      <c r="D34" s="6" t="s">
        <v>13</v>
      </c>
      <c r="E34" s="6" t="s">
        <v>14</v>
      </c>
      <c r="F34" s="6" t="s">
        <v>54</v>
      </c>
      <c r="G34" s="6" t="s">
        <v>17</v>
      </c>
      <c r="H34" s="6" t="s">
        <v>18</v>
      </c>
      <c r="I34" s="6" t="s">
        <v>19</v>
      </c>
      <c r="J34" s="6" t="s">
        <v>20</v>
      </c>
    </row>
    <row r="35">
      <c r="A35" s="5">
        <v>46262.59299164352</v>
      </c>
      <c r="B35" s="6" t="s">
        <v>86</v>
      </c>
      <c r="C35" s="6" t="s">
        <v>45</v>
      </c>
      <c r="D35" s="6" t="s">
        <v>13</v>
      </c>
      <c r="E35" s="6" t="s">
        <v>14</v>
      </c>
      <c r="F35" s="6" t="s">
        <v>16</v>
      </c>
      <c r="G35" s="6" t="s">
        <v>17</v>
      </c>
      <c r="H35" s="6" t="s">
        <v>18</v>
      </c>
      <c r="I35" s="6" t="s">
        <v>19</v>
      </c>
      <c r="J35" s="6" t="s">
        <v>20</v>
      </c>
    </row>
    <row r="36">
      <c r="A36" s="5">
        <v>46262.611647812504</v>
      </c>
      <c r="B36" s="6" t="s">
        <v>88</v>
      </c>
      <c r="C36" s="6" t="s">
        <v>224</v>
      </c>
      <c r="D36" s="6" t="s">
        <v>13</v>
      </c>
      <c r="E36" s="6" t="s">
        <v>14</v>
      </c>
      <c r="F36" s="6" t="s">
        <v>16</v>
      </c>
      <c r="G36" s="6" t="s">
        <v>17</v>
      </c>
      <c r="H36" s="6" t="s">
        <v>18</v>
      </c>
      <c r="I36" s="6" t="s">
        <v>19</v>
      </c>
      <c r="J36" s="6" t="s">
        <v>20</v>
      </c>
    </row>
    <row r="37">
      <c r="A37" s="5">
        <v>46262.62798870371</v>
      </c>
      <c r="B37" s="6" t="s">
        <v>90</v>
      </c>
      <c r="C37" s="6" t="s">
        <v>225</v>
      </c>
      <c r="D37" s="6" t="s">
        <v>13</v>
      </c>
      <c r="E37" s="6" t="s">
        <v>14</v>
      </c>
      <c r="F37" s="6" t="s">
        <v>16</v>
      </c>
      <c r="G37" s="6" t="s">
        <v>17</v>
      </c>
      <c r="H37" s="6" t="s">
        <v>18</v>
      </c>
      <c r="I37" s="6" t="s">
        <v>19</v>
      </c>
      <c r="J37" s="6" t="s">
        <v>20</v>
      </c>
      <c r="K37" s="6" t="s">
        <v>92</v>
      </c>
    </row>
    <row r="38">
      <c r="A38" s="5">
        <v>46262.643310740736</v>
      </c>
      <c r="B38" s="6" t="s">
        <v>93</v>
      </c>
      <c r="C38" s="6" t="s">
        <v>38</v>
      </c>
      <c r="D38" s="6" t="s">
        <v>13</v>
      </c>
      <c r="E38" s="6" t="s">
        <v>14</v>
      </c>
      <c r="F38" s="6" t="s">
        <v>16</v>
      </c>
      <c r="G38" s="6" t="s">
        <v>17</v>
      </c>
      <c r="H38" s="6" t="s">
        <v>18</v>
      </c>
      <c r="I38" s="6" t="s">
        <v>19</v>
      </c>
      <c r="J38" s="6" t="s">
        <v>20</v>
      </c>
    </row>
    <row r="39">
      <c r="A39" s="5">
        <v>46262.644650636576</v>
      </c>
      <c r="B39" s="6" t="s">
        <v>95</v>
      </c>
      <c r="C39" s="6" t="s">
        <v>35</v>
      </c>
      <c r="D39" s="6" t="s">
        <v>13</v>
      </c>
      <c r="E39" s="6" t="s">
        <v>14</v>
      </c>
      <c r="F39" s="6" t="s">
        <v>16</v>
      </c>
      <c r="G39" s="6" t="s">
        <v>17</v>
      </c>
      <c r="H39" s="6" t="s">
        <v>18</v>
      </c>
      <c r="I39" s="6" t="s">
        <v>19</v>
      </c>
      <c r="J39" s="6" t="s">
        <v>20</v>
      </c>
      <c r="K39" s="6" t="s">
        <v>92</v>
      </c>
    </row>
    <row r="40">
      <c r="A40" s="5">
        <v>46262.74095263889</v>
      </c>
      <c r="B40" s="6" t="s">
        <v>97</v>
      </c>
      <c r="C40" s="6" t="s">
        <v>45</v>
      </c>
      <c r="D40" s="6" t="s">
        <v>13</v>
      </c>
      <c r="E40" s="6" t="s">
        <v>14</v>
      </c>
      <c r="F40" s="6" t="s">
        <v>16</v>
      </c>
      <c r="G40" s="6" t="s">
        <v>17</v>
      </c>
      <c r="H40" s="6" t="s">
        <v>18</v>
      </c>
      <c r="I40" s="6" t="s">
        <v>19</v>
      </c>
      <c r="J40" s="6" t="s">
        <v>20</v>
      </c>
    </row>
    <row r="41">
      <c r="A41" s="5">
        <v>46262.79598969907</v>
      </c>
      <c r="B41" s="6" t="s">
        <v>98</v>
      </c>
      <c r="C41" s="6" t="s">
        <v>226</v>
      </c>
      <c r="D41" s="6" t="s">
        <v>13</v>
      </c>
      <c r="E41" s="6" t="s">
        <v>14</v>
      </c>
      <c r="F41" s="6" t="s">
        <v>16</v>
      </c>
      <c r="G41" s="6" t="s">
        <v>17</v>
      </c>
      <c r="H41" s="6" t="s">
        <v>18</v>
      </c>
      <c r="I41" s="6" t="s">
        <v>19</v>
      </c>
      <c r="J41" s="6" t="s">
        <v>20</v>
      </c>
    </row>
    <row r="42">
      <c r="A42" s="5">
        <v>46262.87188568287</v>
      </c>
      <c r="B42" s="6" t="s">
        <v>99</v>
      </c>
      <c r="C42" s="6" t="s">
        <v>70</v>
      </c>
      <c r="D42" s="6" t="s">
        <v>13</v>
      </c>
      <c r="E42" s="6" t="s">
        <v>14</v>
      </c>
      <c r="F42" s="6" t="s">
        <v>16</v>
      </c>
      <c r="G42" s="6" t="s">
        <v>17</v>
      </c>
      <c r="H42" s="6" t="s">
        <v>18</v>
      </c>
      <c r="I42" s="6" t="s">
        <v>19</v>
      </c>
      <c r="J42" s="6" t="s">
        <v>20</v>
      </c>
    </row>
    <row r="43">
      <c r="A43" s="5">
        <v>46262.95641</v>
      </c>
      <c r="B43" s="6" t="s">
        <v>100</v>
      </c>
      <c r="C43" s="6" t="s">
        <v>45</v>
      </c>
      <c r="D43" s="6" t="s">
        <v>13</v>
      </c>
      <c r="E43" s="6" t="s">
        <v>14</v>
      </c>
      <c r="F43" s="6" t="s">
        <v>16</v>
      </c>
      <c r="G43" s="6" t="s">
        <v>17</v>
      </c>
      <c r="H43" s="6" t="s">
        <v>18</v>
      </c>
      <c r="I43" s="6" t="s">
        <v>19</v>
      </c>
      <c r="J43" s="6" t="s">
        <v>20</v>
      </c>
    </row>
    <row r="44">
      <c r="A44" s="5">
        <v>46262.96000655093</v>
      </c>
      <c r="B44" s="6" t="s">
        <v>101</v>
      </c>
      <c r="C44" s="6" t="s">
        <v>35</v>
      </c>
      <c r="D44" s="6" t="s">
        <v>13</v>
      </c>
      <c r="E44" s="6" t="s">
        <v>14</v>
      </c>
      <c r="F44" s="6" t="s">
        <v>16</v>
      </c>
      <c r="G44" s="6" t="s">
        <v>17</v>
      </c>
      <c r="H44" s="6" t="s">
        <v>18</v>
      </c>
      <c r="I44" s="6" t="s">
        <v>19</v>
      </c>
      <c r="J44" s="6" t="s">
        <v>20</v>
      </c>
    </row>
    <row r="45">
      <c r="A45" s="5">
        <v>46263.60489693287</v>
      </c>
      <c r="B45" s="6" t="s">
        <v>103</v>
      </c>
      <c r="C45" s="6" t="s">
        <v>45</v>
      </c>
      <c r="D45" s="6" t="s">
        <v>13</v>
      </c>
      <c r="E45" s="6" t="s">
        <v>14</v>
      </c>
      <c r="F45" s="6" t="s">
        <v>16</v>
      </c>
      <c r="G45" s="6" t="s">
        <v>17</v>
      </c>
      <c r="H45" s="6" t="s">
        <v>18</v>
      </c>
      <c r="I45" s="6" t="s">
        <v>19</v>
      </c>
      <c r="J45" s="6" t="s">
        <v>20</v>
      </c>
    </row>
    <row r="46">
      <c r="A46" s="5">
        <v>46263.71412655093</v>
      </c>
      <c r="B46" s="6" t="s">
        <v>104</v>
      </c>
      <c r="C46" s="6" t="s">
        <v>76</v>
      </c>
      <c r="D46" s="6" t="s">
        <v>13</v>
      </c>
      <c r="E46" s="6" t="s">
        <v>14</v>
      </c>
      <c r="F46" s="6" t="s">
        <v>16</v>
      </c>
      <c r="G46" s="6" t="s">
        <v>17</v>
      </c>
      <c r="H46" s="6" t="s">
        <v>18</v>
      </c>
      <c r="I46" s="6" t="s">
        <v>19</v>
      </c>
      <c r="J46" s="6" t="s">
        <v>20</v>
      </c>
    </row>
    <row r="47">
      <c r="A47" s="5">
        <v>46264.52837018519</v>
      </c>
      <c r="B47" s="6" t="s">
        <v>105</v>
      </c>
      <c r="C47" s="6" t="s">
        <v>227</v>
      </c>
      <c r="D47" s="6" t="s">
        <v>13</v>
      </c>
      <c r="E47" s="6" t="s">
        <v>14</v>
      </c>
      <c r="F47" s="6" t="s">
        <v>16</v>
      </c>
      <c r="G47" s="6" t="s">
        <v>17</v>
      </c>
      <c r="H47" s="6" t="s">
        <v>18</v>
      </c>
      <c r="I47" s="6" t="s">
        <v>19</v>
      </c>
      <c r="J47" s="6" t="s">
        <v>20</v>
      </c>
    </row>
    <row r="48">
      <c r="A48" s="5">
        <v>46264.65139903935</v>
      </c>
      <c r="B48" s="6" t="s">
        <v>106</v>
      </c>
      <c r="C48" s="6" t="s">
        <v>228</v>
      </c>
      <c r="D48" s="6" t="s">
        <v>13</v>
      </c>
      <c r="E48" s="6" t="s">
        <v>14</v>
      </c>
      <c r="F48" s="6" t="s">
        <v>16</v>
      </c>
      <c r="G48" s="6" t="s">
        <v>17</v>
      </c>
      <c r="H48" s="6" t="s">
        <v>18</v>
      </c>
      <c r="I48" s="6" t="s">
        <v>19</v>
      </c>
      <c r="J48" s="6" t="s">
        <v>20</v>
      </c>
    </row>
    <row r="49">
      <c r="A49" s="5">
        <v>46264.879102060186</v>
      </c>
      <c r="B49" s="6" t="s">
        <v>108</v>
      </c>
      <c r="C49" s="6" t="s">
        <v>109</v>
      </c>
      <c r="D49" s="6" t="s">
        <v>13</v>
      </c>
      <c r="E49" s="6" t="s">
        <v>14</v>
      </c>
      <c r="F49" s="6" t="s">
        <v>16</v>
      </c>
      <c r="G49" s="6" t="s">
        <v>17</v>
      </c>
      <c r="H49" s="6" t="s">
        <v>18</v>
      </c>
      <c r="I49" s="6" t="s">
        <v>19</v>
      </c>
      <c r="J49" s="6" t="s">
        <v>20</v>
      </c>
    </row>
    <row r="50">
      <c r="A50" s="5">
        <v>46265.32459762732</v>
      </c>
      <c r="B50" s="6" t="s">
        <v>111</v>
      </c>
      <c r="C50" s="6" t="s">
        <v>26</v>
      </c>
      <c r="D50" s="6" t="s">
        <v>13</v>
      </c>
      <c r="E50" s="6" t="s">
        <v>14</v>
      </c>
      <c r="F50" s="6" t="s">
        <v>16</v>
      </c>
      <c r="G50" s="6" t="s">
        <v>17</v>
      </c>
      <c r="H50" s="6" t="s">
        <v>18</v>
      </c>
      <c r="I50" s="6" t="s">
        <v>19</v>
      </c>
      <c r="J50" s="6" t="s">
        <v>20</v>
      </c>
    </row>
    <row r="51">
      <c r="A51" s="5">
        <v>46265.67946601852</v>
      </c>
      <c r="B51" s="6" t="s">
        <v>112</v>
      </c>
      <c r="C51" s="6" t="s">
        <v>226</v>
      </c>
      <c r="D51" s="6" t="s">
        <v>13</v>
      </c>
      <c r="E51" s="6" t="s">
        <v>14</v>
      </c>
      <c r="F51" s="6" t="s">
        <v>16</v>
      </c>
      <c r="G51" s="6" t="s">
        <v>17</v>
      </c>
      <c r="H51" s="6" t="s">
        <v>18</v>
      </c>
      <c r="I51" s="6" t="s">
        <v>19</v>
      </c>
      <c r="J51" s="6" t="s">
        <v>20</v>
      </c>
    </row>
    <row r="52">
      <c r="A52" s="5">
        <v>46265.691833171295</v>
      </c>
      <c r="B52" s="6" t="s">
        <v>113</v>
      </c>
      <c r="C52" s="6" t="s">
        <v>38</v>
      </c>
      <c r="D52" s="6" t="s">
        <v>13</v>
      </c>
      <c r="E52" s="6" t="s">
        <v>14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>
      <c r="A53" s="5">
        <v>46265.7038506713</v>
      </c>
      <c r="B53" s="6" t="s">
        <v>114</v>
      </c>
      <c r="C53" s="6" t="s">
        <v>45</v>
      </c>
      <c r="D53" s="6" t="s">
        <v>13</v>
      </c>
      <c r="E53" s="6" t="s">
        <v>14</v>
      </c>
      <c r="F53" s="6" t="s">
        <v>16</v>
      </c>
      <c r="G53" s="6" t="s">
        <v>17</v>
      </c>
      <c r="H53" s="6" t="s">
        <v>18</v>
      </c>
      <c r="I53" s="6" t="s">
        <v>19</v>
      </c>
      <c r="J53" s="6" t="s">
        <v>20</v>
      </c>
    </row>
    <row r="54">
      <c r="A54" s="5">
        <v>46265.7046925926</v>
      </c>
      <c r="B54" s="6" t="s">
        <v>115</v>
      </c>
      <c r="C54" s="6" t="s">
        <v>38</v>
      </c>
      <c r="D54" s="6" t="s">
        <v>13</v>
      </c>
      <c r="E54" s="6" t="s">
        <v>14</v>
      </c>
      <c r="F54" s="6" t="s">
        <v>16</v>
      </c>
      <c r="G54" s="6" t="s">
        <v>17</v>
      </c>
      <c r="H54" s="6" t="s">
        <v>18</v>
      </c>
      <c r="I54" s="6" t="s">
        <v>19</v>
      </c>
      <c r="J54" s="6" t="s">
        <v>20</v>
      </c>
    </row>
    <row r="55">
      <c r="A55" s="5">
        <v>46265.73523111111</v>
      </c>
      <c r="B55" s="6" t="s">
        <v>116</v>
      </c>
      <c r="C55" s="6" t="s">
        <v>227</v>
      </c>
      <c r="D55" s="6" t="s">
        <v>13</v>
      </c>
      <c r="E55" s="6" t="s">
        <v>14</v>
      </c>
      <c r="F55" s="6" t="s">
        <v>16</v>
      </c>
      <c r="G55" s="6" t="s">
        <v>17</v>
      </c>
      <c r="H55" s="6" t="s">
        <v>18</v>
      </c>
      <c r="I55" s="6" t="s">
        <v>19</v>
      </c>
      <c r="J55" s="6" t="s">
        <v>20</v>
      </c>
    </row>
    <row r="56">
      <c r="A56" s="5">
        <v>46266.54752730324</v>
      </c>
      <c r="B56" s="6" t="s">
        <v>118</v>
      </c>
      <c r="C56" s="6" t="s">
        <v>119</v>
      </c>
      <c r="D56" s="6" t="s">
        <v>73</v>
      </c>
      <c r="E56" s="6" t="s">
        <v>120</v>
      </c>
      <c r="F56" s="6" t="s">
        <v>54</v>
      </c>
      <c r="G56" s="6" t="s">
        <v>39</v>
      </c>
      <c r="H56" s="6" t="s">
        <v>87</v>
      </c>
      <c r="I56" s="6" t="s">
        <v>55</v>
      </c>
      <c r="J56" s="6" t="s">
        <v>56</v>
      </c>
    </row>
    <row r="57">
      <c r="A57" s="5">
        <v>46266.678647175926</v>
      </c>
      <c r="B57" s="6" t="s">
        <v>121</v>
      </c>
      <c r="C57" s="6" t="s">
        <v>45</v>
      </c>
      <c r="D57" s="6" t="s">
        <v>13</v>
      </c>
      <c r="E57" s="6" t="s">
        <v>14</v>
      </c>
      <c r="F57" s="6" t="s">
        <v>16</v>
      </c>
      <c r="G57" s="6" t="s">
        <v>17</v>
      </c>
      <c r="H57" s="6" t="s">
        <v>18</v>
      </c>
      <c r="I57" s="6" t="s">
        <v>19</v>
      </c>
      <c r="J57" s="6" t="s">
        <v>20</v>
      </c>
    </row>
    <row r="58">
      <c r="A58" s="5">
        <v>46266.68438965278</v>
      </c>
      <c r="B58" s="6" t="s">
        <v>124</v>
      </c>
      <c r="C58" s="6" t="s">
        <v>38</v>
      </c>
      <c r="D58" s="6" t="s">
        <v>13</v>
      </c>
      <c r="E58" s="6" t="s">
        <v>14</v>
      </c>
      <c r="F58" s="6" t="s">
        <v>16</v>
      </c>
      <c r="G58" s="6" t="s">
        <v>17</v>
      </c>
      <c r="H58" s="6" t="s">
        <v>18</v>
      </c>
      <c r="I58" s="6" t="s">
        <v>19</v>
      </c>
      <c r="J58" s="6" t="s">
        <v>20</v>
      </c>
    </row>
    <row r="59">
      <c r="A59" s="5">
        <v>46266.693623506944</v>
      </c>
      <c r="B59" s="6" t="s">
        <v>125</v>
      </c>
      <c r="C59" s="6" t="s">
        <v>38</v>
      </c>
      <c r="D59" s="6" t="s">
        <v>13</v>
      </c>
      <c r="E59" s="6" t="s">
        <v>14</v>
      </c>
      <c r="F59" s="6" t="s">
        <v>16</v>
      </c>
      <c r="G59" s="6" t="s">
        <v>17</v>
      </c>
      <c r="H59" s="6" t="s">
        <v>18</v>
      </c>
      <c r="I59" s="6" t="s">
        <v>19</v>
      </c>
      <c r="J59" s="6" t="s">
        <v>20</v>
      </c>
    </row>
    <row r="60">
      <c r="A60" s="5">
        <v>46266.80670271991</v>
      </c>
      <c r="B60" s="6" t="s">
        <v>126</v>
      </c>
      <c r="C60" s="6" t="s">
        <v>230</v>
      </c>
      <c r="D60" s="6" t="s">
        <v>13</v>
      </c>
      <c r="E60" s="6" t="s">
        <v>14</v>
      </c>
      <c r="F60" s="6" t="s">
        <v>16</v>
      </c>
      <c r="G60" s="6" t="s">
        <v>17</v>
      </c>
      <c r="H60" s="6" t="s">
        <v>18</v>
      </c>
      <c r="I60" s="6" t="s">
        <v>19</v>
      </c>
      <c r="J60" s="6" t="s">
        <v>20</v>
      </c>
    </row>
    <row r="61">
      <c r="A61" s="5">
        <v>46267.307085057866</v>
      </c>
      <c r="B61" s="6" t="s">
        <v>129</v>
      </c>
      <c r="C61" s="6" t="s">
        <v>35</v>
      </c>
      <c r="D61" s="6" t="s">
        <v>13</v>
      </c>
      <c r="E61" s="6" t="s">
        <v>14</v>
      </c>
      <c r="F61" s="6" t="s">
        <v>16</v>
      </c>
      <c r="G61" s="6" t="s">
        <v>17</v>
      </c>
      <c r="H61" s="6" t="s">
        <v>18</v>
      </c>
      <c r="I61" s="6" t="s">
        <v>19</v>
      </c>
      <c r="J61" s="6" t="s">
        <v>20</v>
      </c>
    </row>
    <row r="62">
      <c r="A62" s="5">
        <v>46267.30813109953</v>
      </c>
      <c r="B62" s="6" t="s">
        <v>127</v>
      </c>
      <c r="C62" s="6" t="s">
        <v>45</v>
      </c>
      <c r="D62" s="6" t="s">
        <v>13</v>
      </c>
      <c r="E62" s="6" t="s">
        <v>14</v>
      </c>
      <c r="F62" s="6" t="s">
        <v>16</v>
      </c>
      <c r="G62" s="6" t="s">
        <v>17</v>
      </c>
      <c r="H62" s="6" t="s">
        <v>18</v>
      </c>
      <c r="I62" s="6" t="s">
        <v>19</v>
      </c>
      <c r="J62" s="6" t="s">
        <v>20</v>
      </c>
    </row>
    <row r="63">
      <c r="A63" s="5">
        <v>46267.56023133102</v>
      </c>
      <c r="B63" s="6" t="s">
        <v>132</v>
      </c>
      <c r="C63" s="6" t="s">
        <v>231</v>
      </c>
      <c r="D63" s="6" t="s">
        <v>13</v>
      </c>
      <c r="E63" s="6" t="s">
        <v>14</v>
      </c>
      <c r="F63" s="6" t="s">
        <v>16</v>
      </c>
      <c r="G63" s="6" t="s">
        <v>17</v>
      </c>
      <c r="H63" s="6" t="s">
        <v>18</v>
      </c>
      <c r="I63" s="6" t="s">
        <v>19</v>
      </c>
      <c r="J63" s="6" t="s">
        <v>20</v>
      </c>
    </row>
    <row r="64">
      <c r="A64" s="5">
        <v>46267.60834690972</v>
      </c>
      <c r="B64" s="6" t="s">
        <v>136</v>
      </c>
      <c r="C64" s="6" t="s">
        <v>137</v>
      </c>
      <c r="D64" s="6" t="s">
        <v>13</v>
      </c>
      <c r="E64" s="6" t="s">
        <v>14</v>
      </c>
      <c r="F64" s="6" t="s">
        <v>16</v>
      </c>
      <c r="G64" s="6" t="s">
        <v>17</v>
      </c>
      <c r="H64" s="6" t="s">
        <v>18</v>
      </c>
      <c r="I64" s="6" t="s">
        <v>19</v>
      </c>
      <c r="J64" s="6" t="s">
        <v>20</v>
      </c>
    </row>
    <row r="65">
      <c r="A65" s="5">
        <v>46267.60876379629</v>
      </c>
      <c r="B65" s="6" t="s">
        <v>133</v>
      </c>
      <c r="C65" s="6" t="s">
        <v>134</v>
      </c>
      <c r="D65" s="6" t="s">
        <v>13</v>
      </c>
      <c r="E65" s="6" t="s">
        <v>14</v>
      </c>
      <c r="F65" s="6" t="s">
        <v>16</v>
      </c>
      <c r="G65" s="6" t="s">
        <v>17</v>
      </c>
      <c r="H65" s="6" t="s">
        <v>18</v>
      </c>
      <c r="I65" s="6" t="s">
        <v>19</v>
      </c>
      <c r="J65" s="6" t="s">
        <v>20</v>
      </c>
    </row>
    <row r="66">
      <c r="A66" s="5">
        <v>46267.67996944445</v>
      </c>
      <c r="B66" s="6" t="s">
        <v>135</v>
      </c>
      <c r="C66" s="6" t="s">
        <v>35</v>
      </c>
      <c r="D66" s="6" t="s">
        <v>13</v>
      </c>
      <c r="E66" s="6" t="s">
        <v>14</v>
      </c>
      <c r="F66" s="6" t="s">
        <v>16</v>
      </c>
      <c r="G66" s="6" t="s">
        <v>17</v>
      </c>
      <c r="H66" s="6" t="s">
        <v>18</v>
      </c>
      <c r="I66" s="6" t="s">
        <v>19</v>
      </c>
      <c r="J66" s="6" t="s">
        <v>20</v>
      </c>
    </row>
    <row r="67">
      <c r="A67" s="5">
        <v>46267.8509109838</v>
      </c>
      <c r="B67" s="6" t="s">
        <v>138</v>
      </c>
      <c r="C67" s="6" t="s">
        <v>139</v>
      </c>
      <c r="D67" s="6" t="s">
        <v>13</v>
      </c>
      <c r="E67" s="6" t="s">
        <v>14</v>
      </c>
      <c r="F67" s="6" t="s">
        <v>16</v>
      </c>
      <c r="G67" s="6" t="s">
        <v>17</v>
      </c>
      <c r="H67" s="6" t="s">
        <v>18</v>
      </c>
      <c r="I67" s="6" t="s">
        <v>55</v>
      </c>
      <c r="J67" s="6" t="s">
        <v>20</v>
      </c>
      <c r="K67" s="6" t="s">
        <v>92</v>
      </c>
    </row>
    <row r="68">
      <c r="A68" s="5">
        <v>46268.344260150465</v>
      </c>
      <c r="B68" s="6" t="s">
        <v>140</v>
      </c>
      <c r="C68" s="6" t="s">
        <v>38</v>
      </c>
      <c r="D68" s="6" t="s">
        <v>13</v>
      </c>
      <c r="E68" s="6" t="s">
        <v>14</v>
      </c>
      <c r="F68" s="6" t="s">
        <v>16</v>
      </c>
      <c r="G68" s="6" t="s">
        <v>17</v>
      </c>
      <c r="H68" s="6" t="s">
        <v>18</v>
      </c>
      <c r="I68" s="6" t="s">
        <v>19</v>
      </c>
      <c r="J68" s="6" t="s">
        <v>20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1" t="s">
        <v>0</v>
      </c>
      <c r="B1" s="1" t="s">
        <v>1</v>
      </c>
      <c r="C1" s="3" t="s">
        <v>2</v>
      </c>
      <c r="D1" s="4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1"/>
      <c r="M1" s="7" t="s">
        <v>15</v>
      </c>
    </row>
    <row r="2">
      <c r="A2" s="8">
        <f>'1.4'!A:A</f>
        <v>46262.41258</v>
      </c>
      <c r="B2" s="1" t="str">
        <f>'1.4'!B:B</f>
        <v>bnco1013@signalschool.ac.th</v>
      </c>
      <c r="C2" s="1" t="str">
        <f>'1.4'!C:C</f>
        <v>จ.ส.ต.ภานุพงษ์ ใจเฉื่อย</v>
      </c>
      <c r="D2" s="9">
        <v>1.0</v>
      </c>
      <c r="E2" s="10">
        <f>IFERROR(vlookup('1.4'!D:D,lookup!$A$2:$B$4,2,false),0)</f>
        <v>5</v>
      </c>
      <c r="F2" s="10">
        <f>IFERROR(vlookup('1.4'!E:E,lookup!$A$6:$B$8,2,false),0)</f>
        <v>5</v>
      </c>
      <c r="G2" s="10">
        <f>IFERROR(vlookup('1.4'!F:F,lookup!$A$10:$B$12,2,false),0)</f>
        <v>5</v>
      </c>
      <c r="H2" s="10">
        <f>IFERROR(vlookup('1.4'!G:G,lookup!$A$14:$B$16,2,false),0)</f>
        <v>5</v>
      </c>
      <c r="I2" s="10">
        <f>IFERROR(vlookup('1.4'!H:H,lookup!$A$18:$B$20,2,false),0)</f>
        <v>5</v>
      </c>
      <c r="J2" s="10">
        <f>IFERROR(vlookup('1.4'!I:I,lookup!$A$22:$B$24,2,false),0)</f>
        <v>5</v>
      </c>
      <c r="K2" s="10">
        <f>IFERROR(vlookup('1.4'!J:J,lookup!$A$26:$B$28,2,false),0)</f>
        <v>5</v>
      </c>
      <c r="L2" s="1"/>
      <c r="M2" s="10">
        <v>1.0</v>
      </c>
      <c r="N2" s="11" t="str">
        <f t="shared" ref="N2:N81" si="1">CONCAT(R2,"@signalschool.ac.th")</f>
        <v>bnco1001@signalschool.ac.th</v>
      </c>
      <c r="O2" s="12">
        <f t="shared" ref="O2:O81" si="2">IFERROR(VLOOKUP(N2,B$2:D$81,3,FALSE),0)</f>
        <v>1</v>
      </c>
      <c r="R2" s="6" t="s">
        <v>91</v>
      </c>
    </row>
    <row r="3">
      <c r="A3" s="8">
        <f>'1.4'!A:A</f>
        <v>46262.41595</v>
      </c>
      <c r="B3" s="1" t="str">
        <f>'1.4'!B:B</f>
        <v>bnco1009@signalschool.ac.th</v>
      </c>
      <c r="C3" s="1" t="str">
        <f>'1.4'!C:C</f>
        <v>ร.ท.ศุภรัชฏ หมอกสุข</v>
      </c>
      <c r="D3" s="9">
        <v>1.0</v>
      </c>
      <c r="E3" s="10">
        <f>IFERROR(vlookup('1.4'!D:D,lookup!$A$2:$B$4,2,false),0)</f>
        <v>5</v>
      </c>
      <c r="F3" s="10">
        <f>IFERROR(vlookup('1.4'!E:E,lookup!$A$6:$B$8,2,false),0)</f>
        <v>5</v>
      </c>
      <c r="G3" s="10">
        <f>IFERROR(vlookup('1.4'!F:F,lookup!$A$10:$B$12,2,false),0)</f>
        <v>5</v>
      </c>
      <c r="H3" s="10">
        <f>IFERROR(vlookup('1.4'!G:G,lookup!$A$14:$B$16,2,false),0)</f>
        <v>5</v>
      </c>
      <c r="I3" s="10">
        <f>IFERROR(vlookup('1.4'!H:H,lookup!$A$18:$B$20,2,false),0)</f>
        <v>5</v>
      </c>
      <c r="J3" s="10">
        <f>IFERROR(vlookup('1.4'!I:I,lookup!$A$22:$B$24,2,false),0)</f>
        <v>5</v>
      </c>
      <c r="K3" s="10">
        <f>IFERROR(vlookup('1.4'!J:J,lookup!$A$26:$B$28,2,false),0)</f>
        <v>5</v>
      </c>
      <c r="L3" s="1"/>
      <c r="M3" s="10">
        <v>2.0</v>
      </c>
      <c r="N3" s="11" t="str">
        <f t="shared" si="1"/>
        <v>bnco1002@signalschool.ac.th</v>
      </c>
      <c r="O3" s="12">
        <f t="shared" si="2"/>
        <v>1</v>
      </c>
      <c r="R3" s="6" t="s">
        <v>123</v>
      </c>
    </row>
    <row r="4">
      <c r="A4" s="8">
        <f>'1.4'!A:A</f>
        <v>46262.4185</v>
      </c>
      <c r="B4" s="1" t="str">
        <f>'1.4'!B:B</f>
        <v>bnco1058@signalschool.ac.th</v>
      </c>
      <c r="C4" s="1" t="str">
        <f>'1.4'!C:C</f>
        <v>ร.ท.ศุภัชฎ หมอกสุข, จ.ส.ต. ภาณุพงษ์ ใจเฉือย</v>
      </c>
      <c r="D4" s="9">
        <v>1.0</v>
      </c>
      <c r="E4" s="10">
        <f>IFERROR(vlookup('1.4'!D:D,lookup!$A$2:$B$4,2,false),0)</f>
        <v>5</v>
      </c>
      <c r="F4" s="10">
        <f>IFERROR(vlookup('1.4'!E:E,lookup!$A$6:$B$8,2,false),0)</f>
        <v>5</v>
      </c>
      <c r="G4" s="10">
        <f>IFERROR(vlookup('1.4'!F:F,lookup!$A$10:$B$12,2,false),0)</f>
        <v>5</v>
      </c>
      <c r="H4" s="10">
        <f>IFERROR(vlookup('1.4'!G:G,lookup!$A$14:$B$16,2,false),0)</f>
        <v>5</v>
      </c>
      <c r="I4" s="10">
        <f>IFERROR(vlookup('1.4'!H:H,lookup!$A$18:$B$20,2,false),0)</f>
        <v>5</v>
      </c>
      <c r="J4" s="10">
        <f>IFERROR(vlookup('1.4'!I:I,lookup!$A$22:$B$24,2,false),0)</f>
        <v>5</v>
      </c>
      <c r="K4" s="10">
        <f>IFERROR(vlookup('1.4'!J:J,lookup!$A$26:$B$28,2,false),0)</f>
        <v>5</v>
      </c>
      <c r="L4" s="1"/>
      <c r="M4" s="10">
        <v>3.0</v>
      </c>
      <c r="N4" s="11" t="str">
        <f t="shared" si="1"/>
        <v>bnco1003@signalschool.ac.th</v>
      </c>
      <c r="O4" s="12">
        <f t="shared" si="2"/>
        <v>1</v>
      </c>
      <c r="R4" s="6" t="s">
        <v>141</v>
      </c>
    </row>
    <row r="5">
      <c r="A5" s="8">
        <f>'1.4'!A:A</f>
        <v>46262.41878</v>
      </c>
      <c r="B5" s="1" t="str">
        <f>'1.4'!B:B</f>
        <v>bnco1056@signalschool.ac.th</v>
      </c>
      <c r="C5" s="1" t="str">
        <f>'1.4'!C:C</f>
        <v>ร.ท. ศุภรัชฏ  หมอกสุข</v>
      </c>
      <c r="D5" s="9">
        <v>1.0</v>
      </c>
      <c r="E5" s="10">
        <f>IFERROR(vlookup('1.4'!D:D,lookup!$A$2:$B$4,2,false),0)</f>
        <v>5</v>
      </c>
      <c r="F5" s="10">
        <f>IFERROR(vlookup('1.4'!E:E,lookup!$A$6:$B$8,2,false),0)</f>
        <v>5</v>
      </c>
      <c r="G5" s="10">
        <f>IFERROR(vlookup('1.4'!F:F,lookup!$A$10:$B$12,2,false),0)</f>
        <v>5</v>
      </c>
      <c r="H5" s="10">
        <f>IFERROR(vlookup('1.4'!G:G,lookup!$A$14:$B$16,2,false),0)</f>
        <v>5</v>
      </c>
      <c r="I5" s="10">
        <f>IFERROR(vlookup('1.4'!H:H,lookup!$A$18:$B$20,2,false),0)</f>
        <v>5</v>
      </c>
      <c r="J5" s="10">
        <f>IFERROR(vlookup('1.4'!I:I,lookup!$A$22:$B$24,2,false),0)</f>
        <v>5</v>
      </c>
      <c r="K5" s="10">
        <f>IFERROR(vlookup('1.4'!J:J,lookup!$A$26:$B$28,2,false),0)</f>
        <v>5</v>
      </c>
      <c r="L5" s="1"/>
      <c r="M5" s="10">
        <v>4.0</v>
      </c>
      <c r="N5" s="11" t="str">
        <f t="shared" si="1"/>
        <v>bnco1004@signalschool.ac.th</v>
      </c>
      <c r="O5" s="12">
        <f t="shared" si="2"/>
        <v>1</v>
      </c>
      <c r="R5" s="6" t="s">
        <v>143</v>
      </c>
    </row>
    <row r="6">
      <c r="A6" s="8">
        <f>'1.4'!A:A</f>
        <v>46262.42534</v>
      </c>
      <c r="B6" s="1" t="str">
        <f>'1.4'!B:B</f>
        <v>bnco1062@signalschool.ac.th</v>
      </c>
      <c r="C6" s="1" t="str">
        <f>'1.4'!C:C</f>
        <v>จ.ส.ต. ภานุพงษ์ ใจเฉื่อย</v>
      </c>
      <c r="D6" s="9">
        <v>1.0</v>
      </c>
      <c r="E6" s="10">
        <f>IFERROR(vlookup('1.4'!D:D,lookup!$A$2:$B$4,2,false),0)</f>
        <v>5</v>
      </c>
      <c r="F6" s="10">
        <f>IFERROR(vlookup('1.4'!E:E,lookup!$A$6:$B$8,2,false),0)</f>
        <v>5</v>
      </c>
      <c r="G6" s="10">
        <f>IFERROR(vlookup('1.4'!F:F,lookup!$A$10:$B$12,2,false),0)</f>
        <v>5</v>
      </c>
      <c r="H6" s="10">
        <f>IFERROR(vlookup('1.4'!G:G,lookup!$A$14:$B$16,2,false),0)</f>
        <v>5</v>
      </c>
      <c r="I6" s="10">
        <f>IFERROR(vlookup('1.4'!H:H,lookup!$A$18:$B$20,2,false),0)</f>
        <v>5</v>
      </c>
      <c r="J6" s="10">
        <f>IFERROR(vlookup('1.4'!I:I,lookup!$A$22:$B$24,2,false),0)</f>
        <v>5</v>
      </c>
      <c r="K6" s="10">
        <f>IFERROR(vlookup('1.4'!J:J,lookup!$A$26:$B$28,2,false),0)</f>
        <v>5</v>
      </c>
      <c r="L6" s="1"/>
      <c r="M6" s="10">
        <v>5.0</v>
      </c>
      <c r="N6" s="11" t="str">
        <f t="shared" si="1"/>
        <v>bnco1005@signalschool.ac.th</v>
      </c>
      <c r="O6" s="12">
        <f t="shared" si="2"/>
        <v>1</v>
      </c>
      <c r="R6" s="6" t="s">
        <v>144</v>
      </c>
    </row>
    <row r="7">
      <c r="A7" s="8">
        <f>'1.4'!A:A</f>
        <v>46262.42689</v>
      </c>
      <c r="B7" s="1" t="str">
        <f>'1.4'!B:B</f>
        <v>bnco1041@signalschool.ac.th</v>
      </c>
      <c r="C7" s="1" t="str">
        <f>'1.4'!C:C</f>
        <v>ร.ท.ศุภรัชฏ หมอกสุข</v>
      </c>
      <c r="D7" s="9">
        <v>1.0</v>
      </c>
      <c r="E7" s="10">
        <f>IFERROR(vlookup('1.4'!D:D,lookup!$A$2:$B$4,2,false),0)</f>
        <v>5</v>
      </c>
      <c r="F7" s="10">
        <f>IFERROR(vlookup('1.4'!E:E,lookup!$A$6:$B$8,2,false),0)</f>
        <v>5</v>
      </c>
      <c r="G7" s="10">
        <f>IFERROR(vlookup('1.4'!F:F,lookup!$A$10:$B$12,2,false),0)</f>
        <v>5</v>
      </c>
      <c r="H7" s="10">
        <f>IFERROR(vlookup('1.4'!G:G,lookup!$A$14:$B$16,2,false),0)</f>
        <v>5</v>
      </c>
      <c r="I7" s="10">
        <f>IFERROR(vlookup('1.4'!H:H,lookup!$A$18:$B$20,2,false),0)</f>
        <v>5</v>
      </c>
      <c r="J7" s="10">
        <f>IFERROR(vlookup('1.4'!I:I,lookup!$A$22:$B$24,2,false),0)</f>
        <v>5</v>
      </c>
      <c r="K7" s="10">
        <f>IFERROR(vlookup('1.4'!J:J,lookup!$A$26:$B$28,2,false),0)</f>
        <v>5</v>
      </c>
      <c r="L7" s="1"/>
      <c r="M7" s="10">
        <v>6.0</v>
      </c>
      <c r="N7" s="11" t="str">
        <f t="shared" si="1"/>
        <v>bnco1006@signalschool.ac.th</v>
      </c>
      <c r="O7" s="12">
        <f t="shared" si="2"/>
        <v>1</v>
      </c>
      <c r="R7" s="6" t="s">
        <v>145</v>
      </c>
    </row>
    <row r="8">
      <c r="A8" s="8">
        <f>'1.4'!A:A</f>
        <v>46262.4358</v>
      </c>
      <c r="B8" s="1" t="str">
        <f>'1.4'!B:B</f>
        <v>bnco1012@signalschool.ac.th</v>
      </c>
      <c r="C8" s="1" t="str">
        <f>'1.4'!C:C</f>
        <v>ร.ท.ศุภรัชฏ หมอกสุข</v>
      </c>
      <c r="D8" s="9">
        <v>1.0</v>
      </c>
      <c r="E8" s="10">
        <f>IFERROR(vlookup('1.4'!D:D,lookup!$A$2:$B$4,2,false),0)</f>
        <v>5</v>
      </c>
      <c r="F8" s="10">
        <f>IFERROR(vlookup('1.4'!E:E,lookup!$A$6:$B$8,2,false),0)</f>
        <v>5</v>
      </c>
      <c r="G8" s="10">
        <f>IFERROR(vlookup('1.4'!F:F,lookup!$A$10:$B$12,2,false),0)</f>
        <v>5</v>
      </c>
      <c r="H8" s="10">
        <f>IFERROR(vlookup('1.4'!G:G,lookup!$A$14:$B$16,2,false),0)</f>
        <v>5</v>
      </c>
      <c r="I8" s="10">
        <f>IFERROR(vlookup('1.4'!H:H,lookup!$A$18:$B$20,2,false),0)</f>
        <v>5</v>
      </c>
      <c r="J8" s="10">
        <f>IFERROR(vlookup('1.4'!I:I,lookup!$A$22:$B$24,2,false),0)</f>
        <v>5</v>
      </c>
      <c r="K8" s="10">
        <f>IFERROR(vlookup('1.4'!J:J,lookup!$A$26:$B$28,2,false),0)</f>
        <v>5</v>
      </c>
      <c r="L8" s="1"/>
      <c r="M8" s="10">
        <v>7.0</v>
      </c>
      <c r="N8" s="11" t="str">
        <f t="shared" si="1"/>
        <v>bnco1007@signalschool.ac.th</v>
      </c>
      <c r="O8" s="12">
        <f t="shared" si="2"/>
        <v>0</v>
      </c>
      <c r="R8" s="6" t="s">
        <v>155</v>
      </c>
    </row>
    <row r="9">
      <c r="A9" s="8">
        <f>'1.4'!A:A</f>
        <v>46262.437</v>
      </c>
      <c r="B9" s="1" t="str">
        <f>'1.4'!B:B</f>
        <v>bnco1006@signalschool.ac.th</v>
      </c>
      <c r="C9" s="1" t="str">
        <f>'1.4'!C:C</f>
        <v>ร.ท.ศุภรัชฎ หมอกสุข</v>
      </c>
      <c r="D9" s="9">
        <v>1.0</v>
      </c>
      <c r="E9" s="10">
        <f>IFERROR(vlookup('1.4'!D:D,lookup!$A$2:$B$4,2,false),0)</f>
        <v>5</v>
      </c>
      <c r="F9" s="10">
        <f>IFERROR(vlookup('1.4'!E:E,lookup!$A$6:$B$8,2,false),0)</f>
        <v>5</v>
      </c>
      <c r="G9" s="10">
        <f>IFERROR(vlookup('1.4'!F:F,lookup!$A$10:$B$12,2,false),0)</f>
        <v>5</v>
      </c>
      <c r="H9" s="10">
        <f>IFERROR(vlookup('1.4'!G:G,lookup!$A$14:$B$16,2,false),0)</f>
        <v>5</v>
      </c>
      <c r="I9" s="10">
        <f>IFERROR(vlookup('1.4'!H:H,lookup!$A$18:$B$20,2,false),0)</f>
        <v>5</v>
      </c>
      <c r="J9" s="10">
        <f>IFERROR(vlookup('1.4'!I:I,lookup!$A$22:$B$24,2,false),0)</f>
        <v>5</v>
      </c>
      <c r="K9" s="10">
        <f>IFERROR(vlookup('1.4'!J:J,lookup!$A$26:$B$28,2,false),0)</f>
        <v>5</v>
      </c>
      <c r="L9" s="1"/>
      <c r="M9" s="10">
        <v>8.0</v>
      </c>
      <c r="N9" s="11" t="str">
        <f t="shared" si="1"/>
        <v>bnco1008@signalschool.ac.th</v>
      </c>
      <c r="O9" s="12">
        <f t="shared" si="2"/>
        <v>1</v>
      </c>
      <c r="R9" s="6" t="s">
        <v>166</v>
      </c>
    </row>
    <row r="10">
      <c r="A10" s="8">
        <f>'1.4'!A:A</f>
        <v>46262.44308</v>
      </c>
      <c r="B10" s="1" t="str">
        <f>'1.4'!B:B</f>
        <v>bnco1051@signalschool.ac.th</v>
      </c>
      <c r="C10" s="1" t="str">
        <f>'1.4'!C:C</f>
        <v>จ.ส.ต.ภานุพงษ์ ใจเฉื่อย</v>
      </c>
      <c r="D10" s="9">
        <v>1.0</v>
      </c>
      <c r="E10" s="10">
        <f>IFERROR(vlookup('1.4'!D:D,lookup!$A$2:$B$4,2,false),0)</f>
        <v>5</v>
      </c>
      <c r="F10" s="10">
        <f>IFERROR(vlookup('1.4'!E:E,lookup!$A$6:$B$8,2,false),0)</f>
        <v>5</v>
      </c>
      <c r="G10" s="10">
        <f>IFERROR(vlookup('1.4'!F:F,lookup!$A$10:$B$12,2,false),0)</f>
        <v>5</v>
      </c>
      <c r="H10" s="10">
        <f>IFERROR(vlookup('1.4'!G:G,lookup!$A$14:$B$16,2,false),0)</f>
        <v>5</v>
      </c>
      <c r="I10" s="10">
        <f>IFERROR(vlookup('1.4'!H:H,lookup!$A$18:$B$20,2,false),0)</f>
        <v>5</v>
      </c>
      <c r="J10" s="10">
        <f>IFERROR(vlookup('1.4'!I:I,lookup!$A$22:$B$24,2,false),0)</f>
        <v>5</v>
      </c>
      <c r="K10" s="10">
        <f>IFERROR(vlookup('1.4'!J:J,lookup!$A$26:$B$28,2,false),0)</f>
        <v>5</v>
      </c>
      <c r="L10" s="1"/>
      <c r="M10" s="10">
        <v>9.0</v>
      </c>
      <c r="N10" s="11" t="str">
        <f t="shared" si="1"/>
        <v>bnco1009@signalschool.ac.th</v>
      </c>
      <c r="O10" s="12">
        <f t="shared" si="2"/>
        <v>1</v>
      </c>
      <c r="R10" s="6" t="s">
        <v>175</v>
      </c>
    </row>
    <row r="11">
      <c r="A11" s="8">
        <f>'1.4'!A:A</f>
        <v>46262.44336</v>
      </c>
      <c r="B11" s="1" t="str">
        <f>'1.4'!B:B</f>
        <v>bnco1050@signalschool.ac.th</v>
      </c>
      <c r="C11" s="1" t="str">
        <f>'1.4'!C:C</f>
        <v>จ.ส.ต.ภานุพงษ์ ใจเฉื่อย</v>
      </c>
      <c r="D11" s="9">
        <v>1.0</v>
      </c>
      <c r="E11" s="10">
        <f>IFERROR(vlookup('1.4'!D:D,lookup!$A$2:$B$4,2,false),0)</f>
        <v>5</v>
      </c>
      <c r="F11" s="10">
        <f>IFERROR(vlookup('1.4'!E:E,lookup!$A$6:$B$8,2,false),0)</f>
        <v>5</v>
      </c>
      <c r="G11" s="10">
        <f>IFERROR(vlookup('1.4'!F:F,lookup!$A$10:$B$12,2,false),0)</f>
        <v>5</v>
      </c>
      <c r="H11" s="10">
        <f>IFERROR(vlookup('1.4'!G:G,lookup!$A$14:$B$16,2,false),0)</f>
        <v>5</v>
      </c>
      <c r="I11" s="10">
        <f>IFERROR(vlookup('1.4'!H:H,lookup!$A$18:$B$20,2,false),0)</f>
        <v>5</v>
      </c>
      <c r="J11" s="10">
        <f>IFERROR(vlookup('1.4'!I:I,lookup!$A$22:$B$24,2,false),0)</f>
        <v>5</v>
      </c>
      <c r="K11" s="10">
        <f>IFERROR(vlookup('1.4'!J:J,lookup!$A$26:$B$28,2,false),0)</f>
        <v>5</v>
      </c>
      <c r="L11" s="1"/>
      <c r="M11" s="10">
        <v>10.0</v>
      </c>
      <c r="N11" s="11" t="str">
        <f t="shared" si="1"/>
        <v>bnco1010@signalschool.ac.th</v>
      </c>
      <c r="O11" s="12">
        <f t="shared" si="2"/>
        <v>0</v>
      </c>
      <c r="R11" s="6" t="s">
        <v>192</v>
      </c>
    </row>
    <row r="12">
      <c r="A12" s="8">
        <f>'1.4'!A:A</f>
        <v>46262.44519</v>
      </c>
      <c r="B12" s="1" t="str">
        <f>'1.4'!B:B</f>
        <v>bnco1052@signalschool.ac.th</v>
      </c>
      <c r="C12" s="1" t="str">
        <f>'1.4'!C:C</f>
        <v>ร.ท.ศุภรัชฎ  หมอกสุข</v>
      </c>
      <c r="D12" s="9">
        <v>1.0</v>
      </c>
      <c r="E12" s="10">
        <f>IFERROR(vlookup('1.4'!D:D,lookup!$A$2:$B$4,2,false),0)</f>
        <v>5</v>
      </c>
      <c r="F12" s="10">
        <f>IFERROR(vlookup('1.4'!E:E,lookup!$A$6:$B$8,2,false),0)</f>
        <v>5</v>
      </c>
      <c r="G12" s="10">
        <f>IFERROR(vlookup('1.4'!F:F,lookup!$A$10:$B$12,2,false),0)</f>
        <v>5</v>
      </c>
      <c r="H12" s="10">
        <f>IFERROR(vlookup('1.4'!G:G,lookup!$A$14:$B$16,2,false),0)</f>
        <v>5</v>
      </c>
      <c r="I12" s="10">
        <f>IFERROR(vlookup('1.4'!H:H,lookup!$A$18:$B$20,2,false),0)</f>
        <v>5</v>
      </c>
      <c r="J12" s="10">
        <f>IFERROR(vlookup('1.4'!I:I,lookup!$A$22:$B$24,2,false),0)</f>
        <v>5</v>
      </c>
      <c r="K12" s="10">
        <f>IFERROR(vlookup('1.4'!J:J,lookup!$A$26:$B$28,2,false),0)</f>
        <v>5</v>
      </c>
      <c r="L12" s="1"/>
      <c r="M12" s="10">
        <v>11.0</v>
      </c>
      <c r="N12" s="11" t="str">
        <f t="shared" si="1"/>
        <v>bnco1011@signalschool.ac.th</v>
      </c>
      <c r="O12" s="12">
        <f t="shared" si="2"/>
        <v>1</v>
      </c>
      <c r="R12" s="6" t="s">
        <v>209</v>
      </c>
    </row>
    <row r="13">
      <c r="A13" s="8">
        <f>'1.4'!A:A</f>
        <v>46262.44539</v>
      </c>
      <c r="B13" s="1" t="str">
        <f>'1.4'!B:B</f>
        <v>bnco1018@signalschool.ac.th</v>
      </c>
      <c r="C13" s="1" t="str">
        <f>'1.4'!C:C</f>
        <v>ร.ท.ศุภรัชฎ หมอกสุข</v>
      </c>
      <c r="D13" s="9">
        <v>1.0</v>
      </c>
      <c r="E13" s="10">
        <f>IFERROR(vlookup('1.4'!D:D,lookup!$A$2:$B$4,2,false),0)</f>
        <v>5</v>
      </c>
      <c r="F13" s="10">
        <f>IFERROR(vlookup('1.4'!E:E,lookup!$A$6:$B$8,2,false),0)</f>
        <v>5</v>
      </c>
      <c r="G13" s="10">
        <f>IFERROR(vlookup('1.4'!F:F,lookup!$A$10:$B$12,2,false),0)</f>
        <v>5</v>
      </c>
      <c r="H13" s="10">
        <f>IFERROR(vlookup('1.4'!G:G,lookup!$A$14:$B$16,2,false),0)</f>
        <v>5</v>
      </c>
      <c r="I13" s="10">
        <f>IFERROR(vlookup('1.4'!H:H,lookup!$A$18:$B$20,2,false),0)</f>
        <v>5</v>
      </c>
      <c r="J13" s="10">
        <f>IFERROR(vlookup('1.4'!I:I,lookup!$A$22:$B$24,2,false),0)</f>
        <v>5</v>
      </c>
      <c r="K13" s="10">
        <f>IFERROR(vlookup('1.4'!J:J,lookup!$A$26:$B$28,2,false),0)</f>
        <v>5</v>
      </c>
      <c r="L13" s="1"/>
      <c r="M13" s="10">
        <v>12.0</v>
      </c>
      <c r="N13" s="11" t="str">
        <f t="shared" si="1"/>
        <v>bnco1012@signalschool.ac.th</v>
      </c>
      <c r="O13" s="12">
        <f t="shared" si="2"/>
        <v>1</v>
      </c>
      <c r="R13" s="6" t="s">
        <v>213</v>
      </c>
    </row>
    <row r="14">
      <c r="A14" s="8">
        <f>'1.4'!A:A</f>
        <v>46262.45056</v>
      </c>
      <c r="B14" s="1" t="str">
        <f>'1.4'!B:B</f>
        <v>bnco1038@signalschool.ac.th</v>
      </c>
      <c r="C14" s="1" t="str">
        <f>'1.4'!C:C</f>
        <v>ร.ท.ศุภรัชฎ หมอกสุข</v>
      </c>
      <c r="D14" s="9">
        <v>1.0</v>
      </c>
      <c r="E14" s="10">
        <f>IFERROR(vlookup('1.4'!D:D,lookup!$A$2:$B$4,2,false),0)</f>
        <v>5</v>
      </c>
      <c r="F14" s="10">
        <f>IFERROR(vlookup('1.4'!E:E,lookup!$A$6:$B$8,2,false),0)</f>
        <v>5</v>
      </c>
      <c r="G14" s="10">
        <f>IFERROR(vlookup('1.4'!F:F,lookup!$A$10:$B$12,2,false),0)</f>
        <v>5</v>
      </c>
      <c r="H14" s="10">
        <f>IFERROR(vlookup('1.4'!G:G,lookup!$A$14:$B$16,2,false),0)</f>
        <v>5</v>
      </c>
      <c r="I14" s="10">
        <f>IFERROR(vlookup('1.4'!H:H,lookup!$A$18:$B$20,2,false),0)</f>
        <v>5</v>
      </c>
      <c r="J14" s="10">
        <f>IFERROR(vlookup('1.4'!I:I,lookup!$A$22:$B$24,2,false),0)</f>
        <v>5</v>
      </c>
      <c r="K14" s="10">
        <f>IFERROR(vlookup('1.4'!J:J,lookup!$A$26:$B$28,2,false),0)</f>
        <v>5</v>
      </c>
      <c r="L14" s="1"/>
      <c r="M14" s="10">
        <v>13.0</v>
      </c>
      <c r="N14" s="11" t="str">
        <f t="shared" si="1"/>
        <v>bnco1013@signalschool.ac.th</v>
      </c>
      <c r="O14" s="12">
        <f t="shared" si="2"/>
        <v>1</v>
      </c>
      <c r="R14" s="6" t="s">
        <v>214</v>
      </c>
    </row>
    <row r="15">
      <c r="A15" s="8">
        <f>'1.4'!A:A</f>
        <v>46262.45148</v>
      </c>
      <c r="B15" s="1" t="str">
        <f>'1.4'!B:B</f>
        <v>bnco1035@signalschool.ac.th</v>
      </c>
      <c r="C15" s="1" t="str">
        <f>'1.4'!C:C</f>
        <v>ร.ท. ศุภรัชฎ หมอกสุข</v>
      </c>
      <c r="D15" s="9">
        <v>1.0</v>
      </c>
      <c r="E15" s="10">
        <f>IFERROR(vlookup('1.4'!D:D,lookup!$A$2:$B$4,2,false),0)</f>
        <v>5</v>
      </c>
      <c r="F15" s="10">
        <f>IFERROR(vlookup('1.4'!E:E,lookup!$A$6:$B$8,2,false),0)</f>
        <v>5</v>
      </c>
      <c r="G15" s="10">
        <f>IFERROR(vlookup('1.4'!F:F,lookup!$A$10:$B$12,2,false),0)</f>
        <v>5</v>
      </c>
      <c r="H15" s="10">
        <f>IFERROR(vlookup('1.4'!G:G,lookup!$A$14:$B$16,2,false),0)</f>
        <v>5</v>
      </c>
      <c r="I15" s="10">
        <f>IFERROR(vlookup('1.4'!H:H,lookup!$A$18:$B$20,2,false),0)</f>
        <v>5</v>
      </c>
      <c r="J15" s="10">
        <f>IFERROR(vlookup('1.4'!I:I,lookup!$A$22:$B$24,2,false),0)</f>
        <v>5</v>
      </c>
      <c r="K15" s="10">
        <f>IFERROR(vlookup('1.4'!J:J,lookup!$A$26:$B$28,2,false),0)</f>
        <v>5</v>
      </c>
      <c r="L15" s="1"/>
      <c r="M15" s="10">
        <v>14.0</v>
      </c>
      <c r="N15" s="11" t="str">
        <f t="shared" si="1"/>
        <v>bnco1014@signalschool.ac.th</v>
      </c>
      <c r="O15" s="12">
        <f t="shared" si="2"/>
        <v>1</v>
      </c>
      <c r="R15" s="6" t="s">
        <v>215</v>
      </c>
    </row>
    <row r="16">
      <c r="A16" s="8">
        <f>'1.4'!A:A</f>
        <v>46262.45832</v>
      </c>
      <c r="B16" s="1" t="str">
        <f>'1.4'!B:B</f>
        <v>bnco1036@signalschool.ac.th</v>
      </c>
      <c r="C16" s="1" t="str">
        <f>'1.4'!C:C</f>
        <v>ร.ท.ศุภรัชฎ หมอกสุข</v>
      </c>
      <c r="D16" s="9">
        <v>1.0</v>
      </c>
      <c r="E16" s="10">
        <f>IFERROR(vlookup('1.4'!D:D,lookup!$A$2:$B$4,2,false),0)</f>
        <v>5</v>
      </c>
      <c r="F16" s="10">
        <f>IFERROR(vlookup('1.4'!E:E,lookup!$A$6:$B$8,2,false),0)</f>
        <v>5</v>
      </c>
      <c r="G16" s="10">
        <f>IFERROR(vlookup('1.4'!F:F,lookup!$A$10:$B$12,2,false),0)</f>
        <v>5</v>
      </c>
      <c r="H16" s="10">
        <f>IFERROR(vlookup('1.4'!G:G,lookup!$A$14:$B$16,2,false),0)</f>
        <v>5</v>
      </c>
      <c r="I16" s="10">
        <f>IFERROR(vlookup('1.4'!H:H,lookup!$A$18:$B$20,2,false),0)</f>
        <v>5</v>
      </c>
      <c r="J16" s="10">
        <f>IFERROR(vlookup('1.4'!I:I,lookup!$A$22:$B$24,2,false),0)</f>
        <v>5</v>
      </c>
      <c r="K16" s="10">
        <f>IFERROR(vlookup('1.4'!J:J,lookup!$A$26:$B$28,2,false),0)</f>
        <v>5</v>
      </c>
      <c r="L16" s="1"/>
      <c r="M16" s="10">
        <v>15.0</v>
      </c>
      <c r="N16" s="11" t="str">
        <f t="shared" si="1"/>
        <v>bnco1015@signalschool.ac.th</v>
      </c>
      <c r="O16" s="12">
        <f t="shared" si="2"/>
        <v>1</v>
      </c>
      <c r="R16" s="6" t="s">
        <v>221</v>
      </c>
    </row>
    <row r="17">
      <c r="A17" s="8">
        <f>'1.4'!A:A</f>
        <v>46262.45953</v>
      </c>
      <c r="B17" s="1" t="str">
        <f>'1.4'!B:B</f>
        <v>bnco1070@signalschool.ac.th</v>
      </c>
      <c r="C17" s="1" t="str">
        <f>'1.4'!C:C</f>
        <v>ร.ท.ศุภรัชฎ หมอกสุข</v>
      </c>
      <c r="D17" s="9">
        <v>1.0</v>
      </c>
      <c r="E17" s="10">
        <f>IFERROR(vlookup('1.4'!D:D,lookup!$A$2:$B$4,2,false),0)</f>
        <v>5</v>
      </c>
      <c r="F17" s="10">
        <f>IFERROR(vlookup('1.4'!E:E,lookup!$A$6:$B$8,2,false),0)</f>
        <v>3</v>
      </c>
      <c r="G17" s="10">
        <f>IFERROR(vlookup('1.4'!F:F,lookup!$A$10:$B$12,2,false),0)</f>
        <v>5</v>
      </c>
      <c r="H17" s="10">
        <f>IFERROR(vlookup('1.4'!G:G,lookup!$A$14:$B$16,2,false),0)</f>
        <v>5</v>
      </c>
      <c r="I17" s="10">
        <f>IFERROR(vlookup('1.4'!H:H,lookup!$A$18:$B$20,2,false),0)</f>
        <v>3</v>
      </c>
      <c r="J17" s="10">
        <f>IFERROR(vlookup('1.4'!I:I,lookup!$A$22:$B$24,2,false),0)</f>
        <v>5</v>
      </c>
      <c r="K17" s="10">
        <f>IFERROR(vlookup('1.4'!J:J,lookup!$A$26:$B$28,2,false),0)</f>
        <v>5</v>
      </c>
      <c r="L17" s="1"/>
      <c r="M17" s="10">
        <v>16.0</v>
      </c>
      <c r="N17" s="11" t="str">
        <f t="shared" si="1"/>
        <v>bnco1016@signalschool.ac.th</v>
      </c>
      <c r="O17" s="12">
        <f t="shared" si="2"/>
        <v>1</v>
      </c>
      <c r="R17" s="6" t="s">
        <v>223</v>
      </c>
    </row>
    <row r="18">
      <c r="A18" s="8">
        <f>'1.4'!A:A</f>
        <v>46262.46141</v>
      </c>
      <c r="B18" s="1" t="str">
        <f>'1.4'!B:B</f>
        <v>bnco1042@signalschool.ac.th</v>
      </c>
      <c r="C18" s="1" t="str">
        <f>'1.4'!C:C</f>
        <v>ร.ท.ศุภรัชฎ  หมอกสุข</v>
      </c>
      <c r="D18" s="9">
        <v>1.0</v>
      </c>
      <c r="E18" s="10">
        <f>IFERROR(vlookup('1.4'!D:D,lookup!$A$2:$B$4,2,false),0)</f>
        <v>5</v>
      </c>
      <c r="F18" s="10">
        <f>IFERROR(vlookup('1.4'!E:E,lookup!$A$6:$B$8,2,false),0)</f>
        <v>5</v>
      </c>
      <c r="G18" s="10">
        <f>IFERROR(vlookup('1.4'!F:F,lookup!$A$10:$B$12,2,false),0)</f>
        <v>5</v>
      </c>
      <c r="H18" s="10">
        <f>IFERROR(vlookup('1.4'!G:G,lookup!$A$14:$B$16,2,false),0)</f>
        <v>5</v>
      </c>
      <c r="I18" s="10">
        <f>IFERROR(vlookup('1.4'!H:H,lookup!$A$18:$B$20,2,false),0)</f>
        <v>5</v>
      </c>
      <c r="J18" s="10">
        <f>IFERROR(vlookup('1.4'!I:I,lookup!$A$22:$B$24,2,false),0)</f>
        <v>5</v>
      </c>
      <c r="K18" s="10">
        <f>IFERROR(vlookup('1.4'!J:J,lookup!$A$26:$B$28,2,false),0)</f>
        <v>5</v>
      </c>
      <c r="L18" s="1"/>
      <c r="M18" s="10">
        <v>17.0</v>
      </c>
      <c r="N18" s="11" t="str">
        <f t="shared" si="1"/>
        <v>bnco1017@signalschool.ac.th</v>
      </c>
      <c r="O18" s="12">
        <f t="shared" si="2"/>
        <v>1</v>
      </c>
      <c r="R18" s="6" t="s">
        <v>229</v>
      </c>
    </row>
    <row r="19">
      <c r="A19" s="8">
        <f>'1.4'!A:A</f>
        <v>46262.46492</v>
      </c>
      <c r="B19" s="1" t="str">
        <f>'1.4'!B:B</f>
        <v>bnco1003@signalschool.ac.th</v>
      </c>
      <c r="C19" s="1" t="str">
        <f>'1.4'!C:C</f>
        <v>ร.ท.ศุภรัชฎ  หมอกสุข</v>
      </c>
      <c r="D19" s="9">
        <v>1.0</v>
      </c>
      <c r="E19" s="10">
        <f>IFERROR(vlookup('1.4'!D:D,lookup!$A$2:$B$4,2,false),0)</f>
        <v>5</v>
      </c>
      <c r="F19" s="10">
        <f>IFERROR(vlookup('1.4'!E:E,lookup!$A$6:$B$8,2,false),0)</f>
        <v>5</v>
      </c>
      <c r="G19" s="10">
        <f>IFERROR(vlookup('1.4'!F:F,lookup!$A$10:$B$12,2,false),0)</f>
        <v>5</v>
      </c>
      <c r="H19" s="10">
        <f>IFERROR(vlookup('1.4'!G:G,lookup!$A$14:$B$16,2,false),0)</f>
        <v>5</v>
      </c>
      <c r="I19" s="10">
        <f>IFERROR(vlookup('1.4'!H:H,lookup!$A$18:$B$20,2,false),0)</f>
        <v>5</v>
      </c>
      <c r="J19" s="10">
        <f>IFERROR(vlookup('1.4'!I:I,lookup!$A$22:$B$24,2,false),0)</f>
        <v>5</v>
      </c>
      <c r="K19" s="10">
        <f>IFERROR(vlookup('1.4'!J:J,lookup!$A$26:$B$28,2,false),0)</f>
        <v>5</v>
      </c>
      <c r="L19" s="1"/>
      <c r="M19" s="10">
        <v>18.0</v>
      </c>
      <c r="N19" s="11" t="str">
        <f t="shared" si="1"/>
        <v>bnco1018@signalschool.ac.th</v>
      </c>
      <c r="O19" s="12">
        <f t="shared" si="2"/>
        <v>1</v>
      </c>
      <c r="R19" s="6" t="s">
        <v>232</v>
      </c>
    </row>
    <row r="20">
      <c r="A20" s="8">
        <f>'1.4'!A:A</f>
        <v>46262.46829</v>
      </c>
      <c r="B20" s="1" t="str">
        <f>'1.4'!B:B</f>
        <v>bnco1079@signalschool.ac.th</v>
      </c>
      <c r="C20" s="1" t="str">
        <f>'1.4'!C:C</f>
        <v>ร.ท.ศุภรัชฎ หมอกสุข</v>
      </c>
      <c r="D20" s="9">
        <v>1.0</v>
      </c>
      <c r="E20" s="10">
        <f>IFERROR(vlookup('1.4'!D:D,lookup!$A$2:$B$4,2,false),0)</f>
        <v>5</v>
      </c>
      <c r="F20" s="10">
        <f>IFERROR(vlookup('1.4'!E:E,lookup!$A$6:$B$8,2,false),0)</f>
        <v>5</v>
      </c>
      <c r="G20" s="10">
        <f>IFERROR(vlookup('1.4'!F:F,lookup!$A$10:$B$12,2,false),0)</f>
        <v>5</v>
      </c>
      <c r="H20" s="10">
        <f>IFERROR(vlookup('1.4'!G:G,lookup!$A$14:$B$16,2,false),0)</f>
        <v>5</v>
      </c>
      <c r="I20" s="10">
        <f>IFERROR(vlookup('1.4'!H:H,lookup!$A$18:$B$20,2,false),0)</f>
        <v>5</v>
      </c>
      <c r="J20" s="10">
        <f>IFERROR(vlookup('1.4'!I:I,lookup!$A$22:$B$24,2,false),0)</f>
        <v>5</v>
      </c>
      <c r="K20" s="10">
        <f>IFERROR(vlookup('1.4'!J:J,lookup!$A$26:$B$28,2,false),0)</f>
        <v>5</v>
      </c>
      <c r="L20" s="1"/>
      <c r="M20" s="10">
        <v>19.0</v>
      </c>
      <c r="N20" s="11" t="str">
        <f t="shared" si="1"/>
        <v>bnco1019@signalschool.ac.th</v>
      </c>
      <c r="O20" s="12">
        <f t="shared" si="2"/>
        <v>1</v>
      </c>
      <c r="R20" s="6" t="s">
        <v>233</v>
      </c>
    </row>
    <row r="21">
      <c r="A21" s="8">
        <f>'1.4'!A:A</f>
        <v>46262.48271</v>
      </c>
      <c r="B21" s="1" t="str">
        <f>'1.4'!B:B</f>
        <v>bnco1032@signalschool.ac.th</v>
      </c>
      <c r="C21" s="1" t="str">
        <f>'1.4'!C:C</f>
        <v>ร.ท.ศุภรัชฏ หมอกสุข</v>
      </c>
      <c r="D21" s="9">
        <v>1.0</v>
      </c>
      <c r="E21" s="10">
        <f>IFERROR(vlookup('1.4'!D:D,lookup!$A$2:$B$4,2,false),0)</f>
        <v>5</v>
      </c>
      <c r="F21" s="10">
        <f>IFERROR(vlookup('1.4'!E:E,lookup!$A$6:$B$8,2,false),0)</f>
        <v>5</v>
      </c>
      <c r="G21" s="10">
        <f>IFERROR(vlookup('1.4'!F:F,lookup!$A$10:$B$12,2,false),0)</f>
        <v>5</v>
      </c>
      <c r="H21" s="10">
        <f>IFERROR(vlookup('1.4'!G:G,lookup!$A$14:$B$16,2,false),0)</f>
        <v>5</v>
      </c>
      <c r="I21" s="10">
        <f>IFERROR(vlookup('1.4'!H:H,lookup!$A$18:$B$20,2,false),0)</f>
        <v>5</v>
      </c>
      <c r="J21" s="10">
        <f>IFERROR(vlookup('1.4'!I:I,lookup!$A$22:$B$24,2,false),0)</f>
        <v>5</v>
      </c>
      <c r="K21" s="10">
        <f>IFERROR(vlookup('1.4'!J:J,lookup!$A$26:$B$28,2,false),0)</f>
        <v>5</v>
      </c>
      <c r="L21" s="1"/>
      <c r="M21" s="10">
        <v>20.0</v>
      </c>
      <c r="N21" s="11" t="str">
        <f t="shared" si="1"/>
        <v>bnco1020@signalschool.ac.th</v>
      </c>
      <c r="O21" s="12">
        <f t="shared" si="2"/>
        <v>0</v>
      </c>
      <c r="R21" s="6" t="s">
        <v>234</v>
      </c>
    </row>
    <row r="22">
      <c r="A22" s="8">
        <f>'1.4'!A:A</f>
        <v>46262.48744</v>
      </c>
      <c r="B22" s="1" t="str">
        <f>'1.4'!B:B</f>
        <v>bnco1060@signalschool.ac.th</v>
      </c>
      <c r="C22" s="1" t="str">
        <f>'1.4'!C:C</f>
        <v>ร.ท.ศุภรัฎ หมอกสุข</v>
      </c>
      <c r="D22" s="9">
        <v>1.0</v>
      </c>
      <c r="E22" s="10">
        <f>IFERROR(vlookup('1.4'!D:D,lookup!$A$2:$B$4,2,false),0)</f>
        <v>5</v>
      </c>
      <c r="F22" s="10">
        <f>IFERROR(vlookup('1.4'!E:E,lookup!$A$6:$B$8,2,false),0)</f>
        <v>5</v>
      </c>
      <c r="G22" s="10">
        <f>IFERROR(vlookup('1.4'!F:F,lookup!$A$10:$B$12,2,false),0)</f>
        <v>5</v>
      </c>
      <c r="H22" s="10">
        <f>IFERROR(vlookup('1.4'!G:G,lookup!$A$14:$B$16,2,false),0)</f>
        <v>5</v>
      </c>
      <c r="I22" s="10">
        <f>IFERROR(vlookup('1.4'!H:H,lookup!$A$18:$B$20,2,false),0)</f>
        <v>5</v>
      </c>
      <c r="J22" s="10">
        <f>IFERROR(vlookup('1.4'!I:I,lookup!$A$22:$B$24,2,false),0)</f>
        <v>5</v>
      </c>
      <c r="K22" s="10">
        <f>IFERROR(vlookup('1.4'!J:J,lookup!$A$26:$B$28,2,false),0)</f>
        <v>5</v>
      </c>
      <c r="L22" s="1"/>
      <c r="M22" s="10">
        <v>21.0</v>
      </c>
      <c r="N22" s="11" t="str">
        <f t="shared" si="1"/>
        <v>bnco1021@signalschool.ac.th</v>
      </c>
      <c r="O22" s="12">
        <f t="shared" si="2"/>
        <v>1</v>
      </c>
      <c r="R22" s="6" t="s">
        <v>235</v>
      </c>
    </row>
    <row r="23">
      <c r="A23" s="8">
        <f>'1.4'!A:A</f>
        <v>46262.49744</v>
      </c>
      <c r="B23" s="1" t="str">
        <f>'1.4'!B:B</f>
        <v>bnco1031@signalschool.ac.th</v>
      </c>
      <c r="C23" s="1" t="str">
        <f>'1.4'!C:C</f>
        <v>ร.ท. ศุภรัชฎ หมอกสุข</v>
      </c>
      <c r="D23" s="9">
        <v>1.0</v>
      </c>
      <c r="E23" s="10">
        <f>IFERROR(vlookup('1.4'!D:D,lookup!$A$2:$B$4,2,false),0)</f>
        <v>5</v>
      </c>
      <c r="F23" s="10">
        <f>IFERROR(vlookup('1.4'!E:E,lookup!$A$6:$B$8,2,false),0)</f>
        <v>5</v>
      </c>
      <c r="G23" s="10">
        <f>IFERROR(vlookup('1.4'!F:F,lookup!$A$10:$B$12,2,false),0)</f>
        <v>5</v>
      </c>
      <c r="H23" s="10">
        <f>IFERROR(vlookup('1.4'!G:G,lookup!$A$14:$B$16,2,false),0)</f>
        <v>5</v>
      </c>
      <c r="I23" s="10">
        <f>IFERROR(vlookup('1.4'!H:H,lookup!$A$18:$B$20,2,false),0)</f>
        <v>5</v>
      </c>
      <c r="J23" s="10">
        <f>IFERROR(vlookup('1.4'!I:I,lookup!$A$22:$B$24,2,false),0)</f>
        <v>5</v>
      </c>
      <c r="K23" s="10">
        <f>IFERROR(vlookup('1.4'!J:J,lookup!$A$26:$B$28,2,false),0)</f>
        <v>5</v>
      </c>
      <c r="L23" s="1"/>
      <c r="M23" s="10">
        <v>22.0</v>
      </c>
      <c r="N23" s="11" t="str">
        <f t="shared" si="1"/>
        <v>bnco1022@signalschool.ac.th</v>
      </c>
      <c r="O23" s="12">
        <f t="shared" si="2"/>
        <v>1</v>
      </c>
      <c r="R23" s="6" t="s">
        <v>236</v>
      </c>
    </row>
    <row r="24">
      <c r="A24" s="8">
        <f>'1.4'!A:A</f>
        <v>46262.50095</v>
      </c>
      <c r="B24" s="1" t="str">
        <f>'1.4'!B:B</f>
        <v>bnco1063@signalschool.ac.th</v>
      </c>
      <c r="C24" s="1" t="str">
        <f>'1.4'!C:C</f>
        <v>ร.ท.ศุภรัชฎ หมอกสุข</v>
      </c>
      <c r="D24" s="9">
        <v>1.0</v>
      </c>
      <c r="E24" s="10">
        <f>IFERROR(vlookup('1.4'!D:D,lookup!$A$2:$B$4,2,false),0)</f>
        <v>5</v>
      </c>
      <c r="F24" s="10">
        <f>IFERROR(vlookup('1.4'!E:E,lookup!$A$6:$B$8,2,false),0)</f>
        <v>5</v>
      </c>
      <c r="G24" s="10">
        <f>IFERROR(vlookup('1.4'!F:F,lookup!$A$10:$B$12,2,false),0)</f>
        <v>5</v>
      </c>
      <c r="H24" s="10">
        <f>IFERROR(vlookup('1.4'!G:G,lookup!$A$14:$B$16,2,false),0)</f>
        <v>5</v>
      </c>
      <c r="I24" s="10">
        <f>IFERROR(vlookup('1.4'!H:H,lookup!$A$18:$B$20,2,false),0)</f>
        <v>5</v>
      </c>
      <c r="J24" s="10">
        <f>IFERROR(vlookup('1.4'!I:I,lookup!$A$22:$B$24,2,false),0)</f>
        <v>5</v>
      </c>
      <c r="K24" s="10">
        <f>IFERROR(vlookup('1.4'!J:J,lookup!$A$26:$B$28,2,false),0)</f>
        <v>5</v>
      </c>
      <c r="L24" s="1"/>
      <c r="M24" s="10">
        <v>23.0</v>
      </c>
      <c r="N24" s="11" t="str">
        <f t="shared" si="1"/>
        <v>bnco1023@signalschool.ac.th</v>
      </c>
      <c r="O24" s="12">
        <f t="shared" si="2"/>
        <v>1</v>
      </c>
      <c r="R24" s="6" t="s">
        <v>237</v>
      </c>
    </row>
    <row r="25">
      <c r="A25" s="8">
        <f>'1.4'!A:A</f>
        <v>46262.52482</v>
      </c>
      <c r="B25" s="1" t="str">
        <f>'1.4'!B:B</f>
        <v>bnco1066@signalschool.ac.th</v>
      </c>
      <c r="C25" s="1" t="str">
        <f>'1.4'!C:C</f>
        <v>ร.ท.ศุภรัชฎ หมอกสุข</v>
      </c>
      <c r="D25" s="9">
        <v>1.0</v>
      </c>
      <c r="E25" s="10">
        <f>IFERROR(vlookup('1.4'!D:D,lookup!$A$2:$B$4,2,false),0)</f>
        <v>5</v>
      </c>
      <c r="F25" s="10">
        <f>IFERROR(vlookup('1.4'!E:E,lookup!$A$6:$B$8,2,false),0)</f>
        <v>5</v>
      </c>
      <c r="G25" s="10">
        <f>IFERROR(vlookup('1.4'!F:F,lookup!$A$10:$B$12,2,false),0)</f>
        <v>5</v>
      </c>
      <c r="H25" s="10">
        <f>IFERROR(vlookup('1.4'!G:G,lookup!$A$14:$B$16,2,false),0)</f>
        <v>5</v>
      </c>
      <c r="I25" s="10">
        <f>IFERROR(vlookup('1.4'!H:H,lookup!$A$18:$B$20,2,false),0)</f>
        <v>5</v>
      </c>
      <c r="J25" s="10">
        <f>IFERROR(vlookup('1.4'!I:I,lookup!$A$22:$B$24,2,false),0)</f>
        <v>5</v>
      </c>
      <c r="K25" s="10">
        <f>IFERROR(vlookup('1.4'!J:J,lookup!$A$26:$B$28,2,false),0)</f>
        <v>5</v>
      </c>
      <c r="L25" s="1"/>
      <c r="M25" s="10">
        <v>24.0</v>
      </c>
      <c r="N25" s="11" t="str">
        <f t="shared" si="1"/>
        <v>bnco1024@signalschool.ac.th</v>
      </c>
      <c r="O25" s="12">
        <f t="shared" si="2"/>
        <v>1</v>
      </c>
      <c r="R25" s="6" t="s">
        <v>238</v>
      </c>
    </row>
    <row r="26">
      <c r="A26" s="8">
        <f>'1.4'!A:A</f>
        <v>46262.53053</v>
      </c>
      <c r="B26" s="1" t="str">
        <f>'1.4'!B:B</f>
        <v>bnco1069@signalschool.ac.th</v>
      </c>
      <c r="C26" s="1" t="str">
        <f>'1.4'!C:C</f>
        <v>ร.ท.ศุภรัชฎ  หมอกสุข</v>
      </c>
      <c r="D26" s="9">
        <v>1.0</v>
      </c>
      <c r="E26" s="10">
        <f>IFERROR(vlookup('1.4'!D:D,lookup!$A$2:$B$4,2,false),0)</f>
        <v>5</v>
      </c>
      <c r="F26" s="10">
        <f>IFERROR(vlookup('1.4'!E:E,lookup!$A$6:$B$8,2,false),0)</f>
        <v>5</v>
      </c>
      <c r="G26" s="10">
        <f>IFERROR(vlookup('1.4'!F:F,lookup!$A$10:$B$12,2,false),0)</f>
        <v>5</v>
      </c>
      <c r="H26" s="10">
        <f>IFERROR(vlookup('1.4'!G:G,lookup!$A$14:$B$16,2,false),0)</f>
        <v>5</v>
      </c>
      <c r="I26" s="10">
        <f>IFERROR(vlookup('1.4'!H:H,lookup!$A$18:$B$20,2,false),0)</f>
        <v>5</v>
      </c>
      <c r="J26" s="10">
        <f>IFERROR(vlookup('1.4'!I:I,lookup!$A$22:$B$24,2,false),0)</f>
        <v>5</v>
      </c>
      <c r="K26" s="10">
        <f>IFERROR(vlookup('1.4'!J:J,lookup!$A$26:$B$28,2,false),0)</f>
        <v>5</v>
      </c>
      <c r="L26" s="1"/>
      <c r="M26" s="10">
        <v>25.0</v>
      </c>
      <c r="N26" s="11" t="str">
        <f t="shared" si="1"/>
        <v>bnco1025@signalschool.ac.th</v>
      </c>
      <c r="O26" s="12">
        <f t="shared" si="2"/>
        <v>0</v>
      </c>
      <c r="R26" s="6" t="s">
        <v>239</v>
      </c>
    </row>
    <row r="27">
      <c r="A27" s="8">
        <f>'1.4'!A:A</f>
        <v>46262.55424</v>
      </c>
      <c r="B27" s="1" t="str">
        <f>'1.4'!B:B</f>
        <v>bnco1068@signalschool.ac.th</v>
      </c>
      <c r="C27" s="1" t="str">
        <f>'1.4'!C:C</f>
        <v>ร.ท.ศุภรัชฎ  หมอกสุข</v>
      </c>
      <c r="D27" s="9">
        <v>1.0</v>
      </c>
      <c r="E27" s="10">
        <f>IFERROR(vlookup('1.4'!D:D,lookup!$A$2:$B$4,2,false),0)</f>
        <v>5</v>
      </c>
      <c r="F27" s="10">
        <f>IFERROR(vlookup('1.4'!E:E,lookup!$A$6:$B$8,2,false),0)</f>
        <v>5</v>
      </c>
      <c r="G27" s="10">
        <f>IFERROR(vlookup('1.4'!F:F,lookup!$A$10:$B$12,2,false),0)</f>
        <v>5</v>
      </c>
      <c r="H27" s="10">
        <f>IFERROR(vlookup('1.4'!G:G,lookup!$A$14:$B$16,2,false),0)</f>
        <v>5</v>
      </c>
      <c r="I27" s="10">
        <f>IFERROR(vlookup('1.4'!H:H,lookup!$A$18:$B$20,2,false),0)</f>
        <v>5</v>
      </c>
      <c r="J27" s="10">
        <f>IFERROR(vlookup('1.4'!I:I,lookup!$A$22:$B$24,2,false),0)</f>
        <v>5</v>
      </c>
      <c r="K27" s="10">
        <f>IFERROR(vlookup('1.4'!J:J,lookup!$A$26:$B$28,2,false),0)</f>
        <v>5</v>
      </c>
      <c r="L27" s="1"/>
      <c r="M27" s="10">
        <v>26.0</v>
      </c>
      <c r="N27" s="11" t="str">
        <f t="shared" si="1"/>
        <v>bnco1026@signalschool.ac.th</v>
      </c>
      <c r="O27" s="12">
        <f t="shared" si="2"/>
        <v>1</v>
      </c>
      <c r="R27" s="6" t="s">
        <v>240</v>
      </c>
    </row>
    <row r="28">
      <c r="A28" s="8">
        <f>'1.4'!A:A</f>
        <v>46262.55475</v>
      </c>
      <c r="B28" s="1" t="str">
        <f>'1.4'!B:B</f>
        <v>bnco1044@signalschool.ac.th</v>
      </c>
      <c r="C28" s="1" t="str">
        <f>'1.4'!C:C</f>
        <v>ร.ท. ศุภรัชฏ หมอกสุข</v>
      </c>
      <c r="D28" s="9">
        <v>1.0</v>
      </c>
      <c r="E28" s="10">
        <f>IFERROR(vlookup('1.4'!D:D,lookup!$A$2:$B$4,2,false),0)</f>
        <v>5</v>
      </c>
      <c r="F28" s="10">
        <f>IFERROR(vlookup('1.4'!E:E,lookup!$A$6:$B$8,2,false),0)</f>
        <v>5</v>
      </c>
      <c r="G28" s="10">
        <f>IFERROR(vlookup('1.4'!F:F,lookup!$A$10:$B$12,2,false),0)</f>
        <v>5</v>
      </c>
      <c r="H28" s="10">
        <f>IFERROR(vlookup('1.4'!G:G,lookup!$A$14:$B$16,2,false),0)</f>
        <v>5</v>
      </c>
      <c r="I28" s="10">
        <f>IFERROR(vlookup('1.4'!H:H,lookup!$A$18:$B$20,2,false),0)</f>
        <v>5</v>
      </c>
      <c r="J28" s="10">
        <f>IFERROR(vlookup('1.4'!I:I,lookup!$A$22:$B$24,2,false),0)</f>
        <v>5</v>
      </c>
      <c r="K28" s="10">
        <f>IFERROR(vlookup('1.4'!J:J,lookup!$A$26:$B$28,2,false),0)</f>
        <v>5</v>
      </c>
      <c r="L28" s="1"/>
      <c r="M28" s="10">
        <v>27.0</v>
      </c>
      <c r="N28" s="11" t="str">
        <f t="shared" si="1"/>
        <v>bnco1027@signalschool.ac.th</v>
      </c>
      <c r="O28" s="12">
        <f t="shared" si="2"/>
        <v>1</v>
      </c>
      <c r="R28" s="6" t="s">
        <v>241</v>
      </c>
    </row>
    <row r="29">
      <c r="A29" s="8">
        <f>'1.4'!A:A</f>
        <v>46262.56094</v>
      </c>
      <c r="B29" s="1" t="str">
        <f>'1.4'!B:B</f>
        <v>bnco1008@signalschool.ac.th</v>
      </c>
      <c r="C29" s="1" t="str">
        <f>'1.4'!C:C</f>
        <v>ร.ท.ศุภรัชฎ หมอกสุข</v>
      </c>
      <c r="D29" s="9">
        <v>1.0</v>
      </c>
      <c r="E29" s="10">
        <f>IFERROR(vlookup('1.4'!D:D,lookup!$A$2:$B$4,2,false),0)</f>
        <v>5</v>
      </c>
      <c r="F29" s="10">
        <f>IFERROR(vlookup('1.4'!E:E,lookup!$A$6:$B$8,2,false),0)</f>
        <v>5</v>
      </c>
      <c r="G29" s="10">
        <f>IFERROR(vlookup('1.4'!F:F,lookup!$A$10:$B$12,2,false),0)</f>
        <v>5</v>
      </c>
      <c r="H29" s="10">
        <f>IFERROR(vlookup('1.4'!G:G,lookup!$A$14:$B$16,2,false),0)</f>
        <v>5</v>
      </c>
      <c r="I29" s="10">
        <f>IFERROR(vlookup('1.4'!H:H,lookup!$A$18:$B$20,2,false),0)</f>
        <v>5</v>
      </c>
      <c r="J29" s="10">
        <f>IFERROR(vlookup('1.4'!I:I,lookup!$A$22:$B$24,2,false),0)</f>
        <v>5</v>
      </c>
      <c r="K29" s="10">
        <f>IFERROR(vlookup('1.4'!J:J,lookup!$A$26:$B$28,2,false),0)</f>
        <v>5</v>
      </c>
      <c r="L29" s="1"/>
      <c r="M29" s="10">
        <v>28.0</v>
      </c>
      <c r="N29" s="11" t="str">
        <f t="shared" si="1"/>
        <v>bnco1028@signalschool.ac.th</v>
      </c>
      <c r="O29" s="12">
        <f t="shared" si="2"/>
        <v>0</v>
      </c>
      <c r="R29" s="6" t="s">
        <v>242</v>
      </c>
    </row>
    <row r="30">
      <c r="A30" s="8">
        <f>'1.4'!A:A</f>
        <v>46262.56173</v>
      </c>
      <c r="B30" s="1" t="str">
        <f>'1.4'!B:B</f>
        <v>bnco1049@signalschool.ac.th</v>
      </c>
      <c r="C30" s="1" t="str">
        <f>'1.4'!C:C</f>
        <v>ร.ท.ศุภรัชฎ หมอกสุข</v>
      </c>
      <c r="D30" s="9">
        <v>1.0</v>
      </c>
      <c r="E30" s="10">
        <f>IFERROR(vlookup('1.4'!D:D,lookup!$A$2:$B$4,2,false),0)</f>
        <v>5</v>
      </c>
      <c r="F30" s="10">
        <f>IFERROR(vlookup('1.4'!E:E,lookup!$A$6:$B$8,2,false),0)</f>
        <v>5</v>
      </c>
      <c r="G30" s="10">
        <f>IFERROR(vlookup('1.4'!F:F,lookup!$A$10:$B$12,2,false),0)</f>
        <v>5</v>
      </c>
      <c r="H30" s="10">
        <f>IFERROR(vlookup('1.4'!G:G,lookup!$A$14:$B$16,2,false),0)</f>
        <v>5</v>
      </c>
      <c r="I30" s="10">
        <f>IFERROR(vlookup('1.4'!H:H,lookup!$A$18:$B$20,2,false),0)</f>
        <v>5</v>
      </c>
      <c r="J30" s="10">
        <f>IFERROR(vlookup('1.4'!I:I,lookup!$A$22:$B$24,2,false),0)</f>
        <v>5</v>
      </c>
      <c r="K30" s="10">
        <f>IFERROR(vlookup('1.4'!J:J,lookup!$A$26:$B$28,2,false),0)</f>
        <v>5</v>
      </c>
      <c r="L30" s="1"/>
      <c r="M30" s="10">
        <v>29.0</v>
      </c>
      <c r="N30" s="11" t="str">
        <f t="shared" si="1"/>
        <v>bnco1029@signalschool.ac.th</v>
      </c>
      <c r="O30" s="12">
        <f t="shared" si="2"/>
        <v>0</v>
      </c>
      <c r="R30" s="6" t="s">
        <v>243</v>
      </c>
    </row>
    <row r="31">
      <c r="A31" s="8">
        <f>'1.4'!A:A</f>
        <v>46262.57099</v>
      </c>
      <c r="B31" s="1" t="str">
        <f>'1.4'!B:B</f>
        <v>bnco1022@signalschool.ac.th</v>
      </c>
      <c r="C31" s="1" t="str">
        <f>'1.4'!C:C</f>
        <v>ร.ท.ศุภรัชฏ หมอกสุข</v>
      </c>
      <c r="D31" s="9">
        <v>1.0</v>
      </c>
      <c r="E31" s="10">
        <f>IFERROR(vlookup('1.4'!D:D,lookup!$A$2:$B$4,2,false),0)</f>
        <v>5</v>
      </c>
      <c r="F31" s="10">
        <f>IFERROR(vlookup('1.4'!E:E,lookup!$A$6:$B$8,2,false),0)</f>
        <v>5</v>
      </c>
      <c r="G31" s="10">
        <f>IFERROR(vlookup('1.4'!F:F,lookup!$A$10:$B$12,2,false),0)</f>
        <v>5</v>
      </c>
      <c r="H31" s="10">
        <f>IFERROR(vlookup('1.4'!G:G,lookup!$A$14:$B$16,2,false),0)</f>
        <v>5</v>
      </c>
      <c r="I31" s="10">
        <f>IFERROR(vlookup('1.4'!H:H,lookup!$A$18:$B$20,2,false),0)</f>
        <v>5</v>
      </c>
      <c r="J31" s="10">
        <f>IFERROR(vlookup('1.4'!I:I,lookup!$A$22:$B$24,2,false),0)</f>
        <v>5</v>
      </c>
      <c r="K31" s="10">
        <f>IFERROR(vlookup('1.4'!J:J,lookup!$A$26:$B$28,2,false),0)</f>
        <v>5</v>
      </c>
      <c r="L31" s="1"/>
      <c r="M31" s="10">
        <v>30.0</v>
      </c>
      <c r="N31" s="11" t="str">
        <f t="shared" si="1"/>
        <v>bnco1030@signalschool.ac.th</v>
      </c>
      <c r="O31" s="12">
        <f t="shared" si="2"/>
        <v>0</v>
      </c>
      <c r="R31" s="6" t="s">
        <v>244</v>
      </c>
    </row>
    <row r="32">
      <c r="A32" s="8">
        <f>'1.4'!A:A</f>
        <v>46262.58171</v>
      </c>
      <c r="B32" s="1" t="str">
        <f>'1.4'!B:B</f>
        <v>bnco1005@signalschool.ac.th</v>
      </c>
      <c r="C32" s="1" t="str">
        <f>'1.4'!C:C</f>
        <v>ร.ท.ศุภรัชฏ  หมอกสุข</v>
      </c>
      <c r="D32" s="9">
        <v>1.0</v>
      </c>
      <c r="E32" s="10">
        <f>IFERROR(vlookup('1.4'!D:D,lookup!$A$2:$B$4,2,false),0)</f>
        <v>5</v>
      </c>
      <c r="F32" s="10">
        <f>IFERROR(vlookup('1.4'!E:E,lookup!$A$6:$B$8,2,false),0)</f>
        <v>5</v>
      </c>
      <c r="G32" s="10">
        <f>IFERROR(vlookup('1.4'!F:F,lookup!$A$10:$B$12,2,false),0)</f>
        <v>5</v>
      </c>
      <c r="H32" s="10">
        <f>IFERROR(vlookup('1.4'!G:G,lookup!$A$14:$B$16,2,false),0)</f>
        <v>5</v>
      </c>
      <c r="I32" s="10">
        <f>IFERROR(vlookup('1.4'!H:H,lookup!$A$18:$B$20,2,false),0)</f>
        <v>5</v>
      </c>
      <c r="J32" s="10">
        <f>IFERROR(vlookup('1.4'!I:I,lookup!$A$22:$B$24,2,false),0)</f>
        <v>5</v>
      </c>
      <c r="K32" s="10">
        <f>IFERROR(vlookup('1.4'!J:J,lookup!$A$26:$B$28,2,false),0)</f>
        <v>5</v>
      </c>
      <c r="L32" s="1"/>
      <c r="M32" s="10">
        <v>31.0</v>
      </c>
      <c r="N32" s="11" t="str">
        <f t="shared" si="1"/>
        <v>bnco1031@signalschool.ac.th</v>
      </c>
      <c r="O32" s="12">
        <f t="shared" si="2"/>
        <v>1</v>
      </c>
      <c r="R32" s="6" t="s">
        <v>245</v>
      </c>
    </row>
    <row r="33">
      <c r="A33" s="8">
        <f>'1.4'!A:A</f>
        <v>46262.58209</v>
      </c>
      <c r="B33" s="1" t="str">
        <f>'1.4'!B:B</f>
        <v>bnco1067@signalschool.ac.th</v>
      </c>
      <c r="C33" s="1" t="str">
        <f>'1.4'!C:C</f>
        <v>ร.ท.ศุภรัชฏ  หมอกสุข</v>
      </c>
      <c r="D33" s="9">
        <v>1.0</v>
      </c>
      <c r="E33" s="10">
        <f>IFERROR(vlookup('1.4'!D:D,lookup!$A$2:$B$4,2,false),0)</f>
        <v>5</v>
      </c>
      <c r="F33" s="10">
        <f>IFERROR(vlookup('1.4'!E:E,lookup!$A$6:$B$8,2,false),0)</f>
        <v>5</v>
      </c>
      <c r="G33" s="10">
        <f>IFERROR(vlookup('1.4'!F:F,lookup!$A$10:$B$12,2,false),0)</f>
        <v>5</v>
      </c>
      <c r="H33" s="10">
        <f>IFERROR(vlookup('1.4'!G:G,lookup!$A$14:$B$16,2,false),0)</f>
        <v>5</v>
      </c>
      <c r="I33" s="10">
        <f>IFERROR(vlookup('1.4'!H:H,lookup!$A$18:$B$20,2,false),0)</f>
        <v>5</v>
      </c>
      <c r="J33" s="10">
        <f>IFERROR(vlookup('1.4'!I:I,lookup!$A$22:$B$24,2,false),0)</f>
        <v>5</v>
      </c>
      <c r="K33" s="10">
        <f>IFERROR(vlookup('1.4'!J:J,lookup!$A$26:$B$28,2,false),0)</f>
        <v>5</v>
      </c>
      <c r="L33" s="1"/>
      <c r="M33" s="10">
        <v>32.0</v>
      </c>
      <c r="N33" s="11" t="str">
        <f t="shared" si="1"/>
        <v>bnco1032@signalschool.ac.th</v>
      </c>
      <c r="O33" s="12">
        <f t="shared" si="2"/>
        <v>1</v>
      </c>
      <c r="R33" s="6" t="s">
        <v>246</v>
      </c>
    </row>
    <row r="34">
      <c r="A34" s="8">
        <f>'1.4'!A:A</f>
        <v>46262.58706</v>
      </c>
      <c r="B34" s="1" t="str">
        <f>'1.4'!B:B</f>
        <v>bnco1039@signalschool.ac.th</v>
      </c>
      <c r="C34" s="1" t="str">
        <f>'1.4'!C:C</f>
        <v>ร.ท.ศุภรรัชฎ  หมอกสุข</v>
      </c>
      <c r="D34" s="9">
        <v>1.0</v>
      </c>
      <c r="E34" s="10">
        <f>IFERROR(vlookup('1.4'!D:D,lookup!$A$2:$B$4,2,false),0)</f>
        <v>5</v>
      </c>
      <c r="F34" s="10">
        <f>IFERROR(vlookup('1.4'!E:E,lookup!$A$6:$B$8,2,false),0)</f>
        <v>5</v>
      </c>
      <c r="G34" s="10">
        <f>IFERROR(vlookup('1.4'!F:F,lookup!$A$10:$B$12,2,false),0)</f>
        <v>3</v>
      </c>
      <c r="H34" s="10">
        <f>IFERROR(vlookup('1.4'!G:G,lookup!$A$14:$B$16,2,false),0)</f>
        <v>5</v>
      </c>
      <c r="I34" s="10">
        <f>IFERROR(vlookup('1.4'!H:H,lookup!$A$18:$B$20,2,false),0)</f>
        <v>5</v>
      </c>
      <c r="J34" s="10">
        <f>IFERROR(vlookup('1.4'!I:I,lookup!$A$22:$B$24,2,false),0)</f>
        <v>5</v>
      </c>
      <c r="K34" s="10">
        <f>IFERROR(vlookup('1.4'!J:J,lookup!$A$26:$B$28,2,false),0)</f>
        <v>5</v>
      </c>
      <c r="L34" s="1"/>
      <c r="M34" s="10">
        <v>33.0</v>
      </c>
      <c r="N34" s="11" t="str">
        <f t="shared" si="1"/>
        <v>bnco1033@signalschool.ac.th</v>
      </c>
      <c r="O34" s="12">
        <f t="shared" si="2"/>
        <v>0</v>
      </c>
      <c r="R34" s="6" t="s">
        <v>247</v>
      </c>
    </row>
    <row r="35">
      <c r="A35" s="8">
        <f>'1.4'!A:A</f>
        <v>46262.59299</v>
      </c>
      <c r="B35" s="1" t="str">
        <f>'1.4'!B:B</f>
        <v>bnco1045@signalschool.ac.th</v>
      </c>
      <c r="C35" s="1" t="str">
        <f>'1.4'!C:C</f>
        <v>ร.ท.ศุภรัชฎ  หมอกสุข</v>
      </c>
      <c r="D35" s="9">
        <v>1.0</v>
      </c>
      <c r="E35" s="10">
        <f>IFERROR(vlookup('1.4'!D:D,lookup!$A$2:$B$4,2,false),0)</f>
        <v>5</v>
      </c>
      <c r="F35" s="10">
        <f>IFERROR(vlookup('1.4'!E:E,lookup!$A$6:$B$8,2,false),0)</f>
        <v>5</v>
      </c>
      <c r="G35" s="10">
        <f>IFERROR(vlookup('1.4'!F:F,lookup!$A$10:$B$12,2,false),0)</f>
        <v>5</v>
      </c>
      <c r="H35" s="10">
        <f>IFERROR(vlookup('1.4'!G:G,lookup!$A$14:$B$16,2,false),0)</f>
        <v>5</v>
      </c>
      <c r="I35" s="10">
        <f>IFERROR(vlookup('1.4'!H:H,lookup!$A$18:$B$20,2,false),0)</f>
        <v>5</v>
      </c>
      <c r="J35" s="10">
        <f>IFERROR(vlookup('1.4'!I:I,lookup!$A$22:$B$24,2,false),0)</f>
        <v>5</v>
      </c>
      <c r="K35" s="10">
        <f>IFERROR(vlookup('1.4'!J:J,lookup!$A$26:$B$28,2,false),0)</f>
        <v>5</v>
      </c>
      <c r="L35" s="1"/>
      <c r="M35" s="10">
        <v>34.0</v>
      </c>
      <c r="N35" s="11" t="str">
        <f t="shared" si="1"/>
        <v>bnco1034@signalschool.ac.th</v>
      </c>
      <c r="O35" s="12">
        <f t="shared" si="2"/>
        <v>1</v>
      </c>
      <c r="R35" s="6" t="s">
        <v>248</v>
      </c>
    </row>
    <row r="36">
      <c r="A36" s="8">
        <f>'1.4'!A:A</f>
        <v>46262.61165</v>
      </c>
      <c r="B36" s="1" t="str">
        <f>'1.4'!B:B</f>
        <v>bnco1080@signalschool.ac.th</v>
      </c>
      <c r="C36" s="1" t="str">
        <f>'1.4'!C:C</f>
        <v>ร.ท.ศุภรัฐ  หมอกสุข</v>
      </c>
      <c r="D36" s="9">
        <v>1.0</v>
      </c>
      <c r="E36" s="10">
        <f>IFERROR(vlookup('1.4'!D:D,lookup!$A$2:$B$4,2,false),0)</f>
        <v>5</v>
      </c>
      <c r="F36" s="10">
        <f>IFERROR(vlookup('1.4'!E:E,lookup!$A$6:$B$8,2,false),0)</f>
        <v>5</v>
      </c>
      <c r="G36" s="10">
        <f>IFERROR(vlookup('1.4'!F:F,lookup!$A$10:$B$12,2,false),0)</f>
        <v>5</v>
      </c>
      <c r="H36" s="10">
        <f>IFERROR(vlookup('1.4'!G:G,lookup!$A$14:$B$16,2,false),0)</f>
        <v>5</v>
      </c>
      <c r="I36" s="10">
        <f>IFERROR(vlookup('1.4'!H:H,lookup!$A$18:$B$20,2,false),0)</f>
        <v>5</v>
      </c>
      <c r="J36" s="10">
        <f>IFERROR(vlookup('1.4'!I:I,lookup!$A$22:$B$24,2,false),0)</f>
        <v>5</v>
      </c>
      <c r="K36" s="10">
        <f>IFERROR(vlookup('1.4'!J:J,lookup!$A$26:$B$28,2,false),0)</f>
        <v>5</v>
      </c>
      <c r="L36" s="1"/>
      <c r="M36" s="10">
        <v>35.0</v>
      </c>
      <c r="N36" s="11" t="str">
        <f t="shared" si="1"/>
        <v>bnco1035@signalschool.ac.th</v>
      </c>
      <c r="O36" s="12">
        <f t="shared" si="2"/>
        <v>1</v>
      </c>
      <c r="R36" s="6" t="s">
        <v>249</v>
      </c>
    </row>
    <row r="37">
      <c r="A37" s="8">
        <f>'1.4'!A:A</f>
        <v>46262.62799</v>
      </c>
      <c r="B37" s="1" t="str">
        <f>'1.4'!B:B</f>
        <v>bnco1064@signalschool.ac.th</v>
      </c>
      <c r="C37" s="1" t="str">
        <f>'1.4'!C:C</f>
        <v>ร.ท.ศุภัชฏ  หมอกสุข</v>
      </c>
      <c r="D37" s="9">
        <v>1.0</v>
      </c>
      <c r="E37" s="10">
        <f>IFERROR(vlookup('1.4'!D:D,lookup!$A$2:$B$4,2,false),0)</f>
        <v>5</v>
      </c>
      <c r="F37" s="10">
        <f>IFERROR(vlookup('1.4'!E:E,lookup!$A$6:$B$8,2,false),0)</f>
        <v>5</v>
      </c>
      <c r="G37" s="10">
        <f>IFERROR(vlookup('1.4'!F:F,lookup!$A$10:$B$12,2,false),0)</f>
        <v>5</v>
      </c>
      <c r="H37" s="10">
        <f>IFERROR(vlookup('1.4'!G:G,lookup!$A$14:$B$16,2,false),0)</f>
        <v>5</v>
      </c>
      <c r="I37" s="10">
        <f>IFERROR(vlookup('1.4'!H:H,lookup!$A$18:$B$20,2,false),0)</f>
        <v>5</v>
      </c>
      <c r="J37" s="10">
        <f>IFERROR(vlookup('1.4'!I:I,lookup!$A$22:$B$24,2,false),0)</f>
        <v>5</v>
      </c>
      <c r="K37" s="10">
        <f>IFERROR(vlookup('1.4'!J:J,lookup!$A$26:$B$28,2,false),0)</f>
        <v>5</v>
      </c>
      <c r="L37" s="1"/>
      <c r="M37" s="10">
        <v>36.0</v>
      </c>
      <c r="N37" s="11" t="str">
        <f t="shared" si="1"/>
        <v>bnco1036@signalschool.ac.th</v>
      </c>
      <c r="O37" s="12">
        <f t="shared" si="2"/>
        <v>1</v>
      </c>
      <c r="R37" s="6" t="s">
        <v>250</v>
      </c>
    </row>
    <row r="38">
      <c r="A38" s="8">
        <f>'1.4'!A:A</f>
        <v>46262.64331</v>
      </c>
      <c r="B38" s="1" t="str">
        <f>'1.4'!B:B</f>
        <v>bnco1021@signalschool.ac.th</v>
      </c>
      <c r="C38" s="1" t="str">
        <f>'1.4'!C:C</f>
        <v>ร.ท.ศุภรัชฎ หมอกสุข</v>
      </c>
      <c r="D38" s="9">
        <v>1.0</v>
      </c>
      <c r="E38" s="10">
        <f>IFERROR(vlookup('1.4'!D:D,lookup!$A$2:$B$4,2,false),0)</f>
        <v>5</v>
      </c>
      <c r="F38" s="10">
        <f>IFERROR(vlookup('1.4'!E:E,lookup!$A$6:$B$8,2,false),0)</f>
        <v>5</v>
      </c>
      <c r="G38" s="10">
        <f>IFERROR(vlookup('1.4'!F:F,lookup!$A$10:$B$12,2,false),0)</f>
        <v>5</v>
      </c>
      <c r="H38" s="10">
        <f>IFERROR(vlookup('1.4'!G:G,lookup!$A$14:$B$16,2,false),0)</f>
        <v>5</v>
      </c>
      <c r="I38" s="10">
        <f>IFERROR(vlookup('1.4'!H:H,lookup!$A$18:$B$20,2,false),0)</f>
        <v>5</v>
      </c>
      <c r="J38" s="10">
        <f>IFERROR(vlookup('1.4'!I:I,lookup!$A$22:$B$24,2,false),0)</f>
        <v>5</v>
      </c>
      <c r="K38" s="10">
        <f>IFERROR(vlookup('1.4'!J:J,lookup!$A$26:$B$28,2,false),0)</f>
        <v>5</v>
      </c>
      <c r="L38" s="1"/>
      <c r="M38" s="10">
        <v>37.0</v>
      </c>
      <c r="N38" s="11" t="str">
        <f t="shared" si="1"/>
        <v>bnco1037@signalschool.ac.th</v>
      </c>
      <c r="O38" s="12">
        <f t="shared" si="2"/>
        <v>0</v>
      </c>
      <c r="R38" s="6" t="s">
        <v>251</v>
      </c>
    </row>
    <row r="39">
      <c r="A39" s="8">
        <f>'1.4'!A:A</f>
        <v>46262.64465</v>
      </c>
      <c r="B39" s="1" t="str">
        <f>'1.4'!B:B</f>
        <v>bnco1027@signalschool.ac.th</v>
      </c>
      <c r="C39" s="1" t="str">
        <f>'1.4'!C:C</f>
        <v>ร.ท.ศุภรัชฏ หมอกสุข</v>
      </c>
      <c r="D39" s="9">
        <v>1.0</v>
      </c>
      <c r="E39" s="10">
        <f>IFERROR(vlookup('1.4'!D:D,lookup!$A$2:$B$4,2,false),0)</f>
        <v>5</v>
      </c>
      <c r="F39" s="10">
        <f>IFERROR(vlookup('1.4'!E:E,lookup!$A$6:$B$8,2,false),0)</f>
        <v>5</v>
      </c>
      <c r="G39" s="10">
        <f>IFERROR(vlookup('1.4'!F:F,lookup!$A$10:$B$12,2,false),0)</f>
        <v>5</v>
      </c>
      <c r="H39" s="10">
        <f>IFERROR(vlookup('1.4'!G:G,lookup!$A$14:$B$16,2,false),0)</f>
        <v>5</v>
      </c>
      <c r="I39" s="10">
        <f>IFERROR(vlookup('1.4'!H:H,lookup!$A$18:$B$20,2,false),0)</f>
        <v>5</v>
      </c>
      <c r="J39" s="10">
        <f>IFERROR(vlookup('1.4'!I:I,lookup!$A$22:$B$24,2,false),0)</f>
        <v>5</v>
      </c>
      <c r="K39" s="10">
        <f>IFERROR(vlookup('1.4'!J:J,lookup!$A$26:$B$28,2,false),0)</f>
        <v>5</v>
      </c>
      <c r="L39" s="1"/>
      <c r="M39" s="10">
        <v>38.0</v>
      </c>
      <c r="N39" s="11" t="str">
        <f t="shared" si="1"/>
        <v>bnco1038@signalschool.ac.th</v>
      </c>
      <c r="O39" s="12">
        <f t="shared" si="2"/>
        <v>1</v>
      </c>
      <c r="R39" s="6" t="s">
        <v>252</v>
      </c>
    </row>
    <row r="40">
      <c r="A40" s="8">
        <f>'1.4'!A:A</f>
        <v>46262.74095</v>
      </c>
      <c r="B40" s="1" t="str">
        <f>'1.4'!B:B</f>
        <v>bnco1072@signalschool.ac.th</v>
      </c>
      <c r="C40" s="1" t="str">
        <f>'1.4'!C:C</f>
        <v>ร.ท.ศุภรัชฎ  หมอกสุข</v>
      </c>
      <c r="D40" s="9">
        <v>1.0</v>
      </c>
      <c r="E40" s="10">
        <f>IFERROR(vlookup('1.4'!D:D,lookup!$A$2:$B$4,2,false),0)</f>
        <v>5</v>
      </c>
      <c r="F40" s="10">
        <f>IFERROR(vlookup('1.4'!E:E,lookup!$A$6:$B$8,2,false),0)</f>
        <v>5</v>
      </c>
      <c r="G40" s="10">
        <f>IFERROR(vlookup('1.4'!F:F,lookup!$A$10:$B$12,2,false),0)</f>
        <v>5</v>
      </c>
      <c r="H40" s="10">
        <f>IFERROR(vlookup('1.4'!G:G,lookup!$A$14:$B$16,2,false),0)</f>
        <v>5</v>
      </c>
      <c r="I40" s="10">
        <f>IFERROR(vlookup('1.4'!H:H,lookup!$A$18:$B$20,2,false),0)</f>
        <v>5</v>
      </c>
      <c r="J40" s="10">
        <f>IFERROR(vlookup('1.4'!I:I,lookup!$A$22:$B$24,2,false),0)</f>
        <v>5</v>
      </c>
      <c r="K40" s="10">
        <f>IFERROR(vlookup('1.4'!J:J,lookup!$A$26:$B$28,2,false),0)</f>
        <v>5</v>
      </c>
      <c r="L40" s="1"/>
      <c r="M40" s="10">
        <v>39.0</v>
      </c>
      <c r="N40" s="11" t="str">
        <f t="shared" si="1"/>
        <v>bnco1039@signalschool.ac.th</v>
      </c>
      <c r="O40" s="12">
        <f t="shared" si="2"/>
        <v>1</v>
      </c>
      <c r="R40" s="6" t="s">
        <v>253</v>
      </c>
    </row>
    <row r="41">
      <c r="A41" s="8">
        <f>'1.4'!A:A</f>
        <v>46262.79599</v>
      </c>
      <c r="B41" s="1" t="str">
        <f>'1.4'!B:B</f>
        <v>bnco1014@signalschool.ac.th</v>
      </c>
      <c r="C41" s="1" t="str">
        <f>'1.4'!C:C</f>
        <v>ร.อ.ศุภรัชฏ หมอกสุข</v>
      </c>
      <c r="D41" s="9">
        <v>1.0</v>
      </c>
      <c r="E41" s="10">
        <f>IFERROR(vlookup('1.4'!D:D,lookup!$A$2:$B$4,2,false),0)</f>
        <v>5</v>
      </c>
      <c r="F41" s="10">
        <f>IFERROR(vlookup('1.4'!E:E,lookup!$A$6:$B$8,2,false),0)</f>
        <v>5</v>
      </c>
      <c r="G41" s="10">
        <f>IFERROR(vlookup('1.4'!F:F,lookup!$A$10:$B$12,2,false),0)</f>
        <v>5</v>
      </c>
      <c r="H41" s="10">
        <f>IFERROR(vlookup('1.4'!G:G,lookup!$A$14:$B$16,2,false),0)</f>
        <v>5</v>
      </c>
      <c r="I41" s="10">
        <f>IFERROR(vlookup('1.4'!H:H,lookup!$A$18:$B$20,2,false),0)</f>
        <v>5</v>
      </c>
      <c r="J41" s="10">
        <f>IFERROR(vlookup('1.4'!I:I,lookup!$A$22:$B$24,2,false),0)</f>
        <v>5</v>
      </c>
      <c r="K41" s="10">
        <f>IFERROR(vlookup('1.4'!J:J,lookup!$A$26:$B$28,2,false),0)</f>
        <v>5</v>
      </c>
      <c r="L41" s="1"/>
      <c r="M41" s="10">
        <v>40.0</v>
      </c>
      <c r="N41" s="11" t="str">
        <f t="shared" si="1"/>
        <v>bnco1040@signalschool.ac.th</v>
      </c>
      <c r="O41" s="12">
        <f t="shared" si="2"/>
        <v>1</v>
      </c>
      <c r="R41" s="6" t="s">
        <v>254</v>
      </c>
    </row>
    <row r="42">
      <c r="A42" s="8">
        <f>'1.4'!A:A</f>
        <v>46262.87189</v>
      </c>
      <c r="B42" s="1" t="str">
        <f>'1.4'!B:B</f>
        <v>bnco1076@signalschool.ac.th</v>
      </c>
      <c r="C42" s="1" t="str">
        <f>'1.4'!C:C</f>
        <v>ร.ท. ศุภรัชฎ หมอกสุข</v>
      </c>
      <c r="D42" s="9">
        <v>1.0</v>
      </c>
      <c r="E42" s="10">
        <f>IFERROR(vlookup('1.4'!D:D,lookup!$A$2:$B$4,2,false),0)</f>
        <v>5</v>
      </c>
      <c r="F42" s="10">
        <f>IFERROR(vlookup('1.4'!E:E,lookup!$A$6:$B$8,2,false),0)</f>
        <v>5</v>
      </c>
      <c r="G42" s="10">
        <f>IFERROR(vlookup('1.4'!F:F,lookup!$A$10:$B$12,2,false),0)</f>
        <v>5</v>
      </c>
      <c r="H42" s="10">
        <f>IFERROR(vlookup('1.4'!G:G,lookup!$A$14:$B$16,2,false),0)</f>
        <v>5</v>
      </c>
      <c r="I42" s="10">
        <f>IFERROR(vlookup('1.4'!H:H,lookup!$A$18:$B$20,2,false),0)</f>
        <v>5</v>
      </c>
      <c r="J42" s="10">
        <f>IFERROR(vlookup('1.4'!I:I,lookup!$A$22:$B$24,2,false),0)</f>
        <v>5</v>
      </c>
      <c r="K42" s="10">
        <f>IFERROR(vlookup('1.4'!J:J,lookup!$A$26:$B$28,2,false),0)</f>
        <v>5</v>
      </c>
      <c r="L42" s="1"/>
      <c r="M42" s="10">
        <v>41.0</v>
      </c>
      <c r="N42" s="11" t="str">
        <f t="shared" si="1"/>
        <v>bnco1041@signalschool.ac.th</v>
      </c>
      <c r="O42" s="12">
        <f t="shared" si="2"/>
        <v>1</v>
      </c>
      <c r="R42" s="6" t="s">
        <v>255</v>
      </c>
    </row>
    <row r="43">
      <c r="A43" s="8">
        <f>'1.4'!A:A</f>
        <v>46262.95641</v>
      </c>
      <c r="B43" s="1" t="str">
        <f>'1.4'!B:B</f>
        <v>bnco1071@signalschool.ac.th</v>
      </c>
      <c r="C43" s="1" t="str">
        <f>'1.4'!C:C</f>
        <v>ร.ท.ศุภรัชฎ  หมอกสุข</v>
      </c>
      <c r="D43" s="9">
        <v>1.0</v>
      </c>
      <c r="E43" s="10">
        <f>IFERROR(vlookup('1.4'!D:D,lookup!$A$2:$B$4,2,false),0)</f>
        <v>5</v>
      </c>
      <c r="F43" s="10">
        <f>IFERROR(vlookup('1.4'!E:E,lookup!$A$6:$B$8,2,false),0)</f>
        <v>5</v>
      </c>
      <c r="G43" s="10">
        <f>IFERROR(vlookup('1.4'!F:F,lookup!$A$10:$B$12,2,false),0)</f>
        <v>5</v>
      </c>
      <c r="H43" s="10">
        <f>IFERROR(vlookup('1.4'!G:G,lookup!$A$14:$B$16,2,false),0)</f>
        <v>5</v>
      </c>
      <c r="I43" s="10">
        <f>IFERROR(vlookup('1.4'!H:H,lookup!$A$18:$B$20,2,false),0)</f>
        <v>5</v>
      </c>
      <c r="J43" s="10">
        <f>IFERROR(vlookup('1.4'!I:I,lookup!$A$22:$B$24,2,false),0)</f>
        <v>5</v>
      </c>
      <c r="K43" s="10">
        <f>IFERROR(vlookup('1.4'!J:J,lookup!$A$26:$B$28,2,false),0)</f>
        <v>5</v>
      </c>
      <c r="L43" s="1"/>
      <c r="M43" s="10">
        <v>42.0</v>
      </c>
      <c r="N43" s="11" t="str">
        <f t="shared" si="1"/>
        <v>bnco1042@signalschool.ac.th</v>
      </c>
      <c r="O43" s="12">
        <f t="shared" si="2"/>
        <v>1</v>
      </c>
      <c r="R43" s="6" t="s">
        <v>256</v>
      </c>
    </row>
    <row r="44">
      <c r="A44" s="8">
        <f>'1.4'!A:A</f>
        <v>46262.96001</v>
      </c>
      <c r="B44" s="1" t="str">
        <f>'1.4'!B:B</f>
        <v>bnco1061@signalschool.ac.th</v>
      </c>
      <c r="C44" s="1" t="str">
        <f>'1.4'!C:C</f>
        <v>ร.ท.ศุภรัชฏ หมอกสุข</v>
      </c>
      <c r="D44" s="9">
        <v>1.0</v>
      </c>
      <c r="E44" s="10">
        <f>IFERROR(vlookup('1.4'!D:D,lookup!$A$2:$B$4,2,false),0)</f>
        <v>5</v>
      </c>
      <c r="F44" s="10">
        <f>IFERROR(vlookup('1.4'!E:E,lookup!$A$6:$B$8,2,false),0)</f>
        <v>5</v>
      </c>
      <c r="G44" s="10">
        <f>IFERROR(vlookup('1.4'!F:F,lookup!$A$10:$B$12,2,false),0)</f>
        <v>5</v>
      </c>
      <c r="H44" s="10">
        <f>IFERROR(vlookup('1.4'!G:G,lookup!$A$14:$B$16,2,false),0)</f>
        <v>5</v>
      </c>
      <c r="I44" s="10">
        <f>IFERROR(vlookup('1.4'!H:H,lookup!$A$18:$B$20,2,false),0)</f>
        <v>5</v>
      </c>
      <c r="J44" s="10">
        <f>IFERROR(vlookup('1.4'!I:I,lookup!$A$22:$B$24,2,false),0)</f>
        <v>5</v>
      </c>
      <c r="K44" s="10">
        <f>IFERROR(vlookup('1.4'!J:J,lookup!$A$26:$B$28,2,false),0)</f>
        <v>5</v>
      </c>
      <c r="L44" s="1"/>
      <c r="M44" s="10">
        <v>43.0</v>
      </c>
      <c r="N44" s="11" t="str">
        <f t="shared" si="1"/>
        <v>bnco1043@signalschool.ac.th</v>
      </c>
      <c r="O44" s="12">
        <f t="shared" si="2"/>
        <v>1</v>
      </c>
      <c r="R44" s="6" t="s">
        <v>257</v>
      </c>
    </row>
    <row r="45">
      <c r="A45" s="8">
        <f>'1.4'!A:A</f>
        <v>46263.6049</v>
      </c>
      <c r="B45" s="1" t="str">
        <f>'1.4'!B:B</f>
        <v>bnco1054@signalschool.ac.th</v>
      </c>
      <c r="C45" s="1" t="str">
        <f>'1.4'!C:C</f>
        <v>ร.ท.ศุภรัชฎ  หมอกสุข</v>
      </c>
      <c r="D45" s="9">
        <v>1.0</v>
      </c>
      <c r="E45" s="10">
        <f>IFERROR(vlookup('1.4'!D:D,lookup!$A$2:$B$4,2,false),0)</f>
        <v>5</v>
      </c>
      <c r="F45" s="10">
        <f>IFERROR(vlookup('1.4'!E:E,lookup!$A$6:$B$8,2,false),0)</f>
        <v>5</v>
      </c>
      <c r="G45" s="10">
        <f>IFERROR(vlookup('1.4'!F:F,lookup!$A$10:$B$12,2,false),0)</f>
        <v>5</v>
      </c>
      <c r="H45" s="10">
        <f>IFERROR(vlookup('1.4'!G:G,lookup!$A$14:$B$16,2,false),0)</f>
        <v>5</v>
      </c>
      <c r="I45" s="10">
        <f>IFERROR(vlookup('1.4'!H:H,lookup!$A$18:$B$20,2,false),0)</f>
        <v>5</v>
      </c>
      <c r="J45" s="10">
        <f>IFERROR(vlookup('1.4'!I:I,lookup!$A$22:$B$24,2,false),0)</f>
        <v>5</v>
      </c>
      <c r="K45" s="10">
        <f>IFERROR(vlookup('1.4'!J:J,lookup!$A$26:$B$28,2,false),0)</f>
        <v>5</v>
      </c>
      <c r="L45" s="1"/>
      <c r="M45" s="10">
        <v>44.0</v>
      </c>
      <c r="N45" s="11" t="str">
        <f t="shared" si="1"/>
        <v>bnco1044@signalschool.ac.th</v>
      </c>
      <c r="O45" s="12">
        <f t="shared" si="2"/>
        <v>1</v>
      </c>
      <c r="R45" s="6" t="s">
        <v>258</v>
      </c>
    </row>
    <row r="46">
      <c r="A46" s="8">
        <f>'1.4'!A:A</f>
        <v>46263.71413</v>
      </c>
      <c r="B46" s="1" t="str">
        <f>'1.4'!B:B</f>
        <v>bnco1023@signalschool.ac.th</v>
      </c>
      <c r="C46" s="1" t="str">
        <f>'1.4'!C:C</f>
        <v>ร.ท. ศุภรัชฏ หมอกสุข</v>
      </c>
      <c r="D46" s="9">
        <v>1.0</v>
      </c>
      <c r="E46" s="10">
        <f>IFERROR(vlookup('1.4'!D:D,lookup!$A$2:$B$4,2,false),0)</f>
        <v>5</v>
      </c>
      <c r="F46" s="10">
        <f>IFERROR(vlookup('1.4'!E:E,lookup!$A$6:$B$8,2,false),0)</f>
        <v>5</v>
      </c>
      <c r="G46" s="10">
        <f>IFERROR(vlookup('1.4'!F:F,lookup!$A$10:$B$12,2,false),0)</f>
        <v>5</v>
      </c>
      <c r="H46" s="10">
        <f>IFERROR(vlookup('1.4'!G:G,lookup!$A$14:$B$16,2,false),0)</f>
        <v>5</v>
      </c>
      <c r="I46" s="10">
        <f>IFERROR(vlookup('1.4'!H:H,lookup!$A$18:$B$20,2,false),0)</f>
        <v>5</v>
      </c>
      <c r="J46" s="10">
        <f>IFERROR(vlookup('1.4'!I:I,lookup!$A$22:$B$24,2,false),0)</f>
        <v>5</v>
      </c>
      <c r="K46" s="10">
        <f>IFERROR(vlookup('1.4'!J:J,lookup!$A$26:$B$28,2,false),0)</f>
        <v>5</v>
      </c>
      <c r="L46" s="1"/>
      <c r="M46" s="10">
        <v>45.0</v>
      </c>
      <c r="N46" s="11" t="str">
        <f t="shared" si="1"/>
        <v>bnco1045@signalschool.ac.th</v>
      </c>
      <c r="O46" s="12">
        <f t="shared" si="2"/>
        <v>1</v>
      </c>
      <c r="R46" s="6" t="s">
        <v>259</v>
      </c>
    </row>
    <row r="47">
      <c r="A47" s="8">
        <f>'1.4'!A:A</f>
        <v>46264.52837</v>
      </c>
      <c r="B47" s="1" t="str">
        <f>'1.4'!B:B</f>
        <v>bnco1015@signalschool.ac.th</v>
      </c>
      <c r="C47" s="1" t="str">
        <f>'1.4'!C:C</f>
        <v>ร.อ.ศุภรัชฎ  หมอกสุข</v>
      </c>
      <c r="D47" s="9">
        <v>1.0</v>
      </c>
      <c r="E47" s="10">
        <f>IFERROR(vlookup('1.4'!D:D,lookup!$A$2:$B$4,2,false),0)</f>
        <v>5</v>
      </c>
      <c r="F47" s="10">
        <f>IFERROR(vlookup('1.4'!E:E,lookup!$A$6:$B$8,2,false),0)</f>
        <v>5</v>
      </c>
      <c r="G47" s="10">
        <f>IFERROR(vlookup('1.4'!F:F,lookup!$A$10:$B$12,2,false),0)</f>
        <v>5</v>
      </c>
      <c r="H47" s="10">
        <f>IFERROR(vlookup('1.4'!G:G,lookup!$A$14:$B$16,2,false),0)</f>
        <v>5</v>
      </c>
      <c r="I47" s="10">
        <f>IFERROR(vlookup('1.4'!H:H,lookup!$A$18:$B$20,2,false),0)</f>
        <v>5</v>
      </c>
      <c r="J47" s="10">
        <f>IFERROR(vlookup('1.4'!I:I,lookup!$A$22:$B$24,2,false),0)</f>
        <v>5</v>
      </c>
      <c r="K47" s="10">
        <f>IFERROR(vlookup('1.4'!J:J,lookup!$A$26:$B$28,2,false),0)</f>
        <v>5</v>
      </c>
      <c r="L47" s="1"/>
      <c r="M47" s="10">
        <v>46.0</v>
      </c>
      <c r="N47" s="11" t="str">
        <f t="shared" si="1"/>
        <v>bnco1046@signalschool.ac.th</v>
      </c>
      <c r="O47" s="12">
        <f t="shared" si="2"/>
        <v>1</v>
      </c>
      <c r="R47" s="6" t="s">
        <v>260</v>
      </c>
    </row>
    <row r="48">
      <c r="A48" s="8">
        <f>'1.4'!A:A</f>
        <v>46264.6514</v>
      </c>
      <c r="B48" s="1" t="str">
        <f>'1.4'!B:B</f>
        <v>bnco1002@signalschool.ac.th</v>
      </c>
      <c r="C48" s="1" t="str">
        <f>'1.4'!C:C</f>
        <v>ร.ท. ศุภรัฎ หมอกสุข</v>
      </c>
      <c r="D48" s="9">
        <v>1.0</v>
      </c>
      <c r="E48" s="10">
        <f>IFERROR(vlookup('1.4'!D:D,lookup!$A$2:$B$4,2,false),0)</f>
        <v>5</v>
      </c>
      <c r="F48" s="10">
        <f>IFERROR(vlookup('1.4'!E:E,lookup!$A$6:$B$8,2,false),0)</f>
        <v>5</v>
      </c>
      <c r="G48" s="10">
        <f>IFERROR(vlookup('1.4'!F:F,lookup!$A$10:$B$12,2,false),0)</f>
        <v>5</v>
      </c>
      <c r="H48" s="10">
        <f>IFERROR(vlookup('1.4'!G:G,lookup!$A$14:$B$16,2,false),0)</f>
        <v>5</v>
      </c>
      <c r="I48" s="10">
        <f>IFERROR(vlookup('1.4'!H:H,lookup!$A$18:$B$20,2,false),0)</f>
        <v>5</v>
      </c>
      <c r="J48" s="10">
        <f>IFERROR(vlookup('1.4'!I:I,lookup!$A$22:$B$24,2,false),0)</f>
        <v>5</v>
      </c>
      <c r="K48" s="10">
        <f>IFERROR(vlookup('1.4'!J:J,lookup!$A$26:$B$28,2,false),0)</f>
        <v>5</v>
      </c>
      <c r="L48" s="1"/>
      <c r="M48" s="10">
        <v>47.0</v>
      </c>
      <c r="N48" s="11" t="str">
        <f t="shared" si="1"/>
        <v>bnco1047@signalschool.ac.th</v>
      </c>
      <c r="O48" s="12">
        <f t="shared" si="2"/>
        <v>1</v>
      </c>
      <c r="R48" s="6" t="s">
        <v>261</v>
      </c>
    </row>
    <row r="49">
      <c r="A49" s="8">
        <f>'1.4'!A:A</f>
        <v>46264.8791</v>
      </c>
      <c r="B49" s="1" t="str">
        <f>'1.4'!B:B</f>
        <v>edu.rad@signalschool.ac.th</v>
      </c>
      <c r="C49" s="1" t="str">
        <f>'1.4'!C:C</f>
        <v>ครูอาจารย์ รร.ส.สส.</v>
      </c>
      <c r="D49" s="9">
        <v>1.0</v>
      </c>
      <c r="E49" s="10">
        <f>IFERROR(vlookup('1.4'!D:D,lookup!$A$2:$B$4,2,false),0)</f>
        <v>5</v>
      </c>
      <c r="F49" s="10">
        <f>IFERROR(vlookup('1.4'!E:E,lookup!$A$6:$B$8,2,false),0)</f>
        <v>5</v>
      </c>
      <c r="G49" s="10">
        <f>IFERROR(vlookup('1.4'!F:F,lookup!$A$10:$B$12,2,false),0)</f>
        <v>5</v>
      </c>
      <c r="H49" s="10">
        <f>IFERROR(vlookup('1.4'!G:G,lookup!$A$14:$B$16,2,false),0)</f>
        <v>5</v>
      </c>
      <c r="I49" s="10">
        <f>IFERROR(vlookup('1.4'!H:H,lookup!$A$18:$B$20,2,false),0)</f>
        <v>5</v>
      </c>
      <c r="J49" s="10">
        <f>IFERROR(vlookup('1.4'!I:I,lookup!$A$22:$B$24,2,false),0)</f>
        <v>5</v>
      </c>
      <c r="K49" s="10">
        <f>IFERROR(vlookup('1.4'!J:J,lookup!$A$26:$B$28,2,false),0)</f>
        <v>5</v>
      </c>
      <c r="L49" s="1"/>
      <c r="M49" s="10">
        <v>48.0</v>
      </c>
      <c r="N49" s="11" t="str">
        <f t="shared" si="1"/>
        <v>bnco1048@signalschool.ac.th</v>
      </c>
      <c r="O49" s="12">
        <f t="shared" si="2"/>
        <v>0</v>
      </c>
      <c r="R49" s="6" t="s">
        <v>262</v>
      </c>
    </row>
    <row r="50">
      <c r="A50" s="8">
        <f>'1.4'!A:A</f>
        <v>46265.3246</v>
      </c>
      <c r="B50" s="1" t="str">
        <f>'1.4'!B:B</f>
        <v>bnco1059@signalschool.ac.th</v>
      </c>
      <c r="C50" s="1" t="str">
        <f>'1.4'!C:C</f>
        <v>ร.ท.ศุภรัชฏ  หมอกสุข</v>
      </c>
      <c r="D50" s="9">
        <v>1.0</v>
      </c>
      <c r="E50" s="10">
        <f>IFERROR(vlookup('1.4'!D:D,lookup!$A$2:$B$4,2,false),0)</f>
        <v>5</v>
      </c>
      <c r="F50" s="10">
        <f>IFERROR(vlookup('1.4'!E:E,lookup!$A$6:$B$8,2,false),0)</f>
        <v>5</v>
      </c>
      <c r="G50" s="10">
        <f>IFERROR(vlookup('1.4'!F:F,lookup!$A$10:$B$12,2,false),0)</f>
        <v>5</v>
      </c>
      <c r="H50" s="10">
        <f>IFERROR(vlookup('1.4'!G:G,lookup!$A$14:$B$16,2,false),0)</f>
        <v>5</v>
      </c>
      <c r="I50" s="10">
        <f>IFERROR(vlookup('1.4'!H:H,lookup!$A$18:$B$20,2,false),0)</f>
        <v>5</v>
      </c>
      <c r="J50" s="10">
        <f>IFERROR(vlookup('1.4'!I:I,lookup!$A$22:$B$24,2,false),0)</f>
        <v>5</v>
      </c>
      <c r="K50" s="10">
        <f>IFERROR(vlookup('1.4'!J:J,lookup!$A$26:$B$28,2,false),0)</f>
        <v>5</v>
      </c>
      <c r="L50" s="1"/>
      <c r="M50" s="10">
        <v>49.0</v>
      </c>
      <c r="N50" s="11" t="str">
        <f t="shared" si="1"/>
        <v>bnco1049@signalschool.ac.th</v>
      </c>
      <c r="O50" s="12">
        <f t="shared" si="2"/>
        <v>1</v>
      </c>
      <c r="R50" s="6" t="s">
        <v>263</v>
      </c>
    </row>
    <row r="51">
      <c r="A51" s="8">
        <f>'1.4'!A:A</f>
        <v>46265.67947</v>
      </c>
      <c r="B51" s="1" t="str">
        <f>'1.4'!B:B</f>
        <v>bnco1046@signalschool.ac.th</v>
      </c>
      <c r="C51" s="1" t="str">
        <f>'1.4'!C:C</f>
        <v>ร.อ.ศุภรัชฏ หมอกสุข</v>
      </c>
      <c r="D51" s="9">
        <v>1.0</v>
      </c>
      <c r="E51" s="10">
        <f>IFERROR(vlookup('1.4'!D:D,lookup!$A$2:$B$4,2,false),0)</f>
        <v>5</v>
      </c>
      <c r="F51" s="10">
        <f>IFERROR(vlookup('1.4'!E:E,lookup!$A$6:$B$8,2,false),0)</f>
        <v>5</v>
      </c>
      <c r="G51" s="10">
        <f>IFERROR(vlookup('1.4'!F:F,lookup!$A$10:$B$12,2,false),0)</f>
        <v>5</v>
      </c>
      <c r="H51" s="10">
        <f>IFERROR(vlookup('1.4'!G:G,lookup!$A$14:$B$16,2,false),0)</f>
        <v>5</v>
      </c>
      <c r="I51" s="10">
        <f>IFERROR(vlookup('1.4'!H:H,lookup!$A$18:$B$20,2,false),0)</f>
        <v>5</v>
      </c>
      <c r="J51" s="10">
        <f>IFERROR(vlookup('1.4'!I:I,lookup!$A$22:$B$24,2,false),0)</f>
        <v>5</v>
      </c>
      <c r="K51" s="10">
        <f>IFERROR(vlookup('1.4'!J:J,lookup!$A$26:$B$28,2,false),0)</f>
        <v>5</v>
      </c>
      <c r="L51" s="1"/>
      <c r="M51" s="10">
        <v>50.0</v>
      </c>
      <c r="N51" s="11" t="str">
        <f t="shared" si="1"/>
        <v>bnco1050@signalschool.ac.th</v>
      </c>
      <c r="O51" s="12">
        <f t="shared" si="2"/>
        <v>1</v>
      </c>
      <c r="R51" s="6" t="s">
        <v>264</v>
      </c>
    </row>
    <row r="52">
      <c r="A52" s="8">
        <f>'1.4'!A:A</f>
        <v>46265.69183</v>
      </c>
      <c r="B52" s="1" t="str">
        <f>'1.4'!B:B</f>
        <v>bnco1024@signalschool.ac.th</v>
      </c>
      <c r="C52" s="1" t="str">
        <f>'1.4'!C:C</f>
        <v>ร.ท.ศุภรัชฎ หมอกสุข</v>
      </c>
      <c r="D52" s="9">
        <v>1.0</v>
      </c>
      <c r="E52" s="10">
        <f>IFERROR(vlookup('1.4'!D:D,lookup!$A$2:$B$4,2,false),0)</f>
        <v>5</v>
      </c>
      <c r="F52" s="10">
        <f>IFERROR(vlookup('1.4'!E:E,lookup!$A$6:$B$8,2,false),0)</f>
        <v>5</v>
      </c>
      <c r="G52" s="10">
        <f>IFERROR(vlookup('1.4'!F:F,lookup!$A$10:$B$12,2,false),0)</f>
        <v>5</v>
      </c>
      <c r="H52" s="10">
        <f>IFERROR(vlookup('1.4'!G:G,lookup!$A$14:$B$16,2,false),0)</f>
        <v>5</v>
      </c>
      <c r="I52" s="10">
        <f>IFERROR(vlookup('1.4'!H:H,lookup!$A$18:$B$20,2,false),0)</f>
        <v>5</v>
      </c>
      <c r="J52" s="10">
        <f>IFERROR(vlookup('1.4'!I:I,lookup!$A$22:$B$24,2,false),0)</f>
        <v>5</v>
      </c>
      <c r="K52" s="10">
        <f>IFERROR(vlookup('1.4'!J:J,lookup!$A$26:$B$28,2,false),0)</f>
        <v>5</v>
      </c>
      <c r="L52" s="1"/>
      <c r="M52" s="10">
        <v>51.0</v>
      </c>
      <c r="N52" s="11" t="str">
        <f t="shared" si="1"/>
        <v>bnco1051@signalschool.ac.th</v>
      </c>
      <c r="O52" s="12">
        <f t="shared" si="2"/>
        <v>1</v>
      </c>
      <c r="R52" s="6" t="s">
        <v>265</v>
      </c>
    </row>
    <row r="53">
      <c r="A53" s="8">
        <f>'1.4'!A:A</f>
        <v>46265.70385</v>
      </c>
      <c r="B53" s="1" t="str">
        <f>'1.4'!B:B</f>
        <v>bnco1073@signalschool.ac.th</v>
      </c>
      <c r="C53" s="1" t="str">
        <f>'1.4'!C:C</f>
        <v>ร.ท.ศุภรัชฎ  หมอกสุข</v>
      </c>
      <c r="D53" s="9">
        <v>1.0</v>
      </c>
      <c r="E53" s="10">
        <f>IFERROR(vlookup('1.4'!D:D,lookup!$A$2:$B$4,2,false),0)</f>
        <v>5</v>
      </c>
      <c r="F53" s="10">
        <f>IFERROR(vlookup('1.4'!E:E,lookup!$A$6:$B$8,2,false),0)</f>
        <v>5</v>
      </c>
      <c r="G53" s="10">
        <f>IFERROR(vlookup('1.4'!F:F,lookup!$A$10:$B$12,2,false),0)</f>
        <v>5</v>
      </c>
      <c r="H53" s="10">
        <f>IFERROR(vlookup('1.4'!G:G,lookup!$A$14:$B$16,2,false),0)</f>
        <v>5</v>
      </c>
      <c r="I53" s="10">
        <f>IFERROR(vlookup('1.4'!H:H,lookup!$A$18:$B$20,2,false),0)</f>
        <v>5</v>
      </c>
      <c r="J53" s="10">
        <f>IFERROR(vlookup('1.4'!I:I,lookup!$A$22:$B$24,2,false),0)</f>
        <v>5</v>
      </c>
      <c r="K53" s="10">
        <f>IFERROR(vlookup('1.4'!J:J,lookup!$A$26:$B$28,2,false),0)</f>
        <v>5</v>
      </c>
      <c r="L53" s="1"/>
      <c r="M53" s="10">
        <v>52.0</v>
      </c>
      <c r="N53" s="11" t="str">
        <f t="shared" si="1"/>
        <v>bnco1052@signalschool.ac.th</v>
      </c>
      <c r="O53" s="12">
        <f t="shared" si="2"/>
        <v>1</v>
      </c>
      <c r="R53" s="6" t="s">
        <v>266</v>
      </c>
    </row>
    <row r="54">
      <c r="A54" s="8">
        <f>'1.4'!A:A</f>
        <v>46265.70469</v>
      </c>
      <c r="B54" s="1" t="str">
        <f>'1.4'!B:B</f>
        <v>bnco1078@signalschool.ac.th</v>
      </c>
      <c r="C54" s="1" t="str">
        <f>'1.4'!C:C</f>
        <v>ร.ท.ศุภรัชฎ หมอกสุข</v>
      </c>
      <c r="D54" s="9">
        <v>1.0</v>
      </c>
      <c r="E54" s="10">
        <f>IFERROR(vlookup('1.4'!D:D,lookup!$A$2:$B$4,2,false),0)</f>
        <v>5</v>
      </c>
      <c r="F54" s="10">
        <f>IFERROR(vlookup('1.4'!E:E,lookup!$A$6:$B$8,2,false),0)</f>
        <v>5</v>
      </c>
      <c r="G54" s="10">
        <f>IFERROR(vlookup('1.4'!F:F,lookup!$A$10:$B$12,2,false),0)</f>
        <v>5</v>
      </c>
      <c r="H54" s="10">
        <f>IFERROR(vlookup('1.4'!G:G,lookup!$A$14:$B$16,2,false),0)</f>
        <v>5</v>
      </c>
      <c r="I54" s="10">
        <f>IFERROR(vlookup('1.4'!H:H,lookup!$A$18:$B$20,2,false),0)</f>
        <v>5</v>
      </c>
      <c r="J54" s="10">
        <f>IFERROR(vlookup('1.4'!I:I,lookup!$A$22:$B$24,2,false),0)</f>
        <v>5</v>
      </c>
      <c r="K54" s="10">
        <f>IFERROR(vlookup('1.4'!J:J,lookup!$A$26:$B$28,2,false),0)</f>
        <v>5</v>
      </c>
      <c r="L54" s="1"/>
      <c r="M54" s="10">
        <v>53.0</v>
      </c>
      <c r="N54" s="11" t="str">
        <f t="shared" si="1"/>
        <v>bnco1053@signalschool.ac.th</v>
      </c>
      <c r="O54" s="12">
        <f t="shared" si="2"/>
        <v>1</v>
      </c>
      <c r="R54" s="6" t="s">
        <v>267</v>
      </c>
    </row>
    <row r="55">
      <c r="A55" s="8">
        <f>'1.4'!A:A</f>
        <v>46265.73523</v>
      </c>
      <c r="B55" s="1" t="str">
        <f>'1.4'!B:B</f>
        <v>bnco1057@signalschool.ac.th</v>
      </c>
      <c r="C55" s="1" t="str">
        <f>'1.4'!C:C</f>
        <v>ร.อ.ศุภรัชฎ  หมอกสุข</v>
      </c>
      <c r="D55" s="9">
        <v>1.0</v>
      </c>
      <c r="E55" s="10">
        <f>IFERROR(vlookup('1.4'!D:D,lookup!$A$2:$B$4,2,false),0)</f>
        <v>5</v>
      </c>
      <c r="F55" s="10">
        <f>IFERROR(vlookup('1.4'!E:E,lookup!$A$6:$B$8,2,false),0)</f>
        <v>5</v>
      </c>
      <c r="G55" s="10">
        <f>IFERROR(vlookup('1.4'!F:F,lookup!$A$10:$B$12,2,false),0)</f>
        <v>5</v>
      </c>
      <c r="H55" s="10">
        <f>IFERROR(vlookup('1.4'!G:G,lookup!$A$14:$B$16,2,false),0)</f>
        <v>5</v>
      </c>
      <c r="I55" s="10">
        <f>IFERROR(vlookup('1.4'!H:H,lookup!$A$18:$B$20,2,false),0)</f>
        <v>5</v>
      </c>
      <c r="J55" s="10">
        <f>IFERROR(vlookup('1.4'!I:I,lookup!$A$22:$B$24,2,false),0)</f>
        <v>5</v>
      </c>
      <c r="K55" s="10">
        <f>IFERROR(vlookup('1.4'!J:J,lookup!$A$26:$B$28,2,false),0)</f>
        <v>5</v>
      </c>
      <c r="L55" s="1"/>
      <c r="M55" s="10">
        <v>54.0</v>
      </c>
      <c r="N55" s="11" t="str">
        <f t="shared" si="1"/>
        <v>bnco1054@signalschool.ac.th</v>
      </c>
      <c r="O55" s="12">
        <f t="shared" si="2"/>
        <v>1</v>
      </c>
      <c r="R55" s="6" t="s">
        <v>268</v>
      </c>
    </row>
    <row r="56">
      <c r="A56" s="8">
        <f>'1.4'!A:A</f>
        <v>46266.54753</v>
      </c>
      <c r="B56" s="1" t="str">
        <f>'1.4'!B:B</f>
        <v>bnco1004@signalschool.ac.th</v>
      </c>
      <c r="C56" s="1" t="str">
        <f>'1.4'!C:C</f>
        <v>จ่าสิบเอก อนิชิท ธิบมนทรา</v>
      </c>
      <c r="D56" s="9">
        <v>1.0</v>
      </c>
      <c r="E56" s="10">
        <f>IFERROR(vlookup('1.4'!D:D,lookup!$A$2:$B$4,2,false),0)</f>
        <v>3</v>
      </c>
      <c r="F56" s="10">
        <f>IFERROR(vlookup('1.4'!E:E,lookup!$A$6:$B$8,2,false),0)</f>
        <v>3</v>
      </c>
      <c r="G56" s="10">
        <f>IFERROR(vlookup('1.4'!F:F,lookup!$A$10:$B$12,2,false),0)</f>
        <v>3</v>
      </c>
      <c r="H56" s="10">
        <f>IFERROR(vlookup('1.4'!G:G,lookup!$A$14:$B$16,2,false),0)</f>
        <v>3</v>
      </c>
      <c r="I56" s="10">
        <f>IFERROR(vlookup('1.4'!H:H,lookup!$A$18:$B$20,2,false),0)</f>
        <v>3</v>
      </c>
      <c r="J56" s="10">
        <f>IFERROR(vlookup('1.4'!I:I,lookup!$A$22:$B$24,2,false),0)</f>
        <v>3</v>
      </c>
      <c r="K56" s="10">
        <f>IFERROR(vlookup('1.4'!J:J,lookup!$A$26:$B$28,2,false),0)</f>
        <v>3</v>
      </c>
      <c r="L56" s="13"/>
      <c r="M56" s="10">
        <v>55.0</v>
      </c>
      <c r="N56" s="11" t="str">
        <f t="shared" si="1"/>
        <v>bnco1055@signalschool.ac.th</v>
      </c>
      <c r="O56" s="12">
        <f t="shared" si="2"/>
        <v>1</v>
      </c>
      <c r="R56" s="6" t="s">
        <v>269</v>
      </c>
    </row>
    <row r="57">
      <c r="A57" s="8">
        <f>'1.4'!A:A</f>
        <v>46266.67865</v>
      </c>
      <c r="B57" s="1" t="str">
        <f>'1.4'!B:B</f>
        <v>bnco1053@signalschool.ac.th</v>
      </c>
      <c r="C57" s="1" t="str">
        <f>'1.4'!C:C</f>
        <v>ร.ท.ศุภรัชฎ  หมอกสุข</v>
      </c>
      <c r="D57" s="9">
        <v>1.0</v>
      </c>
      <c r="E57" s="10">
        <f>IFERROR(vlookup('1.4'!D:D,lookup!$A$2:$B$4,2,false),0)</f>
        <v>5</v>
      </c>
      <c r="F57" s="10">
        <f>IFERROR(vlookup('1.4'!E:E,lookup!$A$6:$B$8,2,false),0)</f>
        <v>5</v>
      </c>
      <c r="G57" s="10">
        <f>IFERROR(vlookup('1.4'!F:F,lookup!$A$10:$B$12,2,false),0)</f>
        <v>5</v>
      </c>
      <c r="H57" s="10">
        <f>IFERROR(vlookup('1.4'!G:G,lookup!$A$14:$B$16,2,false),0)</f>
        <v>5</v>
      </c>
      <c r="I57" s="10">
        <f>IFERROR(vlookup('1.4'!H:H,lookup!$A$18:$B$20,2,false),0)</f>
        <v>5</v>
      </c>
      <c r="J57" s="10">
        <f>IFERROR(vlookup('1.4'!I:I,lookup!$A$22:$B$24,2,false),0)</f>
        <v>5</v>
      </c>
      <c r="K57" s="10">
        <f>IFERROR(vlookup('1.4'!J:J,lookup!$A$26:$B$28,2,false),0)</f>
        <v>5</v>
      </c>
      <c r="L57" s="13"/>
      <c r="M57" s="10">
        <v>56.0</v>
      </c>
      <c r="N57" s="11" t="str">
        <f t="shared" si="1"/>
        <v>bnco1056@signalschool.ac.th</v>
      </c>
      <c r="O57" s="12">
        <f t="shared" si="2"/>
        <v>1</v>
      </c>
      <c r="R57" s="6" t="s">
        <v>270</v>
      </c>
    </row>
    <row r="58">
      <c r="A58" s="8">
        <f>'1.4'!A:A</f>
        <v>46266.68439</v>
      </c>
      <c r="B58" s="1" t="str">
        <f>'1.4'!B:B</f>
        <v>bnco1047@signalschool.ac.th</v>
      </c>
      <c r="C58" s="1" t="str">
        <f>'1.4'!C:C</f>
        <v>ร.ท.ศุภรัชฎ หมอกสุข</v>
      </c>
      <c r="D58" s="9">
        <v>1.0</v>
      </c>
      <c r="E58" s="10">
        <f>IFERROR(vlookup('1.4'!D:D,lookup!$A$2:$B$4,2,false),0)</f>
        <v>5</v>
      </c>
      <c r="F58" s="10">
        <f>IFERROR(vlookup('1.4'!E:E,lookup!$A$6:$B$8,2,false),0)</f>
        <v>5</v>
      </c>
      <c r="G58" s="10">
        <f>IFERROR(vlookup('1.4'!F:F,lookup!$A$10:$B$12,2,false),0)</f>
        <v>5</v>
      </c>
      <c r="H58" s="10">
        <f>IFERROR(vlookup('1.4'!G:G,lookup!$A$14:$B$16,2,false),0)</f>
        <v>5</v>
      </c>
      <c r="I58" s="10">
        <f>IFERROR(vlookup('1.4'!H:H,lookup!$A$18:$B$20,2,false),0)</f>
        <v>5</v>
      </c>
      <c r="J58" s="10">
        <f>IFERROR(vlookup('1.4'!I:I,lookup!$A$22:$B$24,2,false),0)</f>
        <v>5</v>
      </c>
      <c r="K58" s="10">
        <f>IFERROR(vlookup('1.4'!J:J,lookup!$A$26:$B$28,2,false),0)</f>
        <v>5</v>
      </c>
      <c r="L58" s="13"/>
      <c r="M58" s="10">
        <v>57.0</v>
      </c>
      <c r="N58" s="11" t="str">
        <f t="shared" si="1"/>
        <v>bnco1057@signalschool.ac.th</v>
      </c>
      <c r="O58" s="12">
        <f t="shared" si="2"/>
        <v>1</v>
      </c>
      <c r="R58" s="6" t="s">
        <v>271</v>
      </c>
    </row>
    <row r="59">
      <c r="A59" s="8">
        <f>'1.4'!A:A</f>
        <v>46266.69362</v>
      </c>
      <c r="B59" s="1" t="str">
        <f>'1.4'!B:B</f>
        <v>bnco1055@signalschool.ac.th</v>
      </c>
      <c r="C59" s="1" t="str">
        <f>'1.4'!C:C</f>
        <v>ร.ท.ศุภรัชฎ หมอกสุข</v>
      </c>
      <c r="D59" s="9">
        <v>1.0</v>
      </c>
      <c r="E59" s="10">
        <f>IFERROR(vlookup('1.4'!D:D,lookup!$A$2:$B$4,2,false),0)</f>
        <v>5</v>
      </c>
      <c r="F59" s="10">
        <f>IFERROR(vlookup('1.4'!E:E,lookup!$A$6:$B$8,2,false),0)</f>
        <v>5</v>
      </c>
      <c r="G59" s="10">
        <f>IFERROR(vlookup('1.4'!F:F,lookup!$A$10:$B$12,2,false),0)</f>
        <v>5</v>
      </c>
      <c r="H59" s="10">
        <f>IFERROR(vlookup('1.4'!G:G,lookup!$A$14:$B$16,2,false),0)</f>
        <v>5</v>
      </c>
      <c r="I59" s="10">
        <f>IFERROR(vlookup('1.4'!H:H,lookup!$A$18:$B$20,2,false),0)</f>
        <v>5</v>
      </c>
      <c r="J59" s="10">
        <f>IFERROR(vlookup('1.4'!I:I,lookup!$A$22:$B$24,2,false),0)</f>
        <v>5</v>
      </c>
      <c r="K59" s="10">
        <f>IFERROR(vlookup('1.4'!J:J,lookup!$A$26:$B$28,2,false),0)</f>
        <v>5</v>
      </c>
      <c r="L59" s="14"/>
      <c r="M59" s="10">
        <v>58.0</v>
      </c>
      <c r="N59" s="11" t="str">
        <f t="shared" si="1"/>
        <v>bnco1058@signalschool.ac.th</v>
      </c>
      <c r="O59" s="12">
        <f t="shared" si="2"/>
        <v>1</v>
      </c>
      <c r="R59" s="6" t="s">
        <v>272</v>
      </c>
    </row>
    <row r="60">
      <c r="A60" s="8">
        <f>'1.4'!A:A</f>
        <v>46266.8067</v>
      </c>
      <c r="B60" s="1" t="str">
        <f>'1.4'!B:B</f>
        <v>bnco1017@signalschool.ac.th</v>
      </c>
      <c r="C60" s="1" t="str">
        <f>'1.4'!C:C</f>
        <v>จ.ส.ต.ภาณุพงษ์ ใจเฉื่อย</v>
      </c>
      <c r="D60" s="9">
        <v>1.0</v>
      </c>
      <c r="E60" s="10">
        <f>IFERROR(vlookup('1.4'!D:D,lookup!$A$2:$B$4,2,false),0)</f>
        <v>5</v>
      </c>
      <c r="F60" s="10">
        <f>IFERROR(vlookup('1.4'!E:E,lookup!$A$6:$B$8,2,false),0)</f>
        <v>5</v>
      </c>
      <c r="G60" s="10">
        <f>IFERROR(vlookup('1.4'!F:F,lookup!$A$10:$B$12,2,false),0)</f>
        <v>5</v>
      </c>
      <c r="H60" s="10">
        <f>IFERROR(vlookup('1.4'!G:G,lookup!$A$14:$B$16,2,false),0)</f>
        <v>5</v>
      </c>
      <c r="I60" s="10">
        <f>IFERROR(vlookup('1.4'!H:H,lookup!$A$18:$B$20,2,false),0)</f>
        <v>5</v>
      </c>
      <c r="J60" s="10">
        <f>IFERROR(vlookup('1.4'!I:I,lookup!$A$22:$B$24,2,false),0)</f>
        <v>5</v>
      </c>
      <c r="K60" s="10">
        <f>IFERROR(vlookup('1.4'!J:J,lookup!$A$26:$B$28,2,false),0)</f>
        <v>5</v>
      </c>
      <c r="L60" s="10"/>
      <c r="M60" s="10">
        <v>59.0</v>
      </c>
      <c r="N60" s="11" t="str">
        <f t="shared" si="1"/>
        <v>bnco1059@signalschool.ac.th</v>
      </c>
      <c r="O60" s="12">
        <f t="shared" si="2"/>
        <v>1</v>
      </c>
      <c r="R60" s="6" t="s">
        <v>273</v>
      </c>
    </row>
    <row r="61">
      <c r="A61" s="8">
        <f>'1.4'!A:A</f>
        <v>46267.30709</v>
      </c>
      <c r="B61" s="1" t="str">
        <f>'1.4'!B:B</f>
        <v>bnco1016@signalschool.ac.th</v>
      </c>
      <c r="C61" s="1" t="str">
        <f>'1.4'!C:C</f>
        <v>ร.ท.ศุภรัชฏ หมอกสุข</v>
      </c>
      <c r="D61" s="9">
        <v>1.0</v>
      </c>
      <c r="E61" s="10">
        <f>IFERROR(vlookup('1.4'!D:D,lookup!$A$2:$B$4,2,false),0)</f>
        <v>5</v>
      </c>
      <c r="F61" s="10">
        <f>IFERROR(vlookup('1.4'!E:E,lookup!$A$6:$B$8,2,false),0)</f>
        <v>5</v>
      </c>
      <c r="G61" s="10">
        <f>IFERROR(vlookup('1.4'!F:F,lookup!$A$10:$B$12,2,false),0)</f>
        <v>5</v>
      </c>
      <c r="H61" s="10">
        <f>IFERROR(vlookup('1.4'!G:G,lookup!$A$14:$B$16,2,false),0)</f>
        <v>5</v>
      </c>
      <c r="I61" s="10">
        <f>IFERROR(vlookup('1.4'!H:H,lookup!$A$18:$B$20,2,false),0)</f>
        <v>5</v>
      </c>
      <c r="J61" s="10">
        <f>IFERROR(vlookup('1.4'!I:I,lookup!$A$22:$B$24,2,false),0)</f>
        <v>5</v>
      </c>
      <c r="K61" s="10">
        <f>IFERROR(vlookup('1.4'!J:J,lookup!$A$26:$B$28,2,false),0)</f>
        <v>5</v>
      </c>
      <c r="M61" s="10">
        <v>60.0</v>
      </c>
      <c r="N61" s="11" t="str">
        <f t="shared" si="1"/>
        <v>bnco1060@signalschool.ac.th</v>
      </c>
      <c r="O61" s="12">
        <f t="shared" si="2"/>
        <v>1</v>
      </c>
      <c r="R61" s="6" t="s">
        <v>274</v>
      </c>
    </row>
    <row r="62">
      <c r="A62" s="8">
        <f>'1.4'!A:A</f>
        <v>46267.30813</v>
      </c>
      <c r="B62" s="1" t="str">
        <f>'1.4'!B:B</f>
        <v>bnco1019@signalschool.ac.th</v>
      </c>
      <c r="C62" s="1" t="str">
        <f>'1.4'!C:C</f>
        <v>ร.ท.ศุภรัชฎ  หมอกสุข</v>
      </c>
      <c r="D62" s="9">
        <v>1.0</v>
      </c>
      <c r="E62" s="10">
        <f>IFERROR(vlookup('1.4'!D:D,lookup!$A$2:$B$4,2,false),0)</f>
        <v>5</v>
      </c>
      <c r="F62" s="10">
        <f>IFERROR(vlookup('1.4'!E:E,lookup!$A$6:$B$8,2,false),0)</f>
        <v>5</v>
      </c>
      <c r="G62" s="10">
        <f>IFERROR(vlookup('1.4'!F:F,lookup!$A$10:$B$12,2,false),0)</f>
        <v>5</v>
      </c>
      <c r="H62" s="10">
        <f>IFERROR(vlookup('1.4'!G:G,lookup!$A$14:$B$16,2,false),0)</f>
        <v>5</v>
      </c>
      <c r="I62" s="10">
        <f>IFERROR(vlookup('1.4'!H:H,lookup!$A$18:$B$20,2,false),0)</f>
        <v>5</v>
      </c>
      <c r="J62" s="10">
        <f>IFERROR(vlookup('1.4'!I:I,lookup!$A$22:$B$24,2,false),0)</f>
        <v>5</v>
      </c>
      <c r="K62" s="10">
        <f>IFERROR(vlookup('1.4'!J:J,lookup!$A$26:$B$28,2,false),0)</f>
        <v>5</v>
      </c>
      <c r="M62" s="10">
        <v>61.0</v>
      </c>
      <c r="N62" s="11" t="str">
        <f t="shared" si="1"/>
        <v>bnco1061@signalschool.ac.th</v>
      </c>
      <c r="O62" s="12">
        <f t="shared" si="2"/>
        <v>1</v>
      </c>
      <c r="R62" s="6" t="s">
        <v>275</v>
      </c>
    </row>
    <row r="63">
      <c r="A63" s="8">
        <f>'1.4'!A:A</f>
        <v>46267.56023</v>
      </c>
      <c r="B63" s="1" t="str">
        <f>'1.4'!B:B</f>
        <v>bnco1034@signalschool.ac.th</v>
      </c>
      <c r="C63" s="1" t="str">
        <f>'1.4'!C:C</f>
        <v>ร.อ.ศุภรัชฎ หมอกสุข</v>
      </c>
      <c r="D63" s="9">
        <v>1.0</v>
      </c>
      <c r="E63" s="10">
        <f>IFERROR(vlookup('1.4'!D:D,lookup!$A$2:$B$4,2,false),0)</f>
        <v>5</v>
      </c>
      <c r="F63" s="10">
        <f>IFERROR(vlookup('1.4'!E:E,lookup!$A$6:$B$8,2,false),0)</f>
        <v>5</v>
      </c>
      <c r="G63" s="10">
        <f>IFERROR(vlookup('1.4'!F:F,lookup!$A$10:$B$12,2,false),0)</f>
        <v>5</v>
      </c>
      <c r="H63" s="10">
        <f>IFERROR(vlookup('1.4'!G:G,lookup!$A$14:$B$16,2,false),0)</f>
        <v>5</v>
      </c>
      <c r="I63" s="10">
        <f>IFERROR(vlookup('1.4'!H:H,lookup!$A$18:$B$20,2,false),0)</f>
        <v>5</v>
      </c>
      <c r="J63" s="10">
        <f>IFERROR(vlookup('1.4'!I:I,lookup!$A$22:$B$24,2,false),0)</f>
        <v>5</v>
      </c>
      <c r="K63" s="10">
        <f>IFERROR(vlookup('1.4'!J:J,lookup!$A$26:$B$28,2,false),0)</f>
        <v>5</v>
      </c>
      <c r="M63" s="10">
        <v>62.0</v>
      </c>
      <c r="N63" s="11" t="str">
        <f t="shared" si="1"/>
        <v>bnco1062@signalschool.ac.th</v>
      </c>
      <c r="O63" s="12">
        <f t="shared" si="2"/>
        <v>1</v>
      </c>
      <c r="R63" s="6" t="s">
        <v>276</v>
      </c>
    </row>
    <row r="64">
      <c r="A64" s="8">
        <f>'1.4'!A:A</f>
        <v>46267.60835</v>
      </c>
      <c r="B64" s="1" t="str">
        <f>'1.4'!B:B</f>
        <v>bnco1043@signalschool.ac.th</v>
      </c>
      <c r="C64" s="1" t="str">
        <f>'1.4'!C:C</f>
        <v>ร.ท.ศุภรัชฎ์ หมอกสุข</v>
      </c>
      <c r="D64" s="9">
        <v>1.0</v>
      </c>
      <c r="E64" s="10">
        <f>IFERROR(vlookup('1.4'!D:D,lookup!$A$2:$B$4,2,false),0)</f>
        <v>5</v>
      </c>
      <c r="F64" s="10">
        <f>IFERROR(vlookup('1.4'!E:E,lookup!$A$6:$B$8,2,false),0)</f>
        <v>5</v>
      </c>
      <c r="G64" s="10">
        <f>IFERROR(vlookup('1.4'!F:F,lookup!$A$10:$B$12,2,false),0)</f>
        <v>5</v>
      </c>
      <c r="H64" s="10">
        <f>IFERROR(vlookup('1.4'!G:G,lookup!$A$14:$B$16,2,false),0)</f>
        <v>5</v>
      </c>
      <c r="I64" s="10">
        <f>IFERROR(vlookup('1.4'!H:H,lookup!$A$18:$B$20,2,false),0)</f>
        <v>5</v>
      </c>
      <c r="J64" s="10">
        <f>IFERROR(vlookup('1.4'!I:I,lookup!$A$22:$B$24,2,false),0)</f>
        <v>5</v>
      </c>
      <c r="K64" s="10">
        <f>IFERROR(vlookup('1.4'!J:J,lookup!$A$26:$B$28,2,false),0)</f>
        <v>5</v>
      </c>
      <c r="M64" s="10">
        <v>63.0</v>
      </c>
      <c r="N64" s="11" t="str">
        <f t="shared" si="1"/>
        <v>bnco1063@signalschool.ac.th</v>
      </c>
      <c r="O64" s="12">
        <f t="shared" si="2"/>
        <v>1</v>
      </c>
      <c r="R64" s="6" t="s">
        <v>277</v>
      </c>
    </row>
    <row r="65">
      <c r="A65" s="8">
        <f>'1.4'!A:A</f>
        <v>46267.60876</v>
      </c>
      <c r="B65" s="1" t="str">
        <f>'1.4'!B:B</f>
        <v>bnco1001@signalschool.ac.th</v>
      </c>
      <c r="C65" s="1" t="str">
        <f>'1.4'!C:C</f>
        <v>ครู/อาจารย์</v>
      </c>
      <c r="D65" s="9">
        <v>1.0</v>
      </c>
      <c r="E65" s="10">
        <f>IFERROR(vlookup('1.4'!D:D,lookup!$A$2:$B$4,2,false),0)</f>
        <v>5</v>
      </c>
      <c r="F65" s="10">
        <f>IFERROR(vlookup('1.4'!E:E,lookup!$A$6:$B$8,2,false),0)</f>
        <v>5</v>
      </c>
      <c r="G65" s="10">
        <f>IFERROR(vlookup('1.4'!F:F,lookup!$A$10:$B$12,2,false),0)</f>
        <v>5</v>
      </c>
      <c r="H65" s="10">
        <f>IFERROR(vlookup('1.4'!G:G,lookup!$A$14:$B$16,2,false),0)</f>
        <v>5</v>
      </c>
      <c r="I65" s="10">
        <f>IFERROR(vlookup('1.4'!H:H,lookup!$A$18:$B$20,2,false),0)</f>
        <v>5</v>
      </c>
      <c r="J65" s="10">
        <f>IFERROR(vlookup('1.4'!I:I,lookup!$A$22:$B$24,2,false),0)</f>
        <v>5</v>
      </c>
      <c r="K65" s="10">
        <f>IFERROR(vlookup('1.4'!J:J,lookup!$A$26:$B$28,2,false),0)</f>
        <v>5</v>
      </c>
      <c r="M65" s="10">
        <v>64.0</v>
      </c>
      <c r="N65" s="11" t="str">
        <f t="shared" si="1"/>
        <v>bnco1064@signalschool.ac.th</v>
      </c>
      <c r="O65" s="12">
        <f t="shared" si="2"/>
        <v>1</v>
      </c>
      <c r="R65" s="6" t="s">
        <v>278</v>
      </c>
    </row>
    <row r="66">
      <c r="A66" s="8">
        <f>'1.4'!A:A</f>
        <v>46267.67997</v>
      </c>
      <c r="B66" s="1" t="str">
        <f>'1.4'!B:B</f>
        <v>bnco1011@signalschool.ac.th</v>
      </c>
      <c r="C66" s="1" t="str">
        <f>'1.4'!C:C</f>
        <v>ร.ท.ศุภรัชฏ หมอกสุข</v>
      </c>
      <c r="D66" s="9">
        <v>1.0</v>
      </c>
      <c r="E66" s="10">
        <f>IFERROR(vlookup('1.4'!D:D,lookup!$A$2:$B$4,2,false),0)</f>
        <v>5</v>
      </c>
      <c r="F66" s="10">
        <f>IFERROR(vlookup('1.4'!E:E,lookup!$A$6:$B$8,2,false),0)</f>
        <v>5</v>
      </c>
      <c r="G66" s="10">
        <f>IFERROR(vlookup('1.4'!F:F,lookup!$A$10:$B$12,2,false),0)</f>
        <v>5</v>
      </c>
      <c r="H66" s="10">
        <f>IFERROR(vlookup('1.4'!G:G,lookup!$A$14:$B$16,2,false),0)</f>
        <v>5</v>
      </c>
      <c r="I66" s="10">
        <f>IFERROR(vlookup('1.4'!H:H,lookup!$A$18:$B$20,2,false),0)</f>
        <v>5</v>
      </c>
      <c r="J66" s="10">
        <f>IFERROR(vlookup('1.4'!I:I,lookup!$A$22:$B$24,2,false),0)</f>
        <v>5</v>
      </c>
      <c r="K66" s="10">
        <f>IFERROR(vlookup('1.4'!J:J,lookup!$A$26:$B$28,2,false),0)</f>
        <v>5</v>
      </c>
      <c r="M66" s="10">
        <v>65.0</v>
      </c>
      <c r="N66" s="11" t="str">
        <f t="shared" si="1"/>
        <v>bnco1065@signalschool.ac.th</v>
      </c>
      <c r="O66" s="12">
        <f t="shared" si="2"/>
        <v>0</v>
      </c>
      <c r="R66" s="6" t="s">
        <v>279</v>
      </c>
    </row>
    <row r="67">
      <c r="A67" s="8">
        <f>'1.4'!A:A</f>
        <v>46267.85091</v>
      </c>
      <c r="B67" s="1" t="str">
        <f>'1.4'!B:B</f>
        <v>bnco1026@signalschool.ac.th</v>
      </c>
      <c r="C67" s="1" t="str">
        <f>'1.4'!C:C</f>
        <v>อาจารย์ผู้สอน</v>
      </c>
      <c r="D67" s="9">
        <v>1.0</v>
      </c>
      <c r="E67" s="10">
        <f>IFERROR(vlookup('1.4'!D:D,lookup!$A$2:$B$4,2,false),0)</f>
        <v>5</v>
      </c>
      <c r="F67" s="10">
        <f>IFERROR(vlookup('1.4'!E:E,lookup!$A$6:$B$8,2,false),0)</f>
        <v>5</v>
      </c>
      <c r="G67" s="10">
        <f>IFERROR(vlookup('1.4'!F:F,lookup!$A$10:$B$12,2,false),0)</f>
        <v>5</v>
      </c>
      <c r="H67" s="10">
        <f>IFERROR(vlookup('1.4'!G:G,lookup!$A$14:$B$16,2,false),0)</f>
        <v>5</v>
      </c>
      <c r="I67" s="10">
        <f>IFERROR(vlookup('1.4'!H:H,lookup!$A$18:$B$20,2,false),0)</f>
        <v>5</v>
      </c>
      <c r="J67" s="10">
        <f>IFERROR(vlookup('1.4'!I:I,lookup!$A$22:$B$24,2,false),0)</f>
        <v>3</v>
      </c>
      <c r="K67" s="10">
        <f>IFERROR(vlookup('1.4'!J:J,lookup!$A$26:$B$28,2,false),0)</f>
        <v>5</v>
      </c>
      <c r="M67" s="10">
        <v>66.0</v>
      </c>
      <c r="N67" s="11" t="str">
        <f t="shared" si="1"/>
        <v>bnco1066@signalschool.ac.th</v>
      </c>
      <c r="O67" s="12">
        <f t="shared" si="2"/>
        <v>1</v>
      </c>
      <c r="R67" s="6" t="s">
        <v>280</v>
      </c>
    </row>
    <row r="68">
      <c r="A68" s="8">
        <f>'1.4'!A:A</f>
        <v>46268.34426</v>
      </c>
      <c r="B68" s="1" t="str">
        <f>'1.4'!B:B</f>
        <v>bnco1040@signalschool.ac.th</v>
      </c>
      <c r="C68" s="1" t="str">
        <f>'1.4'!C:C</f>
        <v>ร.ท.ศุภรัชฎ หมอกสุข</v>
      </c>
      <c r="D68" s="9">
        <v>1.0</v>
      </c>
      <c r="E68" s="10">
        <f>IFERROR(vlookup('1.4'!D:D,lookup!$A$2:$B$4,2,false),0)</f>
        <v>5</v>
      </c>
      <c r="F68" s="10">
        <f>IFERROR(vlookup('1.4'!E:E,lookup!$A$6:$B$8,2,false),0)</f>
        <v>5</v>
      </c>
      <c r="G68" s="10">
        <f>IFERROR(vlookup('1.4'!F:F,lookup!$A$10:$B$12,2,false),0)</f>
        <v>5</v>
      </c>
      <c r="H68" s="10">
        <f>IFERROR(vlookup('1.4'!G:G,lookup!$A$14:$B$16,2,false),0)</f>
        <v>5</v>
      </c>
      <c r="I68" s="10">
        <f>IFERROR(vlookup('1.4'!H:H,lookup!$A$18:$B$20,2,false),0)</f>
        <v>5</v>
      </c>
      <c r="J68" s="10">
        <f>IFERROR(vlookup('1.4'!I:I,lookup!$A$22:$B$24,2,false),0)</f>
        <v>5</v>
      </c>
      <c r="K68" s="10">
        <f>IFERROR(vlookup('1.4'!J:J,lookup!$A$26:$B$28,2,false),0)</f>
        <v>5</v>
      </c>
      <c r="M68" s="10">
        <v>67.0</v>
      </c>
      <c r="N68" s="11" t="str">
        <f t="shared" si="1"/>
        <v>bnco1067@signalschool.ac.th</v>
      </c>
      <c r="O68" s="12">
        <f t="shared" si="2"/>
        <v>1</v>
      </c>
      <c r="R68" s="6" t="s">
        <v>281</v>
      </c>
    </row>
    <row r="69">
      <c r="A69" s="8" t="str">
        <f>'1.4'!A:A</f>
        <v/>
      </c>
      <c r="B69" s="1" t="str">
        <f>'1.4'!B:B</f>
        <v/>
      </c>
      <c r="C69" s="1" t="str">
        <f>'1.4'!C:C</f>
        <v/>
      </c>
      <c r="D69" s="9">
        <v>1.0</v>
      </c>
      <c r="E69" s="10">
        <f>IFERROR(vlookup('1.4'!D:D,lookup!$A$2:$B$4,2,false),0)</f>
        <v>0</v>
      </c>
      <c r="F69" s="10">
        <f>IFERROR(vlookup('1.4'!E:E,lookup!$A$6:$B$8,2,false),0)</f>
        <v>0</v>
      </c>
      <c r="G69" s="10">
        <f>IFERROR(vlookup('1.4'!F:F,lookup!$A$10:$B$12,2,false),0)</f>
        <v>0</v>
      </c>
      <c r="H69" s="10">
        <f>IFERROR(vlookup('1.4'!G:G,lookup!$A$14:$B$16,2,false),0)</f>
        <v>0</v>
      </c>
      <c r="I69" s="10">
        <f>IFERROR(vlookup('1.4'!H:H,lookup!$A$18:$B$20,2,false),0)</f>
        <v>0</v>
      </c>
      <c r="J69" s="10">
        <f>IFERROR(vlookup('1.4'!I:I,lookup!$A$22:$B$24,2,false),0)</f>
        <v>0</v>
      </c>
      <c r="K69" s="10">
        <f>IFERROR(vlookup('1.4'!J:J,lookup!$A$26:$B$28,2,false),0)</f>
        <v>0</v>
      </c>
      <c r="M69" s="10">
        <v>68.0</v>
      </c>
      <c r="N69" s="11" t="str">
        <f t="shared" si="1"/>
        <v>bnco1068@signalschool.ac.th</v>
      </c>
      <c r="O69" s="12">
        <f t="shared" si="2"/>
        <v>1</v>
      </c>
      <c r="R69" s="6" t="s">
        <v>282</v>
      </c>
    </row>
    <row r="70">
      <c r="A70" s="8" t="str">
        <f>'1.4'!A:A</f>
        <v/>
      </c>
      <c r="B70" s="1" t="str">
        <f>'1.4'!B:B</f>
        <v/>
      </c>
      <c r="C70" s="1" t="str">
        <f>'1.4'!C:C</f>
        <v/>
      </c>
      <c r="D70" s="9">
        <v>1.0</v>
      </c>
      <c r="E70" s="10">
        <f>IFERROR(vlookup('1.4'!D:D,lookup!$A$2:$B$4,2,false),0)</f>
        <v>0</v>
      </c>
      <c r="F70" s="10">
        <f>IFERROR(vlookup('1.4'!E:E,lookup!$A$6:$B$8,2,false),0)</f>
        <v>0</v>
      </c>
      <c r="G70" s="10">
        <f>IFERROR(vlookup('1.4'!F:F,lookup!$A$10:$B$12,2,false),0)</f>
        <v>0</v>
      </c>
      <c r="H70" s="10">
        <f>IFERROR(vlookup('1.4'!G:G,lookup!$A$14:$B$16,2,false),0)</f>
        <v>0</v>
      </c>
      <c r="I70" s="10">
        <f>IFERROR(vlookup('1.4'!H:H,lookup!$A$18:$B$20,2,false),0)</f>
        <v>0</v>
      </c>
      <c r="J70" s="10">
        <f>IFERROR(vlookup('1.4'!I:I,lookup!$A$22:$B$24,2,false),0)</f>
        <v>0</v>
      </c>
      <c r="K70" s="10">
        <f>IFERROR(vlookup('1.4'!J:J,lookup!$A$26:$B$28,2,false),0)</f>
        <v>0</v>
      </c>
      <c r="M70" s="10">
        <v>69.0</v>
      </c>
      <c r="N70" s="11" t="str">
        <f t="shared" si="1"/>
        <v>bnco1069@signalschool.ac.th</v>
      </c>
      <c r="O70" s="12">
        <f t="shared" si="2"/>
        <v>1</v>
      </c>
      <c r="R70" s="6" t="s">
        <v>283</v>
      </c>
    </row>
    <row r="71">
      <c r="A71" s="8" t="str">
        <f>'1.4'!A:A</f>
        <v/>
      </c>
      <c r="B71" s="1" t="str">
        <f>'1.4'!B:B</f>
        <v/>
      </c>
      <c r="C71" s="1" t="str">
        <f>'1.4'!C:C</f>
        <v/>
      </c>
      <c r="D71" s="9">
        <v>1.0</v>
      </c>
      <c r="E71" s="10">
        <f>IFERROR(vlookup('1.4'!D:D,lookup!$A$2:$B$4,2,false),0)</f>
        <v>0</v>
      </c>
      <c r="F71" s="10">
        <f>IFERROR(vlookup('1.4'!E:E,lookup!$A$6:$B$8,2,false),0)</f>
        <v>0</v>
      </c>
      <c r="G71" s="10">
        <f>IFERROR(vlookup('1.4'!F:F,lookup!$A$10:$B$12,2,false),0)</f>
        <v>0</v>
      </c>
      <c r="H71" s="10">
        <f>IFERROR(vlookup('1.4'!G:G,lookup!$A$14:$B$16,2,false),0)</f>
        <v>0</v>
      </c>
      <c r="I71" s="10">
        <f>IFERROR(vlookup('1.4'!H:H,lookup!$A$18:$B$20,2,false),0)</f>
        <v>0</v>
      </c>
      <c r="J71" s="10">
        <f>IFERROR(vlookup('1.4'!I:I,lookup!$A$22:$B$24,2,false),0)</f>
        <v>0</v>
      </c>
      <c r="K71" s="10">
        <f>IFERROR(vlookup('1.4'!J:J,lookup!$A$26:$B$28,2,false),0)</f>
        <v>0</v>
      </c>
      <c r="M71" s="10">
        <v>70.0</v>
      </c>
      <c r="N71" s="11" t="str">
        <f t="shared" si="1"/>
        <v>bnco1070@signalschool.ac.th</v>
      </c>
      <c r="O71" s="12">
        <f t="shared" si="2"/>
        <v>1</v>
      </c>
      <c r="R71" s="6" t="s">
        <v>284</v>
      </c>
    </row>
    <row r="72">
      <c r="A72" s="8" t="str">
        <f>'1.4'!A:A</f>
        <v/>
      </c>
      <c r="B72" s="1" t="str">
        <f>'1.4'!B:B</f>
        <v/>
      </c>
      <c r="C72" s="1" t="str">
        <f>'1.4'!C:C</f>
        <v/>
      </c>
      <c r="D72" s="9">
        <v>1.0</v>
      </c>
      <c r="E72" s="10">
        <f>IFERROR(vlookup('1.4'!D:D,lookup!$A$2:$B$4,2,false),0)</f>
        <v>0</v>
      </c>
      <c r="F72" s="10">
        <f>IFERROR(vlookup('1.4'!E:E,lookup!$A$6:$B$8,2,false),0)</f>
        <v>0</v>
      </c>
      <c r="G72" s="10">
        <f>IFERROR(vlookup('1.4'!F:F,lookup!$A$10:$B$12,2,false),0)</f>
        <v>0</v>
      </c>
      <c r="H72" s="10">
        <f>IFERROR(vlookup('1.4'!G:G,lookup!$A$14:$B$16,2,false),0)</f>
        <v>0</v>
      </c>
      <c r="I72" s="10">
        <f>IFERROR(vlookup('1.4'!H:H,lookup!$A$18:$B$20,2,false),0)</f>
        <v>0</v>
      </c>
      <c r="J72" s="10">
        <f>IFERROR(vlookup('1.4'!I:I,lookup!$A$22:$B$24,2,false),0)</f>
        <v>0</v>
      </c>
      <c r="K72" s="10">
        <f>IFERROR(vlookup('1.4'!J:J,lookup!$A$26:$B$28,2,false),0)</f>
        <v>0</v>
      </c>
      <c r="M72" s="10">
        <v>71.0</v>
      </c>
      <c r="N72" s="11" t="str">
        <f t="shared" si="1"/>
        <v>bnco1071@signalschool.ac.th</v>
      </c>
      <c r="O72" s="12">
        <f t="shared" si="2"/>
        <v>1</v>
      </c>
      <c r="R72" s="6" t="s">
        <v>285</v>
      </c>
    </row>
    <row r="73">
      <c r="A73" s="8" t="str">
        <f>'1.4'!A:A</f>
        <v/>
      </c>
      <c r="B73" s="1" t="str">
        <f>'1.4'!B:B</f>
        <v/>
      </c>
      <c r="C73" s="1" t="str">
        <f>'1.4'!C:C</f>
        <v/>
      </c>
      <c r="D73" s="9">
        <v>1.0</v>
      </c>
      <c r="E73" s="10">
        <f>IFERROR(vlookup('1.4'!D:D,lookup!$A$2:$B$4,2,false),0)</f>
        <v>0</v>
      </c>
      <c r="F73" s="10">
        <f>IFERROR(vlookup('1.4'!E:E,lookup!$A$6:$B$8,2,false),0)</f>
        <v>0</v>
      </c>
      <c r="G73" s="10">
        <f>IFERROR(vlookup('1.4'!F:F,lookup!$A$10:$B$12,2,false),0)</f>
        <v>0</v>
      </c>
      <c r="H73" s="10">
        <f>IFERROR(vlookup('1.4'!G:G,lookup!$A$14:$B$16,2,false),0)</f>
        <v>0</v>
      </c>
      <c r="I73" s="10">
        <f>IFERROR(vlookup('1.4'!H:H,lookup!$A$18:$B$20,2,false),0)</f>
        <v>0</v>
      </c>
      <c r="J73" s="10">
        <f>IFERROR(vlookup('1.4'!I:I,lookup!$A$22:$B$24,2,false),0)</f>
        <v>0</v>
      </c>
      <c r="K73" s="10">
        <f>IFERROR(vlookup('1.4'!J:J,lookup!$A$26:$B$28,2,false),0)</f>
        <v>0</v>
      </c>
      <c r="M73" s="10">
        <v>72.0</v>
      </c>
      <c r="N73" s="11" t="str">
        <f t="shared" si="1"/>
        <v>bnco1072@signalschool.ac.th</v>
      </c>
      <c r="O73" s="12">
        <f t="shared" si="2"/>
        <v>1</v>
      </c>
      <c r="R73" s="6" t="s">
        <v>286</v>
      </c>
    </row>
    <row r="74">
      <c r="A74" s="8" t="str">
        <f>'1.4'!A:A</f>
        <v/>
      </c>
      <c r="B74" s="1" t="str">
        <f>'1.4'!B:B</f>
        <v/>
      </c>
      <c r="C74" s="1" t="str">
        <f>'1.4'!C:C</f>
        <v/>
      </c>
      <c r="D74" s="9">
        <v>1.0</v>
      </c>
      <c r="E74" s="10">
        <f>IFERROR(vlookup('1.4'!D:D,lookup!$A$2:$B$4,2,false),0)</f>
        <v>0</v>
      </c>
      <c r="F74" s="10">
        <f>IFERROR(vlookup('1.4'!E:E,lookup!$A$6:$B$8,2,false),0)</f>
        <v>0</v>
      </c>
      <c r="G74" s="10">
        <f>IFERROR(vlookup('1.4'!F:F,lookup!$A$10:$B$12,2,false),0)</f>
        <v>0</v>
      </c>
      <c r="H74" s="10">
        <f>IFERROR(vlookup('1.4'!G:G,lookup!$A$14:$B$16,2,false),0)</f>
        <v>0</v>
      </c>
      <c r="I74" s="10">
        <f>IFERROR(vlookup('1.4'!H:H,lookup!$A$18:$B$20,2,false),0)</f>
        <v>0</v>
      </c>
      <c r="J74" s="10">
        <f>IFERROR(vlookup('1.4'!I:I,lookup!$A$22:$B$24,2,false),0)</f>
        <v>0</v>
      </c>
      <c r="K74" s="10">
        <f>IFERROR(vlookup('1.4'!J:J,lookup!$A$26:$B$28,2,false),0)</f>
        <v>0</v>
      </c>
      <c r="M74" s="10">
        <v>73.0</v>
      </c>
      <c r="N74" s="11" t="str">
        <f t="shared" si="1"/>
        <v>bnco1073@signalschool.ac.th</v>
      </c>
      <c r="O74" s="12">
        <f t="shared" si="2"/>
        <v>1</v>
      </c>
      <c r="R74" s="6" t="s">
        <v>287</v>
      </c>
    </row>
    <row r="75">
      <c r="A75" s="8" t="str">
        <f>'1.4'!A:A</f>
        <v/>
      </c>
      <c r="B75" s="1" t="str">
        <f>'1.4'!B:B</f>
        <v/>
      </c>
      <c r="C75" s="1" t="str">
        <f>'1.4'!C:C</f>
        <v/>
      </c>
      <c r="D75" s="9">
        <v>1.0</v>
      </c>
      <c r="E75" s="10">
        <f>IFERROR(vlookup('1.4'!D:D,lookup!$A$2:$B$4,2,false),0)</f>
        <v>0</v>
      </c>
      <c r="F75" s="10">
        <f>IFERROR(vlookup('1.4'!E:E,lookup!$A$6:$B$8,2,false),0)</f>
        <v>0</v>
      </c>
      <c r="G75" s="10">
        <f>IFERROR(vlookup('1.4'!F:F,lookup!$A$10:$B$12,2,false),0)</f>
        <v>0</v>
      </c>
      <c r="H75" s="10">
        <f>IFERROR(vlookup('1.4'!G:G,lookup!$A$14:$B$16,2,false),0)</f>
        <v>0</v>
      </c>
      <c r="I75" s="10">
        <f>IFERROR(vlookup('1.4'!H:H,lookup!$A$18:$B$20,2,false),0)</f>
        <v>0</v>
      </c>
      <c r="J75" s="10">
        <f>IFERROR(vlookup('1.4'!I:I,lookup!$A$22:$B$24,2,false),0)</f>
        <v>0</v>
      </c>
      <c r="K75" s="10">
        <f>IFERROR(vlookup('1.4'!J:J,lookup!$A$26:$B$28,2,false),0)</f>
        <v>0</v>
      </c>
      <c r="M75" s="10">
        <v>74.0</v>
      </c>
      <c r="N75" s="11" t="str">
        <f t="shared" si="1"/>
        <v>bnco1074@signalschool.ac.th</v>
      </c>
      <c r="O75" s="12">
        <f t="shared" si="2"/>
        <v>0</v>
      </c>
      <c r="R75" s="6" t="s">
        <v>288</v>
      </c>
    </row>
    <row r="76">
      <c r="A76" s="8" t="str">
        <f>'1.4'!A:A</f>
        <v/>
      </c>
      <c r="B76" s="1" t="str">
        <f>'1.4'!B:B</f>
        <v/>
      </c>
      <c r="C76" s="1" t="str">
        <f>'1.4'!C:C</f>
        <v/>
      </c>
      <c r="D76" s="9">
        <v>1.0</v>
      </c>
      <c r="E76" s="10">
        <f>IFERROR(vlookup('1.4'!D:D,lookup!$A$2:$B$4,2,false),0)</f>
        <v>0</v>
      </c>
      <c r="F76" s="10">
        <f>IFERROR(vlookup('1.4'!E:E,lookup!$A$6:$B$8,2,false),0)</f>
        <v>0</v>
      </c>
      <c r="G76" s="10">
        <f>IFERROR(vlookup('1.4'!F:F,lookup!$A$10:$B$12,2,false),0)</f>
        <v>0</v>
      </c>
      <c r="H76" s="10">
        <f>IFERROR(vlookup('1.4'!G:G,lookup!$A$14:$B$16,2,false),0)</f>
        <v>0</v>
      </c>
      <c r="I76" s="10">
        <f>IFERROR(vlookup('1.4'!H:H,lookup!$A$18:$B$20,2,false),0)</f>
        <v>0</v>
      </c>
      <c r="J76" s="10">
        <f>IFERROR(vlookup('1.4'!I:I,lookup!$A$22:$B$24,2,false),0)</f>
        <v>0</v>
      </c>
      <c r="K76" s="10">
        <f>IFERROR(vlookup('1.4'!J:J,lookup!$A$26:$B$28,2,false),0)</f>
        <v>0</v>
      </c>
      <c r="M76" s="10">
        <v>75.0</v>
      </c>
      <c r="N76" s="11" t="str">
        <f t="shared" si="1"/>
        <v>bnco1075@signalschool.ac.th</v>
      </c>
      <c r="O76" s="12">
        <f t="shared" si="2"/>
        <v>0</v>
      </c>
      <c r="R76" s="6" t="s">
        <v>289</v>
      </c>
    </row>
    <row r="77">
      <c r="A77" s="8" t="str">
        <f>'1.4'!A:A</f>
        <v/>
      </c>
      <c r="B77" s="1" t="str">
        <f>'1.4'!B:B</f>
        <v/>
      </c>
      <c r="C77" s="1" t="str">
        <f>'1.4'!C:C</f>
        <v/>
      </c>
      <c r="D77" s="9">
        <v>1.0</v>
      </c>
      <c r="E77" s="10">
        <f>IFERROR(vlookup('1.4'!D:D,lookup!$A$2:$B$4,2,false),0)</f>
        <v>0</v>
      </c>
      <c r="F77" s="10">
        <f>IFERROR(vlookup('1.4'!E:E,lookup!$A$6:$B$8,2,false),0)</f>
        <v>0</v>
      </c>
      <c r="G77" s="10">
        <f>IFERROR(vlookup('1.4'!F:F,lookup!$A$10:$B$12,2,false),0)</f>
        <v>0</v>
      </c>
      <c r="H77" s="10">
        <f>IFERROR(vlookup('1.4'!G:G,lookup!$A$14:$B$16,2,false),0)</f>
        <v>0</v>
      </c>
      <c r="I77" s="10">
        <f>IFERROR(vlookup('1.4'!H:H,lookup!$A$18:$B$20,2,false),0)</f>
        <v>0</v>
      </c>
      <c r="J77" s="10">
        <f>IFERROR(vlookup('1.4'!I:I,lookup!$A$22:$B$24,2,false),0)</f>
        <v>0</v>
      </c>
      <c r="K77" s="10">
        <f>IFERROR(vlookup('1.4'!J:J,lookup!$A$26:$B$28,2,false),0)</f>
        <v>0</v>
      </c>
      <c r="M77" s="10">
        <v>76.0</v>
      </c>
      <c r="N77" s="11" t="str">
        <f t="shared" si="1"/>
        <v>bnco1076@signalschool.ac.th</v>
      </c>
      <c r="O77" s="12">
        <f t="shared" si="2"/>
        <v>1</v>
      </c>
      <c r="R77" s="6" t="s">
        <v>290</v>
      </c>
    </row>
    <row r="78">
      <c r="A78" s="8" t="str">
        <f>'1.4'!A:A</f>
        <v/>
      </c>
      <c r="B78" s="1" t="str">
        <f>'1.4'!B:B</f>
        <v/>
      </c>
      <c r="C78" s="1" t="str">
        <f>'1.4'!C:C</f>
        <v/>
      </c>
      <c r="D78" s="9">
        <v>1.0</v>
      </c>
      <c r="E78" s="10">
        <f>IFERROR(vlookup('1.4'!D:D,lookup!$A$2:$B$4,2,false),0)</f>
        <v>0</v>
      </c>
      <c r="F78" s="10">
        <f>IFERROR(vlookup('1.4'!E:E,lookup!$A$6:$B$8,2,false),0)</f>
        <v>0</v>
      </c>
      <c r="G78" s="10">
        <f>IFERROR(vlookup('1.4'!F:F,lookup!$A$10:$B$12,2,false),0)</f>
        <v>0</v>
      </c>
      <c r="H78" s="10">
        <f>IFERROR(vlookup('1.4'!G:G,lookup!$A$14:$B$16,2,false),0)</f>
        <v>0</v>
      </c>
      <c r="I78" s="10">
        <f>IFERROR(vlookup('1.4'!H:H,lookup!$A$18:$B$20,2,false),0)</f>
        <v>0</v>
      </c>
      <c r="J78" s="10">
        <f>IFERROR(vlookup('1.4'!I:I,lookup!$A$22:$B$24,2,false),0)</f>
        <v>0</v>
      </c>
      <c r="K78" s="10">
        <f>IFERROR(vlookup('1.4'!J:J,lookup!$A$26:$B$28,2,false),0)</f>
        <v>0</v>
      </c>
      <c r="M78" s="10">
        <v>77.0</v>
      </c>
      <c r="N78" s="11" t="str">
        <f t="shared" si="1"/>
        <v>bnco1077@signalschool.ac.th</v>
      </c>
      <c r="O78" s="12">
        <f t="shared" si="2"/>
        <v>0</v>
      </c>
      <c r="R78" s="6" t="s">
        <v>291</v>
      </c>
    </row>
    <row r="79">
      <c r="A79" s="8" t="str">
        <f>'1.4'!A:A</f>
        <v/>
      </c>
      <c r="B79" s="1" t="str">
        <f>'1.4'!B:B</f>
        <v/>
      </c>
      <c r="C79" s="1" t="str">
        <f>'1.4'!C:C</f>
        <v/>
      </c>
      <c r="D79" s="9">
        <v>1.0</v>
      </c>
      <c r="E79" s="10">
        <f>IFERROR(vlookup('1.4'!D:D,lookup!$A$2:$B$4,2,false),0)</f>
        <v>0</v>
      </c>
      <c r="F79" s="10">
        <f>IFERROR(vlookup('1.4'!E:E,lookup!$A$6:$B$8,2,false),0)</f>
        <v>0</v>
      </c>
      <c r="G79" s="10">
        <f>IFERROR(vlookup('1.4'!F:F,lookup!$A$10:$B$12,2,false),0)</f>
        <v>0</v>
      </c>
      <c r="H79" s="10">
        <f>IFERROR(vlookup('1.4'!G:G,lookup!$A$14:$B$16,2,false),0)</f>
        <v>0</v>
      </c>
      <c r="I79" s="10">
        <f>IFERROR(vlookup('1.4'!H:H,lookup!$A$18:$B$20,2,false),0)</f>
        <v>0</v>
      </c>
      <c r="J79" s="10">
        <f>IFERROR(vlookup('1.4'!I:I,lookup!$A$22:$B$24,2,false),0)</f>
        <v>0</v>
      </c>
      <c r="K79" s="10">
        <f>IFERROR(vlookup('1.4'!J:J,lookup!$A$26:$B$28,2,false),0)</f>
        <v>0</v>
      </c>
      <c r="M79" s="10">
        <v>78.0</v>
      </c>
      <c r="N79" s="11" t="str">
        <f t="shared" si="1"/>
        <v>bnco1078@signalschool.ac.th</v>
      </c>
      <c r="O79" s="12">
        <f t="shared" si="2"/>
        <v>1</v>
      </c>
      <c r="R79" s="6" t="s">
        <v>292</v>
      </c>
    </row>
    <row r="80">
      <c r="A80" s="8" t="str">
        <f>'1.4'!A:A</f>
        <v/>
      </c>
      <c r="B80" s="1" t="str">
        <f>'1.4'!B:B</f>
        <v/>
      </c>
      <c r="C80" s="1" t="str">
        <f>'1.4'!C:C</f>
        <v/>
      </c>
      <c r="D80" s="9">
        <v>1.0</v>
      </c>
      <c r="E80" s="10">
        <f>IFERROR(vlookup('1.4'!D:D,lookup!$A$2:$B$4,2,false),0)</f>
        <v>0</v>
      </c>
      <c r="F80" s="10">
        <f>IFERROR(vlookup('1.4'!E:E,lookup!$A$6:$B$8,2,false),0)</f>
        <v>0</v>
      </c>
      <c r="G80" s="10">
        <f>IFERROR(vlookup('1.4'!F:F,lookup!$A$10:$B$12,2,false),0)</f>
        <v>0</v>
      </c>
      <c r="H80" s="10">
        <f>IFERROR(vlookup('1.4'!G:G,lookup!$A$14:$B$16,2,false),0)</f>
        <v>0</v>
      </c>
      <c r="I80" s="10">
        <f>IFERROR(vlookup('1.4'!H:H,lookup!$A$18:$B$20,2,false),0)</f>
        <v>0</v>
      </c>
      <c r="J80" s="10">
        <f>IFERROR(vlookup('1.4'!I:I,lookup!$A$22:$B$24,2,false),0)</f>
        <v>0</v>
      </c>
      <c r="K80" s="10">
        <f>IFERROR(vlookup('1.4'!J:J,lookup!$A$26:$B$28,2,false),0)</f>
        <v>0</v>
      </c>
      <c r="M80" s="10">
        <v>79.0</v>
      </c>
      <c r="N80" s="11" t="str">
        <f t="shared" si="1"/>
        <v>bnco1079@signalschool.ac.th</v>
      </c>
      <c r="O80" s="12">
        <f t="shared" si="2"/>
        <v>1</v>
      </c>
      <c r="R80" s="6" t="s">
        <v>293</v>
      </c>
    </row>
    <row r="81">
      <c r="A81" s="8" t="str">
        <f>'1.4'!A:A</f>
        <v/>
      </c>
      <c r="B81" s="1" t="str">
        <f>'1.4'!B:B</f>
        <v/>
      </c>
      <c r="C81" s="1" t="str">
        <f>'1.4'!C:C</f>
        <v/>
      </c>
      <c r="D81" s="9">
        <v>1.0</v>
      </c>
      <c r="E81" s="10">
        <f>IFERROR(vlookup('1.4'!D:D,lookup!$A$2:$B$4,2,false),0)</f>
        <v>0</v>
      </c>
      <c r="F81" s="10">
        <f>IFERROR(vlookup('1.4'!E:E,lookup!$A$6:$B$8,2,false),0)</f>
        <v>0</v>
      </c>
      <c r="G81" s="10">
        <f>IFERROR(vlookup('1.4'!F:F,lookup!$A$10:$B$12,2,false),0)</f>
        <v>0</v>
      </c>
      <c r="H81" s="10">
        <f>IFERROR(vlookup('1.4'!G:G,lookup!$A$14:$B$16,2,false),0)</f>
        <v>0</v>
      </c>
      <c r="I81" s="10">
        <f>IFERROR(vlookup('1.4'!H:H,lookup!$A$18:$B$20,2,false),0)</f>
        <v>0</v>
      </c>
      <c r="J81" s="10">
        <f>IFERROR(vlookup('1.4'!I:I,lookup!$A$22:$B$24,2,false),0)</f>
        <v>0</v>
      </c>
      <c r="K81" s="10">
        <f>IFERROR(vlookup('1.4'!J:J,lookup!$A$26:$B$28,2,false),0)</f>
        <v>0</v>
      </c>
      <c r="M81" s="10">
        <v>80.0</v>
      </c>
      <c r="N81" s="11" t="str">
        <f t="shared" si="1"/>
        <v>bnco1080@signalschool.ac.th</v>
      </c>
      <c r="O81" s="12">
        <f t="shared" si="2"/>
        <v>1</v>
      </c>
      <c r="R81" s="6" t="s">
        <v>294</v>
      </c>
    </row>
    <row r="82">
      <c r="A82" s="8" t="str">
        <f>'1.4'!A:A</f>
        <v/>
      </c>
      <c r="B82" s="1" t="str">
        <f>'1.4'!B:B</f>
        <v/>
      </c>
      <c r="C82" s="1" t="str">
        <f>'1.4'!C:C</f>
        <v/>
      </c>
      <c r="D82" s="9"/>
      <c r="E82" s="15"/>
      <c r="F82" s="15"/>
      <c r="G82" s="15"/>
      <c r="H82" s="15"/>
      <c r="I82" s="15"/>
      <c r="J82" s="15"/>
      <c r="K82" s="15"/>
    </row>
    <row r="83">
      <c r="A83" s="8" t="str">
        <f>'1.4'!A:A</f>
        <v/>
      </c>
      <c r="B83" s="1" t="str">
        <f>'1.4'!B:B</f>
        <v/>
      </c>
      <c r="C83" s="1" t="str">
        <f>'1.4'!C:C</f>
        <v/>
      </c>
      <c r="D83" s="9"/>
      <c r="E83" s="15"/>
      <c r="F83" s="15"/>
      <c r="G83" s="15"/>
      <c r="H83" s="15"/>
      <c r="I83" s="15"/>
      <c r="J83" s="15"/>
      <c r="K83" s="15"/>
    </row>
    <row r="84">
      <c r="A84" s="8" t="str">
        <f>'1.4'!A:A</f>
        <v/>
      </c>
      <c r="B84" s="1" t="str">
        <f>'1.4'!B:B</f>
        <v/>
      </c>
      <c r="C84" s="1" t="str">
        <f>'1.4'!C:C</f>
        <v/>
      </c>
      <c r="D84" s="9"/>
      <c r="E84" s="15"/>
      <c r="F84" s="15"/>
      <c r="G84" s="15"/>
      <c r="H84" s="15"/>
      <c r="I84" s="15"/>
      <c r="J84" s="15"/>
      <c r="K84" s="15"/>
    </row>
    <row r="85">
      <c r="A85" s="8" t="str">
        <f>'1.4'!A:A</f>
        <v/>
      </c>
      <c r="B85" s="1" t="str">
        <f>'1.4'!B:B</f>
        <v/>
      </c>
      <c r="C85" s="1" t="str">
        <f>'1.4'!C:C</f>
        <v/>
      </c>
      <c r="D85" s="9"/>
      <c r="E85" s="15"/>
      <c r="F85" s="15"/>
      <c r="G85" s="15"/>
      <c r="H85" s="15"/>
      <c r="I85" s="15"/>
      <c r="J85" s="15"/>
      <c r="K85" s="15"/>
    </row>
    <row r="86">
      <c r="A86" s="8" t="str">
        <f>'1.4'!A:A</f>
        <v/>
      </c>
      <c r="B86" s="1" t="str">
        <f>'1.4'!B:B</f>
        <v/>
      </c>
      <c r="C86" s="1" t="str">
        <f>'1.4'!C:C</f>
        <v/>
      </c>
      <c r="D86" s="9"/>
      <c r="E86" s="15"/>
      <c r="F86" s="15"/>
      <c r="G86" s="15"/>
      <c r="H86" s="15"/>
      <c r="I86" s="15"/>
      <c r="J86" s="15"/>
      <c r="K86" s="15"/>
    </row>
    <row r="87">
      <c r="A87" s="8" t="str">
        <f>'1.4'!A:A</f>
        <v/>
      </c>
      <c r="B87" s="1" t="str">
        <f>'1.4'!B:B</f>
        <v/>
      </c>
      <c r="C87" s="1" t="str">
        <f>'1.4'!C:C</f>
        <v/>
      </c>
      <c r="D87" s="9"/>
      <c r="E87" s="15"/>
      <c r="F87" s="15"/>
      <c r="G87" s="15"/>
      <c r="H87" s="15"/>
      <c r="I87" s="15"/>
      <c r="J87" s="15"/>
      <c r="K87" s="15"/>
    </row>
    <row r="88">
      <c r="A88" s="8" t="str">
        <f>'1.4'!A:A</f>
        <v/>
      </c>
      <c r="B88" s="1" t="str">
        <f>'1.4'!B:B</f>
        <v/>
      </c>
      <c r="C88" s="1" t="str">
        <f>'1.4'!C:C</f>
        <v/>
      </c>
      <c r="D88" s="9"/>
      <c r="E88" s="15"/>
      <c r="F88" s="15"/>
      <c r="G88" s="15"/>
      <c r="H88" s="15"/>
      <c r="I88" s="15"/>
      <c r="J88" s="15"/>
      <c r="K88" s="15"/>
    </row>
    <row r="89">
      <c r="A89" s="8" t="str">
        <f>'1.4'!A:A</f>
        <v/>
      </c>
      <c r="B89" s="1" t="str">
        <f>'1.4'!B:B</f>
        <v/>
      </c>
      <c r="C89" s="1" t="str">
        <f>'1.4'!C:C</f>
        <v/>
      </c>
      <c r="D89" s="9"/>
      <c r="E89" s="15"/>
      <c r="F89" s="15"/>
      <c r="G89" s="15"/>
      <c r="H89" s="15"/>
      <c r="I89" s="15"/>
      <c r="J89" s="15"/>
      <c r="K89" s="15"/>
    </row>
    <row r="90">
      <c r="A90" s="8" t="str">
        <f>'1.4'!A:A</f>
        <v/>
      </c>
      <c r="B90" s="1" t="str">
        <f>'1.4'!B:B</f>
        <v/>
      </c>
      <c r="C90" s="1" t="str">
        <f>'1.4'!C:C</f>
        <v/>
      </c>
      <c r="D90" s="9"/>
      <c r="E90" s="15"/>
      <c r="F90" s="15"/>
      <c r="G90" s="15"/>
      <c r="H90" s="15"/>
      <c r="I90" s="15"/>
      <c r="J90" s="15"/>
      <c r="K90" s="15"/>
    </row>
    <row r="91">
      <c r="A91" s="8" t="str">
        <f>'1.4'!A:A</f>
        <v/>
      </c>
      <c r="B91" s="1" t="str">
        <f>'1.4'!B:B</f>
        <v/>
      </c>
      <c r="C91" s="1" t="str">
        <f>'1.4'!C:C</f>
        <v/>
      </c>
      <c r="D91" s="9"/>
      <c r="E91" s="15"/>
      <c r="F91" s="15"/>
      <c r="G91" s="15"/>
      <c r="H91" s="15"/>
      <c r="I91" s="15"/>
      <c r="J91" s="15"/>
      <c r="K91" s="15"/>
    </row>
    <row r="92">
      <c r="A92" s="8" t="str">
        <f>'1.4'!A:A</f>
        <v/>
      </c>
      <c r="B92" s="1" t="str">
        <f>'1.4'!B:B</f>
        <v/>
      </c>
      <c r="C92" s="1" t="str">
        <f>'1.4'!C:C</f>
        <v/>
      </c>
      <c r="D92" s="9"/>
      <c r="E92" s="15"/>
      <c r="F92" s="15"/>
      <c r="G92" s="15"/>
      <c r="H92" s="15"/>
      <c r="I92" s="15"/>
      <c r="J92" s="15"/>
      <c r="K92" s="15"/>
    </row>
    <row r="93">
      <c r="A93" s="8" t="str">
        <f>'1.4'!A:A</f>
        <v/>
      </c>
      <c r="B93" s="1" t="str">
        <f>'1.4'!B:B</f>
        <v/>
      </c>
      <c r="C93" s="1" t="str">
        <f>'1.4'!C:C</f>
        <v/>
      </c>
      <c r="D93" s="9"/>
      <c r="E93" s="15"/>
      <c r="F93" s="15"/>
      <c r="G93" s="15"/>
      <c r="H93" s="15"/>
      <c r="I93" s="15"/>
      <c r="J93" s="15"/>
      <c r="K93" s="15"/>
    </row>
    <row r="94">
      <c r="A94" s="8" t="str">
        <f>'1.4'!A:A</f>
        <v/>
      </c>
      <c r="B94" s="1" t="str">
        <f>'1.4'!B:B</f>
        <v/>
      </c>
      <c r="C94" s="1" t="str">
        <f>'1.4'!C:C</f>
        <v/>
      </c>
      <c r="D94" s="9"/>
      <c r="E94" s="15"/>
      <c r="F94" s="15"/>
      <c r="G94" s="15"/>
      <c r="H94" s="15"/>
      <c r="I94" s="15"/>
      <c r="J94" s="15"/>
      <c r="K94" s="15"/>
    </row>
    <row r="95">
      <c r="A95" s="8" t="str">
        <f>'1.4'!A:A</f>
        <v/>
      </c>
      <c r="B95" s="1" t="str">
        <f>'1.4'!B:B</f>
        <v/>
      </c>
      <c r="C95" s="1" t="str">
        <f>'1.4'!C:C</f>
        <v/>
      </c>
      <c r="D95" s="9"/>
      <c r="E95" s="15"/>
      <c r="F95" s="15"/>
      <c r="G95" s="15"/>
      <c r="H95" s="15"/>
      <c r="I95" s="15"/>
      <c r="J95" s="15"/>
      <c r="K95" s="15"/>
    </row>
    <row r="96">
      <c r="A96" s="8" t="str">
        <f>'1.4'!A:A</f>
        <v/>
      </c>
      <c r="B96" s="1" t="str">
        <f>'1.4'!B:B</f>
        <v/>
      </c>
      <c r="C96" s="1" t="str">
        <f>'1.4'!C:C</f>
        <v/>
      </c>
      <c r="D96" s="9"/>
      <c r="E96" s="15"/>
      <c r="F96" s="15"/>
      <c r="G96" s="15"/>
      <c r="H96" s="15"/>
      <c r="I96" s="15"/>
      <c r="J96" s="15"/>
      <c r="K96" s="15"/>
    </row>
    <row r="97">
      <c r="A97" s="8" t="str">
        <f>'1.4'!A:A</f>
        <v/>
      </c>
      <c r="B97" s="1" t="str">
        <f>'1.4'!B:B</f>
        <v/>
      </c>
      <c r="C97" s="1" t="str">
        <f>'1.4'!C:C</f>
        <v/>
      </c>
      <c r="D97" s="9"/>
      <c r="E97" s="15"/>
      <c r="F97" s="15"/>
      <c r="G97" s="15"/>
      <c r="H97" s="15"/>
      <c r="I97" s="15"/>
      <c r="J97" s="15"/>
      <c r="K97" s="15"/>
    </row>
    <row r="98">
      <c r="A98" s="8" t="str">
        <f>'1.4'!A:A</f>
        <v/>
      </c>
      <c r="B98" s="1" t="str">
        <f>'1.4'!B:B</f>
        <v/>
      </c>
      <c r="C98" s="1" t="str">
        <f>'1.4'!C:C</f>
        <v/>
      </c>
      <c r="D98" s="9"/>
      <c r="E98" s="15"/>
      <c r="F98" s="15"/>
      <c r="G98" s="15"/>
      <c r="H98" s="15"/>
      <c r="I98" s="15"/>
      <c r="J98" s="15"/>
      <c r="K98" s="15"/>
    </row>
    <row r="99">
      <c r="A99" s="8" t="str">
        <f>'1.4'!A:A</f>
        <v/>
      </c>
      <c r="B99" s="1" t="str">
        <f>'1.4'!B:B</f>
        <v/>
      </c>
      <c r="C99" s="1" t="str">
        <f>'1.4'!C:C</f>
        <v/>
      </c>
      <c r="D99" s="9"/>
      <c r="E99" s="15"/>
      <c r="F99" s="15"/>
      <c r="G99" s="15"/>
      <c r="H99" s="15"/>
      <c r="I99" s="15"/>
      <c r="J99" s="15"/>
      <c r="K99" s="15"/>
    </row>
    <row r="100">
      <c r="A100" s="8" t="str">
        <f>'1.4'!A:A</f>
        <v/>
      </c>
      <c r="B100" s="1" t="str">
        <f>'1.4'!B:B</f>
        <v/>
      </c>
      <c r="C100" s="1" t="str">
        <f>'1.4'!C:C</f>
        <v/>
      </c>
      <c r="D100" s="9"/>
      <c r="E100" s="15"/>
      <c r="F100" s="15"/>
      <c r="G100" s="15"/>
      <c r="H100" s="15"/>
      <c r="I100" s="15"/>
      <c r="J100" s="15"/>
      <c r="K100" s="15"/>
    </row>
    <row r="101">
      <c r="A101" s="8" t="str">
        <f>'1.4'!A:A</f>
        <v/>
      </c>
      <c r="B101" s="1" t="str">
        <f>'1.4'!B:B</f>
        <v/>
      </c>
      <c r="C101" s="1" t="str">
        <f>'1.4'!C:C</f>
        <v/>
      </c>
      <c r="D101" s="9"/>
      <c r="E101" s="15"/>
      <c r="F101" s="15"/>
      <c r="G101" s="15"/>
      <c r="H101" s="15"/>
      <c r="I101" s="15"/>
      <c r="J101" s="15"/>
      <c r="K101" s="15"/>
      <c r="N101" s="1" t="s">
        <v>295</v>
      </c>
      <c r="O101" s="12">
        <f>SUM(O2:O81)</f>
        <v>66</v>
      </c>
    </row>
    <row r="102">
      <c r="C102" s="1"/>
      <c r="E102" s="14">
        <f t="shared" ref="E102:K102" si="3">AVERAGE(E2:E81)</f>
        <v>4.1625</v>
      </c>
      <c r="F102" s="14">
        <f t="shared" si="3"/>
        <v>4.1375</v>
      </c>
      <c r="G102" s="14">
        <f t="shared" si="3"/>
        <v>4.1375</v>
      </c>
      <c r="H102" s="14">
        <f t="shared" si="3"/>
        <v>4.1625</v>
      </c>
      <c r="I102" s="14">
        <f t="shared" si="3"/>
        <v>4.1375</v>
      </c>
      <c r="J102" s="14">
        <f t="shared" si="3"/>
        <v>4.1375</v>
      </c>
      <c r="K102" s="14">
        <f t="shared" si="3"/>
        <v>4.1625</v>
      </c>
      <c r="L102" s="16">
        <f>AVERAGE(E102:K102)</f>
        <v>4.148214286</v>
      </c>
      <c r="N102" s="1" t="s">
        <v>296</v>
      </c>
      <c r="O102" s="12">
        <f>(O101*100)/80</f>
        <v>82.5</v>
      </c>
    </row>
    <row r="103">
      <c r="A103" s="8"/>
      <c r="C103" s="1"/>
    </row>
    <row r="104">
      <c r="A104" s="8"/>
      <c r="C104" s="1"/>
    </row>
    <row r="105">
      <c r="A105" s="8"/>
      <c r="C105" s="1"/>
    </row>
    <row r="106">
      <c r="A106" s="8"/>
      <c r="C106" s="1"/>
    </row>
    <row r="107">
      <c r="A107" s="8"/>
      <c r="C107" s="1"/>
    </row>
    <row r="108">
      <c r="A108" s="8"/>
      <c r="C108" s="1"/>
    </row>
    <row r="109">
      <c r="A109" s="8"/>
      <c r="C109" s="1"/>
    </row>
    <row r="110">
      <c r="A110" s="8"/>
      <c r="C110" s="1"/>
    </row>
    <row r="111">
      <c r="A111" s="8"/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</sheetData>
  <mergeCells count="1">
    <mergeCell ref="M1:O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5">
        <v>46262.41630158565</v>
      </c>
      <c r="B2" s="6" t="s">
        <v>24</v>
      </c>
      <c r="C2" s="6" t="s">
        <v>297</v>
      </c>
      <c r="D2" s="6" t="s">
        <v>13</v>
      </c>
      <c r="E2" s="6" t="s">
        <v>14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</row>
    <row r="3">
      <c r="A3" s="5">
        <v>46262.42007947917</v>
      </c>
      <c r="B3" s="6" t="s">
        <v>25</v>
      </c>
      <c r="C3" s="6" t="s">
        <v>298</v>
      </c>
      <c r="D3" s="6" t="s">
        <v>13</v>
      </c>
      <c r="E3" s="6" t="s">
        <v>14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</row>
    <row r="4">
      <c r="A4" s="5">
        <v>46262.42526846065</v>
      </c>
      <c r="B4" s="6" t="s">
        <v>33</v>
      </c>
      <c r="C4" s="6" t="s">
        <v>299</v>
      </c>
      <c r="D4" s="6" t="s">
        <v>13</v>
      </c>
      <c r="E4" s="6" t="s">
        <v>14</v>
      </c>
      <c r="F4" s="6" t="s">
        <v>16</v>
      </c>
      <c r="G4" s="6" t="s">
        <v>17</v>
      </c>
      <c r="H4" s="6" t="s">
        <v>18</v>
      </c>
      <c r="I4" s="6" t="s">
        <v>55</v>
      </c>
      <c r="J4" s="6" t="s">
        <v>20</v>
      </c>
      <c r="K4" s="6" t="s">
        <v>36</v>
      </c>
    </row>
    <row r="5">
      <c r="A5" s="5">
        <v>46262.428053310185</v>
      </c>
      <c r="B5" s="6" t="s">
        <v>30</v>
      </c>
      <c r="C5" s="6" t="s">
        <v>297</v>
      </c>
      <c r="D5" s="6" t="s">
        <v>13</v>
      </c>
      <c r="E5" s="6" t="s">
        <v>14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  <c r="K5" s="6" t="s">
        <v>300</v>
      </c>
    </row>
    <row r="6">
      <c r="A6" s="5">
        <v>46262.4291422338</v>
      </c>
      <c r="B6" s="6" t="s">
        <v>28</v>
      </c>
      <c r="C6" s="6" t="s">
        <v>301</v>
      </c>
      <c r="D6" s="6" t="s">
        <v>13</v>
      </c>
      <c r="E6" s="6" t="s">
        <v>14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20</v>
      </c>
    </row>
    <row r="7">
      <c r="A7" s="5">
        <v>46262.441536342594</v>
      </c>
      <c r="B7" s="6" t="s">
        <v>37</v>
      </c>
      <c r="C7" s="6" t="s">
        <v>297</v>
      </c>
      <c r="D7" s="6" t="s">
        <v>13</v>
      </c>
      <c r="E7" s="6" t="s">
        <v>14</v>
      </c>
      <c r="F7" s="6" t="s">
        <v>16</v>
      </c>
      <c r="G7" s="6" t="s">
        <v>39</v>
      </c>
      <c r="H7" s="6" t="s">
        <v>87</v>
      </c>
      <c r="I7" s="6" t="s">
        <v>19</v>
      </c>
      <c r="J7" s="6" t="s">
        <v>20</v>
      </c>
    </row>
    <row r="8">
      <c r="A8" s="5">
        <v>46262.445625023145</v>
      </c>
      <c r="B8" s="6" t="s">
        <v>40</v>
      </c>
      <c r="C8" s="6" t="s">
        <v>297</v>
      </c>
      <c r="D8" s="6" t="s">
        <v>13</v>
      </c>
      <c r="E8" s="6" t="s">
        <v>14</v>
      </c>
      <c r="F8" s="6" t="s">
        <v>16</v>
      </c>
      <c r="G8" s="6" t="s">
        <v>17</v>
      </c>
      <c r="H8" s="6" t="s">
        <v>18</v>
      </c>
      <c r="I8" s="6" t="s">
        <v>19</v>
      </c>
      <c r="J8" s="6" t="s">
        <v>20</v>
      </c>
    </row>
    <row r="9">
      <c r="A9" s="5">
        <v>46262.44569521991</v>
      </c>
      <c r="B9" s="6" t="s">
        <v>42</v>
      </c>
      <c r="C9" s="6" t="s">
        <v>297</v>
      </c>
      <c r="D9" s="6" t="s">
        <v>13</v>
      </c>
      <c r="E9" s="6" t="s">
        <v>14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>
      <c r="A10" s="5">
        <v>46262.44578177083</v>
      </c>
      <c r="B10" s="6" t="s">
        <v>44</v>
      </c>
      <c r="C10" s="6" t="s">
        <v>302</v>
      </c>
      <c r="D10" s="6" t="s">
        <v>13</v>
      </c>
      <c r="E10" s="6" t="s">
        <v>14</v>
      </c>
      <c r="F10" s="6" t="s">
        <v>16</v>
      </c>
      <c r="G10" s="6" t="s">
        <v>17</v>
      </c>
      <c r="H10" s="6" t="s">
        <v>18</v>
      </c>
      <c r="I10" s="6" t="s">
        <v>19</v>
      </c>
      <c r="J10" s="6" t="s">
        <v>20</v>
      </c>
    </row>
    <row r="11">
      <c r="A11" s="5">
        <v>46262.44599766204</v>
      </c>
      <c r="B11" s="6" t="s">
        <v>46</v>
      </c>
      <c r="C11" s="6" t="s">
        <v>297</v>
      </c>
      <c r="D11" s="6" t="s">
        <v>13</v>
      </c>
      <c r="E11" s="6" t="s">
        <v>14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20</v>
      </c>
      <c r="K11" s="6" t="s">
        <v>48</v>
      </c>
    </row>
    <row r="12">
      <c r="A12" s="5">
        <v>46262.44769368056</v>
      </c>
      <c r="B12" s="6" t="s">
        <v>21</v>
      </c>
      <c r="C12" s="6" t="s">
        <v>303</v>
      </c>
      <c r="D12" s="6" t="s">
        <v>13</v>
      </c>
      <c r="E12" s="6" t="s">
        <v>14</v>
      </c>
      <c r="F12" s="6" t="s">
        <v>16</v>
      </c>
      <c r="G12" s="6" t="s">
        <v>17</v>
      </c>
      <c r="H12" s="6" t="s">
        <v>18</v>
      </c>
      <c r="I12" s="6" t="s">
        <v>19</v>
      </c>
      <c r="J12" s="6" t="s">
        <v>20</v>
      </c>
    </row>
    <row r="13">
      <c r="A13" s="5">
        <v>46262.44909545139</v>
      </c>
      <c r="B13" s="6" t="s">
        <v>11</v>
      </c>
      <c r="C13" s="6" t="s">
        <v>297</v>
      </c>
      <c r="D13" s="6" t="s">
        <v>13</v>
      </c>
      <c r="E13" s="6" t="s">
        <v>14</v>
      </c>
      <c r="F13" s="6" t="s">
        <v>16</v>
      </c>
      <c r="G13" s="6" t="s">
        <v>17</v>
      </c>
      <c r="H13" s="6" t="s">
        <v>18</v>
      </c>
      <c r="I13" s="6" t="s">
        <v>19</v>
      </c>
      <c r="J13" s="6" t="s">
        <v>20</v>
      </c>
    </row>
    <row r="14">
      <c r="A14" s="5">
        <v>46262.451592893514</v>
      </c>
      <c r="B14" s="6" t="s">
        <v>49</v>
      </c>
      <c r="C14" s="6" t="s">
        <v>297</v>
      </c>
      <c r="D14" s="6" t="s">
        <v>13</v>
      </c>
      <c r="E14" s="6" t="s">
        <v>14</v>
      </c>
      <c r="F14" s="6" t="s">
        <v>16</v>
      </c>
      <c r="G14" s="6" t="s">
        <v>17</v>
      </c>
      <c r="H14" s="6" t="s">
        <v>18</v>
      </c>
      <c r="I14" s="6" t="s">
        <v>19</v>
      </c>
      <c r="J14" s="6" t="s">
        <v>20</v>
      </c>
      <c r="K14" s="6" t="s">
        <v>304</v>
      </c>
    </row>
    <row r="15">
      <c r="A15" s="5">
        <v>46262.4523743287</v>
      </c>
      <c r="B15" s="6" t="s">
        <v>51</v>
      </c>
      <c r="C15" s="6" t="s">
        <v>305</v>
      </c>
      <c r="D15" s="6" t="s">
        <v>13</v>
      </c>
      <c r="E15" s="6" t="s">
        <v>14</v>
      </c>
      <c r="F15" s="6" t="s">
        <v>16</v>
      </c>
      <c r="G15" s="6" t="s">
        <v>17</v>
      </c>
      <c r="H15" s="6" t="s">
        <v>18</v>
      </c>
      <c r="I15" s="6" t="s">
        <v>19</v>
      </c>
      <c r="J15" s="6" t="s">
        <v>20</v>
      </c>
    </row>
    <row r="16">
      <c r="A16" s="5">
        <v>46262.45861898148</v>
      </c>
      <c r="B16" s="6" t="s">
        <v>52</v>
      </c>
      <c r="C16" s="6" t="s">
        <v>297</v>
      </c>
      <c r="D16" s="6" t="s">
        <v>13</v>
      </c>
      <c r="E16" s="6" t="s">
        <v>120</v>
      </c>
      <c r="F16" s="6" t="s">
        <v>16</v>
      </c>
      <c r="G16" s="6" t="s">
        <v>17</v>
      </c>
      <c r="H16" s="6" t="s">
        <v>18</v>
      </c>
      <c r="I16" s="6" t="s">
        <v>55</v>
      </c>
      <c r="J16" s="6" t="s">
        <v>20</v>
      </c>
    </row>
    <row r="17">
      <c r="A17" s="5">
        <v>46262.459841620366</v>
      </c>
      <c r="B17" s="6" t="s">
        <v>57</v>
      </c>
      <c r="C17" s="6" t="s">
        <v>306</v>
      </c>
      <c r="D17" s="6" t="s">
        <v>13</v>
      </c>
      <c r="E17" s="6" t="s">
        <v>14</v>
      </c>
      <c r="F17" s="6" t="s">
        <v>16</v>
      </c>
      <c r="G17" s="6" t="s">
        <v>17</v>
      </c>
      <c r="H17" s="6" t="s">
        <v>18</v>
      </c>
      <c r="I17" s="6" t="s">
        <v>19</v>
      </c>
      <c r="J17" s="6" t="s">
        <v>20</v>
      </c>
    </row>
    <row r="18">
      <c r="A18" s="5">
        <v>46262.46244376157</v>
      </c>
      <c r="B18" s="6" t="s">
        <v>59</v>
      </c>
      <c r="C18" s="6" t="s">
        <v>307</v>
      </c>
      <c r="D18" s="6" t="s">
        <v>13</v>
      </c>
      <c r="E18" s="6" t="s">
        <v>14</v>
      </c>
      <c r="F18" s="6" t="s">
        <v>16</v>
      </c>
      <c r="G18" s="6" t="s">
        <v>17</v>
      </c>
      <c r="H18" s="6" t="s">
        <v>18</v>
      </c>
      <c r="I18" s="6" t="s">
        <v>19</v>
      </c>
      <c r="J18" s="6" t="s">
        <v>20</v>
      </c>
    </row>
    <row r="19">
      <c r="A19" s="5">
        <v>46262.46564034722</v>
      </c>
      <c r="B19" s="6" t="s">
        <v>60</v>
      </c>
      <c r="C19" s="6" t="s">
        <v>308</v>
      </c>
      <c r="D19" s="6" t="s">
        <v>13</v>
      </c>
      <c r="E19" s="6" t="s">
        <v>14</v>
      </c>
      <c r="F19" s="6" t="s">
        <v>16</v>
      </c>
      <c r="G19" s="6" t="s">
        <v>17</v>
      </c>
      <c r="H19" s="6" t="s">
        <v>18</v>
      </c>
      <c r="I19" s="6" t="s">
        <v>19</v>
      </c>
      <c r="J19" s="6" t="s">
        <v>20</v>
      </c>
    </row>
    <row r="20">
      <c r="A20" s="5">
        <v>46262.481390347224</v>
      </c>
      <c r="B20" s="6" t="s">
        <v>61</v>
      </c>
      <c r="C20" s="6" t="s">
        <v>309</v>
      </c>
      <c r="D20" s="6" t="s">
        <v>13</v>
      </c>
      <c r="E20" s="6" t="s">
        <v>14</v>
      </c>
      <c r="F20" s="6" t="s">
        <v>16</v>
      </c>
      <c r="G20" s="6" t="s">
        <v>17</v>
      </c>
      <c r="H20" s="6" t="s">
        <v>18</v>
      </c>
      <c r="I20" s="6" t="s">
        <v>19</v>
      </c>
      <c r="J20" s="6" t="s">
        <v>20</v>
      </c>
    </row>
    <row r="21">
      <c r="A21" s="5">
        <v>46262.48374167824</v>
      </c>
      <c r="B21" s="6" t="s">
        <v>63</v>
      </c>
      <c r="C21" s="6" t="s">
        <v>297</v>
      </c>
      <c r="D21" s="6" t="s">
        <v>13</v>
      </c>
      <c r="E21" s="6" t="s">
        <v>14</v>
      </c>
      <c r="F21" s="6" t="s">
        <v>16</v>
      </c>
      <c r="G21" s="6" t="s">
        <v>17</v>
      </c>
      <c r="H21" s="6" t="s">
        <v>18</v>
      </c>
      <c r="I21" s="6" t="s">
        <v>19</v>
      </c>
      <c r="J21" s="6" t="s">
        <v>20</v>
      </c>
      <c r="K21" s="6" t="s">
        <v>64</v>
      </c>
    </row>
    <row r="22">
      <c r="A22" s="5">
        <v>46262.48819423611</v>
      </c>
      <c r="B22" s="6" t="s">
        <v>66</v>
      </c>
      <c r="C22" s="6" t="s">
        <v>297</v>
      </c>
      <c r="D22" s="6" t="s">
        <v>13</v>
      </c>
      <c r="E22" s="6" t="s">
        <v>14</v>
      </c>
      <c r="F22" s="6" t="s">
        <v>16</v>
      </c>
      <c r="G22" s="6" t="s">
        <v>17</v>
      </c>
      <c r="H22" s="6" t="s">
        <v>18</v>
      </c>
      <c r="I22" s="6" t="s">
        <v>19</v>
      </c>
      <c r="J22" s="6" t="s">
        <v>20</v>
      </c>
      <c r="K22" s="6" t="s">
        <v>68</v>
      </c>
    </row>
    <row r="23">
      <c r="A23" s="5">
        <v>46262.50229748843</v>
      </c>
      <c r="B23" s="6" t="s">
        <v>71</v>
      </c>
      <c r="C23" s="6" t="s">
        <v>310</v>
      </c>
      <c r="D23" s="6" t="s">
        <v>13</v>
      </c>
      <c r="E23" s="6" t="s">
        <v>14</v>
      </c>
      <c r="F23" s="6" t="s">
        <v>16</v>
      </c>
      <c r="G23" s="6" t="s">
        <v>17</v>
      </c>
      <c r="H23" s="6" t="s">
        <v>18</v>
      </c>
      <c r="I23" s="6" t="s">
        <v>19</v>
      </c>
      <c r="J23" s="6" t="s">
        <v>20</v>
      </c>
    </row>
    <row r="24">
      <c r="A24" s="5">
        <v>46262.53117451389</v>
      </c>
      <c r="B24" s="6" t="s">
        <v>74</v>
      </c>
      <c r="C24" s="6" t="s">
        <v>308</v>
      </c>
      <c r="D24" s="6" t="s">
        <v>13</v>
      </c>
      <c r="E24" s="6" t="s">
        <v>14</v>
      </c>
      <c r="F24" s="6" t="s">
        <v>16</v>
      </c>
      <c r="G24" s="6" t="s">
        <v>17</v>
      </c>
      <c r="H24" s="6" t="s">
        <v>18</v>
      </c>
      <c r="I24" s="6" t="s">
        <v>19</v>
      </c>
      <c r="J24" s="6" t="s">
        <v>20</v>
      </c>
    </row>
    <row r="25">
      <c r="A25" s="5">
        <v>46262.53452163194</v>
      </c>
      <c r="B25" s="6" t="s">
        <v>69</v>
      </c>
      <c r="C25" s="6" t="s">
        <v>311</v>
      </c>
      <c r="D25" s="6" t="s">
        <v>13</v>
      </c>
      <c r="E25" s="6" t="s">
        <v>14</v>
      </c>
      <c r="F25" s="6" t="s">
        <v>16</v>
      </c>
      <c r="G25" s="6" t="s">
        <v>17</v>
      </c>
      <c r="H25" s="6" t="s">
        <v>18</v>
      </c>
      <c r="I25" s="6" t="s">
        <v>19</v>
      </c>
      <c r="J25" s="6" t="s">
        <v>20</v>
      </c>
    </row>
    <row r="26">
      <c r="A26" s="5">
        <v>46262.53748384259</v>
      </c>
      <c r="B26" s="6" t="s">
        <v>72</v>
      </c>
      <c r="C26" s="6" t="s">
        <v>312</v>
      </c>
      <c r="D26" s="6" t="s">
        <v>13</v>
      </c>
      <c r="E26" s="6" t="s">
        <v>14</v>
      </c>
      <c r="F26" s="6" t="s">
        <v>16</v>
      </c>
      <c r="G26" s="6" t="s">
        <v>17</v>
      </c>
      <c r="H26" s="6" t="s">
        <v>18</v>
      </c>
      <c r="I26" s="6" t="s">
        <v>19</v>
      </c>
      <c r="J26" s="6" t="s">
        <v>20</v>
      </c>
    </row>
    <row r="27">
      <c r="A27" s="5">
        <v>46262.55484694445</v>
      </c>
      <c r="B27" s="6" t="s">
        <v>77</v>
      </c>
      <c r="C27" s="6" t="s">
        <v>308</v>
      </c>
      <c r="D27" s="6" t="s">
        <v>13</v>
      </c>
      <c r="E27" s="6" t="s">
        <v>14</v>
      </c>
      <c r="F27" s="6" t="s">
        <v>16</v>
      </c>
      <c r="G27" s="6" t="s">
        <v>17</v>
      </c>
      <c r="H27" s="6" t="s">
        <v>18</v>
      </c>
      <c r="I27" s="6" t="s">
        <v>19</v>
      </c>
      <c r="J27" s="6" t="s">
        <v>20</v>
      </c>
    </row>
    <row r="28">
      <c r="A28" s="5">
        <v>46262.55530072917</v>
      </c>
      <c r="B28" s="6" t="s">
        <v>75</v>
      </c>
      <c r="C28" s="6" t="s">
        <v>305</v>
      </c>
      <c r="D28" s="6" t="s">
        <v>13</v>
      </c>
      <c r="E28" s="6" t="s">
        <v>14</v>
      </c>
      <c r="F28" s="6" t="s">
        <v>16</v>
      </c>
      <c r="G28" s="6" t="s">
        <v>17</v>
      </c>
      <c r="H28" s="6" t="s">
        <v>18</v>
      </c>
      <c r="I28" s="6" t="s">
        <v>19</v>
      </c>
      <c r="J28" s="6" t="s">
        <v>20</v>
      </c>
    </row>
    <row r="29">
      <c r="A29" s="5">
        <v>46262.56143582176</v>
      </c>
      <c r="B29" s="6" t="s">
        <v>79</v>
      </c>
      <c r="C29" s="6" t="s">
        <v>297</v>
      </c>
      <c r="D29" s="6" t="s">
        <v>13</v>
      </c>
      <c r="E29" s="6" t="s">
        <v>14</v>
      </c>
      <c r="F29" s="6" t="s">
        <v>16</v>
      </c>
      <c r="G29" s="6" t="s">
        <v>17</v>
      </c>
      <c r="H29" s="6" t="s">
        <v>18</v>
      </c>
      <c r="I29" s="6" t="s">
        <v>19</v>
      </c>
      <c r="J29" s="6" t="s">
        <v>20</v>
      </c>
    </row>
    <row r="30">
      <c r="A30" s="5">
        <v>46262.5646074074</v>
      </c>
      <c r="B30" s="6" t="s">
        <v>78</v>
      </c>
      <c r="C30" s="6" t="s">
        <v>313</v>
      </c>
      <c r="D30" s="6" t="s">
        <v>13</v>
      </c>
      <c r="E30" s="6" t="s">
        <v>14</v>
      </c>
      <c r="F30" s="6" t="s">
        <v>16</v>
      </c>
      <c r="G30" s="6" t="s">
        <v>17</v>
      </c>
      <c r="H30" s="6" t="s">
        <v>18</v>
      </c>
      <c r="I30" s="6" t="s">
        <v>19</v>
      </c>
      <c r="J30" s="6" t="s">
        <v>20</v>
      </c>
    </row>
    <row r="31">
      <c r="A31" s="5">
        <v>46262.572324733796</v>
      </c>
      <c r="B31" s="6" t="s">
        <v>80</v>
      </c>
      <c r="C31" s="6" t="s">
        <v>297</v>
      </c>
      <c r="D31" s="6" t="s">
        <v>13</v>
      </c>
      <c r="E31" s="6" t="s">
        <v>14</v>
      </c>
      <c r="F31" s="6" t="s">
        <v>16</v>
      </c>
      <c r="G31" s="6" t="s">
        <v>17</v>
      </c>
      <c r="H31" s="6" t="s">
        <v>18</v>
      </c>
      <c r="I31" s="6" t="s">
        <v>19</v>
      </c>
      <c r="J31" s="6" t="s">
        <v>20</v>
      </c>
      <c r="K31" s="6" t="s">
        <v>81</v>
      </c>
    </row>
    <row r="32">
      <c r="A32" s="5">
        <v>46262.58418229167</v>
      </c>
      <c r="B32" s="6" t="s">
        <v>82</v>
      </c>
      <c r="C32" s="6" t="s">
        <v>297</v>
      </c>
      <c r="D32" s="6" t="s">
        <v>13</v>
      </c>
      <c r="E32" s="6" t="s">
        <v>14</v>
      </c>
      <c r="F32" s="6" t="s">
        <v>16</v>
      </c>
      <c r="G32" s="6" t="s">
        <v>17</v>
      </c>
      <c r="H32" s="6" t="s">
        <v>18</v>
      </c>
      <c r="I32" s="6" t="s">
        <v>19</v>
      </c>
      <c r="J32" s="6" t="s">
        <v>20</v>
      </c>
    </row>
    <row r="33">
      <c r="A33" s="5">
        <v>46262.58435016204</v>
      </c>
      <c r="B33" s="6" t="s">
        <v>83</v>
      </c>
      <c r="C33" s="6" t="s">
        <v>297</v>
      </c>
      <c r="D33" s="6" t="s">
        <v>13</v>
      </c>
      <c r="E33" s="6" t="s">
        <v>14</v>
      </c>
      <c r="F33" s="6" t="s">
        <v>16</v>
      </c>
      <c r="G33" s="6" t="s">
        <v>17</v>
      </c>
      <c r="H33" s="6" t="s">
        <v>18</v>
      </c>
      <c r="I33" s="6" t="s">
        <v>19</v>
      </c>
      <c r="J33" s="6" t="s">
        <v>20</v>
      </c>
    </row>
    <row r="34">
      <c r="A34" s="5">
        <v>46262.58747641204</v>
      </c>
      <c r="B34" s="6" t="s">
        <v>85</v>
      </c>
      <c r="C34" s="6" t="s">
        <v>297</v>
      </c>
      <c r="D34" s="6" t="s">
        <v>13</v>
      </c>
      <c r="E34" s="6" t="s">
        <v>14</v>
      </c>
      <c r="F34" s="6" t="s">
        <v>16</v>
      </c>
      <c r="G34" s="6" t="s">
        <v>17</v>
      </c>
      <c r="H34" s="6" t="s">
        <v>18</v>
      </c>
      <c r="I34" s="6" t="s">
        <v>19</v>
      </c>
      <c r="J34" s="6" t="s">
        <v>20</v>
      </c>
    </row>
    <row r="35">
      <c r="A35" s="5">
        <v>46262.59556050926</v>
      </c>
      <c r="B35" s="6" t="s">
        <v>86</v>
      </c>
      <c r="C35" s="6" t="s">
        <v>314</v>
      </c>
      <c r="D35" s="6" t="s">
        <v>13</v>
      </c>
      <c r="E35" s="6" t="s">
        <v>14</v>
      </c>
      <c r="F35" s="6" t="s">
        <v>16</v>
      </c>
      <c r="G35" s="6" t="s">
        <v>17</v>
      </c>
      <c r="H35" s="6" t="s">
        <v>18</v>
      </c>
      <c r="I35" s="6" t="s">
        <v>19</v>
      </c>
      <c r="J35" s="6" t="s">
        <v>20</v>
      </c>
    </row>
    <row r="36">
      <c r="A36" s="5">
        <v>46262.61279196759</v>
      </c>
      <c r="B36" s="6" t="s">
        <v>88</v>
      </c>
      <c r="C36" s="6" t="s">
        <v>308</v>
      </c>
      <c r="D36" s="6" t="s">
        <v>13</v>
      </c>
      <c r="E36" s="6" t="s">
        <v>14</v>
      </c>
      <c r="F36" s="6" t="s">
        <v>16</v>
      </c>
      <c r="G36" s="6" t="s">
        <v>17</v>
      </c>
      <c r="H36" s="6" t="s">
        <v>18</v>
      </c>
      <c r="I36" s="6" t="s">
        <v>19</v>
      </c>
      <c r="J36" s="6" t="s">
        <v>20</v>
      </c>
    </row>
    <row r="37">
      <c r="A37" s="5">
        <v>46262.629319618056</v>
      </c>
      <c r="B37" s="6" t="s">
        <v>90</v>
      </c>
      <c r="C37" s="6" t="s">
        <v>308</v>
      </c>
      <c r="D37" s="6" t="s">
        <v>13</v>
      </c>
      <c r="E37" s="6" t="s">
        <v>14</v>
      </c>
      <c r="F37" s="6" t="s">
        <v>16</v>
      </c>
      <c r="G37" s="6" t="s">
        <v>17</v>
      </c>
      <c r="H37" s="6" t="s">
        <v>18</v>
      </c>
      <c r="I37" s="6" t="s">
        <v>19</v>
      </c>
      <c r="J37" s="6" t="s">
        <v>20</v>
      </c>
      <c r="K37" s="6" t="s">
        <v>92</v>
      </c>
    </row>
    <row r="38">
      <c r="A38" s="5">
        <v>46262.64528511574</v>
      </c>
      <c r="B38" s="6" t="s">
        <v>95</v>
      </c>
      <c r="C38" s="6" t="s">
        <v>297</v>
      </c>
      <c r="D38" s="6" t="s">
        <v>13</v>
      </c>
      <c r="E38" s="6" t="s">
        <v>14</v>
      </c>
      <c r="F38" s="6" t="s">
        <v>16</v>
      </c>
      <c r="G38" s="6" t="s">
        <v>17</v>
      </c>
      <c r="H38" s="6" t="s">
        <v>18</v>
      </c>
      <c r="I38" s="6" t="s">
        <v>19</v>
      </c>
      <c r="J38" s="6" t="s">
        <v>20</v>
      </c>
      <c r="K38" s="6" t="s">
        <v>92</v>
      </c>
    </row>
    <row r="39">
      <c r="A39" s="5">
        <v>46262.645587314815</v>
      </c>
      <c r="B39" s="6" t="s">
        <v>93</v>
      </c>
      <c r="C39" s="6" t="s">
        <v>315</v>
      </c>
      <c r="D39" s="6" t="s">
        <v>13</v>
      </c>
      <c r="E39" s="6" t="s">
        <v>14</v>
      </c>
      <c r="F39" s="6" t="s">
        <v>16</v>
      </c>
      <c r="G39" s="6" t="s">
        <v>17</v>
      </c>
      <c r="H39" s="6" t="s">
        <v>18</v>
      </c>
      <c r="I39" s="6" t="s">
        <v>19</v>
      </c>
      <c r="J39" s="6" t="s">
        <v>20</v>
      </c>
    </row>
    <row r="40">
      <c r="A40" s="5">
        <v>46262.743901249996</v>
      </c>
      <c r="B40" s="6" t="s">
        <v>97</v>
      </c>
      <c r="C40" s="6" t="s">
        <v>316</v>
      </c>
      <c r="D40" s="6" t="s">
        <v>13</v>
      </c>
      <c r="E40" s="6" t="s">
        <v>14</v>
      </c>
      <c r="F40" s="6" t="s">
        <v>16</v>
      </c>
      <c r="G40" s="6" t="s">
        <v>17</v>
      </c>
      <c r="H40" s="6" t="s">
        <v>18</v>
      </c>
      <c r="I40" s="6" t="s">
        <v>19</v>
      </c>
      <c r="J40" s="6" t="s">
        <v>20</v>
      </c>
    </row>
    <row r="41">
      <c r="A41" s="5">
        <v>46262.79654710648</v>
      </c>
      <c r="B41" s="6" t="s">
        <v>98</v>
      </c>
      <c r="C41" s="6" t="s">
        <v>317</v>
      </c>
      <c r="D41" s="6" t="s">
        <v>13</v>
      </c>
      <c r="E41" s="6" t="s">
        <v>14</v>
      </c>
      <c r="F41" s="6" t="s">
        <v>16</v>
      </c>
      <c r="G41" s="6" t="s">
        <v>17</v>
      </c>
      <c r="H41" s="6" t="s">
        <v>18</v>
      </c>
      <c r="I41" s="6" t="s">
        <v>19</v>
      </c>
      <c r="J41" s="6" t="s">
        <v>20</v>
      </c>
    </row>
    <row r="42">
      <c r="A42" s="5">
        <v>46262.87509011574</v>
      </c>
      <c r="B42" s="6" t="s">
        <v>99</v>
      </c>
      <c r="C42" s="6" t="s">
        <v>318</v>
      </c>
      <c r="D42" s="6" t="s">
        <v>13</v>
      </c>
      <c r="E42" s="6" t="s">
        <v>14</v>
      </c>
      <c r="F42" s="6" t="s">
        <v>16</v>
      </c>
      <c r="G42" s="6" t="s">
        <v>17</v>
      </c>
      <c r="H42" s="6" t="s">
        <v>18</v>
      </c>
      <c r="I42" s="6" t="s">
        <v>19</v>
      </c>
      <c r="J42" s="6" t="s">
        <v>20</v>
      </c>
    </row>
    <row r="43">
      <c r="A43" s="5">
        <v>46262.958985115736</v>
      </c>
      <c r="B43" s="6" t="s">
        <v>100</v>
      </c>
      <c r="C43" s="6" t="s">
        <v>319</v>
      </c>
      <c r="D43" s="6" t="s">
        <v>13</v>
      </c>
      <c r="E43" s="6" t="s">
        <v>14</v>
      </c>
      <c r="F43" s="6" t="s">
        <v>16</v>
      </c>
      <c r="G43" s="6" t="s">
        <v>17</v>
      </c>
      <c r="H43" s="6" t="s">
        <v>18</v>
      </c>
      <c r="I43" s="6" t="s">
        <v>19</v>
      </c>
      <c r="J43" s="6" t="s">
        <v>20</v>
      </c>
    </row>
    <row r="44">
      <c r="A44" s="5">
        <v>46262.960585775465</v>
      </c>
      <c r="B44" s="6" t="s">
        <v>101</v>
      </c>
      <c r="C44" s="6" t="s">
        <v>297</v>
      </c>
      <c r="D44" s="6" t="s">
        <v>13</v>
      </c>
      <c r="E44" s="6" t="s">
        <v>14</v>
      </c>
      <c r="F44" s="6" t="s">
        <v>16</v>
      </c>
      <c r="G44" s="6" t="s">
        <v>17</v>
      </c>
      <c r="H44" s="6" t="s">
        <v>18</v>
      </c>
      <c r="I44" s="6" t="s">
        <v>19</v>
      </c>
      <c r="J44" s="6" t="s">
        <v>20</v>
      </c>
    </row>
    <row r="45">
      <c r="A45" s="5">
        <v>46263.60584658565</v>
      </c>
      <c r="B45" s="6" t="s">
        <v>103</v>
      </c>
      <c r="C45" s="6" t="s">
        <v>308</v>
      </c>
      <c r="D45" s="6" t="s">
        <v>13</v>
      </c>
      <c r="E45" s="6" t="s">
        <v>14</v>
      </c>
      <c r="F45" s="6" t="s">
        <v>16</v>
      </c>
      <c r="G45" s="6" t="s">
        <v>17</v>
      </c>
      <c r="H45" s="6" t="s">
        <v>18</v>
      </c>
      <c r="I45" s="6" t="s">
        <v>19</v>
      </c>
      <c r="J45" s="6" t="s">
        <v>20</v>
      </c>
    </row>
    <row r="46">
      <c r="A46" s="5">
        <v>46263.716698425924</v>
      </c>
      <c r="B46" s="6" t="s">
        <v>104</v>
      </c>
      <c r="C46" s="6" t="s">
        <v>320</v>
      </c>
      <c r="D46" s="6" t="s">
        <v>13</v>
      </c>
      <c r="E46" s="6" t="s">
        <v>14</v>
      </c>
      <c r="F46" s="6" t="s">
        <v>16</v>
      </c>
      <c r="G46" s="6" t="s">
        <v>17</v>
      </c>
      <c r="H46" s="6" t="s">
        <v>18</v>
      </c>
      <c r="I46" s="6" t="s">
        <v>19</v>
      </c>
      <c r="J46" s="6" t="s">
        <v>20</v>
      </c>
    </row>
    <row r="47">
      <c r="A47" s="5">
        <v>46264.53038440972</v>
      </c>
      <c r="B47" s="6" t="s">
        <v>105</v>
      </c>
      <c r="C47" s="6" t="s">
        <v>321</v>
      </c>
      <c r="D47" s="6" t="s">
        <v>13</v>
      </c>
      <c r="E47" s="6" t="s">
        <v>14</v>
      </c>
      <c r="F47" s="6" t="s">
        <v>16</v>
      </c>
      <c r="G47" s="6" t="s">
        <v>17</v>
      </c>
      <c r="H47" s="6" t="s">
        <v>18</v>
      </c>
      <c r="I47" s="6" t="s">
        <v>19</v>
      </c>
      <c r="J47" s="6" t="s">
        <v>20</v>
      </c>
    </row>
    <row r="48">
      <c r="A48" s="5">
        <v>46264.65197798611</v>
      </c>
      <c r="B48" s="6" t="s">
        <v>106</v>
      </c>
      <c r="C48" s="6" t="s">
        <v>305</v>
      </c>
      <c r="D48" s="6" t="s">
        <v>13</v>
      </c>
      <c r="E48" s="6" t="s">
        <v>14</v>
      </c>
      <c r="F48" s="6" t="s">
        <v>16</v>
      </c>
      <c r="G48" s="6" t="s">
        <v>17</v>
      </c>
      <c r="H48" s="6" t="s">
        <v>18</v>
      </c>
      <c r="I48" s="6" t="s">
        <v>19</v>
      </c>
      <c r="J48" s="6" t="s">
        <v>20</v>
      </c>
    </row>
    <row r="49">
      <c r="A49" s="5">
        <v>46264.87942521991</v>
      </c>
      <c r="B49" s="6" t="s">
        <v>108</v>
      </c>
      <c r="C49" s="6" t="s">
        <v>109</v>
      </c>
      <c r="D49" s="6" t="s">
        <v>13</v>
      </c>
      <c r="E49" s="6" t="s">
        <v>14</v>
      </c>
      <c r="F49" s="6" t="s">
        <v>16</v>
      </c>
      <c r="G49" s="6" t="s">
        <v>17</v>
      </c>
      <c r="H49" s="6" t="s">
        <v>18</v>
      </c>
      <c r="I49" s="6" t="s">
        <v>19</v>
      </c>
      <c r="J49" s="6" t="s">
        <v>20</v>
      </c>
    </row>
    <row r="50">
      <c r="A50" s="5">
        <v>46265.32538427084</v>
      </c>
      <c r="B50" s="6" t="s">
        <v>111</v>
      </c>
      <c r="C50" s="6" t="s">
        <v>308</v>
      </c>
      <c r="D50" s="6" t="s">
        <v>13</v>
      </c>
      <c r="E50" s="6" t="s">
        <v>14</v>
      </c>
      <c r="F50" s="6" t="s">
        <v>16</v>
      </c>
      <c r="G50" s="6" t="s">
        <v>17</v>
      </c>
      <c r="H50" s="6" t="s">
        <v>18</v>
      </c>
      <c r="I50" s="6" t="s">
        <v>19</v>
      </c>
      <c r="J50" s="6" t="s">
        <v>20</v>
      </c>
    </row>
    <row r="51">
      <c r="A51" s="5">
        <v>46265.67998238426</v>
      </c>
      <c r="B51" s="6" t="s">
        <v>112</v>
      </c>
      <c r="C51" s="6" t="s">
        <v>297</v>
      </c>
      <c r="D51" s="6" t="s">
        <v>13</v>
      </c>
      <c r="E51" s="6" t="s">
        <v>14</v>
      </c>
      <c r="F51" s="6" t="s">
        <v>16</v>
      </c>
      <c r="G51" s="6" t="s">
        <v>17</v>
      </c>
      <c r="H51" s="6" t="s">
        <v>18</v>
      </c>
      <c r="I51" s="6" t="s">
        <v>19</v>
      </c>
      <c r="J51" s="6" t="s">
        <v>20</v>
      </c>
    </row>
    <row r="52">
      <c r="A52" s="5">
        <v>46265.6934634375</v>
      </c>
      <c r="B52" s="6" t="s">
        <v>113</v>
      </c>
      <c r="C52" s="6" t="s">
        <v>322</v>
      </c>
      <c r="D52" s="6" t="s">
        <v>13</v>
      </c>
      <c r="E52" s="6" t="s">
        <v>14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>
      <c r="A53" s="5">
        <v>46265.704645185186</v>
      </c>
      <c r="B53" s="6" t="s">
        <v>114</v>
      </c>
      <c r="C53" s="6" t="s">
        <v>308</v>
      </c>
      <c r="D53" s="6" t="s">
        <v>13</v>
      </c>
      <c r="E53" s="6" t="s">
        <v>14</v>
      </c>
      <c r="F53" s="6" t="s">
        <v>16</v>
      </c>
      <c r="G53" s="6" t="s">
        <v>17</v>
      </c>
      <c r="H53" s="6" t="s">
        <v>18</v>
      </c>
      <c r="I53" s="6" t="s">
        <v>19</v>
      </c>
      <c r="J53" s="6" t="s">
        <v>20</v>
      </c>
    </row>
    <row r="54">
      <c r="A54" s="5">
        <v>46265.70517592593</v>
      </c>
      <c r="B54" s="6" t="s">
        <v>115</v>
      </c>
      <c r="C54" s="6" t="s">
        <v>297</v>
      </c>
      <c r="D54" s="6" t="s">
        <v>13</v>
      </c>
      <c r="E54" s="6" t="s">
        <v>14</v>
      </c>
      <c r="F54" s="6" t="s">
        <v>16</v>
      </c>
      <c r="G54" s="6" t="s">
        <v>17</v>
      </c>
      <c r="H54" s="6" t="s">
        <v>18</v>
      </c>
      <c r="I54" s="6" t="s">
        <v>19</v>
      </c>
      <c r="J54" s="6" t="s">
        <v>20</v>
      </c>
    </row>
    <row r="55">
      <c r="A55" s="5">
        <v>46265.735818009256</v>
      </c>
      <c r="B55" s="6" t="s">
        <v>116</v>
      </c>
      <c r="C55" s="6" t="s">
        <v>298</v>
      </c>
      <c r="D55" s="6" t="s">
        <v>13</v>
      </c>
      <c r="E55" s="6" t="s">
        <v>14</v>
      </c>
      <c r="F55" s="6" t="s">
        <v>16</v>
      </c>
      <c r="G55" s="6" t="s">
        <v>17</v>
      </c>
      <c r="H55" s="6" t="s">
        <v>18</v>
      </c>
      <c r="I55" s="6" t="s">
        <v>19</v>
      </c>
      <c r="J55" s="6" t="s">
        <v>20</v>
      </c>
    </row>
    <row r="56">
      <c r="A56" s="5">
        <v>46266.54861949074</v>
      </c>
      <c r="B56" s="6" t="s">
        <v>118</v>
      </c>
      <c r="C56" s="6" t="s">
        <v>119</v>
      </c>
      <c r="D56" s="6" t="s">
        <v>73</v>
      </c>
      <c r="E56" s="6" t="s">
        <v>120</v>
      </c>
      <c r="F56" s="6" t="s">
        <v>54</v>
      </c>
      <c r="G56" s="6" t="s">
        <v>39</v>
      </c>
      <c r="H56" s="6" t="s">
        <v>87</v>
      </c>
      <c r="I56" s="6" t="s">
        <v>55</v>
      </c>
      <c r="J56" s="6" t="s">
        <v>56</v>
      </c>
    </row>
    <row r="57">
      <c r="A57" s="5">
        <v>46266.6800253588</v>
      </c>
      <c r="B57" s="6" t="s">
        <v>121</v>
      </c>
      <c r="C57" s="6" t="s">
        <v>308</v>
      </c>
      <c r="D57" s="6" t="s">
        <v>13</v>
      </c>
      <c r="E57" s="6" t="s">
        <v>14</v>
      </c>
      <c r="F57" s="6" t="s">
        <v>16</v>
      </c>
      <c r="G57" s="6" t="s">
        <v>17</v>
      </c>
      <c r="H57" s="6" t="s">
        <v>18</v>
      </c>
      <c r="I57" s="6" t="s">
        <v>19</v>
      </c>
      <c r="J57" s="6" t="s">
        <v>20</v>
      </c>
    </row>
    <row r="58">
      <c r="A58" s="5">
        <v>46266.6854681713</v>
      </c>
      <c r="B58" s="6" t="s">
        <v>124</v>
      </c>
      <c r="C58" s="6" t="s">
        <v>297</v>
      </c>
      <c r="D58" s="6" t="s">
        <v>13</v>
      </c>
      <c r="E58" s="6" t="s">
        <v>14</v>
      </c>
      <c r="F58" s="6" t="s">
        <v>16</v>
      </c>
      <c r="G58" s="6" t="s">
        <v>17</v>
      </c>
      <c r="H58" s="6" t="s">
        <v>18</v>
      </c>
      <c r="I58" s="6" t="s">
        <v>19</v>
      </c>
      <c r="J58" s="6" t="s">
        <v>20</v>
      </c>
    </row>
    <row r="59">
      <c r="A59" s="5">
        <v>46266.69603368056</v>
      </c>
      <c r="B59" s="6" t="s">
        <v>125</v>
      </c>
      <c r="C59" s="6" t="s">
        <v>323</v>
      </c>
      <c r="D59" s="6" t="s">
        <v>13</v>
      </c>
      <c r="E59" s="6" t="s">
        <v>14</v>
      </c>
      <c r="F59" s="6" t="s">
        <v>16</v>
      </c>
      <c r="G59" s="6" t="s">
        <v>17</v>
      </c>
      <c r="H59" s="6" t="s">
        <v>18</v>
      </c>
      <c r="I59" s="6" t="s">
        <v>19</v>
      </c>
      <c r="J59" s="6" t="s">
        <v>20</v>
      </c>
    </row>
    <row r="60">
      <c r="A60" s="5">
        <v>46266.80785888889</v>
      </c>
      <c r="B60" s="6" t="s">
        <v>126</v>
      </c>
      <c r="C60" s="6" t="s">
        <v>297</v>
      </c>
      <c r="D60" s="6" t="s">
        <v>13</v>
      </c>
      <c r="E60" s="6" t="s">
        <v>14</v>
      </c>
      <c r="F60" s="6" t="s">
        <v>16</v>
      </c>
      <c r="G60" s="6" t="s">
        <v>17</v>
      </c>
      <c r="H60" s="6" t="s">
        <v>18</v>
      </c>
      <c r="I60" s="6" t="s">
        <v>19</v>
      </c>
      <c r="J60" s="6" t="s">
        <v>20</v>
      </c>
    </row>
    <row r="61">
      <c r="A61" s="5">
        <v>46267.30782611111</v>
      </c>
      <c r="B61" s="6" t="s">
        <v>129</v>
      </c>
      <c r="C61" s="6" t="s">
        <v>297</v>
      </c>
      <c r="D61" s="6" t="s">
        <v>13</v>
      </c>
      <c r="E61" s="6" t="s">
        <v>14</v>
      </c>
      <c r="F61" s="6" t="s">
        <v>16</v>
      </c>
      <c r="G61" s="6" t="s">
        <v>17</v>
      </c>
      <c r="H61" s="6" t="s">
        <v>18</v>
      </c>
      <c r="I61" s="6" t="s">
        <v>19</v>
      </c>
      <c r="J61" s="6" t="s">
        <v>20</v>
      </c>
    </row>
    <row r="62">
      <c r="A62" s="5">
        <v>46267.30867099537</v>
      </c>
      <c r="B62" s="6" t="s">
        <v>127</v>
      </c>
      <c r="C62" s="6" t="s">
        <v>324</v>
      </c>
      <c r="D62" s="6" t="s">
        <v>13</v>
      </c>
      <c r="E62" s="6" t="s">
        <v>14</v>
      </c>
      <c r="F62" s="6" t="s">
        <v>16</v>
      </c>
      <c r="G62" s="6" t="s">
        <v>17</v>
      </c>
      <c r="H62" s="6" t="s">
        <v>18</v>
      </c>
      <c r="I62" s="6" t="s">
        <v>19</v>
      </c>
      <c r="J62" s="6" t="s">
        <v>20</v>
      </c>
    </row>
    <row r="63">
      <c r="A63" s="5">
        <v>46267.56156982639</v>
      </c>
      <c r="B63" s="6" t="s">
        <v>132</v>
      </c>
      <c r="C63" s="6" t="s">
        <v>325</v>
      </c>
      <c r="D63" s="6" t="s">
        <v>13</v>
      </c>
      <c r="E63" s="6" t="s">
        <v>14</v>
      </c>
      <c r="F63" s="6" t="s">
        <v>16</v>
      </c>
      <c r="G63" s="6" t="s">
        <v>17</v>
      </c>
      <c r="H63" s="6" t="s">
        <v>18</v>
      </c>
      <c r="I63" s="6" t="s">
        <v>19</v>
      </c>
      <c r="J63" s="6" t="s">
        <v>20</v>
      </c>
    </row>
    <row r="64">
      <c r="A64" s="5">
        <v>46267.60647362268</v>
      </c>
      <c r="B64" s="6" t="s">
        <v>135</v>
      </c>
      <c r="C64" s="6" t="s">
        <v>297</v>
      </c>
      <c r="D64" s="6" t="s">
        <v>13</v>
      </c>
      <c r="E64" s="6" t="s">
        <v>14</v>
      </c>
      <c r="F64" s="6" t="s">
        <v>16</v>
      </c>
      <c r="G64" s="6" t="s">
        <v>17</v>
      </c>
      <c r="H64" s="6" t="s">
        <v>18</v>
      </c>
      <c r="I64" s="6" t="s">
        <v>19</v>
      </c>
      <c r="J64" s="6" t="s">
        <v>20</v>
      </c>
    </row>
    <row r="65">
      <c r="A65" s="5">
        <v>46267.608868599535</v>
      </c>
      <c r="B65" s="6" t="s">
        <v>136</v>
      </c>
      <c r="C65" s="6" t="s">
        <v>306</v>
      </c>
      <c r="D65" s="6" t="s">
        <v>13</v>
      </c>
      <c r="E65" s="6" t="s">
        <v>14</v>
      </c>
      <c r="F65" s="6" t="s">
        <v>16</v>
      </c>
      <c r="G65" s="6" t="s">
        <v>17</v>
      </c>
      <c r="H65" s="6" t="s">
        <v>18</v>
      </c>
      <c r="I65" s="6" t="s">
        <v>19</v>
      </c>
      <c r="J65" s="6" t="s">
        <v>20</v>
      </c>
    </row>
    <row r="66">
      <c r="A66" s="5">
        <v>46267.609019571755</v>
      </c>
      <c r="B66" s="6" t="s">
        <v>133</v>
      </c>
      <c r="C66" s="6" t="s">
        <v>134</v>
      </c>
      <c r="D66" s="6" t="s">
        <v>13</v>
      </c>
      <c r="E66" s="6" t="s">
        <v>14</v>
      </c>
      <c r="F66" s="6" t="s">
        <v>16</v>
      </c>
      <c r="G66" s="6" t="s">
        <v>17</v>
      </c>
      <c r="H66" s="6" t="s">
        <v>18</v>
      </c>
      <c r="I66" s="6" t="s">
        <v>19</v>
      </c>
      <c r="J66" s="6" t="s">
        <v>20</v>
      </c>
    </row>
    <row r="67">
      <c r="A67" s="5">
        <v>46267.85157996528</v>
      </c>
      <c r="B67" s="6" t="s">
        <v>138</v>
      </c>
      <c r="C67" s="6" t="s">
        <v>139</v>
      </c>
      <c r="D67" s="6" t="s">
        <v>13</v>
      </c>
      <c r="E67" s="6" t="s">
        <v>14</v>
      </c>
      <c r="F67" s="6" t="s">
        <v>16</v>
      </c>
      <c r="G67" s="6" t="s">
        <v>17</v>
      </c>
      <c r="H67" s="6" t="s">
        <v>18</v>
      </c>
      <c r="I67" s="6" t="s">
        <v>55</v>
      </c>
      <c r="J67" s="6" t="s">
        <v>20</v>
      </c>
      <c r="K67" s="6" t="s">
        <v>326</v>
      </c>
    </row>
    <row r="68">
      <c r="A68" s="5">
        <v>46268.344802604166</v>
      </c>
      <c r="B68" s="6" t="s">
        <v>140</v>
      </c>
      <c r="C68" s="6" t="s">
        <v>297</v>
      </c>
      <c r="D68" s="6" t="s">
        <v>13</v>
      </c>
      <c r="E68" s="6" t="s">
        <v>14</v>
      </c>
      <c r="F68" s="6" t="s">
        <v>16</v>
      </c>
      <c r="G68" s="6" t="s">
        <v>17</v>
      </c>
      <c r="H68" s="6" t="s">
        <v>18</v>
      </c>
      <c r="I68" s="6" t="s">
        <v>19</v>
      </c>
      <c r="J68" s="6" t="s">
        <v>20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1" t="s">
        <v>0</v>
      </c>
      <c r="B1" s="1" t="s">
        <v>1</v>
      </c>
      <c r="C1" s="3" t="s">
        <v>2</v>
      </c>
      <c r="D1" s="4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1"/>
      <c r="M1" s="7" t="s">
        <v>15</v>
      </c>
    </row>
    <row r="2">
      <c r="A2" s="8">
        <f>'1.5'!A:A</f>
        <v>46262.4163</v>
      </c>
      <c r="B2" s="1" t="str">
        <f>'1.5'!B:B</f>
        <v>bnco1009@signalschool.ac.th</v>
      </c>
      <c r="C2" s="1" t="str">
        <f>'1.5'!C:C</f>
        <v>ร.ต.วสันต์ ทัศนามล</v>
      </c>
      <c r="D2" s="9">
        <v>1.0</v>
      </c>
      <c r="E2" s="10">
        <f>IFERROR(vlookup('1.5'!D:D,lookup!$A$2:$B$4,2,false),0)</f>
        <v>5</v>
      </c>
      <c r="F2" s="10">
        <f>IFERROR(vlookup('1.5'!E:E,lookup!$A$6:$B$8,2,false),0)</f>
        <v>5</v>
      </c>
      <c r="G2" s="10">
        <f>IFERROR(vlookup('1.5'!F:F,lookup!$A$10:$B$12,2,false),0)</f>
        <v>5</v>
      </c>
      <c r="H2" s="10">
        <f>IFERROR(vlookup('1.5'!G:G,lookup!$A$14:$B$16,2,false),0)</f>
        <v>5</v>
      </c>
      <c r="I2" s="10">
        <f>IFERROR(vlookup('1.5'!H:H,lookup!$A$18:$B$20,2,false),0)</f>
        <v>5</v>
      </c>
      <c r="J2" s="10">
        <f>IFERROR(vlookup('1.5'!I:I,lookup!$A$22:$B$24,2,false),0)</f>
        <v>5</v>
      </c>
      <c r="K2" s="10">
        <f>IFERROR(vlookup('1.5'!J:J,lookup!$A$26:$B$28,2,false),0)</f>
        <v>5</v>
      </c>
      <c r="L2" s="1"/>
      <c r="M2" s="10">
        <v>1.0</v>
      </c>
      <c r="N2" s="11" t="str">
        <f t="shared" ref="N2:N81" si="1">CONCAT(R2,"@signalschool.ac.th")</f>
        <v>bnco1001@signalschool.ac.th</v>
      </c>
      <c r="O2" s="12">
        <f t="shared" ref="O2:O81" si="2">IFERROR(VLOOKUP(N2,B$2:D$81,3,FALSE),0)</f>
        <v>1</v>
      </c>
      <c r="R2" s="6" t="s">
        <v>91</v>
      </c>
    </row>
    <row r="3">
      <c r="A3" s="8">
        <f>'1.5'!A:A</f>
        <v>46262.42008</v>
      </c>
      <c r="B3" s="1" t="str">
        <f>'1.5'!B:B</f>
        <v>bnco1056@signalschool.ac.th</v>
      </c>
      <c r="C3" s="1" t="str">
        <f>'1.5'!C:C</f>
        <v>ร.ต. วสันต์  ทัศนามล</v>
      </c>
      <c r="D3" s="9">
        <v>1.0</v>
      </c>
      <c r="E3" s="10">
        <f>IFERROR(vlookup('1.5'!D:D,lookup!$A$2:$B$4,2,false),0)</f>
        <v>5</v>
      </c>
      <c r="F3" s="10">
        <f>IFERROR(vlookup('1.5'!E:E,lookup!$A$6:$B$8,2,false),0)</f>
        <v>5</v>
      </c>
      <c r="G3" s="10">
        <f>IFERROR(vlookup('1.5'!F:F,lookup!$A$10:$B$12,2,false),0)</f>
        <v>5</v>
      </c>
      <c r="H3" s="10">
        <f>IFERROR(vlookup('1.5'!G:G,lookup!$A$14:$B$16,2,false),0)</f>
        <v>5</v>
      </c>
      <c r="I3" s="10">
        <f>IFERROR(vlookup('1.5'!H:H,lookup!$A$18:$B$20,2,false),0)</f>
        <v>5</v>
      </c>
      <c r="J3" s="10">
        <f>IFERROR(vlookup('1.5'!I:I,lookup!$A$22:$B$24,2,false),0)</f>
        <v>5</v>
      </c>
      <c r="K3" s="10">
        <f>IFERROR(vlookup('1.5'!J:J,lookup!$A$26:$B$28,2,false),0)</f>
        <v>5</v>
      </c>
      <c r="L3" s="1"/>
      <c r="M3" s="10">
        <v>2.0</v>
      </c>
      <c r="N3" s="11" t="str">
        <f t="shared" si="1"/>
        <v>bnco1002@signalschool.ac.th</v>
      </c>
      <c r="O3" s="12">
        <f t="shared" si="2"/>
        <v>1</v>
      </c>
      <c r="R3" s="6" t="s">
        <v>123</v>
      </c>
    </row>
    <row r="4">
      <c r="A4" s="8">
        <f>'1.5'!A:A</f>
        <v>46262.42527</v>
      </c>
      <c r="B4" s="1" t="str">
        <f>'1.5'!B:B</f>
        <v>bnco1012@signalschool.ac.th</v>
      </c>
      <c r="C4" s="1" t="str">
        <f>'1.5'!C:C</f>
        <v>ร.ต.วสัน ทัศนามล</v>
      </c>
      <c r="D4" s="9">
        <v>1.0</v>
      </c>
      <c r="E4" s="10">
        <f>IFERROR(vlookup('1.5'!D:D,lookup!$A$2:$B$4,2,false),0)</f>
        <v>5</v>
      </c>
      <c r="F4" s="10">
        <f>IFERROR(vlookup('1.5'!E:E,lookup!$A$6:$B$8,2,false),0)</f>
        <v>5</v>
      </c>
      <c r="G4" s="10">
        <f>IFERROR(vlookup('1.5'!F:F,lookup!$A$10:$B$12,2,false),0)</f>
        <v>5</v>
      </c>
      <c r="H4" s="10">
        <f>IFERROR(vlookup('1.5'!G:G,lookup!$A$14:$B$16,2,false),0)</f>
        <v>5</v>
      </c>
      <c r="I4" s="10">
        <f>IFERROR(vlookup('1.5'!H:H,lookup!$A$18:$B$20,2,false),0)</f>
        <v>5</v>
      </c>
      <c r="J4" s="10">
        <f>IFERROR(vlookup('1.5'!I:I,lookup!$A$22:$B$24,2,false),0)</f>
        <v>3</v>
      </c>
      <c r="K4" s="10">
        <f>IFERROR(vlookup('1.5'!J:J,lookup!$A$26:$B$28,2,false),0)</f>
        <v>5</v>
      </c>
      <c r="L4" s="1"/>
      <c r="M4" s="10">
        <v>3.0</v>
      </c>
      <c r="N4" s="11" t="str">
        <f t="shared" si="1"/>
        <v>bnco1003@signalschool.ac.th</v>
      </c>
      <c r="O4" s="12">
        <f t="shared" si="2"/>
        <v>1</v>
      </c>
      <c r="R4" s="6" t="s">
        <v>141</v>
      </c>
    </row>
    <row r="5">
      <c r="A5" s="8">
        <f>'1.5'!A:A</f>
        <v>46262.42805</v>
      </c>
      <c r="B5" s="1" t="str">
        <f>'1.5'!B:B</f>
        <v>bnco1041@signalschool.ac.th</v>
      </c>
      <c r="C5" s="1" t="str">
        <f>'1.5'!C:C</f>
        <v>ร.ต.วสันต์ ทัศนามล</v>
      </c>
      <c r="D5" s="9">
        <v>1.0</v>
      </c>
      <c r="E5" s="10">
        <f>IFERROR(vlookup('1.5'!D:D,lookup!$A$2:$B$4,2,false),0)</f>
        <v>5</v>
      </c>
      <c r="F5" s="10">
        <f>IFERROR(vlookup('1.5'!E:E,lookup!$A$6:$B$8,2,false),0)</f>
        <v>5</v>
      </c>
      <c r="G5" s="10">
        <f>IFERROR(vlookup('1.5'!F:F,lookup!$A$10:$B$12,2,false),0)</f>
        <v>5</v>
      </c>
      <c r="H5" s="10">
        <f>IFERROR(vlookup('1.5'!G:G,lookup!$A$14:$B$16,2,false),0)</f>
        <v>5</v>
      </c>
      <c r="I5" s="10">
        <f>IFERROR(vlookup('1.5'!H:H,lookup!$A$18:$B$20,2,false),0)</f>
        <v>5</v>
      </c>
      <c r="J5" s="10">
        <f>IFERROR(vlookup('1.5'!I:I,lookup!$A$22:$B$24,2,false),0)</f>
        <v>5</v>
      </c>
      <c r="K5" s="10">
        <f>IFERROR(vlookup('1.5'!J:J,lookup!$A$26:$B$28,2,false),0)</f>
        <v>5</v>
      </c>
      <c r="L5" s="1"/>
      <c r="M5" s="10">
        <v>4.0</v>
      </c>
      <c r="N5" s="11" t="str">
        <f t="shared" si="1"/>
        <v>bnco1004@signalschool.ac.th</v>
      </c>
      <c r="O5" s="12">
        <f t="shared" si="2"/>
        <v>1</v>
      </c>
      <c r="R5" s="6" t="s">
        <v>143</v>
      </c>
    </row>
    <row r="6">
      <c r="A6" s="8">
        <f>'1.5'!A:A</f>
        <v>46262.42914</v>
      </c>
      <c r="B6" s="1" t="str">
        <f>'1.5'!B:B</f>
        <v>bnco1062@signalschool.ac.th</v>
      </c>
      <c r="C6" s="1" t="str">
        <f>'1.5'!C:C</f>
        <v>ร.ต.วสันต์ ทัศนามล </v>
      </c>
      <c r="D6" s="9">
        <v>1.0</v>
      </c>
      <c r="E6" s="10">
        <f>IFERROR(vlookup('1.5'!D:D,lookup!$A$2:$B$4,2,false),0)</f>
        <v>5</v>
      </c>
      <c r="F6" s="10">
        <f>IFERROR(vlookup('1.5'!E:E,lookup!$A$6:$B$8,2,false),0)</f>
        <v>5</v>
      </c>
      <c r="G6" s="10">
        <f>IFERROR(vlookup('1.5'!F:F,lookup!$A$10:$B$12,2,false),0)</f>
        <v>5</v>
      </c>
      <c r="H6" s="10">
        <f>IFERROR(vlookup('1.5'!G:G,lookup!$A$14:$B$16,2,false),0)</f>
        <v>5</v>
      </c>
      <c r="I6" s="10">
        <f>IFERROR(vlookup('1.5'!H:H,lookup!$A$18:$B$20,2,false),0)</f>
        <v>5</v>
      </c>
      <c r="J6" s="10">
        <f>IFERROR(vlookup('1.5'!I:I,lookup!$A$22:$B$24,2,false),0)</f>
        <v>5</v>
      </c>
      <c r="K6" s="10">
        <f>IFERROR(vlookup('1.5'!J:J,lookup!$A$26:$B$28,2,false),0)</f>
        <v>5</v>
      </c>
      <c r="L6" s="1"/>
      <c r="M6" s="10">
        <v>5.0</v>
      </c>
      <c r="N6" s="11" t="str">
        <f t="shared" si="1"/>
        <v>bnco1005@signalschool.ac.th</v>
      </c>
      <c r="O6" s="12">
        <f t="shared" si="2"/>
        <v>1</v>
      </c>
      <c r="R6" s="6" t="s">
        <v>144</v>
      </c>
    </row>
    <row r="7">
      <c r="A7" s="8">
        <f>'1.5'!A:A</f>
        <v>46262.44154</v>
      </c>
      <c r="B7" s="1" t="str">
        <f>'1.5'!B:B</f>
        <v>bnco1006@signalschool.ac.th</v>
      </c>
      <c r="C7" s="1" t="str">
        <f>'1.5'!C:C</f>
        <v>ร.ต.วสันต์ ทัศนามล</v>
      </c>
      <c r="D7" s="9">
        <v>1.0</v>
      </c>
      <c r="E7" s="10">
        <f>IFERROR(vlookup('1.5'!D:D,lookup!$A$2:$B$4,2,false),0)</f>
        <v>5</v>
      </c>
      <c r="F7" s="10">
        <f>IFERROR(vlookup('1.5'!E:E,lookup!$A$6:$B$8,2,false),0)</f>
        <v>5</v>
      </c>
      <c r="G7" s="10">
        <f>IFERROR(vlookup('1.5'!F:F,lookup!$A$10:$B$12,2,false),0)</f>
        <v>5</v>
      </c>
      <c r="H7" s="10">
        <f>IFERROR(vlookup('1.5'!G:G,lookup!$A$14:$B$16,2,false),0)</f>
        <v>3</v>
      </c>
      <c r="I7" s="10">
        <f>IFERROR(vlookup('1.5'!H:H,lookup!$A$18:$B$20,2,false),0)</f>
        <v>3</v>
      </c>
      <c r="J7" s="10">
        <f>IFERROR(vlookup('1.5'!I:I,lookup!$A$22:$B$24,2,false),0)</f>
        <v>5</v>
      </c>
      <c r="K7" s="10">
        <f>IFERROR(vlookup('1.5'!J:J,lookup!$A$26:$B$28,2,false),0)</f>
        <v>5</v>
      </c>
      <c r="L7" s="1"/>
      <c r="M7" s="10">
        <v>6.0</v>
      </c>
      <c r="N7" s="11" t="str">
        <f t="shared" si="1"/>
        <v>bnco1006@signalschool.ac.th</v>
      </c>
      <c r="O7" s="12">
        <f t="shared" si="2"/>
        <v>1</v>
      </c>
      <c r="R7" s="6" t="s">
        <v>145</v>
      </c>
    </row>
    <row r="8">
      <c r="A8" s="8">
        <f>'1.5'!A:A</f>
        <v>46262.44563</v>
      </c>
      <c r="B8" s="1" t="str">
        <f>'1.5'!B:B</f>
        <v>bnco1051@signalschool.ac.th</v>
      </c>
      <c r="C8" s="1" t="str">
        <f>'1.5'!C:C</f>
        <v>ร.ต.วสันต์ ทัศนามล</v>
      </c>
      <c r="D8" s="9">
        <v>1.0</v>
      </c>
      <c r="E8" s="10">
        <f>IFERROR(vlookup('1.5'!D:D,lookup!$A$2:$B$4,2,false),0)</f>
        <v>5</v>
      </c>
      <c r="F8" s="10">
        <f>IFERROR(vlookup('1.5'!E:E,lookup!$A$6:$B$8,2,false),0)</f>
        <v>5</v>
      </c>
      <c r="G8" s="10">
        <f>IFERROR(vlookup('1.5'!F:F,lookup!$A$10:$B$12,2,false),0)</f>
        <v>5</v>
      </c>
      <c r="H8" s="10">
        <f>IFERROR(vlookup('1.5'!G:G,lookup!$A$14:$B$16,2,false),0)</f>
        <v>5</v>
      </c>
      <c r="I8" s="10">
        <f>IFERROR(vlookup('1.5'!H:H,lookup!$A$18:$B$20,2,false),0)</f>
        <v>5</v>
      </c>
      <c r="J8" s="10">
        <f>IFERROR(vlookup('1.5'!I:I,lookup!$A$22:$B$24,2,false),0)</f>
        <v>5</v>
      </c>
      <c r="K8" s="10">
        <f>IFERROR(vlookup('1.5'!J:J,lookup!$A$26:$B$28,2,false),0)</f>
        <v>5</v>
      </c>
      <c r="L8" s="1"/>
      <c r="M8" s="10">
        <v>7.0</v>
      </c>
      <c r="N8" s="11" t="str">
        <f t="shared" si="1"/>
        <v>bnco1007@signalschool.ac.th</v>
      </c>
      <c r="O8" s="12">
        <f t="shared" si="2"/>
        <v>0</v>
      </c>
      <c r="R8" s="6" t="s">
        <v>155</v>
      </c>
    </row>
    <row r="9">
      <c r="A9" s="8">
        <f>'1.5'!A:A</f>
        <v>46262.4457</v>
      </c>
      <c r="B9" s="1" t="str">
        <f>'1.5'!B:B</f>
        <v>bnco1050@signalschool.ac.th</v>
      </c>
      <c r="C9" s="1" t="str">
        <f>'1.5'!C:C</f>
        <v>ร.ต.วสันต์ ทัศนามล</v>
      </c>
      <c r="D9" s="9">
        <v>1.0</v>
      </c>
      <c r="E9" s="10">
        <f>IFERROR(vlookup('1.5'!D:D,lookup!$A$2:$B$4,2,false),0)</f>
        <v>5</v>
      </c>
      <c r="F9" s="10">
        <f>IFERROR(vlookup('1.5'!E:E,lookup!$A$6:$B$8,2,false),0)</f>
        <v>5</v>
      </c>
      <c r="G9" s="10">
        <f>IFERROR(vlookup('1.5'!F:F,lookup!$A$10:$B$12,2,false),0)</f>
        <v>5</v>
      </c>
      <c r="H9" s="10">
        <f>IFERROR(vlookup('1.5'!G:G,lookup!$A$14:$B$16,2,false),0)</f>
        <v>5</v>
      </c>
      <c r="I9" s="10">
        <f>IFERROR(vlookup('1.5'!H:H,lookup!$A$18:$B$20,2,false),0)</f>
        <v>5</v>
      </c>
      <c r="J9" s="10">
        <f>IFERROR(vlookup('1.5'!I:I,lookup!$A$22:$B$24,2,false),0)</f>
        <v>5</v>
      </c>
      <c r="K9" s="10">
        <f>IFERROR(vlookup('1.5'!J:J,lookup!$A$26:$B$28,2,false),0)</f>
        <v>5</v>
      </c>
      <c r="L9" s="1"/>
      <c r="M9" s="10">
        <v>8.0</v>
      </c>
      <c r="N9" s="11" t="str">
        <f t="shared" si="1"/>
        <v>bnco1008@signalschool.ac.th</v>
      </c>
      <c r="O9" s="12">
        <f t="shared" si="2"/>
        <v>1</v>
      </c>
      <c r="R9" s="6" t="s">
        <v>166</v>
      </c>
    </row>
    <row r="10">
      <c r="A10" s="8">
        <f>'1.5'!A:A</f>
        <v>46262.44578</v>
      </c>
      <c r="B10" s="1" t="str">
        <f>'1.5'!B:B</f>
        <v>bnco1052@signalschool.ac.th</v>
      </c>
      <c r="C10" s="1" t="str">
        <f>'1.5'!C:C</f>
        <v>ร.ต.วสันต์</v>
      </c>
      <c r="D10" s="9">
        <v>1.0</v>
      </c>
      <c r="E10" s="10">
        <f>IFERROR(vlookup('1.5'!D:D,lookup!$A$2:$B$4,2,false),0)</f>
        <v>5</v>
      </c>
      <c r="F10" s="10">
        <f>IFERROR(vlookup('1.5'!E:E,lookup!$A$6:$B$8,2,false),0)</f>
        <v>5</v>
      </c>
      <c r="G10" s="10">
        <f>IFERROR(vlookup('1.5'!F:F,lookup!$A$10:$B$12,2,false),0)</f>
        <v>5</v>
      </c>
      <c r="H10" s="10">
        <f>IFERROR(vlookup('1.5'!G:G,lookup!$A$14:$B$16,2,false),0)</f>
        <v>5</v>
      </c>
      <c r="I10" s="10">
        <f>IFERROR(vlookup('1.5'!H:H,lookup!$A$18:$B$20,2,false),0)</f>
        <v>5</v>
      </c>
      <c r="J10" s="10">
        <f>IFERROR(vlookup('1.5'!I:I,lookup!$A$22:$B$24,2,false),0)</f>
        <v>5</v>
      </c>
      <c r="K10" s="10">
        <f>IFERROR(vlookup('1.5'!J:J,lookup!$A$26:$B$28,2,false),0)</f>
        <v>5</v>
      </c>
      <c r="L10" s="1"/>
      <c r="M10" s="10">
        <v>9.0</v>
      </c>
      <c r="N10" s="11" t="str">
        <f t="shared" si="1"/>
        <v>bnco1009@signalschool.ac.th</v>
      </c>
      <c r="O10" s="12">
        <f t="shared" si="2"/>
        <v>1</v>
      </c>
      <c r="R10" s="6" t="s">
        <v>175</v>
      </c>
    </row>
    <row r="11">
      <c r="A11" s="8">
        <f>'1.5'!A:A</f>
        <v>46262.446</v>
      </c>
      <c r="B11" s="1" t="str">
        <f>'1.5'!B:B</f>
        <v>bnco1018@signalschool.ac.th</v>
      </c>
      <c r="C11" s="1" t="str">
        <f>'1.5'!C:C</f>
        <v>ร.ต.วสันต์ ทัศนามล</v>
      </c>
      <c r="D11" s="9">
        <v>1.0</v>
      </c>
      <c r="E11" s="10">
        <f>IFERROR(vlookup('1.5'!D:D,lookup!$A$2:$B$4,2,false),0)</f>
        <v>5</v>
      </c>
      <c r="F11" s="10">
        <f>IFERROR(vlookup('1.5'!E:E,lookup!$A$6:$B$8,2,false),0)</f>
        <v>5</v>
      </c>
      <c r="G11" s="10">
        <f>IFERROR(vlookup('1.5'!F:F,lookup!$A$10:$B$12,2,false),0)</f>
        <v>5</v>
      </c>
      <c r="H11" s="10">
        <f>IFERROR(vlookup('1.5'!G:G,lookup!$A$14:$B$16,2,false),0)</f>
        <v>5</v>
      </c>
      <c r="I11" s="10">
        <f>IFERROR(vlookup('1.5'!H:H,lookup!$A$18:$B$20,2,false),0)</f>
        <v>5</v>
      </c>
      <c r="J11" s="10">
        <f>IFERROR(vlookup('1.5'!I:I,lookup!$A$22:$B$24,2,false),0)</f>
        <v>5</v>
      </c>
      <c r="K11" s="10">
        <f>IFERROR(vlookup('1.5'!J:J,lookup!$A$26:$B$28,2,false),0)</f>
        <v>5</v>
      </c>
      <c r="L11" s="1"/>
      <c r="M11" s="10">
        <v>10.0</v>
      </c>
      <c r="N11" s="11" t="str">
        <f t="shared" si="1"/>
        <v>bnco1010@signalschool.ac.th</v>
      </c>
      <c r="O11" s="12">
        <f t="shared" si="2"/>
        <v>0</v>
      </c>
      <c r="R11" s="6" t="s">
        <v>192</v>
      </c>
    </row>
    <row r="12">
      <c r="A12" s="8">
        <f>'1.5'!A:A</f>
        <v>46262.44769</v>
      </c>
      <c r="B12" s="1" t="str">
        <f>'1.5'!B:B</f>
        <v>bnco1058@signalschool.ac.th</v>
      </c>
      <c r="C12" s="1" t="str">
        <f>'1.5'!C:C</f>
        <v>ร.ต.วสันต์  ทัศนามล, จ.ส.อ.ประกาศิต แซ่เจียม, จ.ส.อ.วรากร  ไตรศัพท์</v>
      </c>
      <c r="D12" s="9">
        <v>1.0</v>
      </c>
      <c r="E12" s="10">
        <f>IFERROR(vlookup('1.5'!D:D,lookup!$A$2:$B$4,2,false),0)</f>
        <v>5</v>
      </c>
      <c r="F12" s="10">
        <f>IFERROR(vlookup('1.5'!E:E,lookup!$A$6:$B$8,2,false),0)</f>
        <v>5</v>
      </c>
      <c r="G12" s="10">
        <f>IFERROR(vlookup('1.5'!F:F,lookup!$A$10:$B$12,2,false),0)</f>
        <v>5</v>
      </c>
      <c r="H12" s="10">
        <f>IFERROR(vlookup('1.5'!G:G,lookup!$A$14:$B$16,2,false),0)</f>
        <v>5</v>
      </c>
      <c r="I12" s="10">
        <f>IFERROR(vlookup('1.5'!H:H,lookup!$A$18:$B$20,2,false),0)</f>
        <v>5</v>
      </c>
      <c r="J12" s="10">
        <f>IFERROR(vlookup('1.5'!I:I,lookup!$A$22:$B$24,2,false),0)</f>
        <v>5</v>
      </c>
      <c r="K12" s="10">
        <f>IFERROR(vlookup('1.5'!J:J,lookup!$A$26:$B$28,2,false),0)</f>
        <v>5</v>
      </c>
      <c r="L12" s="1"/>
      <c r="M12" s="10">
        <v>11.0</v>
      </c>
      <c r="N12" s="11" t="str">
        <f t="shared" si="1"/>
        <v>bnco1011@signalschool.ac.th</v>
      </c>
      <c r="O12" s="12">
        <f t="shared" si="2"/>
        <v>1</v>
      </c>
      <c r="R12" s="6" t="s">
        <v>209</v>
      </c>
    </row>
    <row r="13">
      <c r="A13" s="8">
        <f>'1.5'!A:A</f>
        <v>46262.4491</v>
      </c>
      <c r="B13" s="1" t="str">
        <f>'1.5'!B:B</f>
        <v>bnco1013@signalschool.ac.th</v>
      </c>
      <c r="C13" s="1" t="str">
        <f>'1.5'!C:C</f>
        <v>ร.ต.วสันต์ ทัศนามล</v>
      </c>
      <c r="D13" s="9">
        <v>1.0</v>
      </c>
      <c r="E13" s="10">
        <f>IFERROR(vlookup('1.5'!D:D,lookup!$A$2:$B$4,2,false),0)</f>
        <v>5</v>
      </c>
      <c r="F13" s="10">
        <f>IFERROR(vlookup('1.5'!E:E,lookup!$A$6:$B$8,2,false),0)</f>
        <v>5</v>
      </c>
      <c r="G13" s="10">
        <f>IFERROR(vlookup('1.5'!F:F,lookup!$A$10:$B$12,2,false),0)</f>
        <v>5</v>
      </c>
      <c r="H13" s="10">
        <f>IFERROR(vlookup('1.5'!G:G,lookup!$A$14:$B$16,2,false),0)</f>
        <v>5</v>
      </c>
      <c r="I13" s="10">
        <f>IFERROR(vlookup('1.5'!H:H,lookup!$A$18:$B$20,2,false),0)</f>
        <v>5</v>
      </c>
      <c r="J13" s="10">
        <f>IFERROR(vlookup('1.5'!I:I,lookup!$A$22:$B$24,2,false),0)</f>
        <v>5</v>
      </c>
      <c r="K13" s="10">
        <f>IFERROR(vlookup('1.5'!J:J,lookup!$A$26:$B$28,2,false),0)</f>
        <v>5</v>
      </c>
      <c r="L13" s="1"/>
      <c r="M13" s="10">
        <v>12.0</v>
      </c>
      <c r="N13" s="11" t="str">
        <f t="shared" si="1"/>
        <v>bnco1012@signalschool.ac.th</v>
      </c>
      <c r="O13" s="12">
        <f t="shared" si="2"/>
        <v>1</v>
      </c>
      <c r="R13" s="6" t="s">
        <v>213</v>
      </c>
    </row>
    <row r="14">
      <c r="A14" s="8">
        <f>'1.5'!A:A</f>
        <v>46262.45159</v>
      </c>
      <c r="B14" s="1" t="str">
        <f>'1.5'!B:B</f>
        <v>bnco1038@signalschool.ac.th</v>
      </c>
      <c r="C14" s="1" t="str">
        <f>'1.5'!C:C</f>
        <v>ร.ต.วสันต์ ทัศนามล</v>
      </c>
      <c r="D14" s="9">
        <v>1.0</v>
      </c>
      <c r="E14" s="10">
        <f>IFERROR(vlookup('1.5'!D:D,lookup!$A$2:$B$4,2,false),0)</f>
        <v>5</v>
      </c>
      <c r="F14" s="10">
        <f>IFERROR(vlookup('1.5'!E:E,lookup!$A$6:$B$8,2,false),0)</f>
        <v>5</v>
      </c>
      <c r="G14" s="10">
        <f>IFERROR(vlookup('1.5'!F:F,lookup!$A$10:$B$12,2,false),0)</f>
        <v>5</v>
      </c>
      <c r="H14" s="10">
        <f>IFERROR(vlookup('1.5'!G:G,lookup!$A$14:$B$16,2,false),0)</f>
        <v>5</v>
      </c>
      <c r="I14" s="10">
        <f>IFERROR(vlookup('1.5'!H:H,lookup!$A$18:$B$20,2,false),0)</f>
        <v>5</v>
      </c>
      <c r="J14" s="10">
        <f>IFERROR(vlookup('1.5'!I:I,lookup!$A$22:$B$24,2,false),0)</f>
        <v>5</v>
      </c>
      <c r="K14" s="10">
        <f>IFERROR(vlookup('1.5'!J:J,lookup!$A$26:$B$28,2,false),0)</f>
        <v>5</v>
      </c>
      <c r="L14" s="1"/>
      <c r="M14" s="10">
        <v>13.0</v>
      </c>
      <c r="N14" s="11" t="str">
        <f t="shared" si="1"/>
        <v>bnco1013@signalschool.ac.th</v>
      </c>
      <c r="O14" s="12">
        <f t="shared" si="2"/>
        <v>1</v>
      </c>
      <c r="R14" s="6" t="s">
        <v>214</v>
      </c>
    </row>
    <row r="15">
      <c r="A15" s="8">
        <f>'1.5'!A:A</f>
        <v>46262.45237</v>
      </c>
      <c r="B15" s="1" t="str">
        <f>'1.5'!B:B</f>
        <v>bnco1035@signalschool.ac.th</v>
      </c>
      <c r="C15" s="1" t="str">
        <f>'1.5'!C:C</f>
        <v>ร.ต. วสันต์ ทัศนามล</v>
      </c>
      <c r="D15" s="9">
        <v>1.0</v>
      </c>
      <c r="E15" s="10">
        <f>IFERROR(vlookup('1.5'!D:D,lookup!$A$2:$B$4,2,false),0)</f>
        <v>5</v>
      </c>
      <c r="F15" s="10">
        <f>IFERROR(vlookup('1.5'!E:E,lookup!$A$6:$B$8,2,false),0)</f>
        <v>5</v>
      </c>
      <c r="G15" s="10">
        <f>IFERROR(vlookup('1.5'!F:F,lookup!$A$10:$B$12,2,false),0)</f>
        <v>5</v>
      </c>
      <c r="H15" s="10">
        <f>IFERROR(vlookup('1.5'!G:G,lookup!$A$14:$B$16,2,false),0)</f>
        <v>5</v>
      </c>
      <c r="I15" s="10">
        <f>IFERROR(vlookup('1.5'!H:H,lookup!$A$18:$B$20,2,false),0)</f>
        <v>5</v>
      </c>
      <c r="J15" s="10">
        <f>IFERROR(vlookup('1.5'!I:I,lookup!$A$22:$B$24,2,false),0)</f>
        <v>5</v>
      </c>
      <c r="K15" s="10">
        <f>IFERROR(vlookup('1.5'!J:J,lookup!$A$26:$B$28,2,false),0)</f>
        <v>5</v>
      </c>
      <c r="L15" s="1"/>
      <c r="M15" s="10">
        <v>14.0</v>
      </c>
      <c r="N15" s="11" t="str">
        <f t="shared" si="1"/>
        <v>bnco1014@signalschool.ac.th</v>
      </c>
      <c r="O15" s="12">
        <f t="shared" si="2"/>
        <v>1</v>
      </c>
      <c r="R15" s="6" t="s">
        <v>215</v>
      </c>
    </row>
    <row r="16">
      <c r="A16" s="8">
        <f>'1.5'!A:A</f>
        <v>46262.45862</v>
      </c>
      <c r="B16" s="1" t="str">
        <f>'1.5'!B:B</f>
        <v>bnco1070@signalschool.ac.th</v>
      </c>
      <c r="C16" s="1" t="str">
        <f>'1.5'!C:C</f>
        <v>ร.ต.วสันต์ ทัศนามล</v>
      </c>
      <c r="D16" s="9">
        <v>1.0</v>
      </c>
      <c r="E16" s="10">
        <f>IFERROR(vlookup('1.5'!D:D,lookup!$A$2:$B$4,2,false),0)</f>
        <v>5</v>
      </c>
      <c r="F16" s="10">
        <f>IFERROR(vlookup('1.5'!E:E,lookup!$A$6:$B$8,2,false),0)</f>
        <v>3</v>
      </c>
      <c r="G16" s="10">
        <f>IFERROR(vlookup('1.5'!F:F,lookup!$A$10:$B$12,2,false),0)</f>
        <v>5</v>
      </c>
      <c r="H16" s="10">
        <f>IFERROR(vlookup('1.5'!G:G,lookup!$A$14:$B$16,2,false),0)</f>
        <v>5</v>
      </c>
      <c r="I16" s="10">
        <f>IFERROR(vlookup('1.5'!H:H,lookup!$A$18:$B$20,2,false),0)</f>
        <v>5</v>
      </c>
      <c r="J16" s="10">
        <f>IFERROR(vlookup('1.5'!I:I,lookup!$A$22:$B$24,2,false),0)</f>
        <v>3</v>
      </c>
      <c r="K16" s="10">
        <f>IFERROR(vlookup('1.5'!J:J,lookup!$A$26:$B$28,2,false),0)</f>
        <v>5</v>
      </c>
      <c r="L16" s="1"/>
      <c r="M16" s="10">
        <v>15.0</v>
      </c>
      <c r="N16" s="11" t="str">
        <f t="shared" si="1"/>
        <v>bnco1015@signalschool.ac.th</v>
      </c>
      <c r="O16" s="12">
        <f t="shared" si="2"/>
        <v>1</v>
      </c>
      <c r="R16" s="6" t="s">
        <v>221</v>
      </c>
    </row>
    <row r="17">
      <c r="A17" s="8">
        <f>'1.5'!A:A</f>
        <v>46262.45984</v>
      </c>
      <c r="B17" s="1" t="str">
        <f>'1.5'!B:B</f>
        <v>bnco1036@signalschool.ac.th</v>
      </c>
      <c r="C17" s="1" t="str">
        <f>'1.5'!C:C</f>
        <v>ร.ต.วสันต์ ทัศนามล จ.ส.อ.ประกาศิต แซ่เจียม จ.ส.อ.วรากร ไตรศัพท์ จ.ส.ท.ศุภกิตติ์ ปัญญาจักร</v>
      </c>
      <c r="D17" s="9">
        <v>1.0</v>
      </c>
      <c r="E17" s="10">
        <f>IFERROR(vlookup('1.5'!D:D,lookup!$A$2:$B$4,2,false),0)</f>
        <v>5</v>
      </c>
      <c r="F17" s="10">
        <f>IFERROR(vlookup('1.5'!E:E,lookup!$A$6:$B$8,2,false),0)</f>
        <v>5</v>
      </c>
      <c r="G17" s="10">
        <f>IFERROR(vlookup('1.5'!F:F,lookup!$A$10:$B$12,2,false),0)</f>
        <v>5</v>
      </c>
      <c r="H17" s="10">
        <f>IFERROR(vlookup('1.5'!G:G,lookup!$A$14:$B$16,2,false),0)</f>
        <v>5</v>
      </c>
      <c r="I17" s="10">
        <f>IFERROR(vlookup('1.5'!H:H,lookup!$A$18:$B$20,2,false),0)</f>
        <v>5</v>
      </c>
      <c r="J17" s="10">
        <f>IFERROR(vlookup('1.5'!I:I,lookup!$A$22:$B$24,2,false),0)</f>
        <v>5</v>
      </c>
      <c r="K17" s="10">
        <f>IFERROR(vlookup('1.5'!J:J,lookup!$A$26:$B$28,2,false),0)</f>
        <v>5</v>
      </c>
      <c r="L17" s="1"/>
      <c r="M17" s="10">
        <v>16.0</v>
      </c>
      <c r="N17" s="11" t="str">
        <f t="shared" si="1"/>
        <v>bnco1016@signalschool.ac.th</v>
      </c>
      <c r="O17" s="12">
        <f t="shared" si="2"/>
        <v>1</v>
      </c>
      <c r="R17" s="6" t="s">
        <v>223</v>
      </c>
    </row>
    <row r="18">
      <c r="A18" s="8">
        <f>'1.5'!A:A</f>
        <v>46262.46244</v>
      </c>
      <c r="B18" s="1" t="str">
        <f>'1.5'!B:B</f>
        <v>bnco1042@signalschool.ac.th</v>
      </c>
      <c r="C18" s="1" t="str">
        <f>'1.5'!C:C</f>
        <v>ร.ต.วสัตน์  ทัศนามล</v>
      </c>
      <c r="D18" s="9">
        <v>1.0</v>
      </c>
      <c r="E18" s="10">
        <f>IFERROR(vlookup('1.5'!D:D,lookup!$A$2:$B$4,2,false),0)</f>
        <v>5</v>
      </c>
      <c r="F18" s="10">
        <f>IFERROR(vlookup('1.5'!E:E,lookup!$A$6:$B$8,2,false),0)</f>
        <v>5</v>
      </c>
      <c r="G18" s="10">
        <f>IFERROR(vlookup('1.5'!F:F,lookup!$A$10:$B$12,2,false),0)</f>
        <v>5</v>
      </c>
      <c r="H18" s="10">
        <f>IFERROR(vlookup('1.5'!G:G,lookup!$A$14:$B$16,2,false),0)</f>
        <v>5</v>
      </c>
      <c r="I18" s="10">
        <f>IFERROR(vlookup('1.5'!H:H,lookup!$A$18:$B$20,2,false),0)</f>
        <v>5</v>
      </c>
      <c r="J18" s="10">
        <f>IFERROR(vlookup('1.5'!I:I,lookup!$A$22:$B$24,2,false),0)</f>
        <v>5</v>
      </c>
      <c r="K18" s="10">
        <f>IFERROR(vlookup('1.5'!J:J,lookup!$A$26:$B$28,2,false),0)</f>
        <v>5</v>
      </c>
      <c r="L18" s="1"/>
      <c r="M18" s="10">
        <v>17.0</v>
      </c>
      <c r="N18" s="11" t="str">
        <f t="shared" si="1"/>
        <v>bnco1017@signalschool.ac.th</v>
      </c>
      <c r="O18" s="12">
        <f t="shared" si="2"/>
        <v>1</v>
      </c>
      <c r="R18" s="6" t="s">
        <v>229</v>
      </c>
    </row>
    <row r="19">
      <c r="A19" s="8">
        <f>'1.5'!A:A</f>
        <v>46262.46564</v>
      </c>
      <c r="B19" s="1" t="str">
        <f>'1.5'!B:B</f>
        <v>bnco1003@signalschool.ac.th</v>
      </c>
      <c r="C19" s="1" t="str">
        <f>'1.5'!C:C</f>
        <v>ร.ต.วสันต์  ทัศนามล</v>
      </c>
      <c r="D19" s="9">
        <v>1.0</v>
      </c>
      <c r="E19" s="10">
        <f>IFERROR(vlookup('1.5'!D:D,lookup!$A$2:$B$4,2,false),0)</f>
        <v>5</v>
      </c>
      <c r="F19" s="10">
        <f>IFERROR(vlookup('1.5'!E:E,lookup!$A$6:$B$8,2,false),0)</f>
        <v>5</v>
      </c>
      <c r="G19" s="10">
        <f>IFERROR(vlookup('1.5'!F:F,lookup!$A$10:$B$12,2,false),0)</f>
        <v>5</v>
      </c>
      <c r="H19" s="10">
        <f>IFERROR(vlookup('1.5'!G:G,lookup!$A$14:$B$16,2,false),0)</f>
        <v>5</v>
      </c>
      <c r="I19" s="10">
        <f>IFERROR(vlookup('1.5'!H:H,lookup!$A$18:$B$20,2,false),0)</f>
        <v>5</v>
      </c>
      <c r="J19" s="10">
        <f>IFERROR(vlookup('1.5'!I:I,lookup!$A$22:$B$24,2,false),0)</f>
        <v>5</v>
      </c>
      <c r="K19" s="10">
        <f>IFERROR(vlookup('1.5'!J:J,lookup!$A$26:$B$28,2,false),0)</f>
        <v>5</v>
      </c>
      <c r="L19" s="1"/>
      <c r="M19" s="10">
        <v>18.0</v>
      </c>
      <c r="N19" s="11" t="str">
        <f t="shared" si="1"/>
        <v>bnco1018@signalschool.ac.th</v>
      </c>
      <c r="O19" s="12">
        <f t="shared" si="2"/>
        <v>1</v>
      </c>
      <c r="R19" s="6" t="s">
        <v>232</v>
      </c>
    </row>
    <row r="20">
      <c r="A20" s="8">
        <f>'1.5'!A:A</f>
        <v>46262.48139</v>
      </c>
      <c r="B20" s="1" t="str">
        <f>'1.5'!B:B</f>
        <v>bnco1079@signalschool.ac.th</v>
      </c>
      <c r="C20" s="1" t="str">
        <f>'1.5'!C:C</f>
        <v>ร.ต.วสันต์ ทัศนามล จ.ส.อ.ประกาศิต แซ่เจียม จ.ส.อ.วรากร ไตรศัพท์จ.ส.ท.ศุภกิตติ์ ปัญญาจักร</v>
      </c>
      <c r="D20" s="9">
        <v>1.0</v>
      </c>
      <c r="E20" s="10">
        <f>IFERROR(vlookup('1.5'!D:D,lookup!$A$2:$B$4,2,false),0)</f>
        <v>5</v>
      </c>
      <c r="F20" s="10">
        <f>IFERROR(vlookup('1.5'!E:E,lookup!$A$6:$B$8,2,false),0)</f>
        <v>5</v>
      </c>
      <c r="G20" s="10">
        <f>IFERROR(vlookup('1.5'!F:F,lookup!$A$10:$B$12,2,false),0)</f>
        <v>5</v>
      </c>
      <c r="H20" s="10">
        <f>IFERROR(vlookup('1.5'!G:G,lookup!$A$14:$B$16,2,false),0)</f>
        <v>5</v>
      </c>
      <c r="I20" s="10">
        <f>IFERROR(vlookup('1.5'!H:H,lookup!$A$18:$B$20,2,false),0)</f>
        <v>5</v>
      </c>
      <c r="J20" s="10">
        <f>IFERROR(vlookup('1.5'!I:I,lookup!$A$22:$B$24,2,false),0)</f>
        <v>5</v>
      </c>
      <c r="K20" s="10">
        <f>IFERROR(vlookup('1.5'!J:J,lookup!$A$26:$B$28,2,false),0)</f>
        <v>5</v>
      </c>
      <c r="L20" s="1"/>
      <c r="M20" s="10">
        <v>19.0</v>
      </c>
      <c r="N20" s="11" t="str">
        <f t="shared" si="1"/>
        <v>bnco1019@signalschool.ac.th</v>
      </c>
      <c r="O20" s="12">
        <f t="shared" si="2"/>
        <v>1</v>
      </c>
      <c r="R20" s="6" t="s">
        <v>233</v>
      </c>
    </row>
    <row r="21">
      <c r="A21" s="8">
        <f>'1.5'!A:A</f>
        <v>46262.48374</v>
      </c>
      <c r="B21" s="1" t="str">
        <f>'1.5'!B:B</f>
        <v>bnco1032@signalschool.ac.th</v>
      </c>
      <c r="C21" s="1" t="str">
        <f>'1.5'!C:C</f>
        <v>ร.ต.วสันต์ ทัศนามล</v>
      </c>
      <c r="D21" s="9">
        <v>1.0</v>
      </c>
      <c r="E21" s="10">
        <f>IFERROR(vlookup('1.5'!D:D,lookup!$A$2:$B$4,2,false),0)</f>
        <v>5</v>
      </c>
      <c r="F21" s="10">
        <f>IFERROR(vlookup('1.5'!E:E,lookup!$A$6:$B$8,2,false),0)</f>
        <v>5</v>
      </c>
      <c r="G21" s="10">
        <f>IFERROR(vlookup('1.5'!F:F,lookup!$A$10:$B$12,2,false),0)</f>
        <v>5</v>
      </c>
      <c r="H21" s="10">
        <f>IFERROR(vlookup('1.5'!G:G,lookup!$A$14:$B$16,2,false),0)</f>
        <v>5</v>
      </c>
      <c r="I21" s="10">
        <f>IFERROR(vlookup('1.5'!H:H,lookup!$A$18:$B$20,2,false),0)</f>
        <v>5</v>
      </c>
      <c r="J21" s="10">
        <f>IFERROR(vlookup('1.5'!I:I,lookup!$A$22:$B$24,2,false),0)</f>
        <v>5</v>
      </c>
      <c r="K21" s="10">
        <f>IFERROR(vlookup('1.5'!J:J,lookup!$A$26:$B$28,2,false),0)</f>
        <v>5</v>
      </c>
      <c r="L21" s="1"/>
      <c r="M21" s="10">
        <v>20.0</v>
      </c>
      <c r="N21" s="11" t="str">
        <f t="shared" si="1"/>
        <v>bnco1020@signalschool.ac.th</v>
      </c>
      <c r="O21" s="12">
        <f t="shared" si="2"/>
        <v>0</v>
      </c>
      <c r="R21" s="6" t="s">
        <v>234</v>
      </c>
    </row>
    <row r="22">
      <c r="A22" s="8">
        <f>'1.5'!A:A</f>
        <v>46262.48819</v>
      </c>
      <c r="B22" s="1" t="str">
        <f>'1.5'!B:B</f>
        <v>bnco1060@signalschool.ac.th</v>
      </c>
      <c r="C22" s="1" t="str">
        <f>'1.5'!C:C</f>
        <v>ร.ต.วสันต์ ทัศนามล</v>
      </c>
      <c r="D22" s="9">
        <v>1.0</v>
      </c>
      <c r="E22" s="10">
        <f>IFERROR(vlookup('1.5'!D:D,lookup!$A$2:$B$4,2,false),0)</f>
        <v>5</v>
      </c>
      <c r="F22" s="10">
        <f>IFERROR(vlookup('1.5'!E:E,lookup!$A$6:$B$8,2,false),0)</f>
        <v>5</v>
      </c>
      <c r="G22" s="10">
        <f>IFERROR(vlookup('1.5'!F:F,lookup!$A$10:$B$12,2,false),0)</f>
        <v>5</v>
      </c>
      <c r="H22" s="10">
        <f>IFERROR(vlookup('1.5'!G:G,lookup!$A$14:$B$16,2,false),0)</f>
        <v>5</v>
      </c>
      <c r="I22" s="10">
        <f>IFERROR(vlookup('1.5'!H:H,lookup!$A$18:$B$20,2,false),0)</f>
        <v>5</v>
      </c>
      <c r="J22" s="10">
        <f>IFERROR(vlookup('1.5'!I:I,lookup!$A$22:$B$24,2,false),0)</f>
        <v>5</v>
      </c>
      <c r="K22" s="10">
        <f>IFERROR(vlookup('1.5'!J:J,lookup!$A$26:$B$28,2,false),0)</f>
        <v>5</v>
      </c>
      <c r="L22" s="1"/>
      <c r="M22" s="10">
        <v>21.0</v>
      </c>
      <c r="N22" s="11" t="str">
        <f t="shared" si="1"/>
        <v>bnco1021@signalschool.ac.th</v>
      </c>
      <c r="O22" s="12">
        <f t="shared" si="2"/>
        <v>1</v>
      </c>
      <c r="R22" s="6" t="s">
        <v>235</v>
      </c>
    </row>
    <row r="23">
      <c r="A23" s="8">
        <f>'1.5'!A:A</f>
        <v>46262.5023</v>
      </c>
      <c r="B23" s="1" t="str">
        <f>'1.5'!B:B</f>
        <v>bnco1063@signalschool.ac.th</v>
      </c>
      <c r="C23" s="1" t="str">
        <f>'1.5'!C:C</f>
        <v>ร.ต.วสันต์ ทัศนามล จ.ส.อ.ประกาศิต แช่เจียม </v>
      </c>
      <c r="D23" s="9">
        <v>1.0</v>
      </c>
      <c r="E23" s="10">
        <f>IFERROR(vlookup('1.5'!D:D,lookup!$A$2:$B$4,2,false),0)</f>
        <v>5</v>
      </c>
      <c r="F23" s="10">
        <f>IFERROR(vlookup('1.5'!E:E,lookup!$A$6:$B$8,2,false),0)</f>
        <v>5</v>
      </c>
      <c r="G23" s="10">
        <f>IFERROR(vlookup('1.5'!F:F,lookup!$A$10:$B$12,2,false),0)</f>
        <v>5</v>
      </c>
      <c r="H23" s="10">
        <f>IFERROR(vlookup('1.5'!G:G,lookup!$A$14:$B$16,2,false),0)</f>
        <v>5</v>
      </c>
      <c r="I23" s="10">
        <f>IFERROR(vlookup('1.5'!H:H,lookup!$A$18:$B$20,2,false),0)</f>
        <v>5</v>
      </c>
      <c r="J23" s="10">
        <f>IFERROR(vlookup('1.5'!I:I,lookup!$A$22:$B$24,2,false),0)</f>
        <v>5</v>
      </c>
      <c r="K23" s="10">
        <f>IFERROR(vlookup('1.5'!J:J,lookup!$A$26:$B$28,2,false),0)</f>
        <v>5</v>
      </c>
      <c r="L23" s="1"/>
      <c r="M23" s="10">
        <v>22.0</v>
      </c>
      <c r="N23" s="11" t="str">
        <f t="shared" si="1"/>
        <v>bnco1022@signalschool.ac.th</v>
      </c>
      <c r="O23" s="12">
        <f t="shared" si="2"/>
        <v>1</v>
      </c>
      <c r="R23" s="6" t="s">
        <v>236</v>
      </c>
    </row>
    <row r="24">
      <c r="A24" s="8">
        <f>'1.5'!A:A</f>
        <v>46262.53117</v>
      </c>
      <c r="B24" s="1" t="str">
        <f>'1.5'!B:B</f>
        <v>bnco1069@signalschool.ac.th</v>
      </c>
      <c r="C24" s="1" t="str">
        <f>'1.5'!C:C</f>
        <v>ร.ต.วสันต์  ทัศนามล</v>
      </c>
      <c r="D24" s="9">
        <v>1.0</v>
      </c>
      <c r="E24" s="10">
        <f>IFERROR(vlookup('1.5'!D:D,lookup!$A$2:$B$4,2,false),0)</f>
        <v>5</v>
      </c>
      <c r="F24" s="10">
        <f>IFERROR(vlookup('1.5'!E:E,lookup!$A$6:$B$8,2,false),0)</f>
        <v>5</v>
      </c>
      <c r="G24" s="10">
        <f>IFERROR(vlookup('1.5'!F:F,lookup!$A$10:$B$12,2,false),0)</f>
        <v>5</v>
      </c>
      <c r="H24" s="10">
        <f>IFERROR(vlookup('1.5'!G:G,lookup!$A$14:$B$16,2,false),0)</f>
        <v>5</v>
      </c>
      <c r="I24" s="10">
        <f>IFERROR(vlookup('1.5'!H:H,lookup!$A$18:$B$20,2,false),0)</f>
        <v>5</v>
      </c>
      <c r="J24" s="10">
        <f>IFERROR(vlookup('1.5'!I:I,lookup!$A$22:$B$24,2,false),0)</f>
        <v>5</v>
      </c>
      <c r="K24" s="10">
        <f>IFERROR(vlookup('1.5'!J:J,lookup!$A$26:$B$28,2,false),0)</f>
        <v>5</v>
      </c>
      <c r="L24" s="1"/>
      <c r="M24" s="10">
        <v>23.0</v>
      </c>
      <c r="N24" s="11" t="str">
        <f t="shared" si="1"/>
        <v>bnco1023@signalschool.ac.th</v>
      </c>
      <c r="O24" s="12">
        <f t="shared" si="2"/>
        <v>1</v>
      </c>
      <c r="R24" s="6" t="s">
        <v>237</v>
      </c>
    </row>
    <row r="25">
      <c r="A25" s="8">
        <f>'1.5'!A:A</f>
        <v>46262.53452</v>
      </c>
      <c r="B25" s="1" t="str">
        <f>'1.5'!B:B</f>
        <v>bnco1031@signalschool.ac.th</v>
      </c>
      <c r="C25" s="1" t="str">
        <f>'1.5'!C:C</f>
        <v>ร.ต. วสันต์ ทัศนามล ,จ.ส.อ. ประกาศิต แซ่เจียม ,จ.ส.อ. วรากร ไตรศัพท์ ,จ.ส.ท. ศุภกิตติ์ ปัญญาจักร</v>
      </c>
      <c r="D25" s="9">
        <v>1.0</v>
      </c>
      <c r="E25" s="10">
        <f>IFERROR(vlookup('1.5'!D:D,lookup!$A$2:$B$4,2,false),0)</f>
        <v>5</v>
      </c>
      <c r="F25" s="10">
        <f>IFERROR(vlookup('1.5'!E:E,lookup!$A$6:$B$8,2,false),0)</f>
        <v>5</v>
      </c>
      <c r="G25" s="10">
        <f>IFERROR(vlookup('1.5'!F:F,lookup!$A$10:$B$12,2,false),0)</f>
        <v>5</v>
      </c>
      <c r="H25" s="10">
        <f>IFERROR(vlookup('1.5'!G:G,lookup!$A$14:$B$16,2,false),0)</f>
        <v>5</v>
      </c>
      <c r="I25" s="10">
        <f>IFERROR(vlookup('1.5'!H:H,lookup!$A$18:$B$20,2,false),0)</f>
        <v>5</v>
      </c>
      <c r="J25" s="10">
        <f>IFERROR(vlookup('1.5'!I:I,lookup!$A$22:$B$24,2,false),0)</f>
        <v>5</v>
      </c>
      <c r="K25" s="10">
        <f>IFERROR(vlookup('1.5'!J:J,lookup!$A$26:$B$28,2,false),0)</f>
        <v>5</v>
      </c>
      <c r="L25" s="1"/>
      <c r="M25" s="10">
        <v>24.0</v>
      </c>
      <c r="N25" s="11" t="str">
        <f t="shared" si="1"/>
        <v>bnco1024@signalschool.ac.th</v>
      </c>
      <c r="O25" s="12">
        <f t="shared" si="2"/>
        <v>1</v>
      </c>
      <c r="R25" s="6" t="s">
        <v>238</v>
      </c>
    </row>
    <row r="26">
      <c r="A26" s="8">
        <f>'1.5'!A:A</f>
        <v>46262.53748</v>
      </c>
      <c r="B26" s="1" t="str">
        <f>'1.5'!B:B</f>
        <v>bnco1066@signalschool.ac.th</v>
      </c>
      <c r="C26" s="1" t="str">
        <f>'1.5'!C:C</f>
        <v>ร.ต.วสันต์ ทัศนามล, จ.ส.อ.ประกาศิต แช่เจียม, จ.ส.อ.วรากร ไตรศัพท์, จ.ส.ท.ศุภกิตติ์ ปัญญาจักร</v>
      </c>
      <c r="D26" s="9">
        <v>1.0</v>
      </c>
      <c r="E26" s="10">
        <f>IFERROR(vlookup('1.5'!D:D,lookup!$A$2:$B$4,2,false),0)</f>
        <v>5</v>
      </c>
      <c r="F26" s="10">
        <f>IFERROR(vlookup('1.5'!E:E,lookup!$A$6:$B$8,2,false),0)</f>
        <v>5</v>
      </c>
      <c r="G26" s="10">
        <f>IFERROR(vlookup('1.5'!F:F,lookup!$A$10:$B$12,2,false),0)</f>
        <v>5</v>
      </c>
      <c r="H26" s="10">
        <f>IFERROR(vlookup('1.5'!G:G,lookup!$A$14:$B$16,2,false),0)</f>
        <v>5</v>
      </c>
      <c r="I26" s="10">
        <f>IFERROR(vlookup('1.5'!H:H,lookup!$A$18:$B$20,2,false),0)</f>
        <v>5</v>
      </c>
      <c r="J26" s="10">
        <f>IFERROR(vlookup('1.5'!I:I,lookup!$A$22:$B$24,2,false),0)</f>
        <v>5</v>
      </c>
      <c r="K26" s="10">
        <f>IFERROR(vlookup('1.5'!J:J,lookup!$A$26:$B$28,2,false),0)</f>
        <v>5</v>
      </c>
      <c r="L26" s="1"/>
      <c r="M26" s="10">
        <v>25.0</v>
      </c>
      <c r="N26" s="11" t="str">
        <f t="shared" si="1"/>
        <v>bnco1025@signalschool.ac.th</v>
      </c>
      <c r="O26" s="12">
        <f t="shared" si="2"/>
        <v>0</v>
      </c>
      <c r="R26" s="6" t="s">
        <v>239</v>
      </c>
    </row>
    <row r="27">
      <c r="A27" s="8">
        <f>'1.5'!A:A</f>
        <v>46262.55485</v>
      </c>
      <c r="B27" s="1" t="str">
        <f>'1.5'!B:B</f>
        <v>bnco1068@signalschool.ac.th</v>
      </c>
      <c r="C27" s="1" t="str">
        <f>'1.5'!C:C</f>
        <v>ร.ต.วสันต์  ทัศนามล</v>
      </c>
      <c r="D27" s="9">
        <v>1.0</v>
      </c>
      <c r="E27" s="10">
        <f>IFERROR(vlookup('1.5'!D:D,lookup!$A$2:$B$4,2,false),0)</f>
        <v>5</v>
      </c>
      <c r="F27" s="10">
        <f>IFERROR(vlookup('1.5'!E:E,lookup!$A$6:$B$8,2,false),0)</f>
        <v>5</v>
      </c>
      <c r="G27" s="10">
        <f>IFERROR(vlookup('1.5'!F:F,lookup!$A$10:$B$12,2,false),0)</f>
        <v>5</v>
      </c>
      <c r="H27" s="10">
        <f>IFERROR(vlookup('1.5'!G:G,lookup!$A$14:$B$16,2,false),0)</f>
        <v>5</v>
      </c>
      <c r="I27" s="10">
        <f>IFERROR(vlookup('1.5'!H:H,lookup!$A$18:$B$20,2,false),0)</f>
        <v>5</v>
      </c>
      <c r="J27" s="10">
        <f>IFERROR(vlookup('1.5'!I:I,lookup!$A$22:$B$24,2,false),0)</f>
        <v>5</v>
      </c>
      <c r="K27" s="10">
        <f>IFERROR(vlookup('1.5'!J:J,lookup!$A$26:$B$28,2,false),0)</f>
        <v>5</v>
      </c>
      <c r="L27" s="1"/>
      <c r="M27" s="10">
        <v>26.0</v>
      </c>
      <c r="N27" s="11" t="str">
        <f t="shared" si="1"/>
        <v>bnco1026@signalschool.ac.th</v>
      </c>
      <c r="O27" s="12">
        <f t="shared" si="2"/>
        <v>1</v>
      </c>
      <c r="R27" s="6" t="s">
        <v>240</v>
      </c>
    </row>
    <row r="28">
      <c r="A28" s="8">
        <f>'1.5'!A:A</f>
        <v>46262.5553</v>
      </c>
      <c r="B28" s="1" t="str">
        <f>'1.5'!B:B</f>
        <v>bnco1044@signalschool.ac.th</v>
      </c>
      <c r="C28" s="1" t="str">
        <f>'1.5'!C:C</f>
        <v>ร.ต. วสันต์ ทัศนามล</v>
      </c>
      <c r="D28" s="9">
        <v>1.0</v>
      </c>
      <c r="E28" s="10">
        <f>IFERROR(vlookup('1.5'!D:D,lookup!$A$2:$B$4,2,false),0)</f>
        <v>5</v>
      </c>
      <c r="F28" s="10">
        <f>IFERROR(vlookup('1.5'!E:E,lookup!$A$6:$B$8,2,false),0)</f>
        <v>5</v>
      </c>
      <c r="G28" s="10">
        <f>IFERROR(vlookup('1.5'!F:F,lookup!$A$10:$B$12,2,false),0)</f>
        <v>5</v>
      </c>
      <c r="H28" s="10">
        <f>IFERROR(vlookup('1.5'!G:G,lookup!$A$14:$B$16,2,false),0)</f>
        <v>5</v>
      </c>
      <c r="I28" s="10">
        <f>IFERROR(vlookup('1.5'!H:H,lookup!$A$18:$B$20,2,false),0)</f>
        <v>5</v>
      </c>
      <c r="J28" s="10">
        <f>IFERROR(vlookup('1.5'!I:I,lookup!$A$22:$B$24,2,false),0)</f>
        <v>5</v>
      </c>
      <c r="K28" s="10">
        <f>IFERROR(vlookup('1.5'!J:J,lookup!$A$26:$B$28,2,false),0)</f>
        <v>5</v>
      </c>
      <c r="L28" s="1"/>
      <c r="M28" s="10">
        <v>27.0</v>
      </c>
      <c r="N28" s="11" t="str">
        <f t="shared" si="1"/>
        <v>bnco1027@signalschool.ac.th</v>
      </c>
      <c r="O28" s="12">
        <f t="shared" si="2"/>
        <v>1</v>
      </c>
      <c r="R28" s="6" t="s">
        <v>241</v>
      </c>
    </row>
    <row r="29">
      <c r="A29" s="8">
        <f>'1.5'!A:A</f>
        <v>46262.56144</v>
      </c>
      <c r="B29" s="1" t="str">
        <f>'1.5'!B:B</f>
        <v>bnco1008@signalschool.ac.th</v>
      </c>
      <c r="C29" s="1" t="str">
        <f>'1.5'!C:C</f>
        <v>ร.ต.วสันต์ ทัศนามล</v>
      </c>
      <c r="D29" s="9">
        <v>1.0</v>
      </c>
      <c r="E29" s="10">
        <f>IFERROR(vlookup('1.5'!D:D,lookup!$A$2:$B$4,2,false),0)</f>
        <v>5</v>
      </c>
      <c r="F29" s="10">
        <f>IFERROR(vlookup('1.5'!E:E,lookup!$A$6:$B$8,2,false),0)</f>
        <v>5</v>
      </c>
      <c r="G29" s="10">
        <f>IFERROR(vlookup('1.5'!F:F,lookup!$A$10:$B$12,2,false),0)</f>
        <v>5</v>
      </c>
      <c r="H29" s="10">
        <f>IFERROR(vlookup('1.5'!G:G,lookup!$A$14:$B$16,2,false),0)</f>
        <v>5</v>
      </c>
      <c r="I29" s="10">
        <f>IFERROR(vlookup('1.5'!H:H,lookup!$A$18:$B$20,2,false),0)</f>
        <v>5</v>
      </c>
      <c r="J29" s="10">
        <f>IFERROR(vlookup('1.5'!I:I,lookup!$A$22:$B$24,2,false),0)</f>
        <v>5</v>
      </c>
      <c r="K29" s="10">
        <f>IFERROR(vlookup('1.5'!J:J,lookup!$A$26:$B$28,2,false),0)</f>
        <v>5</v>
      </c>
      <c r="L29" s="1"/>
      <c r="M29" s="10">
        <v>28.0</v>
      </c>
      <c r="N29" s="11" t="str">
        <f t="shared" si="1"/>
        <v>bnco1028@signalschool.ac.th</v>
      </c>
      <c r="O29" s="12">
        <f t="shared" si="2"/>
        <v>0</v>
      </c>
      <c r="R29" s="6" t="s">
        <v>242</v>
      </c>
    </row>
    <row r="30">
      <c r="A30" s="8">
        <f>'1.5'!A:A</f>
        <v>46262.56461</v>
      </c>
      <c r="B30" s="1" t="str">
        <f>'1.5'!B:B</f>
        <v>bnco1049@signalschool.ac.th</v>
      </c>
      <c r="C30" s="1" t="str">
        <f>'1.5'!C:C</f>
        <v>ร.ต.วสันต์ ทัศนามล, จ.ส.อ.ประกาศิต เเซ่เจียม, จ.ส.อ.วรากร ไตรศัพท์, จ.ส.ท.ศุภกิตติ์ ปัญญาจักร</v>
      </c>
      <c r="D30" s="9">
        <v>1.0</v>
      </c>
      <c r="E30" s="10">
        <f>IFERROR(vlookup('1.5'!D:D,lookup!$A$2:$B$4,2,false),0)</f>
        <v>5</v>
      </c>
      <c r="F30" s="10">
        <f>IFERROR(vlookup('1.5'!E:E,lookup!$A$6:$B$8,2,false),0)</f>
        <v>5</v>
      </c>
      <c r="G30" s="10">
        <f>IFERROR(vlookup('1.5'!F:F,lookup!$A$10:$B$12,2,false),0)</f>
        <v>5</v>
      </c>
      <c r="H30" s="10">
        <f>IFERROR(vlookup('1.5'!G:G,lookup!$A$14:$B$16,2,false),0)</f>
        <v>5</v>
      </c>
      <c r="I30" s="10">
        <f>IFERROR(vlookup('1.5'!H:H,lookup!$A$18:$B$20,2,false),0)</f>
        <v>5</v>
      </c>
      <c r="J30" s="10">
        <f>IFERROR(vlookup('1.5'!I:I,lookup!$A$22:$B$24,2,false),0)</f>
        <v>5</v>
      </c>
      <c r="K30" s="10">
        <f>IFERROR(vlookup('1.5'!J:J,lookup!$A$26:$B$28,2,false),0)</f>
        <v>5</v>
      </c>
      <c r="L30" s="1"/>
      <c r="M30" s="10">
        <v>29.0</v>
      </c>
      <c r="N30" s="11" t="str">
        <f t="shared" si="1"/>
        <v>bnco1029@signalschool.ac.th</v>
      </c>
      <c r="O30" s="12">
        <f t="shared" si="2"/>
        <v>0</v>
      </c>
      <c r="R30" s="6" t="s">
        <v>243</v>
      </c>
    </row>
    <row r="31">
      <c r="A31" s="8">
        <f>'1.5'!A:A</f>
        <v>46262.57232</v>
      </c>
      <c r="B31" s="1" t="str">
        <f>'1.5'!B:B</f>
        <v>bnco1022@signalschool.ac.th</v>
      </c>
      <c r="C31" s="1" t="str">
        <f>'1.5'!C:C</f>
        <v>ร.ต.วสันต์ ทัศนามล</v>
      </c>
      <c r="D31" s="9">
        <v>1.0</v>
      </c>
      <c r="E31" s="10">
        <f>IFERROR(vlookup('1.5'!D:D,lookup!$A$2:$B$4,2,false),0)</f>
        <v>5</v>
      </c>
      <c r="F31" s="10">
        <f>IFERROR(vlookup('1.5'!E:E,lookup!$A$6:$B$8,2,false),0)</f>
        <v>5</v>
      </c>
      <c r="G31" s="10">
        <f>IFERROR(vlookup('1.5'!F:F,lookup!$A$10:$B$12,2,false),0)</f>
        <v>5</v>
      </c>
      <c r="H31" s="10">
        <f>IFERROR(vlookup('1.5'!G:G,lookup!$A$14:$B$16,2,false),0)</f>
        <v>5</v>
      </c>
      <c r="I31" s="10">
        <f>IFERROR(vlookup('1.5'!H:H,lookup!$A$18:$B$20,2,false),0)</f>
        <v>5</v>
      </c>
      <c r="J31" s="10">
        <f>IFERROR(vlookup('1.5'!I:I,lookup!$A$22:$B$24,2,false),0)</f>
        <v>5</v>
      </c>
      <c r="K31" s="10">
        <f>IFERROR(vlookup('1.5'!J:J,lookup!$A$26:$B$28,2,false),0)</f>
        <v>5</v>
      </c>
      <c r="L31" s="1"/>
      <c r="M31" s="10">
        <v>30.0</v>
      </c>
      <c r="N31" s="11" t="str">
        <f t="shared" si="1"/>
        <v>bnco1030@signalschool.ac.th</v>
      </c>
      <c r="O31" s="12">
        <f t="shared" si="2"/>
        <v>0</v>
      </c>
      <c r="R31" s="6" t="s">
        <v>244</v>
      </c>
    </row>
    <row r="32">
      <c r="A32" s="8">
        <f>'1.5'!A:A</f>
        <v>46262.58418</v>
      </c>
      <c r="B32" s="1" t="str">
        <f>'1.5'!B:B</f>
        <v>bnco1005@signalschool.ac.th</v>
      </c>
      <c r="C32" s="1" t="str">
        <f>'1.5'!C:C</f>
        <v>ร.ต.วสันต์ ทัศนามล</v>
      </c>
      <c r="D32" s="9">
        <v>1.0</v>
      </c>
      <c r="E32" s="10">
        <f>IFERROR(vlookup('1.5'!D:D,lookup!$A$2:$B$4,2,false),0)</f>
        <v>5</v>
      </c>
      <c r="F32" s="10">
        <f>IFERROR(vlookup('1.5'!E:E,lookup!$A$6:$B$8,2,false),0)</f>
        <v>5</v>
      </c>
      <c r="G32" s="10">
        <f>IFERROR(vlookup('1.5'!F:F,lookup!$A$10:$B$12,2,false),0)</f>
        <v>5</v>
      </c>
      <c r="H32" s="10">
        <f>IFERROR(vlookup('1.5'!G:G,lookup!$A$14:$B$16,2,false),0)</f>
        <v>5</v>
      </c>
      <c r="I32" s="10">
        <f>IFERROR(vlookup('1.5'!H:H,lookup!$A$18:$B$20,2,false),0)</f>
        <v>5</v>
      </c>
      <c r="J32" s="10">
        <f>IFERROR(vlookup('1.5'!I:I,lookup!$A$22:$B$24,2,false),0)</f>
        <v>5</v>
      </c>
      <c r="K32" s="10">
        <f>IFERROR(vlookup('1.5'!J:J,lookup!$A$26:$B$28,2,false),0)</f>
        <v>5</v>
      </c>
      <c r="L32" s="1"/>
      <c r="M32" s="10">
        <v>31.0</v>
      </c>
      <c r="N32" s="11" t="str">
        <f t="shared" si="1"/>
        <v>bnco1031@signalschool.ac.th</v>
      </c>
      <c r="O32" s="12">
        <f t="shared" si="2"/>
        <v>1</v>
      </c>
      <c r="R32" s="6" t="s">
        <v>245</v>
      </c>
    </row>
    <row r="33">
      <c r="A33" s="8">
        <f>'1.5'!A:A</f>
        <v>46262.58435</v>
      </c>
      <c r="B33" s="1" t="str">
        <f>'1.5'!B:B</f>
        <v>bnco1067@signalschool.ac.th</v>
      </c>
      <c r="C33" s="1" t="str">
        <f>'1.5'!C:C</f>
        <v>ร.ต.วสันต์ ทัศนามล</v>
      </c>
      <c r="D33" s="9">
        <v>1.0</v>
      </c>
      <c r="E33" s="10">
        <f>IFERROR(vlookup('1.5'!D:D,lookup!$A$2:$B$4,2,false),0)</f>
        <v>5</v>
      </c>
      <c r="F33" s="10">
        <f>IFERROR(vlookup('1.5'!E:E,lookup!$A$6:$B$8,2,false),0)</f>
        <v>5</v>
      </c>
      <c r="G33" s="10">
        <f>IFERROR(vlookup('1.5'!F:F,lookup!$A$10:$B$12,2,false),0)</f>
        <v>5</v>
      </c>
      <c r="H33" s="10">
        <f>IFERROR(vlookup('1.5'!G:G,lookup!$A$14:$B$16,2,false),0)</f>
        <v>5</v>
      </c>
      <c r="I33" s="10">
        <f>IFERROR(vlookup('1.5'!H:H,lookup!$A$18:$B$20,2,false),0)</f>
        <v>5</v>
      </c>
      <c r="J33" s="10">
        <f>IFERROR(vlookup('1.5'!I:I,lookup!$A$22:$B$24,2,false),0)</f>
        <v>5</v>
      </c>
      <c r="K33" s="10">
        <f>IFERROR(vlookup('1.5'!J:J,lookup!$A$26:$B$28,2,false),0)</f>
        <v>5</v>
      </c>
      <c r="L33" s="1"/>
      <c r="M33" s="10">
        <v>32.0</v>
      </c>
      <c r="N33" s="11" t="str">
        <f t="shared" si="1"/>
        <v>bnco1032@signalschool.ac.th</v>
      </c>
      <c r="O33" s="12">
        <f t="shared" si="2"/>
        <v>1</v>
      </c>
      <c r="R33" s="6" t="s">
        <v>246</v>
      </c>
    </row>
    <row r="34">
      <c r="A34" s="8">
        <f>'1.5'!A:A</f>
        <v>46262.58748</v>
      </c>
      <c r="B34" s="1" t="str">
        <f>'1.5'!B:B</f>
        <v>bnco1039@signalschool.ac.th</v>
      </c>
      <c r="C34" s="1" t="str">
        <f>'1.5'!C:C</f>
        <v>ร.ต.วสันต์ ทัศนามล</v>
      </c>
      <c r="D34" s="9">
        <v>1.0</v>
      </c>
      <c r="E34" s="10">
        <f>IFERROR(vlookup('1.5'!D:D,lookup!$A$2:$B$4,2,false),0)</f>
        <v>5</v>
      </c>
      <c r="F34" s="10">
        <f>IFERROR(vlookup('1.5'!E:E,lookup!$A$6:$B$8,2,false),0)</f>
        <v>5</v>
      </c>
      <c r="G34" s="10">
        <f>IFERROR(vlookup('1.5'!F:F,lookup!$A$10:$B$12,2,false),0)</f>
        <v>5</v>
      </c>
      <c r="H34" s="10">
        <f>IFERROR(vlookup('1.5'!G:G,lookup!$A$14:$B$16,2,false),0)</f>
        <v>5</v>
      </c>
      <c r="I34" s="10">
        <f>IFERROR(vlookup('1.5'!H:H,lookup!$A$18:$B$20,2,false),0)</f>
        <v>5</v>
      </c>
      <c r="J34" s="10">
        <f>IFERROR(vlookup('1.5'!I:I,lookup!$A$22:$B$24,2,false),0)</f>
        <v>5</v>
      </c>
      <c r="K34" s="10">
        <f>IFERROR(vlookup('1.5'!J:J,lookup!$A$26:$B$28,2,false),0)</f>
        <v>5</v>
      </c>
      <c r="L34" s="1"/>
      <c r="M34" s="10">
        <v>33.0</v>
      </c>
      <c r="N34" s="11" t="str">
        <f t="shared" si="1"/>
        <v>bnco1033@signalschool.ac.th</v>
      </c>
      <c r="O34" s="12">
        <f t="shared" si="2"/>
        <v>0</v>
      </c>
      <c r="R34" s="6" t="s">
        <v>247</v>
      </c>
    </row>
    <row r="35">
      <c r="A35" s="8">
        <f>'1.5'!A:A</f>
        <v>46262.59556</v>
      </c>
      <c r="B35" s="1" t="str">
        <f>'1.5'!B:B</f>
        <v>bnco1045@signalschool.ac.th</v>
      </c>
      <c r="C35" s="1" t="str">
        <f>'1.5'!C:C</f>
        <v>ร.ต.วสันต์  ทัศนามล </v>
      </c>
      <c r="D35" s="9">
        <v>1.0</v>
      </c>
      <c r="E35" s="10">
        <f>IFERROR(vlookup('1.5'!D:D,lookup!$A$2:$B$4,2,false),0)</f>
        <v>5</v>
      </c>
      <c r="F35" s="10">
        <f>IFERROR(vlookup('1.5'!E:E,lookup!$A$6:$B$8,2,false),0)</f>
        <v>5</v>
      </c>
      <c r="G35" s="10">
        <f>IFERROR(vlookup('1.5'!F:F,lookup!$A$10:$B$12,2,false),0)</f>
        <v>5</v>
      </c>
      <c r="H35" s="10">
        <f>IFERROR(vlookup('1.5'!G:G,lookup!$A$14:$B$16,2,false),0)</f>
        <v>5</v>
      </c>
      <c r="I35" s="10">
        <f>IFERROR(vlookup('1.5'!H:H,lookup!$A$18:$B$20,2,false),0)</f>
        <v>5</v>
      </c>
      <c r="J35" s="10">
        <f>IFERROR(vlookup('1.5'!I:I,lookup!$A$22:$B$24,2,false),0)</f>
        <v>5</v>
      </c>
      <c r="K35" s="10">
        <f>IFERROR(vlookup('1.5'!J:J,lookup!$A$26:$B$28,2,false),0)</f>
        <v>5</v>
      </c>
      <c r="L35" s="1"/>
      <c r="M35" s="10">
        <v>34.0</v>
      </c>
      <c r="N35" s="11" t="str">
        <f t="shared" si="1"/>
        <v>bnco1034@signalschool.ac.th</v>
      </c>
      <c r="O35" s="12">
        <f t="shared" si="2"/>
        <v>1</v>
      </c>
      <c r="R35" s="6" t="s">
        <v>248</v>
      </c>
    </row>
    <row r="36">
      <c r="A36" s="8">
        <f>'1.5'!A:A</f>
        <v>46262.61279</v>
      </c>
      <c r="B36" s="1" t="str">
        <f>'1.5'!B:B</f>
        <v>bnco1080@signalschool.ac.th</v>
      </c>
      <c r="C36" s="1" t="str">
        <f>'1.5'!C:C</f>
        <v>ร.ต.วสันต์  ทัศนามล</v>
      </c>
      <c r="D36" s="9">
        <v>1.0</v>
      </c>
      <c r="E36" s="10">
        <f>IFERROR(vlookup('1.5'!D:D,lookup!$A$2:$B$4,2,false),0)</f>
        <v>5</v>
      </c>
      <c r="F36" s="10">
        <f>IFERROR(vlookup('1.5'!E:E,lookup!$A$6:$B$8,2,false),0)</f>
        <v>5</v>
      </c>
      <c r="G36" s="10">
        <f>IFERROR(vlookup('1.5'!F:F,lookup!$A$10:$B$12,2,false),0)</f>
        <v>5</v>
      </c>
      <c r="H36" s="10">
        <f>IFERROR(vlookup('1.5'!G:G,lookup!$A$14:$B$16,2,false),0)</f>
        <v>5</v>
      </c>
      <c r="I36" s="10">
        <f>IFERROR(vlookup('1.5'!H:H,lookup!$A$18:$B$20,2,false),0)</f>
        <v>5</v>
      </c>
      <c r="J36" s="10">
        <f>IFERROR(vlookup('1.5'!I:I,lookup!$A$22:$B$24,2,false),0)</f>
        <v>5</v>
      </c>
      <c r="K36" s="10">
        <f>IFERROR(vlookup('1.5'!J:J,lookup!$A$26:$B$28,2,false),0)</f>
        <v>5</v>
      </c>
      <c r="L36" s="1"/>
      <c r="M36" s="10">
        <v>35.0</v>
      </c>
      <c r="N36" s="11" t="str">
        <f t="shared" si="1"/>
        <v>bnco1035@signalschool.ac.th</v>
      </c>
      <c r="O36" s="12">
        <f t="shared" si="2"/>
        <v>1</v>
      </c>
      <c r="R36" s="6" t="s">
        <v>249</v>
      </c>
    </row>
    <row r="37">
      <c r="A37" s="8">
        <f>'1.5'!A:A</f>
        <v>46262.62932</v>
      </c>
      <c r="B37" s="1" t="str">
        <f>'1.5'!B:B</f>
        <v>bnco1064@signalschool.ac.th</v>
      </c>
      <c r="C37" s="1" t="str">
        <f>'1.5'!C:C</f>
        <v>ร.ต.วสันต์  ทัศนามล</v>
      </c>
      <c r="D37" s="9">
        <v>1.0</v>
      </c>
      <c r="E37" s="10">
        <f>IFERROR(vlookup('1.5'!D:D,lookup!$A$2:$B$4,2,false),0)</f>
        <v>5</v>
      </c>
      <c r="F37" s="10">
        <f>IFERROR(vlookup('1.5'!E:E,lookup!$A$6:$B$8,2,false),0)</f>
        <v>5</v>
      </c>
      <c r="G37" s="10">
        <f>IFERROR(vlookup('1.5'!F:F,lookup!$A$10:$B$12,2,false),0)</f>
        <v>5</v>
      </c>
      <c r="H37" s="10">
        <f>IFERROR(vlookup('1.5'!G:G,lookup!$A$14:$B$16,2,false),0)</f>
        <v>5</v>
      </c>
      <c r="I37" s="10">
        <f>IFERROR(vlookup('1.5'!H:H,lookup!$A$18:$B$20,2,false),0)</f>
        <v>5</v>
      </c>
      <c r="J37" s="10">
        <f>IFERROR(vlookup('1.5'!I:I,lookup!$A$22:$B$24,2,false),0)</f>
        <v>5</v>
      </c>
      <c r="K37" s="10">
        <f>IFERROR(vlookup('1.5'!J:J,lookup!$A$26:$B$28,2,false),0)</f>
        <v>5</v>
      </c>
      <c r="L37" s="1"/>
      <c r="M37" s="10">
        <v>36.0</v>
      </c>
      <c r="N37" s="11" t="str">
        <f t="shared" si="1"/>
        <v>bnco1036@signalschool.ac.th</v>
      </c>
      <c r="O37" s="12">
        <f t="shared" si="2"/>
        <v>1</v>
      </c>
      <c r="R37" s="6" t="s">
        <v>250</v>
      </c>
    </row>
    <row r="38">
      <c r="A38" s="8">
        <f>'1.5'!A:A</f>
        <v>46262.64529</v>
      </c>
      <c r="B38" s="1" t="str">
        <f>'1.5'!B:B</f>
        <v>bnco1027@signalschool.ac.th</v>
      </c>
      <c r="C38" s="1" t="str">
        <f>'1.5'!C:C</f>
        <v>ร.ต.วสันต์ ทัศนามล</v>
      </c>
      <c r="D38" s="9">
        <v>1.0</v>
      </c>
      <c r="E38" s="10">
        <f>IFERROR(vlookup('1.5'!D:D,lookup!$A$2:$B$4,2,false),0)</f>
        <v>5</v>
      </c>
      <c r="F38" s="10">
        <f>IFERROR(vlookup('1.5'!E:E,lookup!$A$6:$B$8,2,false),0)</f>
        <v>5</v>
      </c>
      <c r="G38" s="10">
        <f>IFERROR(vlookup('1.5'!F:F,lookup!$A$10:$B$12,2,false),0)</f>
        <v>5</v>
      </c>
      <c r="H38" s="10">
        <f>IFERROR(vlookup('1.5'!G:G,lookup!$A$14:$B$16,2,false),0)</f>
        <v>5</v>
      </c>
      <c r="I38" s="10">
        <f>IFERROR(vlookup('1.5'!H:H,lookup!$A$18:$B$20,2,false),0)</f>
        <v>5</v>
      </c>
      <c r="J38" s="10">
        <f>IFERROR(vlookup('1.5'!I:I,lookup!$A$22:$B$24,2,false),0)</f>
        <v>5</v>
      </c>
      <c r="K38" s="10">
        <f>IFERROR(vlookup('1.5'!J:J,lookup!$A$26:$B$28,2,false),0)</f>
        <v>5</v>
      </c>
      <c r="L38" s="1"/>
      <c r="M38" s="10">
        <v>37.0</v>
      </c>
      <c r="N38" s="11" t="str">
        <f t="shared" si="1"/>
        <v>bnco1037@signalschool.ac.th</v>
      </c>
      <c r="O38" s="12">
        <f t="shared" si="2"/>
        <v>0</v>
      </c>
      <c r="R38" s="6" t="s">
        <v>251</v>
      </c>
    </row>
    <row r="39">
      <c r="A39" s="8">
        <f>'1.5'!A:A</f>
        <v>46262.64559</v>
      </c>
      <c r="B39" s="1" t="str">
        <f>'1.5'!B:B</f>
        <v>bnco1021@signalschool.ac.th</v>
      </c>
      <c r="C39" s="1" t="str">
        <f>'1.5'!C:C</f>
        <v>จ.ส.ท ศุภกิตติ์ ปัญหาจักร</v>
      </c>
      <c r="D39" s="9">
        <v>1.0</v>
      </c>
      <c r="E39" s="10">
        <f>IFERROR(vlookup('1.5'!D:D,lookup!$A$2:$B$4,2,false),0)</f>
        <v>5</v>
      </c>
      <c r="F39" s="10">
        <f>IFERROR(vlookup('1.5'!E:E,lookup!$A$6:$B$8,2,false),0)</f>
        <v>5</v>
      </c>
      <c r="G39" s="10">
        <f>IFERROR(vlookup('1.5'!F:F,lookup!$A$10:$B$12,2,false),0)</f>
        <v>5</v>
      </c>
      <c r="H39" s="10">
        <f>IFERROR(vlookup('1.5'!G:G,lookup!$A$14:$B$16,2,false),0)</f>
        <v>5</v>
      </c>
      <c r="I39" s="10">
        <f>IFERROR(vlookup('1.5'!H:H,lookup!$A$18:$B$20,2,false),0)</f>
        <v>5</v>
      </c>
      <c r="J39" s="10">
        <f>IFERROR(vlookup('1.5'!I:I,lookup!$A$22:$B$24,2,false),0)</f>
        <v>5</v>
      </c>
      <c r="K39" s="10">
        <f>IFERROR(vlookup('1.5'!J:J,lookup!$A$26:$B$28,2,false),0)</f>
        <v>5</v>
      </c>
      <c r="L39" s="1"/>
      <c r="M39" s="10">
        <v>38.0</v>
      </c>
      <c r="N39" s="11" t="str">
        <f t="shared" si="1"/>
        <v>bnco1038@signalschool.ac.th</v>
      </c>
      <c r="O39" s="12">
        <f t="shared" si="2"/>
        <v>1</v>
      </c>
      <c r="R39" s="6" t="s">
        <v>252</v>
      </c>
    </row>
    <row r="40">
      <c r="A40" s="8">
        <f>'1.5'!A:A</f>
        <v>46262.7439</v>
      </c>
      <c r="B40" s="1" t="str">
        <f>'1.5'!B:B</f>
        <v>bnco1072@signalschool.ac.th</v>
      </c>
      <c r="C40" s="1" t="str">
        <f>'1.5'!C:C</f>
        <v>ร.ต.วสันน์  ทัศนามล</v>
      </c>
      <c r="D40" s="9">
        <v>1.0</v>
      </c>
      <c r="E40" s="10">
        <f>IFERROR(vlookup('1.5'!D:D,lookup!$A$2:$B$4,2,false),0)</f>
        <v>5</v>
      </c>
      <c r="F40" s="10">
        <f>IFERROR(vlookup('1.5'!E:E,lookup!$A$6:$B$8,2,false),0)</f>
        <v>5</v>
      </c>
      <c r="G40" s="10">
        <f>IFERROR(vlookup('1.5'!F:F,lookup!$A$10:$B$12,2,false),0)</f>
        <v>5</v>
      </c>
      <c r="H40" s="10">
        <f>IFERROR(vlookup('1.5'!G:G,lookup!$A$14:$B$16,2,false),0)</f>
        <v>5</v>
      </c>
      <c r="I40" s="10">
        <f>IFERROR(vlookup('1.5'!H:H,lookup!$A$18:$B$20,2,false),0)</f>
        <v>5</v>
      </c>
      <c r="J40" s="10">
        <f>IFERROR(vlookup('1.5'!I:I,lookup!$A$22:$B$24,2,false),0)</f>
        <v>5</v>
      </c>
      <c r="K40" s="10">
        <f>IFERROR(vlookup('1.5'!J:J,lookup!$A$26:$B$28,2,false),0)</f>
        <v>5</v>
      </c>
      <c r="L40" s="1"/>
      <c r="M40" s="10">
        <v>39.0</v>
      </c>
      <c r="N40" s="11" t="str">
        <f t="shared" si="1"/>
        <v>bnco1039@signalschool.ac.th</v>
      </c>
      <c r="O40" s="12">
        <f t="shared" si="2"/>
        <v>1</v>
      </c>
      <c r="R40" s="6" t="s">
        <v>253</v>
      </c>
    </row>
    <row r="41">
      <c r="A41" s="8">
        <f>'1.5'!A:A</f>
        <v>46262.79655</v>
      </c>
      <c r="B41" s="1" t="str">
        <f>'1.5'!B:B</f>
        <v>bnco1014@signalschool.ac.th</v>
      </c>
      <c r="C41" s="1" t="str">
        <f>'1.5'!C:C</f>
        <v>ร.ต.วสันต์ ทัศนามงคล</v>
      </c>
      <c r="D41" s="9">
        <v>1.0</v>
      </c>
      <c r="E41" s="10">
        <f>IFERROR(vlookup('1.5'!D:D,lookup!$A$2:$B$4,2,false),0)</f>
        <v>5</v>
      </c>
      <c r="F41" s="10">
        <f>IFERROR(vlookup('1.5'!E:E,lookup!$A$6:$B$8,2,false),0)</f>
        <v>5</v>
      </c>
      <c r="G41" s="10">
        <f>IFERROR(vlookup('1.5'!F:F,lookup!$A$10:$B$12,2,false),0)</f>
        <v>5</v>
      </c>
      <c r="H41" s="10">
        <f>IFERROR(vlookup('1.5'!G:G,lookup!$A$14:$B$16,2,false),0)</f>
        <v>5</v>
      </c>
      <c r="I41" s="10">
        <f>IFERROR(vlookup('1.5'!H:H,lookup!$A$18:$B$20,2,false),0)</f>
        <v>5</v>
      </c>
      <c r="J41" s="10">
        <f>IFERROR(vlookup('1.5'!I:I,lookup!$A$22:$B$24,2,false),0)</f>
        <v>5</v>
      </c>
      <c r="K41" s="10">
        <f>IFERROR(vlookup('1.5'!J:J,lookup!$A$26:$B$28,2,false),0)</f>
        <v>5</v>
      </c>
      <c r="L41" s="1"/>
      <c r="M41" s="10">
        <v>40.0</v>
      </c>
      <c r="N41" s="11" t="str">
        <f t="shared" si="1"/>
        <v>bnco1040@signalschool.ac.th</v>
      </c>
      <c r="O41" s="12">
        <f t="shared" si="2"/>
        <v>1</v>
      </c>
      <c r="R41" s="6" t="s">
        <v>254</v>
      </c>
    </row>
    <row r="42">
      <c r="A42" s="8">
        <f>'1.5'!A:A</f>
        <v>46262.87509</v>
      </c>
      <c r="B42" s="1" t="str">
        <f>'1.5'!B:B</f>
        <v>bnco1076@signalschool.ac.th</v>
      </c>
      <c r="C42" s="1" t="str">
        <f>'1.5'!C:C</f>
        <v>ร.ต. วสันต์ ทัศนามล, จ.ส.อ. ประกาศิต แซ่เจียม, จ.ส.อ. วรากร ไตรศัพท์, จ.ส.ท. ศุภกิตติ์ ปัญญาจักร</v>
      </c>
      <c r="D42" s="9">
        <v>1.0</v>
      </c>
      <c r="E42" s="10">
        <f>IFERROR(vlookup('1.5'!D:D,lookup!$A$2:$B$4,2,false),0)</f>
        <v>5</v>
      </c>
      <c r="F42" s="10">
        <f>IFERROR(vlookup('1.5'!E:E,lookup!$A$6:$B$8,2,false),0)</f>
        <v>5</v>
      </c>
      <c r="G42" s="10">
        <f>IFERROR(vlookup('1.5'!F:F,lookup!$A$10:$B$12,2,false),0)</f>
        <v>5</v>
      </c>
      <c r="H42" s="10">
        <f>IFERROR(vlookup('1.5'!G:G,lookup!$A$14:$B$16,2,false),0)</f>
        <v>5</v>
      </c>
      <c r="I42" s="10">
        <f>IFERROR(vlookup('1.5'!H:H,lookup!$A$18:$B$20,2,false),0)</f>
        <v>5</v>
      </c>
      <c r="J42" s="10">
        <f>IFERROR(vlookup('1.5'!I:I,lookup!$A$22:$B$24,2,false),0)</f>
        <v>5</v>
      </c>
      <c r="K42" s="10">
        <f>IFERROR(vlookup('1.5'!J:J,lookup!$A$26:$B$28,2,false),0)</f>
        <v>5</v>
      </c>
      <c r="L42" s="1"/>
      <c r="M42" s="10">
        <v>41.0</v>
      </c>
      <c r="N42" s="11" t="str">
        <f t="shared" si="1"/>
        <v>bnco1041@signalschool.ac.th</v>
      </c>
      <c r="O42" s="12">
        <f t="shared" si="2"/>
        <v>1</v>
      </c>
      <c r="R42" s="6" t="s">
        <v>255</v>
      </c>
    </row>
    <row r="43">
      <c r="A43" s="8">
        <f>'1.5'!A:A</f>
        <v>46262.95899</v>
      </c>
      <c r="B43" s="1" t="str">
        <f>'1.5'!B:B</f>
        <v>bnco1071@signalschool.ac.th</v>
      </c>
      <c r="C43" s="1" t="str">
        <f>'1.5'!C:C</f>
        <v>1. ร.ต.วสันต์ ทัสนามล 2.จ.ส.อ.ประกาศิต แซ่เจียม 3.จ.ส.อ.วรากร ไตรทรัพย์ 4.จ.ส.ท.ศุภกิตต์  ปัญญาจักร</v>
      </c>
      <c r="D43" s="9">
        <v>1.0</v>
      </c>
      <c r="E43" s="10">
        <f>IFERROR(vlookup('1.5'!D:D,lookup!$A$2:$B$4,2,false),0)</f>
        <v>5</v>
      </c>
      <c r="F43" s="10">
        <f>IFERROR(vlookup('1.5'!E:E,lookup!$A$6:$B$8,2,false),0)</f>
        <v>5</v>
      </c>
      <c r="G43" s="10">
        <f>IFERROR(vlookup('1.5'!F:F,lookup!$A$10:$B$12,2,false),0)</f>
        <v>5</v>
      </c>
      <c r="H43" s="10">
        <f>IFERROR(vlookup('1.5'!G:G,lookup!$A$14:$B$16,2,false),0)</f>
        <v>5</v>
      </c>
      <c r="I43" s="10">
        <f>IFERROR(vlookup('1.5'!H:H,lookup!$A$18:$B$20,2,false),0)</f>
        <v>5</v>
      </c>
      <c r="J43" s="10">
        <f>IFERROR(vlookup('1.5'!I:I,lookup!$A$22:$B$24,2,false),0)</f>
        <v>5</v>
      </c>
      <c r="K43" s="10">
        <f>IFERROR(vlookup('1.5'!J:J,lookup!$A$26:$B$28,2,false),0)</f>
        <v>5</v>
      </c>
      <c r="L43" s="1"/>
      <c r="M43" s="10">
        <v>42.0</v>
      </c>
      <c r="N43" s="11" t="str">
        <f t="shared" si="1"/>
        <v>bnco1042@signalschool.ac.th</v>
      </c>
      <c r="O43" s="12">
        <f t="shared" si="2"/>
        <v>1</v>
      </c>
      <c r="R43" s="6" t="s">
        <v>256</v>
      </c>
    </row>
    <row r="44">
      <c r="A44" s="8">
        <f>'1.5'!A:A</f>
        <v>46262.96059</v>
      </c>
      <c r="B44" s="1" t="str">
        <f>'1.5'!B:B</f>
        <v>bnco1061@signalschool.ac.th</v>
      </c>
      <c r="C44" s="1" t="str">
        <f>'1.5'!C:C</f>
        <v>ร.ต.วสันต์ ทัศนามล</v>
      </c>
      <c r="D44" s="9">
        <v>1.0</v>
      </c>
      <c r="E44" s="10">
        <f>IFERROR(vlookup('1.5'!D:D,lookup!$A$2:$B$4,2,false),0)</f>
        <v>5</v>
      </c>
      <c r="F44" s="10">
        <f>IFERROR(vlookup('1.5'!E:E,lookup!$A$6:$B$8,2,false),0)</f>
        <v>5</v>
      </c>
      <c r="G44" s="10">
        <f>IFERROR(vlookup('1.5'!F:F,lookup!$A$10:$B$12,2,false),0)</f>
        <v>5</v>
      </c>
      <c r="H44" s="10">
        <f>IFERROR(vlookup('1.5'!G:G,lookup!$A$14:$B$16,2,false),0)</f>
        <v>5</v>
      </c>
      <c r="I44" s="10">
        <f>IFERROR(vlookup('1.5'!H:H,lookup!$A$18:$B$20,2,false),0)</f>
        <v>5</v>
      </c>
      <c r="J44" s="10">
        <f>IFERROR(vlookup('1.5'!I:I,lookup!$A$22:$B$24,2,false),0)</f>
        <v>5</v>
      </c>
      <c r="K44" s="10">
        <f>IFERROR(vlookup('1.5'!J:J,lookup!$A$26:$B$28,2,false),0)</f>
        <v>5</v>
      </c>
      <c r="L44" s="1"/>
      <c r="M44" s="10">
        <v>43.0</v>
      </c>
      <c r="N44" s="11" t="str">
        <f t="shared" si="1"/>
        <v>bnco1043@signalschool.ac.th</v>
      </c>
      <c r="O44" s="12">
        <f t="shared" si="2"/>
        <v>1</v>
      </c>
      <c r="R44" s="6" t="s">
        <v>257</v>
      </c>
    </row>
    <row r="45">
      <c r="A45" s="8">
        <f>'1.5'!A:A</f>
        <v>46263.60585</v>
      </c>
      <c r="B45" s="1" t="str">
        <f>'1.5'!B:B</f>
        <v>bnco1054@signalschool.ac.th</v>
      </c>
      <c r="C45" s="1" t="str">
        <f>'1.5'!C:C</f>
        <v>ร.ต.วสันต์  ทัศนามล</v>
      </c>
      <c r="D45" s="9">
        <v>1.0</v>
      </c>
      <c r="E45" s="10">
        <f>IFERROR(vlookup('1.5'!D:D,lookup!$A$2:$B$4,2,false),0)</f>
        <v>5</v>
      </c>
      <c r="F45" s="10">
        <f>IFERROR(vlookup('1.5'!E:E,lookup!$A$6:$B$8,2,false),0)</f>
        <v>5</v>
      </c>
      <c r="G45" s="10">
        <f>IFERROR(vlookup('1.5'!F:F,lookup!$A$10:$B$12,2,false),0)</f>
        <v>5</v>
      </c>
      <c r="H45" s="10">
        <f>IFERROR(vlookup('1.5'!G:G,lookup!$A$14:$B$16,2,false),0)</f>
        <v>5</v>
      </c>
      <c r="I45" s="10">
        <f>IFERROR(vlookup('1.5'!H:H,lookup!$A$18:$B$20,2,false),0)</f>
        <v>5</v>
      </c>
      <c r="J45" s="10">
        <f>IFERROR(vlookup('1.5'!I:I,lookup!$A$22:$B$24,2,false),0)</f>
        <v>5</v>
      </c>
      <c r="K45" s="10">
        <f>IFERROR(vlookup('1.5'!J:J,lookup!$A$26:$B$28,2,false),0)</f>
        <v>5</v>
      </c>
      <c r="L45" s="1"/>
      <c r="M45" s="10">
        <v>44.0</v>
      </c>
      <c r="N45" s="11" t="str">
        <f t="shared" si="1"/>
        <v>bnco1044@signalschool.ac.th</v>
      </c>
      <c r="O45" s="12">
        <f t="shared" si="2"/>
        <v>1</v>
      </c>
      <c r="R45" s="6" t="s">
        <v>258</v>
      </c>
    </row>
    <row r="46">
      <c r="A46" s="8">
        <f>'1.5'!A:A</f>
        <v>46263.7167</v>
      </c>
      <c r="B46" s="1" t="str">
        <f>'1.5'!B:B</f>
        <v>bnco1023@signalschool.ac.th</v>
      </c>
      <c r="C46" s="1" t="str">
        <f>'1.5'!C:C</f>
        <v>ร.ต. วสันต์,จ.ส.อ.ประกาศิต,จ.ส.อ.วรากร,จ.ส.ท.ศุภกิตติ์</v>
      </c>
      <c r="D46" s="9">
        <v>1.0</v>
      </c>
      <c r="E46" s="10">
        <f>IFERROR(vlookup('1.5'!D:D,lookup!$A$2:$B$4,2,false),0)</f>
        <v>5</v>
      </c>
      <c r="F46" s="10">
        <f>IFERROR(vlookup('1.5'!E:E,lookup!$A$6:$B$8,2,false),0)</f>
        <v>5</v>
      </c>
      <c r="G46" s="10">
        <f>IFERROR(vlookup('1.5'!F:F,lookup!$A$10:$B$12,2,false),0)</f>
        <v>5</v>
      </c>
      <c r="H46" s="10">
        <f>IFERROR(vlookup('1.5'!G:G,lookup!$A$14:$B$16,2,false),0)</f>
        <v>5</v>
      </c>
      <c r="I46" s="10">
        <f>IFERROR(vlookup('1.5'!H:H,lookup!$A$18:$B$20,2,false),0)</f>
        <v>5</v>
      </c>
      <c r="J46" s="10">
        <f>IFERROR(vlookup('1.5'!I:I,lookup!$A$22:$B$24,2,false),0)</f>
        <v>5</v>
      </c>
      <c r="K46" s="10">
        <f>IFERROR(vlookup('1.5'!J:J,lookup!$A$26:$B$28,2,false),0)</f>
        <v>5</v>
      </c>
      <c r="L46" s="1"/>
      <c r="M46" s="10">
        <v>45.0</v>
      </c>
      <c r="N46" s="11" t="str">
        <f t="shared" si="1"/>
        <v>bnco1045@signalschool.ac.th</v>
      </c>
      <c r="O46" s="12">
        <f t="shared" si="2"/>
        <v>1</v>
      </c>
      <c r="R46" s="6" t="s">
        <v>259</v>
      </c>
    </row>
    <row r="47">
      <c r="A47" s="8">
        <f>'1.5'!A:A</f>
        <v>46264.53038</v>
      </c>
      <c r="B47" s="1" t="str">
        <f>'1.5'!B:B</f>
        <v>bnco1015@signalschool.ac.th</v>
      </c>
      <c r="C47" s="1" t="str">
        <f>'1.5'!C:C</f>
        <v>ร.ต.วสันต์ ทัศนามล ,จ.ส.อ.ประกาศิต  แซ่เจียม, จ.ส.อ.วรากร ไตรศัพท์ ,จ.ส.ท.ศุภกิตติ์ ปัญญาจักร</v>
      </c>
      <c r="D47" s="9">
        <v>1.0</v>
      </c>
      <c r="E47" s="10">
        <f>IFERROR(vlookup('1.5'!D:D,lookup!$A$2:$B$4,2,false),0)</f>
        <v>5</v>
      </c>
      <c r="F47" s="10">
        <f>IFERROR(vlookup('1.5'!E:E,lookup!$A$6:$B$8,2,false),0)</f>
        <v>5</v>
      </c>
      <c r="G47" s="10">
        <f>IFERROR(vlookup('1.5'!F:F,lookup!$A$10:$B$12,2,false),0)</f>
        <v>5</v>
      </c>
      <c r="H47" s="10">
        <f>IFERROR(vlookup('1.5'!G:G,lookup!$A$14:$B$16,2,false),0)</f>
        <v>5</v>
      </c>
      <c r="I47" s="10">
        <f>IFERROR(vlookup('1.5'!H:H,lookup!$A$18:$B$20,2,false),0)</f>
        <v>5</v>
      </c>
      <c r="J47" s="10">
        <f>IFERROR(vlookup('1.5'!I:I,lookup!$A$22:$B$24,2,false),0)</f>
        <v>5</v>
      </c>
      <c r="K47" s="10">
        <f>IFERROR(vlookup('1.5'!J:J,lookup!$A$26:$B$28,2,false),0)</f>
        <v>5</v>
      </c>
      <c r="L47" s="1"/>
      <c r="M47" s="10">
        <v>46.0</v>
      </c>
      <c r="N47" s="11" t="str">
        <f t="shared" si="1"/>
        <v>bnco1046@signalschool.ac.th</v>
      </c>
      <c r="O47" s="12">
        <f t="shared" si="2"/>
        <v>1</v>
      </c>
      <c r="R47" s="6" t="s">
        <v>260</v>
      </c>
    </row>
    <row r="48">
      <c r="A48" s="8">
        <f>'1.5'!A:A</f>
        <v>46264.65198</v>
      </c>
      <c r="B48" s="1" t="str">
        <f>'1.5'!B:B</f>
        <v>bnco1002@signalschool.ac.th</v>
      </c>
      <c r="C48" s="1" t="str">
        <f>'1.5'!C:C</f>
        <v>ร.ต. วสันต์ ทัศนามล</v>
      </c>
      <c r="D48" s="9">
        <v>1.0</v>
      </c>
      <c r="E48" s="10">
        <f>IFERROR(vlookup('1.5'!D:D,lookup!$A$2:$B$4,2,false),0)</f>
        <v>5</v>
      </c>
      <c r="F48" s="10">
        <f>IFERROR(vlookup('1.5'!E:E,lookup!$A$6:$B$8,2,false),0)</f>
        <v>5</v>
      </c>
      <c r="G48" s="10">
        <f>IFERROR(vlookup('1.5'!F:F,lookup!$A$10:$B$12,2,false),0)</f>
        <v>5</v>
      </c>
      <c r="H48" s="10">
        <f>IFERROR(vlookup('1.5'!G:G,lookup!$A$14:$B$16,2,false),0)</f>
        <v>5</v>
      </c>
      <c r="I48" s="10">
        <f>IFERROR(vlookup('1.5'!H:H,lookup!$A$18:$B$20,2,false),0)</f>
        <v>5</v>
      </c>
      <c r="J48" s="10">
        <f>IFERROR(vlookup('1.5'!I:I,lookup!$A$22:$B$24,2,false),0)</f>
        <v>5</v>
      </c>
      <c r="K48" s="10">
        <f>IFERROR(vlookup('1.5'!J:J,lookup!$A$26:$B$28,2,false),0)</f>
        <v>5</v>
      </c>
      <c r="L48" s="1"/>
      <c r="M48" s="10">
        <v>47.0</v>
      </c>
      <c r="N48" s="11" t="str">
        <f t="shared" si="1"/>
        <v>bnco1047@signalschool.ac.th</v>
      </c>
      <c r="O48" s="12">
        <f t="shared" si="2"/>
        <v>1</v>
      </c>
      <c r="R48" s="6" t="s">
        <v>261</v>
      </c>
    </row>
    <row r="49">
      <c r="A49" s="8">
        <f>'1.5'!A:A</f>
        <v>46264.87943</v>
      </c>
      <c r="B49" s="1" t="str">
        <f>'1.5'!B:B</f>
        <v>edu.rad@signalschool.ac.th</v>
      </c>
      <c r="C49" s="1" t="str">
        <f>'1.5'!C:C</f>
        <v>ครูอาจารย์ รร.ส.สส.</v>
      </c>
      <c r="D49" s="9">
        <v>1.0</v>
      </c>
      <c r="E49" s="10">
        <f>IFERROR(vlookup('1.5'!D:D,lookup!$A$2:$B$4,2,false),0)</f>
        <v>5</v>
      </c>
      <c r="F49" s="10">
        <f>IFERROR(vlookup('1.5'!E:E,lookup!$A$6:$B$8,2,false),0)</f>
        <v>5</v>
      </c>
      <c r="G49" s="10">
        <f>IFERROR(vlookup('1.5'!F:F,lookup!$A$10:$B$12,2,false),0)</f>
        <v>5</v>
      </c>
      <c r="H49" s="10">
        <f>IFERROR(vlookup('1.5'!G:G,lookup!$A$14:$B$16,2,false),0)</f>
        <v>5</v>
      </c>
      <c r="I49" s="10">
        <f>IFERROR(vlookup('1.5'!H:H,lookup!$A$18:$B$20,2,false),0)</f>
        <v>5</v>
      </c>
      <c r="J49" s="10">
        <f>IFERROR(vlookup('1.5'!I:I,lookup!$A$22:$B$24,2,false),0)</f>
        <v>5</v>
      </c>
      <c r="K49" s="10">
        <f>IFERROR(vlookup('1.5'!J:J,lookup!$A$26:$B$28,2,false),0)</f>
        <v>5</v>
      </c>
      <c r="L49" s="1"/>
      <c r="M49" s="10">
        <v>48.0</v>
      </c>
      <c r="N49" s="11" t="str">
        <f t="shared" si="1"/>
        <v>bnco1048@signalschool.ac.th</v>
      </c>
      <c r="O49" s="12">
        <f t="shared" si="2"/>
        <v>0</v>
      </c>
      <c r="R49" s="6" t="s">
        <v>262</v>
      </c>
    </row>
    <row r="50">
      <c r="A50" s="8">
        <f>'1.5'!A:A</f>
        <v>46265.32538</v>
      </c>
      <c r="B50" s="1" t="str">
        <f>'1.5'!B:B</f>
        <v>bnco1059@signalschool.ac.th</v>
      </c>
      <c r="C50" s="1" t="str">
        <f>'1.5'!C:C</f>
        <v>ร.ต.วสันต์  ทัศนามล</v>
      </c>
      <c r="D50" s="9">
        <v>1.0</v>
      </c>
      <c r="E50" s="10">
        <f>IFERROR(vlookup('1.5'!D:D,lookup!$A$2:$B$4,2,false),0)</f>
        <v>5</v>
      </c>
      <c r="F50" s="10">
        <f>IFERROR(vlookup('1.5'!E:E,lookup!$A$6:$B$8,2,false),0)</f>
        <v>5</v>
      </c>
      <c r="G50" s="10">
        <f>IFERROR(vlookup('1.5'!F:F,lookup!$A$10:$B$12,2,false),0)</f>
        <v>5</v>
      </c>
      <c r="H50" s="10">
        <f>IFERROR(vlookup('1.5'!G:G,lookup!$A$14:$B$16,2,false),0)</f>
        <v>5</v>
      </c>
      <c r="I50" s="10">
        <f>IFERROR(vlookup('1.5'!H:H,lookup!$A$18:$B$20,2,false),0)</f>
        <v>5</v>
      </c>
      <c r="J50" s="10">
        <f>IFERROR(vlookup('1.5'!I:I,lookup!$A$22:$B$24,2,false),0)</f>
        <v>5</v>
      </c>
      <c r="K50" s="10">
        <f>IFERROR(vlookup('1.5'!J:J,lookup!$A$26:$B$28,2,false),0)</f>
        <v>5</v>
      </c>
      <c r="L50" s="1"/>
      <c r="M50" s="10">
        <v>49.0</v>
      </c>
      <c r="N50" s="11" t="str">
        <f t="shared" si="1"/>
        <v>bnco1049@signalschool.ac.th</v>
      </c>
      <c r="O50" s="12">
        <f t="shared" si="2"/>
        <v>1</v>
      </c>
      <c r="R50" s="6" t="s">
        <v>263</v>
      </c>
    </row>
    <row r="51">
      <c r="A51" s="8">
        <f>'1.5'!A:A</f>
        <v>46265.67998</v>
      </c>
      <c r="B51" s="1" t="str">
        <f>'1.5'!B:B</f>
        <v>bnco1046@signalschool.ac.th</v>
      </c>
      <c r="C51" s="1" t="str">
        <f>'1.5'!C:C</f>
        <v>ร.ต.วสันต์ ทัศนามล</v>
      </c>
      <c r="D51" s="9">
        <v>1.0</v>
      </c>
      <c r="E51" s="10">
        <f>IFERROR(vlookup('1.5'!D:D,lookup!$A$2:$B$4,2,false),0)</f>
        <v>5</v>
      </c>
      <c r="F51" s="10">
        <f>IFERROR(vlookup('1.5'!E:E,lookup!$A$6:$B$8,2,false),0)</f>
        <v>5</v>
      </c>
      <c r="G51" s="10">
        <f>IFERROR(vlookup('1.5'!F:F,lookup!$A$10:$B$12,2,false),0)</f>
        <v>5</v>
      </c>
      <c r="H51" s="10">
        <f>IFERROR(vlookup('1.5'!G:G,lookup!$A$14:$B$16,2,false),0)</f>
        <v>5</v>
      </c>
      <c r="I51" s="10">
        <f>IFERROR(vlookup('1.5'!H:H,lookup!$A$18:$B$20,2,false),0)</f>
        <v>5</v>
      </c>
      <c r="J51" s="10">
        <f>IFERROR(vlookup('1.5'!I:I,lookup!$A$22:$B$24,2,false),0)</f>
        <v>5</v>
      </c>
      <c r="K51" s="10">
        <f>IFERROR(vlookup('1.5'!J:J,lookup!$A$26:$B$28,2,false),0)</f>
        <v>5</v>
      </c>
      <c r="L51" s="1"/>
      <c r="M51" s="10">
        <v>50.0</v>
      </c>
      <c r="N51" s="11" t="str">
        <f t="shared" si="1"/>
        <v>bnco1050@signalschool.ac.th</v>
      </c>
      <c r="O51" s="12">
        <f t="shared" si="2"/>
        <v>1</v>
      </c>
      <c r="R51" s="6" t="s">
        <v>264</v>
      </c>
    </row>
    <row r="52">
      <c r="A52" s="8">
        <f>'1.5'!A:A</f>
        <v>46265.69346</v>
      </c>
      <c r="B52" s="1" t="str">
        <f>'1.5'!B:B</f>
        <v>bnco1024@signalschool.ac.th</v>
      </c>
      <c r="C52" s="1" t="str">
        <f>'1.5'!C:C</f>
        <v>ร.ต.วสันต์ ทัศนามล, จ.ส.อ.ประกาศิต แซ่เจียม, จ.ส.อ.วรากร ไตรพงศ์, จ.ส.ท.ศุภกิตติ์ ปัญญาจักร</v>
      </c>
      <c r="D52" s="9">
        <v>1.0</v>
      </c>
      <c r="E52" s="10">
        <f>IFERROR(vlookup('1.5'!D:D,lookup!$A$2:$B$4,2,false),0)</f>
        <v>5</v>
      </c>
      <c r="F52" s="10">
        <f>IFERROR(vlookup('1.5'!E:E,lookup!$A$6:$B$8,2,false),0)</f>
        <v>5</v>
      </c>
      <c r="G52" s="10">
        <f>IFERROR(vlookup('1.5'!F:F,lookup!$A$10:$B$12,2,false),0)</f>
        <v>5</v>
      </c>
      <c r="H52" s="10">
        <f>IFERROR(vlookup('1.5'!G:G,lookup!$A$14:$B$16,2,false),0)</f>
        <v>5</v>
      </c>
      <c r="I52" s="10">
        <f>IFERROR(vlookup('1.5'!H:H,lookup!$A$18:$B$20,2,false),0)</f>
        <v>5</v>
      </c>
      <c r="J52" s="10">
        <f>IFERROR(vlookup('1.5'!I:I,lookup!$A$22:$B$24,2,false),0)</f>
        <v>5</v>
      </c>
      <c r="K52" s="10">
        <f>IFERROR(vlookup('1.5'!J:J,lookup!$A$26:$B$28,2,false),0)</f>
        <v>5</v>
      </c>
      <c r="L52" s="1"/>
      <c r="M52" s="10">
        <v>51.0</v>
      </c>
      <c r="N52" s="11" t="str">
        <f t="shared" si="1"/>
        <v>bnco1051@signalschool.ac.th</v>
      </c>
      <c r="O52" s="12">
        <f t="shared" si="2"/>
        <v>1</v>
      </c>
      <c r="R52" s="6" t="s">
        <v>265</v>
      </c>
    </row>
    <row r="53">
      <c r="A53" s="8">
        <f>'1.5'!A:A</f>
        <v>46265.70465</v>
      </c>
      <c r="B53" s="1" t="str">
        <f>'1.5'!B:B</f>
        <v>bnco1073@signalschool.ac.th</v>
      </c>
      <c r="C53" s="1" t="str">
        <f>'1.5'!C:C</f>
        <v>ร.ต.วสันต์  ทัศนามล</v>
      </c>
      <c r="D53" s="9">
        <v>1.0</v>
      </c>
      <c r="E53" s="10">
        <f>IFERROR(vlookup('1.5'!D:D,lookup!$A$2:$B$4,2,false),0)</f>
        <v>5</v>
      </c>
      <c r="F53" s="10">
        <f>IFERROR(vlookup('1.5'!E:E,lookup!$A$6:$B$8,2,false),0)</f>
        <v>5</v>
      </c>
      <c r="G53" s="10">
        <f>IFERROR(vlookup('1.5'!F:F,lookup!$A$10:$B$12,2,false),0)</f>
        <v>5</v>
      </c>
      <c r="H53" s="10">
        <f>IFERROR(vlookup('1.5'!G:G,lookup!$A$14:$B$16,2,false),0)</f>
        <v>5</v>
      </c>
      <c r="I53" s="10">
        <f>IFERROR(vlookup('1.5'!H:H,lookup!$A$18:$B$20,2,false),0)</f>
        <v>5</v>
      </c>
      <c r="J53" s="10">
        <f>IFERROR(vlookup('1.5'!I:I,lookup!$A$22:$B$24,2,false),0)</f>
        <v>5</v>
      </c>
      <c r="K53" s="10">
        <f>IFERROR(vlookup('1.5'!J:J,lookup!$A$26:$B$28,2,false),0)</f>
        <v>5</v>
      </c>
      <c r="L53" s="1"/>
      <c r="M53" s="10">
        <v>52.0</v>
      </c>
      <c r="N53" s="11" t="str">
        <f t="shared" si="1"/>
        <v>bnco1052@signalschool.ac.th</v>
      </c>
      <c r="O53" s="12">
        <f t="shared" si="2"/>
        <v>1</v>
      </c>
      <c r="R53" s="6" t="s">
        <v>266</v>
      </c>
    </row>
    <row r="54">
      <c r="A54" s="8">
        <f>'1.5'!A:A</f>
        <v>46265.70518</v>
      </c>
      <c r="B54" s="1" t="str">
        <f>'1.5'!B:B</f>
        <v>bnco1078@signalschool.ac.th</v>
      </c>
      <c r="C54" s="1" t="str">
        <f>'1.5'!C:C</f>
        <v>ร.ต.วสันต์ ทัศนามล</v>
      </c>
      <c r="D54" s="9">
        <v>1.0</v>
      </c>
      <c r="E54" s="10">
        <f>IFERROR(vlookup('1.5'!D:D,lookup!$A$2:$B$4,2,false),0)</f>
        <v>5</v>
      </c>
      <c r="F54" s="10">
        <f>IFERROR(vlookup('1.5'!E:E,lookup!$A$6:$B$8,2,false),0)</f>
        <v>5</v>
      </c>
      <c r="G54" s="10">
        <f>IFERROR(vlookup('1.5'!F:F,lookup!$A$10:$B$12,2,false),0)</f>
        <v>5</v>
      </c>
      <c r="H54" s="10">
        <f>IFERROR(vlookup('1.5'!G:G,lookup!$A$14:$B$16,2,false),0)</f>
        <v>5</v>
      </c>
      <c r="I54" s="10">
        <f>IFERROR(vlookup('1.5'!H:H,lookup!$A$18:$B$20,2,false),0)</f>
        <v>5</v>
      </c>
      <c r="J54" s="10">
        <f>IFERROR(vlookup('1.5'!I:I,lookup!$A$22:$B$24,2,false),0)</f>
        <v>5</v>
      </c>
      <c r="K54" s="10">
        <f>IFERROR(vlookup('1.5'!J:J,lookup!$A$26:$B$28,2,false),0)</f>
        <v>5</v>
      </c>
      <c r="L54" s="1"/>
      <c r="M54" s="10">
        <v>53.0</v>
      </c>
      <c r="N54" s="11" t="str">
        <f t="shared" si="1"/>
        <v>bnco1053@signalschool.ac.th</v>
      </c>
      <c r="O54" s="12">
        <f t="shared" si="2"/>
        <v>1</v>
      </c>
      <c r="R54" s="6" t="s">
        <v>267</v>
      </c>
    </row>
    <row r="55">
      <c r="A55" s="8">
        <f>'1.5'!A:A</f>
        <v>46265.73582</v>
      </c>
      <c r="B55" s="1" t="str">
        <f>'1.5'!B:B</f>
        <v>bnco1057@signalschool.ac.th</v>
      </c>
      <c r="C55" s="1" t="str">
        <f>'1.5'!C:C</f>
        <v>ร.ต. วสันต์  ทัศนามล</v>
      </c>
      <c r="D55" s="9">
        <v>1.0</v>
      </c>
      <c r="E55" s="10">
        <f>IFERROR(vlookup('1.5'!D:D,lookup!$A$2:$B$4,2,false),0)</f>
        <v>5</v>
      </c>
      <c r="F55" s="10">
        <f>IFERROR(vlookup('1.5'!E:E,lookup!$A$6:$B$8,2,false),0)</f>
        <v>5</v>
      </c>
      <c r="G55" s="10">
        <f>IFERROR(vlookup('1.5'!F:F,lookup!$A$10:$B$12,2,false),0)</f>
        <v>5</v>
      </c>
      <c r="H55" s="10">
        <f>IFERROR(vlookup('1.5'!G:G,lookup!$A$14:$B$16,2,false),0)</f>
        <v>5</v>
      </c>
      <c r="I55" s="10">
        <f>IFERROR(vlookup('1.5'!H:H,lookup!$A$18:$B$20,2,false),0)</f>
        <v>5</v>
      </c>
      <c r="J55" s="10">
        <f>IFERROR(vlookup('1.5'!I:I,lookup!$A$22:$B$24,2,false),0)</f>
        <v>5</v>
      </c>
      <c r="K55" s="10">
        <f>IFERROR(vlookup('1.5'!J:J,lookup!$A$26:$B$28,2,false),0)</f>
        <v>5</v>
      </c>
      <c r="L55" s="1"/>
      <c r="M55" s="10">
        <v>54.0</v>
      </c>
      <c r="N55" s="11" t="str">
        <f t="shared" si="1"/>
        <v>bnco1054@signalschool.ac.th</v>
      </c>
      <c r="O55" s="12">
        <f t="shared" si="2"/>
        <v>1</v>
      </c>
      <c r="R55" s="6" t="s">
        <v>268</v>
      </c>
    </row>
    <row r="56">
      <c r="A56" s="8">
        <f>'1.5'!A:A</f>
        <v>46266.54862</v>
      </c>
      <c r="B56" s="1" t="str">
        <f>'1.5'!B:B</f>
        <v>bnco1004@signalschool.ac.th</v>
      </c>
      <c r="C56" s="1" t="str">
        <f>'1.5'!C:C</f>
        <v>จ่าสิบเอก อนิชิท ธิบมนทรา</v>
      </c>
      <c r="D56" s="9">
        <v>1.0</v>
      </c>
      <c r="E56" s="10">
        <f>IFERROR(vlookup('1.5'!D:D,lookup!$A$2:$B$4,2,false),0)</f>
        <v>3</v>
      </c>
      <c r="F56" s="10">
        <f>IFERROR(vlookup('1.5'!E:E,lookup!$A$6:$B$8,2,false),0)</f>
        <v>3</v>
      </c>
      <c r="G56" s="10">
        <f>IFERROR(vlookup('1.5'!F:F,lookup!$A$10:$B$12,2,false),0)</f>
        <v>3</v>
      </c>
      <c r="H56" s="10">
        <f>IFERROR(vlookup('1.5'!G:G,lookup!$A$14:$B$16,2,false),0)</f>
        <v>3</v>
      </c>
      <c r="I56" s="10">
        <f>IFERROR(vlookup('1.5'!H:H,lookup!$A$18:$B$20,2,false),0)</f>
        <v>3</v>
      </c>
      <c r="J56" s="10">
        <f>IFERROR(vlookup('1.5'!I:I,lookup!$A$22:$B$24,2,false),0)</f>
        <v>3</v>
      </c>
      <c r="K56" s="10">
        <f>IFERROR(vlookup('1.5'!J:J,lookup!$A$26:$B$28,2,false),0)</f>
        <v>3</v>
      </c>
      <c r="L56" s="13"/>
      <c r="M56" s="10">
        <v>55.0</v>
      </c>
      <c r="N56" s="11" t="str">
        <f t="shared" si="1"/>
        <v>bnco1055@signalschool.ac.th</v>
      </c>
      <c r="O56" s="12">
        <f t="shared" si="2"/>
        <v>1</v>
      </c>
      <c r="R56" s="6" t="s">
        <v>269</v>
      </c>
    </row>
    <row r="57">
      <c r="A57" s="8">
        <f>'1.5'!A:A</f>
        <v>46266.68003</v>
      </c>
      <c r="B57" s="1" t="str">
        <f>'1.5'!B:B</f>
        <v>bnco1053@signalschool.ac.th</v>
      </c>
      <c r="C57" s="1" t="str">
        <f>'1.5'!C:C</f>
        <v>ร.ต.วสันต์  ทัศนามล</v>
      </c>
      <c r="D57" s="9">
        <v>1.0</v>
      </c>
      <c r="E57" s="10">
        <f>IFERROR(vlookup('1.5'!D:D,lookup!$A$2:$B$4,2,false),0)</f>
        <v>5</v>
      </c>
      <c r="F57" s="10">
        <f>IFERROR(vlookup('1.5'!E:E,lookup!$A$6:$B$8,2,false),0)</f>
        <v>5</v>
      </c>
      <c r="G57" s="10">
        <f>IFERROR(vlookup('1.5'!F:F,lookup!$A$10:$B$12,2,false),0)</f>
        <v>5</v>
      </c>
      <c r="H57" s="10">
        <f>IFERROR(vlookup('1.5'!G:G,lookup!$A$14:$B$16,2,false),0)</f>
        <v>5</v>
      </c>
      <c r="I57" s="10">
        <f>IFERROR(vlookup('1.5'!H:H,lookup!$A$18:$B$20,2,false),0)</f>
        <v>5</v>
      </c>
      <c r="J57" s="10">
        <f>IFERROR(vlookup('1.5'!I:I,lookup!$A$22:$B$24,2,false),0)</f>
        <v>5</v>
      </c>
      <c r="K57" s="10">
        <f>IFERROR(vlookup('1.5'!J:J,lookup!$A$26:$B$28,2,false),0)</f>
        <v>5</v>
      </c>
      <c r="L57" s="13"/>
      <c r="M57" s="10">
        <v>56.0</v>
      </c>
      <c r="N57" s="11" t="str">
        <f t="shared" si="1"/>
        <v>bnco1056@signalschool.ac.th</v>
      </c>
      <c r="O57" s="12">
        <f t="shared" si="2"/>
        <v>1</v>
      </c>
      <c r="R57" s="6" t="s">
        <v>270</v>
      </c>
    </row>
    <row r="58">
      <c r="A58" s="8">
        <f>'1.5'!A:A</f>
        <v>46266.68547</v>
      </c>
      <c r="B58" s="1" t="str">
        <f>'1.5'!B:B</f>
        <v>bnco1047@signalschool.ac.th</v>
      </c>
      <c r="C58" s="1" t="str">
        <f>'1.5'!C:C</f>
        <v>ร.ต.วสันต์ ทัศนามล</v>
      </c>
      <c r="D58" s="9">
        <v>1.0</v>
      </c>
      <c r="E58" s="10">
        <f>IFERROR(vlookup('1.5'!D:D,lookup!$A$2:$B$4,2,false),0)</f>
        <v>5</v>
      </c>
      <c r="F58" s="10">
        <f>IFERROR(vlookup('1.5'!E:E,lookup!$A$6:$B$8,2,false),0)</f>
        <v>5</v>
      </c>
      <c r="G58" s="10">
        <f>IFERROR(vlookup('1.5'!F:F,lookup!$A$10:$B$12,2,false),0)</f>
        <v>5</v>
      </c>
      <c r="H58" s="10">
        <f>IFERROR(vlookup('1.5'!G:G,lookup!$A$14:$B$16,2,false),0)</f>
        <v>5</v>
      </c>
      <c r="I58" s="10">
        <f>IFERROR(vlookup('1.5'!H:H,lookup!$A$18:$B$20,2,false),0)</f>
        <v>5</v>
      </c>
      <c r="J58" s="10">
        <f>IFERROR(vlookup('1.5'!I:I,lookup!$A$22:$B$24,2,false),0)</f>
        <v>5</v>
      </c>
      <c r="K58" s="10">
        <f>IFERROR(vlookup('1.5'!J:J,lookup!$A$26:$B$28,2,false),0)</f>
        <v>5</v>
      </c>
      <c r="L58" s="13"/>
      <c r="M58" s="10">
        <v>57.0</v>
      </c>
      <c r="N58" s="11" t="str">
        <f t="shared" si="1"/>
        <v>bnco1057@signalschool.ac.th</v>
      </c>
      <c r="O58" s="12">
        <f t="shared" si="2"/>
        <v>1</v>
      </c>
      <c r="R58" s="6" t="s">
        <v>271</v>
      </c>
    </row>
    <row r="59">
      <c r="A59" s="8">
        <f>'1.5'!A:A</f>
        <v>46266.69603</v>
      </c>
      <c r="B59" s="1" t="str">
        <f>'1.5'!B:B</f>
        <v>bnco1055@signalschool.ac.th</v>
      </c>
      <c r="C59" s="1" t="str">
        <f>'1.5'!C:C</f>
        <v>ร.ต.วสันต์ ทัศนามล จ.ส.อ.ประกาศิต แซ่เจียม จ.ส.อ.วรากร ไตรศัพท์ จ.ส.ท. ศุภกิตติ์ ปัญญาจักร์</v>
      </c>
      <c r="D59" s="9">
        <v>1.0</v>
      </c>
      <c r="E59" s="10">
        <f>IFERROR(vlookup('1.5'!D:D,lookup!$A$2:$B$4,2,false),0)</f>
        <v>5</v>
      </c>
      <c r="F59" s="10">
        <f>IFERROR(vlookup('1.5'!E:E,lookup!$A$6:$B$8,2,false),0)</f>
        <v>5</v>
      </c>
      <c r="G59" s="10">
        <f>IFERROR(vlookup('1.5'!F:F,lookup!$A$10:$B$12,2,false),0)</f>
        <v>5</v>
      </c>
      <c r="H59" s="10">
        <f>IFERROR(vlookup('1.5'!G:G,lookup!$A$14:$B$16,2,false),0)</f>
        <v>5</v>
      </c>
      <c r="I59" s="10">
        <f>IFERROR(vlookup('1.5'!H:H,lookup!$A$18:$B$20,2,false),0)</f>
        <v>5</v>
      </c>
      <c r="J59" s="10">
        <f>IFERROR(vlookup('1.5'!I:I,lookup!$A$22:$B$24,2,false),0)</f>
        <v>5</v>
      </c>
      <c r="K59" s="10">
        <f>IFERROR(vlookup('1.5'!J:J,lookup!$A$26:$B$28,2,false),0)</f>
        <v>5</v>
      </c>
      <c r="L59" s="14"/>
      <c r="M59" s="10">
        <v>58.0</v>
      </c>
      <c r="N59" s="11" t="str">
        <f t="shared" si="1"/>
        <v>bnco1058@signalschool.ac.th</v>
      </c>
      <c r="O59" s="12">
        <f t="shared" si="2"/>
        <v>1</v>
      </c>
      <c r="R59" s="6" t="s">
        <v>272</v>
      </c>
    </row>
    <row r="60">
      <c r="A60" s="8">
        <f>'1.5'!A:A</f>
        <v>46266.80786</v>
      </c>
      <c r="B60" s="1" t="str">
        <f>'1.5'!B:B</f>
        <v>bnco1017@signalschool.ac.th</v>
      </c>
      <c r="C60" s="1" t="str">
        <f>'1.5'!C:C</f>
        <v>ร.ต.วสันต์ ทัศนามล</v>
      </c>
      <c r="D60" s="9">
        <v>1.0</v>
      </c>
      <c r="E60" s="10">
        <f>IFERROR(vlookup('1.5'!D:D,lookup!$A$2:$B$4,2,false),0)</f>
        <v>5</v>
      </c>
      <c r="F60" s="10">
        <f>IFERROR(vlookup('1.5'!E:E,lookup!$A$6:$B$8,2,false),0)</f>
        <v>5</v>
      </c>
      <c r="G60" s="10">
        <f>IFERROR(vlookup('1.5'!F:F,lookup!$A$10:$B$12,2,false),0)</f>
        <v>5</v>
      </c>
      <c r="H60" s="10">
        <f>IFERROR(vlookup('1.5'!G:G,lookup!$A$14:$B$16,2,false),0)</f>
        <v>5</v>
      </c>
      <c r="I60" s="10">
        <f>IFERROR(vlookup('1.5'!H:H,lookup!$A$18:$B$20,2,false),0)</f>
        <v>5</v>
      </c>
      <c r="J60" s="10">
        <f>IFERROR(vlookup('1.5'!I:I,lookup!$A$22:$B$24,2,false),0)</f>
        <v>5</v>
      </c>
      <c r="K60" s="10">
        <f>IFERROR(vlookup('1.5'!J:J,lookup!$A$26:$B$28,2,false),0)</f>
        <v>5</v>
      </c>
      <c r="L60" s="10"/>
      <c r="M60" s="10">
        <v>59.0</v>
      </c>
      <c r="N60" s="11" t="str">
        <f t="shared" si="1"/>
        <v>bnco1059@signalschool.ac.th</v>
      </c>
      <c r="O60" s="12">
        <f t="shared" si="2"/>
        <v>1</v>
      </c>
      <c r="R60" s="6" t="s">
        <v>273</v>
      </c>
    </row>
    <row r="61">
      <c r="A61" s="8">
        <f>'1.5'!A:A</f>
        <v>46267.30783</v>
      </c>
      <c r="B61" s="1" t="str">
        <f>'1.5'!B:B</f>
        <v>bnco1016@signalschool.ac.th</v>
      </c>
      <c r="C61" s="1" t="str">
        <f>'1.5'!C:C</f>
        <v>ร.ต.วสันต์ ทัศนามล</v>
      </c>
      <c r="D61" s="9">
        <v>1.0</v>
      </c>
      <c r="E61" s="10">
        <f>IFERROR(vlookup('1.5'!D:D,lookup!$A$2:$B$4,2,false),0)</f>
        <v>5</v>
      </c>
      <c r="F61" s="10">
        <f>IFERROR(vlookup('1.5'!E:E,lookup!$A$6:$B$8,2,false),0)</f>
        <v>5</v>
      </c>
      <c r="G61" s="10">
        <f>IFERROR(vlookup('1.5'!F:F,lookup!$A$10:$B$12,2,false),0)</f>
        <v>5</v>
      </c>
      <c r="H61" s="10">
        <f>IFERROR(vlookup('1.5'!G:G,lookup!$A$14:$B$16,2,false),0)</f>
        <v>5</v>
      </c>
      <c r="I61" s="10">
        <f>IFERROR(vlookup('1.5'!H:H,lookup!$A$18:$B$20,2,false),0)</f>
        <v>5</v>
      </c>
      <c r="J61" s="10">
        <f>IFERROR(vlookup('1.5'!I:I,lookup!$A$22:$B$24,2,false),0)</f>
        <v>5</v>
      </c>
      <c r="K61" s="10">
        <f>IFERROR(vlookup('1.5'!J:J,lookup!$A$26:$B$28,2,false),0)</f>
        <v>5</v>
      </c>
      <c r="M61" s="10">
        <v>60.0</v>
      </c>
      <c r="N61" s="11" t="str">
        <f t="shared" si="1"/>
        <v>bnco1060@signalschool.ac.th</v>
      </c>
      <c r="O61" s="12">
        <f t="shared" si="2"/>
        <v>1</v>
      </c>
      <c r="R61" s="6" t="s">
        <v>274</v>
      </c>
    </row>
    <row r="62">
      <c r="A62" s="8">
        <f>'1.5'!A:A</f>
        <v>46267.30867</v>
      </c>
      <c r="B62" s="1" t="str">
        <f>'1.5'!B:B</f>
        <v>bnco1019@signalschool.ac.th</v>
      </c>
      <c r="C62" s="1" t="str">
        <f>'1.5'!C:C</f>
        <v>ร.ท.วสันต์  ทัศนามล</v>
      </c>
      <c r="D62" s="9">
        <v>1.0</v>
      </c>
      <c r="E62" s="10">
        <f>IFERROR(vlookup('1.5'!D:D,lookup!$A$2:$B$4,2,false),0)</f>
        <v>5</v>
      </c>
      <c r="F62" s="10">
        <f>IFERROR(vlookup('1.5'!E:E,lookup!$A$6:$B$8,2,false),0)</f>
        <v>5</v>
      </c>
      <c r="G62" s="10">
        <f>IFERROR(vlookup('1.5'!F:F,lookup!$A$10:$B$12,2,false),0)</f>
        <v>5</v>
      </c>
      <c r="H62" s="10">
        <f>IFERROR(vlookup('1.5'!G:G,lookup!$A$14:$B$16,2,false),0)</f>
        <v>5</v>
      </c>
      <c r="I62" s="10">
        <f>IFERROR(vlookup('1.5'!H:H,lookup!$A$18:$B$20,2,false),0)</f>
        <v>5</v>
      </c>
      <c r="J62" s="10">
        <f>IFERROR(vlookup('1.5'!I:I,lookup!$A$22:$B$24,2,false),0)</f>
        <v>5</v>
      </c>
      <c r="K62" s="10">
        <f>IFERROR(vlookup('1.5'!J:J,lookup!$A$26:$B$28,2,false),0)</f>
        <v>5</v>
      </c>
      <c r="M62" s="10">
        <v>61.0</v>
      </c>
      <c r="N62" s="11" t="str">
        <f t="shared" si="1"/>
        <v>bnco1061@signalschool.ac.th</v>
      </c>
      <c r="O62" s="12">
        <f t="shared" si="2"/>
        <v>1</v>
      </c>
      <c r="R62" s="6" t="s">
        <v>275</v>
      </c>
    </row>
    <row r="63">
      <c r="A63" s="8">
        <f>'1.5'!A:A</f>
        <v>46267.56157</v>
      </c>
      <c r="B63" s="1" t="str">
        <f>'1.5'!B:B</f>
        <v>bnco1034@signalschool.ac.th</v>
      </c>
      <c r="C63" s="1" t="str">
        <f>'1.5'!C:C</f>
        <v>ร.ท.วสันต์ ทัศนามล</v>
      </c>
      <c r="D63" s="9">
        <v>1.0</v>
      </c>
      <c r="E63" s="10">
        <f>IFERROR(vlookup('1.5'!D:D,lookup!$A$2:$B$4,2,false),0)</f>
        <v>5</v>
      </c>
      <c r="F63" s="10">
        <f>IFERROR(vlookup('1.5'!E:E,lookup!$A$6:$B$8,2,false),0)</f>
        <v>5</v>
      </c>
      <c r="G63" s="10">
        <f>IFERROR(vlookup('1.5'!F:F,lookup!$A$10:$B$12,2,false),0)</f>
        <v>5</v>
      </c>
      <c r="H63" s="10">
        <f>IFERROR(vlookup('1.5'!G:G,lookup!$A$14:$B$16,2,false),0)</f>
        <v>5</v>
      </c>
      <c r="I63" s="10">
        <f>IFERROR(vlookup('1.5'!H:H,lookup!$A$18:$B$20,2,false),0)</f>
        <v>5</v>
      </c>
      <c r="J63" s="10">
        <f>IFERROR(vlookup('1.5'!I:I,lookup!$A$22:$B$24,2,false),0)</f>
        <v>5</v>
      </c>
      <c r="K63" s="10">
        <f>IFERROR(vlookup('1.5'!J:J,lookup!$A$26:$B$28,2,false),0)</f>
        <v>5</v>
      </c>
      <c r="M63" s="10">
        <v>62.0</v>
      </c>
      <c r="N63" s="11" t="str">
        <f t="shared" si="1"/>
        <v>bnco1062@signalschool.ac.th</v>
      </c>
      <c r="O63" s="12">
        <f t="shared" si="2"/>
        <v>1</v>
      </c>
      <c r="R63" s="6" t="s">
        <v>276</v>
      </c>
    </row>
    <row r="64">
      <c r="A64" s="8">
        <f>'1.5'!A:A</f>
        <v>46267.60647</v>
      </c>
      <c r="B64" s="1" t="str">
        <f>'1.5'!B:B</f>
        <v>bnco1011@signalschool.ac.th</v>
      </c>
      <c r="C64" s="1" t="str">
        <f>'1.5'!C:C</f>
        <v>ร.ต.วสันต์ ทัศนามล</v>
      </c>
      <c r="D64" s="9">
        <v>1.0</v>
      </c>
      <c r="E64" s="10">
        <f>IFERROR(vlookup('1.5'!D:D,lookup!$A$2:$B$4,2,false),0)</f>
        <v>5</v>
      </c>
      <c r="F64" s="10">
        <f>IFERROR(vlookup('1.5'!E:E,lookup!$A$6:$B$8,2,false),0)</f>
        <v>5</v>
      </c>
      <c r="G64" s="10">
        <f>IFERROR(vlookup('1.5'!F:F,lookup!$A$10:$B$12,2,false),0)</f>
        <v>5</v>
      </c>
      <c r="H64" s="10">
        <f>IFERROR(vlookup('1.5'!G:G,lookup!$A$14:$B$16,2,false),0)</f>
        <v>5</v>
      </c>
      <c r="I64" s="10">
        <f>IFERROR(vlookup('1.5'!H:H,lookup!$A$18:$B$20,2,false),0)</f>
        <v>5</v>
      </c>
      <c r="J64" s="10">
        <f>IFERROR(vlookup('1.5'!I:I,lookup!$A$22:$B$24,2,false),0)</f>
        <v>5</v>
      </c>
      <c r="K64" s="10">
        <f>IFERROR(vlookup('1.5'!J:J,lookup!$A$26:$B$28,2,false),0)</f>
        <v>5</v>
      </c>
      <c r="M64" s="10">
        <v>63.0</v>
      </c>
      <c r="N64" s="11" t="str">
        <f t="shared" si="1"/>
        <v>bnco1063@signalschool.ac.th</v>
      </c>
      <c r="O64" s="12">
        <f t="shared" si="2"/>
        <v>1</v>
      </c>
      <c r="R64" s="6" t="s">
        <v>277</v>
      </c>
    </row>
    <row r="65">
      <c r="A65" s="8">
        <f>'1.5'!A:A</f>
        <v>46267.60887</v>
      </c>
      <c r="B65" s="1" t="str">
        <f>'1.5'!B:B</f>
        <v>bnco1043@signalschool.ac.th</v>
      </c>
      <c r="C65" s="1" t="str">
        <f>'1.5'!C:C</f>
        <v>ร.ต.วสันต์ ทัศนามล จ.ส.อ.ประกาศิต แซ่เจียม จ.ส.อ.วรากร ไตรศัพท์ จ.ส.ท.ศุภกิตติ์ ปัญญาจักร</v>
      </c>
      <c r="D65" s="9">
        <v>1.0</v>
      </c>
      <c r="E65" s="10">
        <f>IFERROR(vlookup('1.5'!D:D,lookup!$A$2:$B$4,2,false),0)</f>
        <v>5</v>
      </c>
      <c r="F65" s="10">
        <f>IFERROR(vlookup('1.5'!E:E,lookup!$A$6:$B$8,2,false),0)</f>
        <v>5</v>
      </c>
      <c r="G65" s="10">
        <f>IFERROR(vlookup('1.5'!F:F,lookup!$A$10:$B$12,2,false),0)</f>
        <v>5</v>
      </c>
      <c r="H65" s="10">
        <f>IFERROR(vlookup('1.5'!G:G,lookup!$A$14:$B$16,2,false),0)</f>
        <v>5</v>
      </c>
      <c r="I65" s="10">
        <f>IFERROR(vlookup('1.5'!H:H,lookup!$A$18:$B$20,2,false),0)</f>
        <v>5</v>
      </c>
      <c r="J65" s="10">
        <f>IFERROR(vlookup('1.5'!I:I,lookup!$A$22:$B$24,2,false),0)</f>
        <v>5</v>
      </c>
      <c r="K65" s="10">
        <f>IFERROR(vlookup('1.5'!J:J,lookup!$A$26:$B$28,2,false),0)</f>
        <v>5</v>
      </c>
      <c r="M65" s="10">
        <v>64.0</v>
      </c>
      <c r="N65" s="11" t="str">
        <f t="shared" si="1"/>
        <v>bnco1064@signalschool.ac.th</v>
      </c>
      <c r="O65" s="12">
        <f t="shared" si="2"/>
        <v>1</v>
      </c>
      <c r="R65" s="6" t="s">
        <v>278</v>
      </c>
    </row>
    <row r="66">
      <c r="A66" s="8">
        <f>'1.5'!A:A</f>
        <v>46267.60902</v>
      </c>
      <c r="B66" s="1" t="str">
        <f>'1.5'!B:B</f>
        <v>bnco1001@signalschool.ac.th</v>
      </c>
      <c r="C66" s="1" t="str">
        <f>'1.5'!C:C</f>
        <v>ครู/อาจารย์</v>
      </c>
      <c r="D66" s="9">
        <v>1.0</v>
      </c>
      <c r="E66" s="10">
        <f>IFERROR(vlookup('1.5'!D:D,lookup!$A$2:$B$4,2,false),0)</f>
        <v>5</v>
      </c>
      <c r="F66" s="10">
        <f>IFERROR(vlookup('1.5'!E:E,lookup!$A$6:$B$8,2,false),0)</f>
        <v>5</v>
      </c>
      <c r="G66" s="10">
        <f>IFERROR(vlookup('1.5'!F:F,lookup!$A$10:$B$12,2,false),0)</f>
        <v>5</v>
      </c>
      <c r="H66" s="10">
        <f>IFERROR(vlookup('1.5'!G:G,lookup!$A$14:$B$16,2,false),0)</f>
        <v>5</v>
      </c>
      <c r="I66" s="10">
        <f>IFERROR(vlookup('1.5'!H:H,lookup!$A$18:$B$20,2,false),0)</f>
        <v>5</v>
      </c>
      <c r="J66" s="10">
        <f>IFERROR(vlookup('1.5'!I:I,lookup!$A$22:$B$24,2,false),0)</f>
        <v>5</v>
      </c>
      <c r="K66" s="10">
        <f>IFERROR(vlookup('1.5'!J:J,lookup!$A$26:$B$28,2,false),0)</f>
        <v>5</v>
      </c>
      <c r="M66" s="10">
        <v>65.0</v>
      </c>
      <c r="N66" s="11" t="str">
        <f t="shared" si="1"/>
        <v>bnco1065@signalschool.ac.th</v>
      </c>
      <c r="O66" s="12">
        <f t="shared" si="2"/>
        <v>0</v>
      </c>
      <c r="R66" s="6" t="s">
        <v>279</v>
      </c>
    </row>
    <row r="67">
      <c r="A67" s="8">
        <f>'1.5'!A:A</f>
        <v>46267.85158</v>
      </c>
      <c r="B67" s="1" t="str">
        <f>'1.5'!B:B</f>
        <v>bnco1026@signalschool.ac.th</v>
      </c>
      <c r="C67" s="1" t="str">
        <f>'1.5'!C:C</f>
        <v>อาจารย์ผู้สอน</v>
      </c>
      <c r="D67" s="9">
        <v>1.0</v>
      </c>
      <c r="E67" s="10">
        <f>IFERROR(vlookup('1.5'!D:D,lookup!$A$2:$B$4,2,false),0)</f>
        <v>5</v>
      </c>
      <c r="F67" s="10">
        <f>IFERROR(vlookup('1.5'!E:E,lookup!$A$6:$B$8,2,false),0)</f>
        <v>5</v>
      </c>
      <c r="G67" s="10">
        <f>IFERROR(vlookup('1.5'!F:F,lookup!$A$10:$B$12,2,false),0)</f>
        <v>5</v>
      </c>
      <c r="H67" s="10">
        <f>IFERROR(vlookup('1.5'!G:G,lookup!$A$14:$B$16,2,false),0)</f>
        <v>5</v>
      </c>
      <c r="I67" s="10">
        <f>IFERROR(vlookup('1.5'!H:H,lookup!$A$18:$B$20,2,false),0)</f>
        <v>5</v>
      </c>
      <c r="J67" s="10">
        <f>IFERROR(vlookup('1.5'!I:I,lookup!$A$22:$B$24,2,false),0)</f>
        <v>3</v>
      </c>
      <c r="K67" s="10">
        <f>IFERROR(vlookup('1.5'!J:J,lookup!$A$26:$B$28,2,false),0)</f>
        <v>5</v>
      </c>
      <c r="M67" s="10">
        <v>66.0</v>
      </c>
      <c r="N67" s="11" t="str">
        <f t="shared" si="1"/>
        <v>bnco1066@signalschool.ac.th</v>
      </c>
      <c r="O67" s="12">
        <f t="shared" si="2"/>
        <v>1</v>
      </c>
      <c r="R67" s="6" t="s">
        <v>280</v>
      </c>
    </row>
    <row r="68">
      <c r="A68" s="8">
        <f>'1.5'!A:A</f>
        <v>46268.3448</v>
      </c>
      <c r="B68" s="1" t="str">
        <f>'1.5'!B:B</f>
        <v>bnco1040@signalschool.ac.th</v>
      </c>
      <c r="C68" s="1" t="str">
        <f>'1.5'!C:C</f>
        <v>ร.ต.วสันต์ ทัศนามล</v>
      </c>
      <c r="D68" s="9">
        <v>1.0</v>
      </c>
      <c r="E68" s="10">
        <f>IFERROR(vlookup('1.5'!D:D,lookup!$A$2:$B$4,2,false),0)</f>
        <v>5</v>
      </c>
      <c r="F68" s="10">
        <f>IFERROR(vlookup('1.5'!E:E,lookup!$A$6:$B$8,2,false),0)</f>
        <v>5</v>
      </c>
      <c r="G68" s="10">
        <f>IFERROR(vlookup('1.5'!F:F,lookup!$A$10:$B$12,2,false),0)</f>
        <v>5</v>
      </c>
      <c r="H68" s="10">
        <f>IFERROR(vlookup('1.5'!G:G,lookup!$A$14:$B$16,2,false),0)</f>
        <v>5</v>
      </c>
      <c r="I68" s="10">
        <f>IFERROR(vlookup('1.5'!H:H,lookup!$A$18:$B$20,2,false),0)</f>
        <v>5</v>
      </c>
      <c r="J68" s="10">
        <f>IFERROR(vlookup('1.5'!I:I,lookup!$A$22:$B$24,2,false),0)</f>
        <v>5</v>
      </c>
      <c r="K68" s="10">
        <f>IFERROR(vlookup('1.5'!J:J,lookup!$A$26:$B$28,2,false),0)</f>
        <v>5</v>
      </c>
      <c r="M68" s="10">
        <v>67.0</v>
      </c>
      <c r="N68" s="11" t="str">
        <f t="shared" si="1"/>
        <v>bnco1067@signalschool.ac.th</v>
      </c>
      <c r="O68" s="12">
        <f t="shared" si="2"/>
        <v>1</v>
      </c>
      <c r="R68" s="6" t="s">
        <v>281</v>
      </c>
    </row>
    <row r="69">
      <c r="A69" s="8" t="str">
        <f>'1.5'!A:A</f>
        <v/>
      </c>
      <c r="B69" s="1" t="str">
        <f>'1.5'!B:B</f>
        <v/>
      </c>
      <c r="C69" s="1" t="str">
        <f>'1.5'!C:C</f>
        <v/>
      </c>
      <c r="D69" s="9">
        <v>1.0</v>
      </c>
      <c r="E69" s="10">
        <f>IFERROR(vlookup('1.5'!D:D,lookup!$A$2:$B$4,2,false),0)</f>
        <v>0</v>
      </c>
      <c r="F69" s="10">
        <f>IFERROR(vlookup('1.5'!E:E,lookup!$A$6:$B$8,2,false),0)</f>
        <v>0</v>
      </c>
      <c r="G69" s="10">
        <f>IFERROR(vlookup('1.5'!F:F,lookup!$A$10:$B$12,2,false),0)</f>
        <v>0</v>
      </c>
      <c r="H69" s="10">
        <f>IFERROR(vlookup('1.5'!G:G,lookup!$A$14:$B$16,2,false),0)</f>
        <v>0</v>
      </c>
      <c r="I69" s="10">
        <f>IFERROR(vlookup('1.5'!H:H,lookup!$A$18:$B$20,2,false),0)</f>
        <v>0</v>
      </c>
      <c r="J69" s="10">
        <f>IFERROR(vlookup('1.5'!I:I,lookup!$A$22:$B$24,2,false),0)</f>
        <v>0</v>
      </c>
      <c r="K69" s="10">
        <f>IFERROR(vlookup('1.5'!J:J,lookup!$A$26:$B$28,2,false),0)</f>
        <v>0</v>
      </c>
      <c r="M69" s="10">
        <v>68.0</v>
      </c>
      <c r="N69" s="11" t="str">
        <f t="shared" si="1"/>
        <v>bnco1068@signalschool.ac.th</v>
      </c>
      <c r="O69" s="12">
        <f t="shared" si="2"/>
        <v>1</v>
      </c>
      <c r="R69" s="6" t="s">
        <v>282</v>
      </c>
    </row>
    <row r="70">
      <c r="A70" s="8" t="str">
        <f>'1.5'!A:A</f>
        <v/>
      </c>
      <c r="B70" s="1" t="str">
        <f>'1.5'!B:B</f>
        <v/>
      </c>
      <c r="C70" s="1" t="str">
        <f>'1.5'!C:C</f>
        <v/>
      </c>
      <c r="D70" s="9">
        <v>1.0</v>
      </c>
      <c r="E70" s="10">
        <f>IFERROR(vlookup('1.5'!D:D,lookup!$A$2:$B$4,2,false),0)</f>
        <v>0</v>
      </c>
      <c r="F70" s="10">
        <f>IFERROR(vlookup('1.5'!E:E,lookup!$A$6:$B$8,2,false),0)</f>
        <v>0</v>
      </c>
      <c r="G70" s="10">
        <f>IFERROR(vlookup('1.5'!F:F,lookup!$A$10:$B$12,2,false),0)</f>
        <v>0</v>
      </c>
      <c r="H70" s="10">
        <f>IFERROR(vlookup('1.5'!G:G,lookup!$A$14:$B$16,2,false),0)</f>
        <v>0</v>
      </c>
      <c r="I70" s="10">
        <f>IFERROR(vlookup('1.5'!H:H,lookup!$A$18:$B$20,2,false),0)</f>
        <v>0</v>
      </c>
      <c r="J70" s="10">
        <f>IFERROR(vlookup('1.5'!I:I,lookup!$A$22:$B$24,2,false),0)</f>
        <v>0</v>
      </c>
      <c r="K70" s="10">
        <f>IFERROR(vlookup('1.5'!J:J,lookup!$A$26:$B$28,2,false),0)</f>
        <v>0</v>
      </c>
      <c r="M70" s="10">
        <v>69.0</v>
      </c>
      <c r="N70" s="11" t="str">
        <f t="shared" si="1"/>
        <v>bnco1069@signalschool.ac.th</v>
      </c>
      <c r="O70" s="12">
        <f t="shared" si="2"/>
        <v>1</v>
      </c>
      <c r="R70" s="6" t="s">
        <v>283</v>
      </c>
    </row>
    <row r="71">
      <c r="A71" s="8" t="str">
        <f>'1.5'!A:A</f>
        <v/>
      </c>
      <c r="B71" s="1" t="str">
        <f>'1.5'!B:B</f>
        <v/>
      </c>
      <c r="C71" s="1" t="str">
        <f>'1.5'!C:C</f>
        <v/>
      </c>
      <c r="D71" s="9">
        <v>1.0</v>
      </c>
      <c r="E71" s="10">
        <f>IFERROR(vlookup('1.5'!D:D,lookup!$A$2:$B$4,2,false),0)</f>
        <v>0</v>
      </c>
      <c r="F71" s="10">
        <f>IFERROR(vlookup('1.5'!E:E,lookup!$A$6:$B$8,2,false),0)</f>
        <v>0</v>
      </c>
      <c r="G71" s="10">
        <f>IFERROR(vlookup('1.5'!F:F,lookup!$A$10:$B$12,2,false),0)</f>
        <v>0</v>
      </c>
      <c r="H71" s="10">
        <f>IFERROR(vlookup('1.5'!G:G,lookup!$A$14:$B$16,2,false),0)</f>
        <v>0</v>
      </c>
      <c r="I71" s="10">
        <f>IFERROR(vlookup('1.5'!H:H,lookup!$A$18:$B$20,2,false),0)</f>
        <v>0</v>
      </c>
      <c r="J71" s="10">
        <f>IFERROR(vlookup('1.5'!I:I,lookup!$A$22:$B$24,2,false),0)</f>
        <v>0</v>
      </c>
      <c r="K71" s="10">
        <f>IFERROR(vlookup('1.5'!J:J,lookup!$A$26:$B$28,2,false),0)</f>
        <v>0</v>
      </c>
      <c r="M71" s="10">
        <v>70.0</v>
      </c>
      <c r="N71" s="11" t="str">
        <f t="shared" si="1"/>
        <v>bnco1070@signalschool.ac.th</v>
      </c>
      <c r="O71" s="12">
        <f t="shared" si="2"/>
        <v>1</v>
      </c>
      <c r="R71" s="6" t="s">
        <v>284</v>
      </c>
    </row>
    <row r="72">
      <c r="A72" s="8" t="str">
        <f>'1.5'!A:A</f>
        <v/>
      </c>
      <c r="B72" s="1" t="str">
        <f>'1.5'!B:B</f>
        <v/>
      </c>
      <c r="C72" s="1" t="str">
        <f>'1.5'!C:C</f>
        <v/>
      </c>
      <c r="D72" s="9">
        <v>1.0</v>
      </c>
      <c r="E72" s="10">
        <f>IFERROR(vlookup('1.5'!D:D,lookup!$A$2:$B$4,2,false),0)</f>
        <v>0</v>
      </c>
      <c r="F72" s="10">
        <f>IFERROR(vlookup('1.5'!E:E,lookup!$A$6:$B$8,2,false),0)</f>
        <v>0</v>
      </c>
      <c r="G72" s="10">
        <f>IFERROR(vlookup('1.5'!F:F,lookup!$A$10:$B$12,2,false),0)</f>
        <v>0</v>
      </c>
      <c r="H72" s="10">
        <f>IFERROR(vlookup('1.5'!G:G,lookup!$A$14:$B$16,2,false),0)</f>
        <v>0</v>
      </c>
      <c r="I72" s="10">
        <f>IFERROR(vlookup('1.5'!H:H,lookup!$A$18:$B$20,2,false),0)</f>
        <v>0</v>
      </c>
      <c r="J72" s="10">
        <f>IFERROR(vlookup('1.5'!I:I,lookup!$A$22:$B$24,2,false),0)</f>
        <v>0</v>
      </c>
      <c r="K72" s="10">
        <f>IFERROR(vlookup('1.5'!J:J,lookup!$A$26:$B$28,2,false),0)</f>
        <v>0</v>
      </c>
      <c r="M72" s="10">
        <v>71.0</v>
      </c>
      <c r="N72" s="11" t="str">
        <f t="shared" si="1"/>
        <v>bnco1071@signalschool.ac.th</v>
      </c>
      <c r="O72" s="12">
        <f t="shared" si="2"/>
        <v>1</v>
      </c>
      <c r="R72" s="6" t="s">
        <v>285</v>
      </c>
    </row>
    <row r="73">
      <c r="A73" s="8" t="str">
        <f>'1.5'!A:A</f>
        <v/>
      </c>
      <c r="B73" s="1" t="str">
        <f>'1.5'!B:B</f>
        <v/>
      </c>
      <c r="C73" s="1" t="str">
        <f>'1.5'!C:C</f>
        <v/>
      </c>
      <c r="D73" s="9">
        <v>1.0</v>
      </c>
      <c r="E73" s="10">
        <f>IFERROR(vlookup('1.5'!D:D,lookup!$A$2:$B$4,2,false),0)</f>
        <v>0</v>
      </c>
      <c r="F73" s="10">
        <f>IFERROR(vlookup('1.5'!E:E,lookup!$A$6:$B$8,2,false),0)</f>
        <v>0</v>
      </c>
      <c r="G73" s="10">
        <f>IFERROR(vlookup('1.5'!F:F,lookup!$A$10:$B$12,2,false),0)</f>
        <v>0</v>
      </c>
      <c r="H73" s="10">
        <f>IFERROR(vlookup('1.5'!G:G,lookup!$A$14:$B$16,2,false),0)</f>
        <v>0</v>
      </c>
      <c r="I73" s="10">
        <f>IFERROR(vlookup('1.5'!H:H,lookup!$A$18:$B$20,2,false),0)</f>
        <v>0</v>
      </c>
      <c r="J73" s="10">
        <f>IFERROR(vlookup('1.5'!I:I,lookup!$A$22:$B$24,2,false),0)</f>
        <v>0</v>
      </c>
      <c r="K73" s="10">
        <f>IFERROR(vlookup('1.5'!J:J,lookup!$A$26:$B$28,2,false),0)</f>
        <v>0</v>
      </c>
      <c r="M73" s="10">
        <v>72.0</v>
      </c>
      <c r="N73" s="11" t="str">
        <f t="shared" si="1"/>
        <v>bnco1072@signalschool.ac.th</v>
      </c>
      <c r="O73" s="12">
        <f t="shared" si="2"/>
        <v>1</v>
      </c>
      <c r="R73" s="6" t="s">
        <v>286</v>
      </c>
    </row>
    <row r="74">
      <c r="A74" s="8" t="str">
        <f>'1.5'!A:A</f>
        <v/>
      </c>
      <c r="B74" s="1" t="str">
        <f>'1.5'!B:B</f>
        <v/>
      </c>
      <c r="C74" s="1" t="str">
        <f>'1.5'!C:C</f>
        <v/>
      </c>
      <c r="D74" s="9">
        <v>1.0</v>
      </c>
      <c r="E74" s="10">
        <f>IFERROR(vlookup('1.5'!D:D,lookup!$A$2:$B$4,2,false),0)</f>
        <v>0</v>
      </c>
      <c r="F74" s="10">
        <f>IFERROR(vlookup('1.5'!E:E,lookup!$A$6:$B$8,2,false),0)</f>
        <v>0</v>
      </c>
      <c r="G74" s="10">
        <f>IFERROR(vlookup('1.5'!F:F,lookup!$A$10:$B$12,2,false),0)</f>
        <v>0</v>
      </c>
      <c r="H74" s="10">
        <f>IFERROR(vlookup('1.5'!G:G,lookup!$A$14:$B$16,2,false),0)</f>
        <v>0</v>
      </c>
      <c r="I74" s="10">
        <f>IFERROR(vlookup('1.5'!H:H,lookup!$A$18:$B$20,2,false),0)</f>
        <v>0</v>
      </c>
      <c r="J74" s="10">
        <f>IFERROR(vlookup('1.5'!I:I,lookup!$A$22:$B$24,2,false),0)</f>
        <v>0</v>
      </c>
      <c r="K74" s="10">
        <f>IFERROR(vlookup('1.5'!J:J,lookup!$A$26:$B$28,2,false),0)</f>
        <v>0</v>
      </c>
      <c r="M74" s="10">
        <v>73.0</v>
      </c>
      <c r="N74" s="11" t="str">
        <f t="shared" si="1"/>
        <v>bnco1073@signalschool.ac.th</v>
      </c>
      <c r="O74" s="12">
        <f t="shared" si="2"/>
        <v>1</v>
      </c>
      <c r="R74" s="6" t="s">
        <v>287</v>
      </c>
    </row>
    <row r="75">
      <c r="A75" s="8" t="str">
        <f>'1.5'!A:A</f>
        <v/>
      </c>
      <c r="B75" s="1" t="str">
        <f>'1.5'!B:B</f>
        <v/>
      </c>
      <c r="C75" s="1" t="str">
        <f>'1.5'!C:C</f>
        <v/>
      </c>
      <c r="D75" s="9">
        <v>1.0</v>
      </c>
      <c r="E75" s="10">
        <f>IFERROR(vlookup('1.5'!D:D,lookup!$A$2:$B$4,2,false),0)</f>
        <v>0</v>
      </c>
      <c r="F75" s="10">
        <f>IFERROR(vlookup('1.5'!E:E,lookup!$A$6:$B$8,2,false),0)</f>
        <v>0</v>
      </c>
      <c r="G75" s="10">
        <f>IFERROR(vlookup('1.5'!F:F,lookup!$A$10:$B$12,2,false),0)</f>
        <v>0</v>
      </c>
      <c r="H75" s="10">
        <f>IFERROR(vlookup('1.5'!G:G,lookup!$A$14:$B$16,2,false),0)</f>
        <v>0</v>
      </c>
      <c r="I75" s="10">
        <f>IFERROR(vlookup('1.5'!H:H,lookup!$A$18:$B$20,2,false),0)</f>
        <v>0</v>
      </c>
      <c r="J75" s="10">
        <f>IFERROR(vlookup('1.5'!I:I,lookup!$A$22:$B$24,2,false),0)</f>
        <v>0</v>
      </c>
      <c r="K75" s="10">
        <f>IFERROR(vlookup('1.5'!J:J,lookup!$A$26:$B$28,2,false),0)</f>
        <v>0</v>
      </c>
      <c r="M75" s="10">
        <v>74.0</v>
      </c>
      <c r="N75" s="11" t="str">
        <f t="shared" si="1"/>
        <v>bnco1074@signalschool.ac.th</v>
      </c>
      <c r="O75" s="12">
        <f t="shared" si="2"/>
        <v>0</v>
      </c>
      <c r="R75" s="6" t="s">
        <v>288</v>
      </c>
    </row>
    <row r="76">
      <c r="A76" s="8" t="str">
        <f>'1.5'!A:A</f>
        <v/>
      </c>
      <c r="B76" s="1" t="str">
        <f>'1.5'!B:B</f>
        <v/>
      </c>
      <c r="C76" s="1" t="str">
        <f>'1.5'!C:C</f>
        <v/>
      </c>
      <c r="D76" s="9">
        <v>1.0</v>
      </c>
      <c r="E76" s="10">
        <f>IFERROR(vlookup('1.5'!D:D,lookup!$A$2:$B$4,2,false),0)</f>
        <v>0</v>
      </c>
      <c r="F76" s="10">
        <f>IFERROR(vlookup('1.5'!E:E,lookup!$A$6:$B$8,2,false),0)</f>
        <v>0</v>
      </c>
      <c r="G76" s="10">
        <f>IFERROR(vlookup('1.5'!F:F,lookup!$A$10:$B$12,2,false),0)</f>
        <v>0</v>
      </c>
      <c r="H76" s="10">
        <f>IFERROR(vlookup('1.5'!G:G,lookup!$A$14:$B$16,2,false),0)</f>
        <v>0</v>
      </c>
      <c r="I76" s="10">
        <f>IFERROR(vlookup('1.5'!H:H,lookup!$A$18:$B$20,2,false),0)</f>
        <v>0</v>
      </c>
      <c r="J76" s="10">
        <f>IFERROR(vlookup('1.5'!I:I,lookup!$A$22:$B$24,2,false),0)</f>
        <v>0</v>
      </c>
      <c r="K76" s="10">
        <f>IFERROR(vlookup('1.5'!J:J,lookup!$A$26:$B$28,2,false),0)</f>
        <v>0</v>
      </c>
      <c r="M76" s="10">
        <v>75.0</v>
      </c>
      <c r="N76" s="11" t="str">
        <f t="shared" si="1"/>
        <v>bnco1075@signalschool.ac.th</v>
      </c>
      <c r="O76" s="12">
        <f t="shared" si="2"/>
        <v>0</v>
      </c>
      <c r="R76" s="6" t="s">
        <v>289</v>
      </c>
    </row>
    <row r="77">
      <c r="A77" s="8" t="str">
        <f>'1.5'!A:A</f>
        <v/>
      </c>
      <c r="B77" s="1" t="str">
        <f>'1.5'!B:B</f>
        <v/>
      </c>
      <c r="C77" s="1" t="str">
        <f>'1.5'!C:C</f>
        <v/>
      </c>
      <c r="D77" s="9">
        <v>1.0</v>
      </c>
      <c r="E77" s="10">
        <f>IFERROR(vlookup('1.5'!D:D,lookup!$A$2:$B$4,2,false),0)</f>
        <v>0</v>
      </c>
      <c r="F77" s="10">
        <f>IFERROR(vlookup('1.5'!E:E,lookup!$A$6:$B$8,2,false),0)</f>
        <v>0</v>
      </c>
      <c r="G77" s="10">
        <f>IFERROR(vlookup('1.5'!F:F,lookup!$A$10:$B$12,2,false),0)</f>
        <v>0</v>
      </c>
      <c r="H77" s="10">
        <f>IFERROR(vlookup('1.5'!G:G,lookup!$A$14:$B$16,2,false),0)</f>
        <v>0</v>
      </c>
      <c r="I77" s="10">
        <f>IFERROR(vlookup('1.5'!H:H,lookup!$A$18:$B$20,2,false),0)</f>
        <v>0</v>
      </c>
      <c r="J77" s="10">
        <f>IFERROR(vlookup('1.5'!I:I,lookup!$A$22:$B$24,2,false),0)</f>
        <v>0</v>
      </c>
      <c r="K77" s="10">
        <f>IFERROR(vlookup('1.5'!J:J,lookup!$A$26:$B$28,2,false),0)</f>
        <v>0</v>
      </c>
      <c r="M77" s="10">
        <v>76.0</v>
      </c>
      <c r="N77" s="11" t="str">
        <f t="shared" si="1"/>
        <v>bnco1076@signalschool.ac.th</v>
      </c>
      <c r="O77" s="12">
        <f t="shared" si="2"/>
        <v>1</v>
      </c>
      <c r="R77" s="6" t="s">
        <v>290</v>
      </c>
    </row>
    <row r="78">
      <c r="A78" s="8" t="str">
        <f>'1.5'!A:A</f>
        <v/>
      </c>
      <c r="B78" s="1" t="str">
        <f>'1.5'!B:B</f>
        <v/>
      </c>
      <c r="C78" s="1" t="str">
        <f>'1.5'!C:C</f>
        <v/>
      </c>
      <c r="D78" s="9">
        <v>1.0</v>
      </c>
      <c r="E78" s="10">
        <f>IFERROR(vlookup('1.5'!D:D,lookup!$A$2:$B$4,2,false),0)</f>
        <v>0</v>
      </c>
      <c r="F78" s="10">
        <f>IFERROR(vlookup('1.5'!E:E,lookup!$A$6:$B$8,2,false),0)</f>
        <v>0</v>
      </c>
      <c r="G78" s="10">
        <f>IFERROR(vlookup('1.5'!F:F,lookup!$A$10:$B$12,2,false),0)</f>
        <v>0</v>
      </c>
      <c r="H78" s="10">
        <f>IFERROR(vlookup('1.5'!G:G,lookup!$A$14:$B$16,2,false),0)</f>
        <v>0</v>
      </c>
      <c r="I78" s="10">
        <f>IFERROR(vlookup('1.5'!H:H,lookup!$A$18:$B$20,2,false),0)</f>
        <v>0</v>
      </c>
      <c r="J78" s="10">
        <f>IFERROR(vlookup('1.5'!I:I,lookup!$A$22:$B$24,2,false),0)</f>
        <v>0</v>
      </c>
      <c r="K78" s="10">
        <f>IFERROR(vlookup('1.5'!J:J,lookup!$A$26:$B$28,2,false),0)</f>
        <v>0</v>
      </c>
      <c r="M78" s="10">
        <v>77.0</v>
      </c>
      <c r="N78" s="11" t="str">
        <f t="shared" si="1"/>
        <v>bnco1077@signalschool.ac.th</v>
      </c>
      <c r="O78" s="12">
        <f t="shared" si="2"/>
        <v>0</v>
      </c>
      <c r="R78" s="6" t="s">
        <v>291</v>
      </c>
    </row>
    <row r="79">
      <c r="A79" s="8" t="str">
        <f>'1.5'!A:A</f>
        <v/>
      </c>
      <c r="B79" s="1" t="str">
        <f>'1.5'!B:B</f>
        <v/>
      </c>
      <c r="C79" s="1" t="str">
        <f>'1.5'!C:C</f>
        <v/>
      </c>
      <c r="D79" s="9">
        <v>1.0</v>
      </c>
      <c r="E79" s="10">
        <f>IFERROR(vlookup('1.5'!D:D,lookup!$A$2:$B$4,2,false),0)</f>
        <v>0</v>
      </c>
      <c r="F79" s="10">
        <f>IFERROR(vlookup('1.5'!E:E,lookup!$A$6:$B$8,2,false),0)</f>
        <v>0</v>
      </c>
      <c r="G79" s="10">
        <f>IFERROR(vlookup('1.5'!F:F,lookup!$A$10:$B$12,2,false),0)</f>
        <v>0</v>
      </c>
      <c r="H79" s="10">
        <f>IFERROR(vlookup('1.5'!G:G,lookup!$A$14:$B$16,2,false),0)</f>
        <v>0</v>
      </c>
      <c r="I79" s="10">
        <f>IFERROR(vlookup('1.5'!H:H,lookup!$A$18:$B$20,2,false),0)</f>
        <v>0</v>
      </c>
      <c r="J79" s="10">
        <f>IFERROR(vlookup('1.5'!I:I,lookup!$A$22:$B$24,2,false),0)</f>
        <v>0</v>
      </c>
      <c r="K79" s="10">
        <f>IFERROR(vlookup('1.5'!J:J,lookup!$A$26:$B$28,2,false),0)</f>
        <v>0</v>
      </c>
      <c r="M79" s="10">
        <v>78.0</v>
      </c>
      <c r="N79" s="11" t="str">
        <f t="shared" si="1"/>
        <v>bnco1078@signalschool.ac.th</v>
      </c>
      <c r="O79" s="12">
        <f t="shared" si="2"/>
        <v>1</v>
      </c>
      <c r="R79" s="6" t="s">
        <v>292</v>
      </c>
    </row>
    <row r="80">
      <c r="A80" s="8" t="str">
        <f>'1.5'!A:A</f>
        <v/>
      </c>
      <c r="B80" s="1" t="str">
        <f>'1.5'!B:B</f>
        <v/>
      </c>
      <c r="C80" s="1" t="str">
        <f>'1.5'!C:C</f>
        <v/>
      </c>
      <c r="D80" s="9">
        <v>1.0</v>
      </c>
      <c r="E80" s="10">
        <f>IFERROR(vlookup('1.5'!D:D,lookup!$A$2:$B$4,2,false),0)</f>
        <v>0</v>
      </c>
      <c r="F80" s="10">
        <f>IFERROR(vlookup('1.5'!E:E,lookup!$A$6:$B$8,2,false),0)</f>
        <v>0</v>
      </c>
      <c r="G80" s="10">
        <f>IFERROR(vlookup('1.5'!F:F,lookup!$A$10:$B$12,2,false),0)</f>
        <v>0</v>
      </c>
      <c r="H80" s="10">
        <f>IFERROR(vlookup('1.5'!G:G,lookup!$A$14:$B$16,2,false),0)</f>
        <v>0</v>
      </c>
      <c r="I80" s="10">
        <f>IFERROR(vlookup('1.5'!H:H,lookup!$A$18:$B$20,2,false),0)</f>
        <v>0</v>
      </c>
      <c r="J80" s="10">
        <f>IFERROR(vlookup('1.5'!I:I,lookup!$A$22:$B$24,2,false),0)</f>
        <v>0</v>
      </c>
      <c r="K80" s="10">
        <f>IFERROR(vlookup('1.5'!J:J,lookup!$A$26:$B$28,2,false),0)</f>
        <v>0</v>
      </c>
      <c r="M80" s="10">
        <v>79.0</v>
      </c>
      <c r="N80" s="11" t="str">
        <f t="shared" si="1"/>
        <v>bnco1079@signalschool.ac.th</v>
      </c>
      <c r="O80" s="12">
        <f t="shared" si="2"/>
        <v>1</v>
      </c>
      <c r="R80" s="6" t="s">
        <v>293</v>
      </c>
    </row>
    <row r="81">
      <c r="A81" s="8" t="str">
        <f>'1.5'!A:A</f>
        <v/>
      </c>
      <c r="B81" s="1" t="str">
        <f>'1.5'!B:B</f>
        <v/>
      </c>
      <c r="C81" s="1" t="str">
        <f>'1.5'!C:C</f>
        <v/>
      </c>
      <c r="D81" s="9">
        <v>1.0</v>
      </c>
      <c r="E81" s="10">
        <f>IFERROR(vlookup('1.5'!D:D,lookup!$A$2:$B$4,2,false),0)</f>
        <v>0</v>
      </c>
      <c r="F81" s="10">
        <f>IFERROR(vlookup('1.5'!E:E,lookup!$A$6:$B$8,2,false),0)</f>
        <v>0</v>
      </c>
      <c r="G81" s="10">
        <f>IFERROR(vlookup('1.5'!F:F,lookup!$A$10:$B$12,2,false),0)</f>
        <v>0</v>
      </c>
      <c r="H81" s="10">
        <f>IFERROR(vlookup('1.5'!G:G,lookup!$A$14:$B$16,2,false),0)</f>
        <v>0</v>
      </c>
      <c r="I81" s="10">
        <f>IFERROR(vlookup('1.5'!H:H,lookup!$A$18:$B$20,2,false),0)</f>
        <v>0</v>
      </c>
      <c r="J81" s="10">
        <f>IFERROR(vlookup('1.5'!I:I,lookup!$A$22:$B$24,2,false),0)</f>
        <v>0</v>
      </c>
      <c r="K81" s="10">
        <f>IFERROR(vlookup('1.5'!J:J,lookup!$A$26:$B$28,2,false),0)</f>
        <v>0</v>
      </c>
      <c r="M81" s="10">
        <v>80.0</v>
      </c>
      <c r="N81" s="11" t="str">
        <f t="shared" si="1"/>
        <v>bnco1080@signalschool.ac.th</v>
      </c>
      <c r="O81" s="12">
        <f t="shared" si="2"/>
        <v>1</v>
      </c>
      <c r="R81" s="6" t="s">
        <v>294</v>
      </c>
    </row>
    <row r="82">
      <c r="A82" s="8" t="str">
        <f>'1.5'!A:A</f>
        <v/>
      </c>
      <c r="B82" s="1" t="str">
        <f>'1.5'!B:B</f>
        <v/>
      </c>
      <c r="C82" s="1" t="str">
        <f>'1.5'!C:C</f>
        <v/>
      </c>
      <c r="D82" s="9"/>
      <c r="E82" s="15"/>
      <c r="F82" s="15"/>
      <c r="G82" s="15"/>
      <c r="H82" s="15"/>
      <c r="I82" s="15"/>
      <c r="J82" s="15"/>
      <c r="K82" s="15"/>
    </row>
    <row r="83">
      <c r="A83" s="8" t="str">
        <f>'1.5'!A:A</f>
        <v/>
      </c>
      <c r="B83" s="1" t="str">
        <f>'1.5'!B:B</f>
        <v/>
      </c>
      <c r="C83" s="1" t="str">
        <f>'1.5'!C:C</f>
        <v/>
      </c>
      <c r="D83" s="9"/>
      <c r="E83" s="15"/>
      <c r="F83" s="15"/>
      <c r="G83" s="15"/>
      <c r="H83" s="15"/>
      <c r="I83" s="15"/>
      <c r="J83" s="15"/>
      <c r="K83" s="15"/>
    </row>
    <row r="84">
      <c r="A84" s="8" t="str">
        <f>'1.5'!A:A</f>
        <v/>
      </c>
      <c r="B84" s="1" t="str">
        <f>'1.5'!B:B</f>
        <v/>
      </c>
      <c r="C84" s="1" t="str">
        <f>'1.5'!C:C</f>
        <v/>
      </c>
      <c r="D84" s="9"/>
      <c r="E84" s="15"/>
      <c r="F84" s="15"/>
      <c r="G84" s="15"/>
      <c r="H84" s="15"/>
      <c r="I84" s="15"/>
      <c r="J84" s="15"/>
      <c r="K84" s="15"/>
    </row>
    <row r="85">
      <c r="A85" s="8" t="str">
        <f>'1.5'!A:A</f>
        <v/>
      </c>
      <c r="B85" s="1" t="str">
        <f>'1.5'!B:B</f>
        <v/>
      </c>
      <c r="C85" s="1" t="str">
        <f>'1.5'!C:C</f>
        <v/>
      </c>
      <c r="D85" s="9"/>
      <c r="E85" s="15"/>
      <c r="F85" s="15"/>
      <c r="G85" s="15"/>
      <c r="H85" s="15"/>
      <c r="I85" s="15"/>
      <c r="J85" s="15"/>
      <c r="K85" s="15"/>
    </row>
    <row r="86">
      <c r="A86" s="8" t="str">
        <f>'1.5'!A:A</f>
        <v/>
      </c>
      <c r="B86" s="1" t="str">
        <f>'1.5'!B:B</f>
        <v/>
      </c>
      <c r="C86" s="1" t="str">
        <f>'1.5'!C:C</f>
        <v/>
      </c>
      <c r="D86" s="9"/>
      <c r="E86" s="15"/>
      <c r="F86" s="15"/>
      <c r="G86" s="15"/>
      <c r="H86" s="15"/>
      <c r="I86" s="15"/>
      <c r="J86" s="15"/>
      <c r="K86" s="15"/>
    </row>
    <row r="87">
      <c r="A87" s="8" t="str">
        <f>'1.5'!A:A</f>
        <v/>
      </c>
      <c r="B87" s="1" t="str">
        <f>'1.5'!B:B</f>
        <v/>
      </c>
      <c r="C87" s="1" t="str">
        <f>'1.5'!C:C</f>
        <v/>
      </c>
      <c r="D87" s="9"/>
      <c r="E87" s="15"/>
      <c r="F87" s="15"/>
      <c r="G87" s="15"/>
      <c r="H87" s="15"/>
      <c r="I87" s="15"/>
      <c r="J87" s="15"/>
      <c r="K87" s="15"/>
    </row>
    <row r="88">
      <c r="A88" s="8" t="str">
        <f>'1.5'!A:A</f>
        <v/>
      </c>
      <c r="B88" s="1" t="str">
        <f>'1.5'!B:B</f>
        <v/>
      </c>
      <c r="C88" s="1" t="str">
        <f>'1.5'!C:C</f>
        <v/>
      </c>
      <c r="D88" s="9"/>
      <c r="E88" s="15"/>
      <c r="F88" s="15"/>
      <c r="G88" s="15"/>
      <c r="H88" s="15"/>
      <c r="I88" s="15"/>
      <c r="J88" s="15"/>
      <c r="K88" s="15"/>
    </row>
    <row r="89">
      <c r="A89" s="8" t="str">
        <f>'1.5'!A:A</f>
        <v/>
      </c>
      <c r="B89" s="1" t="str">
        <f>'1.5'!B:B</f>
        <v/>
      </c>
      <c r="C89" s="1" t="str">
        <f>'1.5'!C:C</f>
        <v/>
      </c>
      <c r="D89" s="9"/>
      <c r="E89" s="15"/>
      <c r="F89" s="15"/>
      <c r="G89" s="15"/>
      <c r="H89" s="15"/>
      <c r="I89" s="15"/>
      <c r="J89" s="15"/>
      <c r="K89" s="15"/>
    </row>
    <row r="90">
      <c r="A90" s="8" t="str">
        <f>'1.5'!A:A</f>
        <v/>
      </c>
      <c r="B90" s="1" t="str">
        <f>'1.5'!B:B</f>
        <v/>
      </c>
      <c r="C90" s="1" t="str">
        <f>'1.5'!C:C</f>
        <v/>
      </c>
      <c r="D90" s="9"/>
      <c r="E90" s="15"/>
      <c r="F90" s="15"/>
      <c r="G90" s="15"/>
      <c r="H90" s="15"/>
      <c r="I90" s="15"/>
      <c r="J90" s="15"/>
      <c r="K90" s="15"/>
    </row>
    <row r="91">
      <c r="A91" s="8" t="str">
        <f>'1.5'!A:A</f>
        <v/>
      </c>
      <c r="B91" s="1" t="str">
        <f>'1.5'!B:B</f>
        <v/>
      </c>
      <c r="C91" s="1" t="str">
        <f>'1.5'!C:C</f>
        <v/>
      </c>
      <c r="D91" s="9"/>
      <c r="E91" s="15"/>
      <c r="F91" s="15"/>
      <c r="G91" s="15"/>
      <c r="H91" s="15"/>
      <c r="I91" s="15"/>
      <c r="J91" s="15"/>
      <c r="K91" s="15"/>
    </row>
    <row r="92">
      <c r="A92" s="8" t="str">
        <f>'1.5'!A:A</f>
        <v/>
      </c>
      <c r="B92" s="1" t="str">
        <f>'1.5'!B:B</f>
        <v/>
      </c>
      <c r="C92" s="1" t="str">
        <f>'1.5'!C:C</f>
        <v/>
      </c>
      <c r="D92" s="9"/>
      <c r="E92" s="15"/>
      <c r="F92" s="15"/>
      <c r="G92" s="15"/>
      <c r="H92" s="15"/>
      <c r="I92" s="15"/>
      <c r="J92" s="15"/>
      <c r="K92" s="15"/>
    </row>
    <row r="93">
      <c r="A93" s="8" t="str">
        <f>'1.5'!A:A</f>
        <v/>
      </c>
      <c r="B93" s="1" t="str">
        <f>'1.5'!B:B</f>
        <v/>
      </c>
      <c r="C93" s="1" t="str">
        <f>'1.5'!C:C</f>
        <v/>
      </c>
      <c r="D93" s="9"/>
      <c r="E93" s="15"/>
      <c r="F93" s="15"/>
      <c r="G93" s="15"/>
      <c r="H93" s="15"/>
      <c r="I93" s="15"/>
      <c r="J93" s="15"/>
      <c r="K93" s="15"/>
    </row>
    <row r="94">
      <c r="A94" s="8" t="str">
        <f>'1.5'!A:A</f>
        <v/>
      </c>
      <c r="B94" s="1" t="str">
        <f>'1.5'!B:B</f>
        <v/>
      </c>
      <c r="C94" s="1" t="str">
        <f>'1.5'!C:C</f>
        <v/>
      </c>
      <c r="D94" s="9"/>
      <c r="E94" s="15"/>
      <c r="F94" s="15"/>
      <c r="G94" s="15"/>
      <c r="H94" s="15"/>
      <c r="I94" s="15"/>
      <c r="J94" s="15"/>
      <c r="K94" s="15"/>
    </row>
    <row r="95">
      <c r="A95" s="8" t="str">
        <f>'1.5'!A:A</f>
        <v/>
      </c>
      <c r="B95" s="1" t="str">
        <f>'1.5'!B:B</f>
        <v/>
      </c>
      <c r="C95" s="1" t="str">
        <f>'1.5'!C:C</f>
        <v/>
      </c>
      <c r="D95" s="9"/>
      <c r="E95" s="15"/>
      <c r="F95" s="15"/>
      <c r="G95" s="15"/>
      <c r="H95" s="15"/>
      <c r="I95" s="15"/>
      <c r="J95" s="15"/>
      <c r="K95" s="15"/>
    </row>
    <row r="96">
      <c r="A96" s="8" t="str">
        <f>'1.5'!A:A</f>
        <v/>
      </c>
      <c r="B96" s="1" t="str">
        <f>'1.5'!B:B</f>
        <v/>
      </c>
      <c r="C96" s="1" t="str">
        <f>'1.5'!C:C</f>
        <v/>
      </c>
      <c r="D96" s="9"/>
      <c r="E96" s="15"/>
      <c r="F96" s="15"/>
      <c r="G96" s="15"/>
      <c r="H96" s="15"/>
      <c r="I96" s="15"/>
      <c r="J96" s="15"/>
      <c r="K96" s="15"/>
    </row>
    <row r="97">
      <c r="A97" s="8" t="str">
        <f>'1.5'!A:A</f>
        <v/>
      </c>
      <c r="B97" s="1" t="str">
        <f>'1.5'!B:B</f>
        <v/>
      </c>
      <c r="C97" s="1" t="str">
        <f>'1.5'!C:C</f>
        <v/>
      </c>
      <c r="D97" s="9"/>
      <c r="E97" s="15"/>
      <c r="F97" s="15"/>
      <c r="G97" s="15"/>
      <c r="H97" s="15"/>
      <c r="I97" s="15"/>
      <c r="J97" s="15"/>
      <c r="K97" s="15"/>
    </row>
    <row r="98">
      <c r="A98" s="8" t="str">
        <f>'1.5'!A:A</f>
        <v/>
      </c>
      <c r="B98" s="1" t="str">
        <f>'1.5'!B:B</f>
        <v/>
      </c>
      <c r="C98" s="1" t="str">
        <f>'1.5'!C:C</f>
        <v/>
      </c>
      <c r="D98" s="9"/>
      <c r="E98" s="15"/>
      <c r="F98" s="15"/>
      <c r="G98" s="15"/>
      <c r="H98" s="15"/>
      <c r="I98" s="15"/>
      <c r="J98" s="15"/>
      <c r="K98" s="15"/>
    </row>
    <row r="99">
      <c r="A99" s="8" t="str">
        <f>'1.5'!A:A</f>
        <v/>
      </c>
      <c r="B99" s="1" t="str">
        <f>'1.5'!B:B</f>
        <v/>
      </c>
      <c r="C99" s="1" t="str">
        <f>'1.5'!C:C</f>
        <v/>
      </c>
      <c r="D99" s="9"/>
      <c r="E99" s="15"/>
      <c r="F99" s="15"/>
      <c r="G99" s="15"/>
      <c r="H99" s="15"/>
      <c r="I99" s="15"/>
      <c r="J99" s="15"/>
      <c r="K99" s="15"/>
    </row>
    <row r="100">
      <c r="A100" s="8" t="str">
        <f>'1.5'!A:A</f>
        <v/>
      </c>
      <c r="B100" s="1" t="str">
        <f>'1.5'!B:B</f>
        <v/>
      </c>
      <c r="C100" s="1" t="str">
        <f>'1.5'!C:C</f>
        <v/>
      </c>
      <c r="D100" s="9"/>
      <c r="E100" s="15"/>
      <c r="F100" s="15"/>
      <c r="G100" s="15"/>
      <c r="H100" s="15"/>
      <c r="I100" s="15"/>
      <c r="J100" s="15"/>
      <c r="K100" s="15"/>
    </row>
    <row r="101">
      <c r="A101" s="8" t="str">
        <f>'1.5'!A:A</f>
        <v/>
      </c>
      <c r="B101" s="1" t="str">
        <f>'1.5'!B:B</f>
        <v/>
      </c>
      <c r="C101" s="1" t="str">
        <f>'1.5'!C:C</f>
        <v/>
      </c>
      <c r="D101" s="9"/>
      <c r="E101" s="15"/>
      <c r="F101" s="15"/>
      <c r="G101" s="15"/>
      <c r="H101" s="15"/>
      <c r="I101" s="15"/>
      <c r="J101" s="15"/>
      <c r="K101" s="15"/>
      <c r="N101" s="1" t="s">
        <v>295</v>
      </c>
      <c r="O101" s="12">
        <f>SUM(O2:O81)</f>
        <v>66</v>
      </c>
    </row>
    <row r="102">
      <c r="C102" s="1"/>
      <c r="E102" s="14">
        <f t="shared" ref="E102:K102" si="3">AVERAGE(E2:E81)</f>
        <v>4.1625</v>
      </c>
      <c r="F102" s="14">
        <f t="shared" si="3"/>
        <v>4.1375</v>
      </c>
      <c r="G102" s="14">
        <f t="shared" si="3"/>
        <v>4.1625</v>
      </c>
      <c r="H102" s="14">
        <f t="shared" si="3"/>
        <v>4.1375</v>
      </c>
      <c r="I102" s="14">
        <f t="shared" si="3"/>
        <v>4.1375</v>
      </c>
      <c r="J102" s="14">
        <f t="shared" si="3"/>
        <v>4.0875</v>
      </c>
      <c r="K102" s="14">
        <f t="shared" si="3"/>
        <v>4.1625</v>
      </c>
      <c r="L102" s="16">
        <f>AVERAGE(E102:K102)</f>
        <v>4.141071429</v>
      </c>
      <c r="N102" s="1" t="s">
        <v>296</v>
      </c>
      <c r="O102" s="12">
        <f>(O101*100)/80</f>
        <v>82.5</v>
      </c>
    </row>
    <row r="103">
      <c r="A103" s="8"/>
      <c r="C103" s="1"/>
    </row>
    <row r="104">
      <c r="A104" s="8"/>
      <c r="C104" s="1"/>
    </row>
    <row r="105">
      <c r="A105" s="8"/>
      <c r="C105" s="1"/>
    </row>
    <row r="106">
      <c r="A106" s="8"/>
      <c r="C106" s="1"/>
    </row>
    <row r="107">
      <c r="A107" s="8"/>
      <c r="C107" s="1"/>
    </row>
    <row r="108">
      <c r="A108" s="8"/>
      <c r="C108" s="1"/>
    </row>
    <row r="109">
      <c r="A109" s="8"/>
      <c r="C109" s="1"/>
    </row>
    <row r="110">
      <c r="A110" s="8"/>
      <c r="C110" s="1"/>
    </row>
    <row r="111">
      <c r="A111" s="8"/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</sheetData>
  <mergeCells count="1">
    <mergeCell ref="M1:O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5">
        <v>46260.82057969907</v>
      </c>
      <c r="B2" s="6" t="s">
        <v>98</v>
      </c>
      <c r="C2" s="6" t="s">
        <v>327</v>
      </c>
      <c r="D2" s="6" t="s">
        <v>13</v>
      </c>
      <c r="E2" s="6" t="s">
        <v>14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</row>
    <row r="3">
      <c r="A3" s="5">
        <v>46260.82662438657</v>
      </c>
      <c r="B3" s="6" t="s">
        <v>88</v>
      </c>
      <c r="C3" s="6" t="s">
        <v>328</v>
      </c>
      <c r="D3" s="6" t="s">
        <v>13</v>
      </c>
      <c r="E3" s="6" t="s">
        <v>14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</row>
    <row r="4">
      <c r="A4" s="5">
        <v>46260.972071944445</v>
      </c>
      <c r="B4" s="6" t="s">
        <v>176</v>
      </c>
      <c r="C4" s="6" t="s">
        <v>329</v>
      </c>
      <c r="D4" s="6" t="s">
        <v>13</v>
      </c>
      <c r="E4" s="6" t="s">
        <v>14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330</v>
      </c>
    </row>
    <row r="5">
      <c r="A5" s="5">
        <v>46261.23426878473</v>
      </c>
      <c r="B5" s="6" t="s">
        <v>99</v>
      </c>
      <c r="C5" s="6" t="s">
        <v>331</v>
      </c>
      <c r="D5" s="6" t="s">
        <v>13</v>
      </c>
      <c r="E5" s="6" t="s">
        <v>14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</row>
    <row r="6">
      <c r="A6" s="5">
        <v>46261.30667440972</v>
      </c>
      <c r="B6" s="6" t="s">
        <v>200</v>
      </c>
      <c r="C6" s="6" t="s">
        <v>332</v>
      </c>
      <c r="D6" s="6" t="s">
        <v>13</v>
      </c>
      <c r="E6" s="6" t="s">
        <v>14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20</v>
      </c>
    </row>
    <row r="7">
      <c r="A7" s="5">
        <v>46261.33853284722</v>
      </c>
      <c r="B7" s="6" t="s">
        <v>101</v>
      </c>
      <c r="C7" s="6" t="s">
        <v>327</v>
      </c>
      <c r="D7" s="6" t="s">
        <v>13</v>
      </c>
      <c r="E7" s="6" t="s">
        <v>14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</row>
    <row r="8">
      <c r="A8" s="5">
        <v>46261.33950407407</v>
      </c>
      <c r="B8" s="6" t="s">
        <v>25</v>
      </c>
      <c r="C8" s="6" t="s">
        <v>333</v>
      </c>
      <c r="D8" s="6" t="s">
        <v>13</v>
      </c>
      <c r="E8" s="6" t="s">
        <v>14</v>
      </c>
      <c r="F8" s="6" t="s">
        <v>16</v>
      </c>
      <c r="G8" s="6" t="s">
        <v>17</v>
      </c>
      <c r="H8" s="6" t="s">
        <v>18</v>
      </c>
      <c r="I8" s="6" t="s">
        <v>19</v>
      </c>
      <c r="J8" s="6" t="s">
        <v>20</v>
      </c>
    </row>
    <row r="9">
      <c r="A9" s="5">
        <v>46261.33980991898</v>
      </c>
      <c r="B9" s="6" t="s">
        <v>51</v>
      </c>
      <c r="C9" s="6" t="s">
        <v>327</v>
      </c>
      <c r="D9" s="6" t="s">
        <v>13</v>
      </c>
      <c r="E9" s="6" t="s">
        <v>14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>
      <c r="A10" s="5">
        <v>46261.342771111114</v>
      </c>
      <c r="B10" s="6" t="s">
        <v>85</v>
      </c>
      <c r="C10" s="6" t="s">
        <v>327</v>
      </c>
      <c r="D10" s="6" t="s">
        <v>13</v>
      </c>
      <c r="E10" s="6" t="s">
        <v>14</v>
      </c>
      <c r="F10" s="6" t="s">
        <v>54</v>
      </c>
      <c r="G10" s="6" t="s">
        <v>17</v>
      </c>
      <c r="H10" s="6" t="s">
        <v>18</v>
      </c>
      <c r="I10" s="6" t="s">
        <v>19</v>
      </c>
      <c r="J10" s="6" t="s">
        <v>56</v>
      </c>
    </row>
    <row r="11">
      <c r="A11" s="5">
        <v>46261.345677708334</v>
      </c>
      <c r="B11" s="6" t="s">
        <v>49</v>
      </c>
      <c r="C11" s="6" t="s">
        <v>327</v>
      </c>
      <c r="D11" s="6" t="s">
        <v>13</v>
      </c>
      <c r="E11" s="6" t="s">
        <v>14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20</v>
      </c>
      <c r="K11" s="6" t="s">
        <v>334</v>
      </c>
    </row>
    <row r="12">
      <c r="A12" s="5">
        <v>46261.34617373842</v>
      </c>
      <c r="B12" s="6" t="s">
        <v>28</v>
      </c>
      <c r="C12" s="6" t="s">
        <v>335</v>
      </c>
      <c r="D12" s="6" t="s">
        <v>13</v>
      </c>
      <c r="E12" s="6" t="s">
        <v>14</v>
      </c>
      <c r="F12" s="6" t="s">
        <v>16</v>
      </c>
      <c r="G12" s="6" t="s">
        <v>17</v>
      </c>
      <c r="H12" s="6" t="s">
        <v>18</v>
      </c>
      <c r="I12" s="6" t="s">
        <v>19</v>
      </c>
      <c r="J12" s="6" t="s">
        <v>56</v>
      </c>
    </row>
    <row r="13">
      <c r="A13" s="5">
        <v>46261.34770924768</v>
      </c>
      <c r="B13" s="6" t="s">
        <v>77</v>
      </c>
      <c r="C13" s="6" t="s">
        <v>336</v>
      </c>
      <c r="D13" s="6" t="s">
        <v>73</v>
      </c>
      <c r="E13" s="6" t="s">
        <v>14</v>
      </c>
      <c r="F13" s="6" t="s">
        <v>16</v>
      </c>
      <c r="G13" s="6" t="s">
        <v>17</v>
      </c>
      <c r="H13" s="6" t="s">
        <v>87</v>
      </c>
      <c r="I13" s="6" t="s">
        <v>55</v>
      </c>
      <c r="J13" s="6" t="s">
        <v>20</v>
      </c>
    </row>
    <row r="14">
      <c r="A14" s="5">
        <v>46261.35228166667</v>
      </c>
      <c r="B14" s="6" t="s">
        <v>21</v>
      </c>
      <c r="C14" s="6" t="s">
        <v>327</v>
      </c>
      <c r="D14" s="6" t="s">
        <v>13</v>
      </c>
      <c r="E14" s="6" t="s">
        <v>14</v>
      </c>
      <c r="F14" s="6" t="s">
        <v>16</v>
      </c>
      <c r="G14" s="6" t="s">
        <v>17</v>
      </c>
      <c r="H14" s="6" t="s">
        <v>18</v>
      </c>
      <c r="I14" s="6" t="s">
        <v>19</v>
      </c>
      <c r="J14" s="6" t="s">
        <v>20</v>
      </c>
    </row>
    <row r="15">
      <c r="A15" s="5">
        <v>46261.35680392361</v>
      </c>
      <c r="B15" s="6" t="s">
        <v>97</v>
      </c>
      <c r="C15" s="6" t="s">
        <v>328</v>
      </c>
      <c r="D15" s="6" t="s">
        <v>13</v>
      </c>
      <c r="E15" s="6" t="s">
        <v>14</v>
      </c>
      <c r="F15" s="6" t="s">
        <v>16</v>
      </c>
      <c r="G15" s="6" t="s">
        <v>17</v>
      </c>
      <c r="H15" s="6" t="s">
        <v>18</v>
      </c>
      <c r="I15" s="6" t="s">
        <v>19</v>
      </c>
      <c r="J15" s="6" t="s">
        <v>20</v>
      </c>
    </row>
    <row r="16">
      <c r="A16" s="5">
        <v>46261.358402349535</v>
      </c>
      <c r="B16" s="6" t="s">
        <v>72</v>
      </c>
      <c r="C16" s="6" t="s">
        <v>327</v>
      </c>
      <c r="D16" s="6" t="s">
        <v>13</v>
      </c>
      <c r="E16" s="6" t="s">
        <v>14</v>
      </c>
      <c r="F16" s="6" t="s">
        <v>16</v>
      </c>
      <c r="G16" s="6" t="s">
        <v>17</v>
      </c>
      <c r="H16" s="6" t="s">
        <v>18</v>
      </c>
      <c r="I16" s="6" t="s">
        <v>19</v>
      </c>
      <c r="J16" s="6" t="s">
        <v>20</v>
      </c>
    </row>
    <row r="17">
      <c r="A17" s="5">
        <v>46261.372129537034</v>
      </c>
      <c r="B17" s="6" t="s">
        <v>126</v>
      </c>
      <c r="C17" s="6" t="s">
        <v>327</v>
      </c>
      <c r="D17" s="6" t="s">
        <v>13</v>
      </c>
      <c r="E17" s="6" t="s">
        <v>14</v>
      </c>
      <c r="F17" s="6" t="s">
        <v>16</v>
      </c>
      <c r="G17" s="6" t="s">
        <v>17</v>
      </c>
      <c r="H17" s="6" t="s">
        <v>18</v>
      </c>
      <c r="I17" s="6" t="s">
        <v>19</v>
      </c>
      <c r="J17" s="6" t="s">
        <v>20</v>
      </c>
    </row>
    <row r="18">
      <c r="A18" s="5">
        <v>46261.38077736111</v>
      </c>
      <c r="B18" s="6" t="s">
        <v>79</v>
      </c>
      <c r="C18" s="6" t="s">
        <v>327</v>
      </c>
      <c r="D18" s="6" t="s">
        <v>13</v>
      </c>
      <c r="E18" s="6" t="s">
        <v>14</v>
      </c>
      <c r="F18" s="6" t="s">
        <v>16</v>
      </c>
      <c r="G18" s="6" t="s">
        <v>17</v>
      </c>
      <c r="H18" s="6" t="s">
        <v>18</v>
      </c>
      <c r="I18" s="6" t="s">
        <v>19</v>
      </c>
      <c r="J18" s="6" t="s">
        <v>20</v>
      </c>
    </row>
    <row r="19">
      <c r="A19" s="5">
        <v>46261.383932048615</v>
      </c>
      <c r="B19" s="6" t="s">
        <v>42</v>
      </c>
      <c r="C19" s="6" t="s">
        <v>327</v>
      </c>
      <c r="D19" s="6" t="s">
        <v>13</v>
      </c>
      <c r="E19" s="6" t="s">
        <v>14</v>
      </c>
      <c r="F19" s="6" t="s">
        <v>16</v>
      </c>
      <c r="G19" s="6" t="s">
        <v>17</v>
      </c>
      <c r="H19" s="6" t="s">
        <v>18</v>
      </c>
      <c r="I19" s="6" t="s">
        <v>19</v>
      </c>
      <c r="J19" s="6" t="s">
        <v>20</v>
      </c>
    </row>
    <row r="20">
      <c r="A20" s="5">
        <v>46261.39121288194</v>
      </c>
      <c r="B20" s="6" t="s">
        <v>112</v>
      </c>
      <c r="C20" s="6" t="s">
        <v>327</v>
      </c>
      <c r="D20" s="6" t="s">
        <v>13</v>
      </c>
      <c r="E20" s="6" t="s">
        <v>14</v>
      </c>
      <c r="F20" s="6" t="s">
        <v>16</v>
      </c>
      <c r="G20" s="6" t="s">
        <v>17</v>
      </c>
      <c r="H20" s="6" t="s">
        <v>18</v>
      </c>
      <c r="I20" s="6" t="s">
        <v>19</v>
      </c>
      <c r="J20" s="6" t="s">
        <v>20</v>
      </c>
      <c r="K20" s="6" t="s">
        <v>337</v>
      </c>
    </row>
    <row r="21">
      <c r="A21" s="5">
        <v>46261.39320539351</v>
      </c>
      <c r="B21" s="6" t="s">
        <v>52</v>
      </c>
      <c r="C21" s="6" t="s">
        <v>338</v>
      </c>
      <c r="D21" s="6" t="s">
        <v>13</v>
      </c>
      <c r="E21" s="6" t="s">
        <v>120</v>
      </c>
      <c r="F21" s="6" t="s">
        <v>16</v>
      </c>
      <c r="G21" s="6" t="s">
        <v>39</v>
      </c>
      <c r="H21" s="6" t="s">
        <v>18</v>
      </c>
      <c r="I21" s="6" t="s">
        <v>55</v>
      </c>
      <c r="J21" s="6" t="s">
        <v>56</v>
      </c>
    </row>
    <row r="22">
      <c r="A22" s="5">
        <v>46261.39951350694</v>
      </c>
      <c r="B22" s="6" t="s">
        <v>106</v>
      </c>
      <c r="C22" s="6" t="s">
        <v>339</v>
      </c>
      <c r="D22" s="6" t="s">
        <v>13</v>
      </c>
      <c r="E22" s="6" t="s">
        <v>14</v>
      </c>
      <c r="F22" s="6" t="s">
        <v>16</v>
      </c>
      <c r="G22" s="6" t="s">
        <v>17</v>
      </c>
      <c r="H22" s="6" t="s">
        <v>18</v>
      </c>
      <c r="I22" s="6" t="s">
        <v>19</v>
      </c>
      <c r="J22" s="6" t="s">
        <v>20</v>
      </c>
    </row>
    <row r="23">
      <c r="A23" s="5">
        <v>46261.426173472224</v>
      </c>
      <c r="B23" s="6" t="s">
        <v>82</v>
      </c>
      <c r="C23" s="6" t="s">
        <v>333</v>
      </c>
      <c r="D23" s="6" t="s">
        <v>13</v>
      </c>
      <c r="E23" s="6" t="s">
        <v>14</v>
      </c>
      <c r="F23" s="6" t="s">
        <v>16</v>
      </c>
      <c r="G23" s="6" t="s">
        <v>17</v>
      </c>
      <c r="H23" s="6" t="s">
        <v>18</v>
      </c>
      <c r="I23" s="6" t="s">
        <v>19</v>
      </c>
      <c r="J23" s="6" t="s">
        <v>20</v>
      </c>
    </row>
    <row r="24">
      <c r="A24" s="5">
        <v>46261.42630262731</v>
      </c>
      <c r="B24" s="6" t="s">
        <v>83</v>
      </c>
      <c r="C24" s="6" t="s">
        <v>333</v>
      </c>
      <c r="D24" s="6" t="s">
        <v>13</v>
      </c>
      <c r="E24" s="6" t="s">
        <v>14</v>
      </c>
      <c r="F24" s="6" t="s">
        <v>16</v>
      </c>
      <c r="G24" s="6" t="s">
        <v>17</v>
      </c>
      <c r="H24" s="6" t="s">
        <v>18</v>
      </c>
      <c r="I24" s="6" t="s">
        <v>19</v>
      </c>
      <c r="J24" s="6" t="s">
        <v>20</v>
      </c>
    </row>
    <row r="25">
      <c r="A25" s="5">
        <v>46261.43007188657</v>
      </c>
      <c r="B25" s="6" t="s">
        <v>59</v>
      </c>
      <c r="C25" s="6" t="s">
        <v>328</v>
      </c>
      <c r="D25" s="6" t="s">
        <v>73</v>
      </c>
      <c r="E25" s="6" t="s">
        <v>14</v>
      </c>
      <c r="F25" s="6" t="s">
        <v>16</v>
      </c>
      <c r="G25" s="6" t="s">
        <v>17</v>
      </c>
      <c r="H25" s="6" t="s">
        <v>18</v>
      </c>
      <c r="I25" s="6" t="s">
        <v>19</v>
      </c>
      <c r="J25" s="6" t="s">
        <v>56</v>
      </c>
      <c r="K25" s="6" t="s">
        <v>48</v>
      </c>
    </row>
    <row r="26">
      <c r="A26" s="5">
        <v>46261.4565108449</v>
      </c>
      <c r="B26" s="6" t="s">
        <v>24</v>
      </c>
      <c r="C26" s="6" t="s">
        <v>327</v>
      </c>
      <c r="D26" s="6" t="s">
        <v>13</v>
      </c>
      <c r="E26" s="6" t="s">
        <v>14</v>
      </c>
      <c r="F26" s="6" t="s">
        <v>16</v>
      </c>
      <c r="G26" s="6" t="s">
        <v>17</v>
      </c>
      <c r="H26" s="6" t="s">
        <v>18</v>
      </c>
      <c r="I26" s="6" t="s">
        <v>19</v>
      </c>
      <c r="J26" s="6" t="s">
        <v>20</v>
      </c>
    </row>
    <row r="27">
      <c r="A27" s="5">
        <v>46261.46121217593</v>
      </c>
      <c r="B27" s="6" t="s">
        <v>75</v>
      </c>
      <c r="C27" s="6" t="s">
        <v>333</v>
      </c>
      <c r="D27" s="6" t="s">
        <v>13</v>
      </c>
      <c r="E27" s="6" t="s">
        <v>14</v>
      </c>
      <c r="F27" s="6" t="s">
        <v>16</v>
      </c>
      <c r="G27" s="6" t="s">
        <v>17</v>
      </c>
      <c r="H27" s="6" t="s">
        <v>18</v>
      </c>
      <c r="I27" s="6" t="s">
        <v>19</v>
      </c>
      <c r="J27" s="6" t="s">
        <v>20</v>
      </c>
    </row>
    <row r="28">
      <c r="A28" s="5">
        <v>46261.47296675926</v>
      </c>
      <c r="B28" s="6" t="s">
        <v>95</v>
      </c>
      <c r="C28" s="6" t="s">
        <v>208</v>
      </c>
      <c r="D28" s="6" t="s">
        <v>73</v>
      </c>
      <c r="E28" s="6" t="s">
        <v>14</v>
      </c>
      <c r="F28" s="6" t="s">
        <v>16</v>
      </c>
      <c r="G28" s="6" t="s">
        <v>17</v>
      </c>
      <c r="H28" s="6" t="s">
        <v>18</v>
      </c>
      <c r="I28" s="6" t="s">
        <v>19</v>
      </c>
      <c r="J28" s="6" t="s">
        <v>20</v>
      </c>
      <c r="K28" s="6" t="s">
        <v>92</v>
      </c>
    </row>
    <row r="29">
      <c r="A29" s="5">
        <v>46261.506144618055</v>
      </c>
      <c r="B29" s="6" t="s">
        <v>203</v>
      </c>
      <c r="C29" s="6" t="s">
        <v>327</v>
      </c>
      <c r="D29" s="6" t="s">
        <v>13</v>
      </c>
      <c r="E29" s="6" t="s">
        <v>14</v>
      </c>
      <c r="F29" s="6" t="s">
        <v>16</v>
      </c>
      <c r="G29" s="6" t="s">
        <v>17</v>
      </c>
      <c r="H29" s="6" t="s">
        <v>18</v>
      </c>
      <c r="I29" s="6" t="s">
        <v>19</v>
      </c>
      <c r="J29" s="6" t="s">
        <v>20</v>
      </c>
      <c r="K29" s="6" t="s">
        <v>36</v>
      </c>
    </row>
    <row r="30">
      <c r="A30" s="5">
        <v>46261.56292174768</v>
      </c>
      <c r="B30" s="6" t="s">
        <v>118</v>
      </c>
      <c r="C30" s="6" t="s">
        <v>340</v>
      </c>
      <c r="D30" s="6" t="s">
        <v>13</v>
      </c>
      <c r="E30" s="6" t="s">
        <v>14</v>
      </c>
      <c r="F30" s="6" t="s">
        <v>16</v>
      </c>
      <c r="G30" s="6" t="s">
        <v>17</v>
      </c>
      <c r="H30" s="6" t="s">
        <v>18</v>
      </c>
      <c r="I30" s="6" t="s">
        <v>19</v>
      </c>
      <c r="J30" s="6" t="s">
        <v>20</v>
      </c>
      <c r="K30" s="6" t="s">
        <v>341</v>
      </c>
    </row>
    <row r="31">
      <c r="A31" s="5">
        <v>46261.57010172454</v>
      </c>
      <c r="B31" s="6" t="s">
        <v>44</v>
      </c>
      <c r="C31" s="6" t="s">
        <v>328</v>
      </c>
      <c r="D31" s="6" t="s">
        <v>13</v>
      </c>
      <c r="E31" s="6" t="s">
        <v>14</v>
      </c>
      <c r="F31" s="6" t="s">
        <v>16</v>
      </c>
      <c r="G31" s="6" t="s">
        <v>17</v>
      </c>
      <c r="H31" s="6" t="s">
        <v>18</v>
      </c>
      <c r="I31" s="6" t="s">
        <v>19</v>
      </c>
      <c r="J31" s="6" t="s">
        <v>20</v>
      </c>
    </row>
    <row r="32">
      <c r="A32" s="5">
        <v>46261.591111898146</v>
      </c>
      <c r="B32" s="6" t="s">
        <v>78</v>
      </c>
      <c r="C32" s="6" t="s">
        <v>327</v>
      </c>
      <c r="D32" s="6" t="s">
        <v>13</v>
      </c>
      <c r="E32" s="6" t="s">
        <v>14</v>
      </c>
      <c r="F32" s="6" t="s">
        <v>16</v>
      </c>
      <c r="G32" s="6" t="s">
        <v>17</v>
      </c>
      <c r="H32" s="6" t="s">
        <v>18</v>
      </c>
      <c r="I32" s="6" t="s">
        <v>19</v>
      </c>
      <c r="J32" s="6" t="s">
        <v>20</v>
      </c>
      <c r="K32" s="6" t="s">
        <v>170</v>
      </c>
    </row>
    <row r="33">
      <c r="A33" s="5">
        <v>46261.59353293982</v>
      </c>
      <c r="B33" s="6" t="s">
        <v>121</v>
      </c>
      <c r="C33" s="6" t="s">
        <v>342</v>
      </c>
      <c r="D33" s="6" t="s">
        <v>13</v>
      </c>
      <c r="E33" s="6" t="s">
        <v>14</v>
      </c>
      <c r="F33" s="6" t="s">
        <v>16</v>
      </c>
      <c r="G33" s="6" t="s">
        <v>17</v>
      </c>
      <c r="H33" s="6" t="s">
        <v>18</v>
      </c>
      <c r="I33" s="6" t="s">
        <v>19</v>
      </c>
      <c r="J33" s="6" t="s">
        <v>20</v>
      </c>
    </row>
    <row r="34">
      <c r="A34" s="5">
        <v>46261.5997478125</v>
      </c>
      <c r="B34" s="6" t="s">
        <v>105</v>
      </c>
      <c r="C34" s="6" t="s">
        <v>327</v>
      </c>
      <c r="D34" s="6" t="s">
        <v>13</v>
      </c>
      <c r="E34" s="6" t="s">
        <v>14</v>
      </c>
      <c r="F34" s="6" t="s">
        <v>16</v>
      </c>
      <c r="G34" s="6" t="s">
        <v>17</v>
      </c>
      <c r="H34" s="6" t="s">
        <v>18</v>
      </c>
      <c r="I34" s="6" t="s">
        <v>19</v>
      </c>
      <c r="J34" s="6" t="s">
        <v>20</v>
      </c>
    </row>
    <row r="35">
      <c r="A35" s="5">
        <v>46261.60040590278</v>
      </c>
      <c r="B35" s="6" t="s">
        <v>61</v>
      </c>
      <c r="C35" s="6" t="s">
        <v>333</v>
      </c>
      <c r="D35" s="6" t="s">
        <v>13</v>
      </c>
      <c r="E35" s="6" t="s">
        <v>14</v>
      </c>
      <c r="F35" s="6" t="s">
        <v>16</v>
      </c>
      <c r="G35" s="6" t="s">
        <v>17</v>
      </c>
      <c r="H35" s="6" t="s">
        <v>18</v>
      </c>
      <c r="I35" s="6" t="s">
        <v>19</v>
      </c>
      <c r="J35" s="6" t="s">
        <v>20</v>
      </c>
    </row>
    <row r="36">
      <c r="A36" s="5">
        <v>46261.611224594904</v>
      </c>
      <c r="B36" s="6" t="s">
        <v>33</v>
      </c>
      <c r="C36" s="6" t="s">
        <v>327</v>
      </c>
      <c r="D36" s="6" t="s">
        <v>13</v>
      </c>
      <c r="E36" s="6" t="s">
        <v>14</v>
      </c>
      <c r="F36" s="6" t="s">
        <v>16</v>
      </c>
      <c r="G36" s="6" t="s">
        <v>17</v>
      </c>
      <c r="H36" s="6" t="s">
        <v>18</v>
      </c>
      <c r="I36" s="6" t="s">
        <v>55</v>
      </c>
      <c r="J36" s="6" t="s">
        <v>56</v>
      </c>
      <c r="K36" s="6" t="s">
        <v>36</v>
      </c>
    </row>
    <row r="37">
      <c r="A37" s="5">
        <v>46261.63114844907</v>
      </c>
      <c r="B37" s="6" t="s">
        <v>115</v>
      </c>
      <c r="C37" s="6" t="s">
        <v>327</v>
      </c>
      <c r="D37" s="6" t="s">
        <v>13</v>
      </c>
      <c r="E37" s="6" t="s">
        <v>14</v>
      </c>
      <c r="F37" s="6" t="s">
        <v>16</v>
      </c>
      <c r="G37" s="6" t="s">
        <v>17</v>
      </c>
      <c r="H37" s="6" t="s">
        <v>18</v>
      </c>
      <c r="I37" s="6" t="s">
        <v>19</v>
      </c>
      <c r="J37" s="6" t="s">
        <v>20</v>
      </c>
    </row>
    <row r="38">
      <c r="A38" s="5">
        <v>46261.70939148148</v>
      </c>
      <c r="B38" s="6" t="s">
        <v>196</v>
      </c>
      <c r="C38" s="6" t="s">
        <v>328</v>
      </c>
      <c r="D38" s="6" t="s">
        <v>13</v>
      </c>
      <c r="E38" s="6" t="s">
        <v>14</v>
      </c>
      <c r="F38" s="6" t="s">
        <v>16</v>
      </c>
      <c r="G38" s="6" t="s">
        <v>17</v>
      </c>
      <c r="H38" s="6" t="s">
        <v>18</v>
      </c>
      <c r="I38" s="6" t="s">
        <v>19</v>
      </c>
      <c r="J38" s="6" t="s">
        <v>20</v>
      </c>
    </row>
    <row r="39">
      <c r="A39" s="5">
        <v>46261.72036627315</v>
      </c>
      <c r="B39" s="6" t="s">
        <v>103</v>
      </c>
      <c r="C39" s="6" t="s">
        <v>327</v>
      </c>
      <c r="D39" s="6" t="s">
        <v>13</v>
      </c>
      <c r="E39" s="6" t="s">
        <v>14</v>
      </c>
      <c r="F39" s="6" t="s">
        <v>16</v>
      </c>
      <c r="G39" s="6" t="s">
        <v>17</v>
      </c>
      <c r="H39" s="6" t="s">
        <v>18</v>
      </c>
      <c r="I39" s="6" t="s">
        <v>19</v>
      </c>
      <c r="J39" s="6" t="s">
        <v>20</v>
      </c>
    </row>
    <row r="40">
      <c r="A40" s="5">
        <v>46261.724488796295</v>
      </c>
      <c r="B40" s="6" t="s">
        <v>125</v>
      </c>
      <c r="C40" s="6" t="s">
        <v>327</v>
      </c>
      <c r="D40" s="6" t="s">
        <v>13</v>
      </c>
      <c r="E40" s="6" t="s">
        <v>14</v>
      </c>
      <c r="F40" s="6" t="s">
        <v>16</v>
      </c>
      <c r="G40" s="6" t="s">
        <v>17</v>
      </c>
      <c r="H40" s="6" t="s">
        <v>18</v>
      </c>
      <c r="I40" s="6" t="s">
        <v>19</v>
      </c>
      <c r="J40" s="6" t="s">
        <v>20</v>
      </c>
    </row>
    <row r="41">
      <c r="A41" s="5">
        <v>46261.77391684028</v>
      </c>
      <c r="B41" s="6" t="s">
        <v>205</v>
      </c>
      <c r="C41" s="6" t="s">
        <v>328</v>
      </c>
      <c r="D41" s="6" t="s">
        <v>13</v>
      </c>
      <c r="E41" s="6" t="s">
        <v>14</v>
      </c>
      <c r="F41" s="6" t="s">
        <v>16</v>
      </c>
      <c r="G41" s="6" t="s">
        <v>17</v>
      </c>
      <c r="H41" s="6" t="s">
        <v>18</v>
      </c>
      <c r="I41" s="6" t="s">
        <v>19</v>
      </c>
      <c r="J41" s="6" t="s">
        <v>20</v>
      </c>
    </row>
    <row r="42">
      <c r="A42" s="5">
        <v>46261.792763888894</v>
      </c>
      <c r="B42" s="6" t="s">
        <v>93</v>
      </c>
      <c r="C42" s="6" t="s">
        <v>327</v>
      </c>
      <c r="D42" s="6" t="s">
        <v>13</v>
      </c>
      <c r="E42" s="6" t="s">
        <v>14</v>
      </c>
      <c r="F42" s="6" t="s">
        <v>16</v>
      </c>
      <c r="G42" s="6" t="s">
        <v>17</v>
      </c>
      <c r="H42" s="6" t="s">
        <v>18</v>
      </c>
      <c r="I42" s="6" t="s">
        <v>19</v>
      </c>
      <c r="J42" s="6" t="s">
        <v>20</v>
      </c>
      <c r="K42" s="6" t="s">
        <v>343</v>
      </c>
    </row>
    <row r="43">
      <c r="A43" s="5">
        <v>46261.79417559028</v>
      </c>
      <c r="B43" s="6" t="s">
        <v>114</v>
      </c>
      <c r="C43" s="6" t="s">
        <v>327</v>
      </c>
      <c r="D43" s="6" t="s">
        <v>13</v>
      </c>
      <c r="E43" s="6" t="s">
        <v>14</v>
      </c>
      <c r="F43" s="6" t="s">
        <v>16</v>
      </c>
      <c r="G43" s="6" t="s">
        <v>17</v>
      </c>
      <c r="H43" s="6" t="s">
        <v>18</v>
      </c>
      <c r="I43" s="6" t="s">
        <v>19</v>
      </c>
      <c r="J43" s="6" t="s">
        <v>20</v>
      </c>
    </row>
    <row r="44">
      <c r="A44" s="5">
        <v>46261.871264953705</v>
      </c>
      <c r="B44" s="6" t="s">
        <v>57</v>
      </c>
      <c r="C44" s="6" t="s">
        <v>327</v>
      </c>
      <c r="D44" s="6" t="s">
        <v>13</v>
      </c>
      <c r="E44" s="6" t="s">
        <v>14</v>
      </c>
      <c r="F44" s="6" t="s">
        <v>16</v>
      </c>
      <c r="G44" s="6" t="s">
        <v>17</v>
      </c>
      <c r="H44" s="6" t="s">
        <v>18</v>
      </c>
      <c r="I44" s="6" t="s">
        <v>19</v>
      </c>
      <c r="J44" s="6" t="s">
        <v>20</v>
      </c>
    </row>
    <row r="45">
      <c r="A45" s="5">
        <v>46261.95152453704</v>
      </c>
      <c r="B45" s="6" t="s">
        <v>74</v>
      </c>
      <c r="C45" s="6" t="s">
        <v>328</v>
      </c>
      <c r="D45" s="6" t="s">
        <v>13</v>
      </c>
      <c r="E45" s="6" t="s">
        <v>14</v>
      </c>
      <c r="F45" s="6" t="s">
        <v>16</v>
      </c>
      <c r="G45" s="6" t="s">
        <v>17</v>
      </c>
      <c r="H45" s="6" t="s">
        <v>18</v>
      </c>
      <c r="I45" s="6" t="s">
        <v>19</v>
      </c>
      <c r="J45" s="6" t="s">
        <v>20</v>
      </c>
    </row>
    <row r="46">
      <c r="A46" s="5">
        <v>46262.038209618055</v>
      </c>
      <c r="B46" s="6" t="s">
        <v>178</v>
      </c>
      <c r="C46" s="6" t="s">
        <v>327</v>
      </c>
      <c r="D46" s="6" t="s">
        <v>13</v>
      </c>
      <c r="E46" s="6" t="s">
        <v>14</v>
      </c>
      <c r="F46" s="6" t="s">
        <v>16</v>
      </c>
      <c r="G46" s="6" t="s">
        <v>17</v>
      </c>
      <c r="H46" s="6" t="s">
        <v>18</v>
      </c>
      <c r="I46" s="6" t="s">
        <v>19</v>
      </c>
      <c r="J46" s="6" t="s">
        <v>20</v>
      </c>
    </row>
    <row r="47">
      <c r="A47" s="5">
        <v>46262.32864699074</v>
      </c>
      <c r="B47" s="6" t="s">
        <v>80</v>
      </c>
      <c r="C47" s="6" t="s">
        <v>327</v>
      </c>
      <c r="D47" s="6" t="s">
        <v>13</v>
      </c>
      <c r="E47" s="6" t="s">
        <v>14</v>
      </c>
      <c r="F47" s="6" t="s">
        <v>16</v>
      </c>
      <c r="G47" s="6" t="s">
        <v>17</v>
      </c>
      <c r="H47" s="6" t="s">
        <v>18</v>
      </c>
      <c r="I47" s="6" t="s">
        <v>19</v>
      </c>
      <c r="J47" s="6" t="s">
        <v>20</v>
      </c>
      <c r="K47" s="6" t="s">
        <v>344</v>
      </c>
    </row>
    <row r="48">
      <c r="A48" s="5">
        <v>46262.33780346064</v>
      </c>
      <c r="B48" s="6" t="s">
        <v>201</v>
      </c>
      <c r="C48" s="6" t="s">
        <v>333</v>
      </c>
      <c r="D48" s="6" t="s">
        <v>13</v>
      </c>
      <c r="E48" s="6" t="s">
        <v>14</v>
      </c>
      <c r="F48" s="6" t="s">
        <v>16</v>
      </c>
      <c r="G48" s="6" t="s">
        <v>17</v>
      </c>
      <c r="H48" s="6" t="s">
        <v>18</v>
      </c>
      <c r="I48" s="6" t="s">
        <v>19</v>
      </c>
      <c r="J48" s="6" t="s">
        <v>20</v>
      </c>
    </row>
    <row r="49">
      <c r="A49" s="5">
        <v>46262.33805199074</v>
      </c>
      <c r="B49" s="6" t="s">
        <v>116</v>
      </c>
      <c r="C49" s="6" t="s">
        <v>328</v>
      </c>
      <c r="D49" s="6" t="s">
        <v>13</v>
      </c>
      <c r="E49" s="6" t="s">
        <v>14</v>
      </c>
      <c r="F49" s="6" t="s">
        <v>16</v>
      </c>
      <c r="G49" s="6" t="s">
        <v>17</v>
      </c>
      <c r="H49" s="6" t="s">
        <v>18</v>
      </c>
      <c r="I49" s="6" t="s">
        <v>19</v>
      </c>
      <c r="J49" s="6" t="s">
        <v>20</v>
      </c>
    </row>
    <row r="50">
      <c r="A50" s="5">
        <v>46262.339136423616</v>
      </c>
      <c r="B50" s="6" t="s">
        <v>190</v>
      </c>
      <c r="C50" s="6" t="s">
        <v>345</v>
      </c>
      <c r="D50" s="6" t="s">
        <v>13</v>
      </c>
      <c r="E50" s="6" t="s">
        <v>14</v>
      </c>
      <c r="F50" s="6" t="s">
        <v>16</v>
      </c>
      <c r="G50" s="6" t="s">
        <v>17</v>
      </c>
      <c r="H50" s="6" t="s">
        <v>18</v>
      </c>
      <c r="I50" s="6" t="s">
        <v>19</v>
      </c>
      <c r="J50" s="6" t="s">
        <v>20</v>
      </c>
    </row>
    <row r="51">
      <c r="A51" s="5">
        <v>46262.345486122686</v>
      </c>
      <c r="B51" s="6" t="s">
        <v>129</v>
      </c>
      <c r="C51" s="6" t="s">
        <v>346</v>
      </c>
      <c r="D51" s="6" t="s">
        <v>13</v>
      </c>
      <c r="E51" s="6" t="s">
        <v>14</v>
      </c>
      <c r="F51" s="6" t="s">
        <v>54</v>
      </c>
      <c r="G51" s="6" t="s">
        <v>17</v>
      </c>
      <c r="H51" s="6" t="s">
        <v>18</v>
      </c>
      <c r="I51" s="6" t="s">
        <v>19</v>
      </c>
      <c r="J51" s="6" t="s">
        <v>20</v>
      </c>
    </row>
    <row r="52">
      <c r="A52" s="5">
        <v>46262.384553958334</v>
      </c>
      <c r="B52" s="6" t="s">
        <v>104</v>
      </c>
      <c r="C52" s="6" t="s">
        <v>327</v>
      </c>
      <c r="D52" s="6" t="s">
        <v>13</v>
      </c>
      <c r="E52" s="6" t="s">
        <v>14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>
      <c r="A53" s="5">
        <v>46262.39128268519</v>
      </c>
      <c r="B53" s="6" t="s">
        <v>127</v>
      </c>
      <c r="C53" s="6" t="s">
        <v>347</v>
      </c>
      <c r="D53" s="6" t="s">
        <v>13</v>
      </c>
      <c r="E53" s="6" t="s">
        <v>14</v>
      </c>
      <c r="F53" s="6" t="s">
        <v>16</v>
      </c>
      <c r="G53" s="6" t="s">
        <v>17</v>
      </c>
      <c r="H53" s="6" t="s">
        <v>18</v>
      </c>
      <c r="I53" s="6" t="s">
        <v>19</v>
      </c>
      <c r="J53" s="6" t="s">
        <v>20</v>
      </c>
      <c r="K53" s="6" t="s">
        <v>348</v>
      </c>
    </row>
    <row r="54">
      <c r="A54" s="5">
        <v>46262.40827399306</v>
      </c>
      <c r="B54" s="6" t="s">
        <v>11</v>
      </c>
      <c r="C54" s="6" t="s">
        <v>349</v>
      </c>
      <c r="D54" s="6" t="s">
        <v>13</v>
      </c>
      <c r="E54" s="6" t="s">
        <v>14</v>
      </c>
      <c r="F54" s="6" t="s">
        <v>16</v>
      </c>
      <c r="G54" s="6" t="s">
        <v>17</v>
      </c>
      <c r="H54" s="6" t="s">
        <v>18</v>
      </c>
      <c r="I54" s="6" t="s">
        <v>19</v>
      </c>
      <c r="J54" s="6" t="s">
        <v>20</v>
      </c>
    </row>
    <row r="55">
      <c r="A55" s="5">
        <v>46262.41357209491</v>
      </c>
      <c r="B55" s="6" t="s">
        <v>40</v>
      </c>
      <c r="C55" s="6" t="s">
        <v>350</v>
      </c>
      <c r="D55" s="6" t="s">
        <v>13</v>
      </c>
      <c r="E55" s="6" t="s">
        <v>14</v>
      </c>
      <c r="F55" s="6" t="s">
        <v>16</v>
      </c>
      <c r="G55" s="6" t="s">
        <v>17</v>
      </c>
      <c r="H55" s="6" t="s">
        <v>18</v>
      </c>
      <c r="I55" s="6" t="s">
        <v>19</v>
      </c>
      <c r="J55" s="6" t="s">
        <v>20</v>
      </c>
    </row>
    <row r="56">
      <c r="A56" s="5">
        <v>46262.42208591435</v>
      </c>
      <c r="B56" s="6" t="s">
        <v>30</v>
      </c>
      <c r="C56" s="6" t="s">
        <v>327</v>
      </c>
      <c r="D56" s="6" t="s">
        <v>13</v>
      </c>
      <c r="E56" s="6" t="s">
        <v>14</v>
      </c>
      <c r="F56" s="6" t="s">
        <v>16</v>
      </c>
      <c r="G56" s="6" t="s">
        <v>17</v>
      </c>
      <c r="H56" s="6" t="s">
        <v>18</v>
      </c>
      <c r="I56" s="6" t="s">
        <v>19</v>
      </c>
      <c r="J56" s="6" t="s">
        <v>20</v>
      </c>
      <c r="K56" s="6" t="s">
        <v>351</v>
      </c>
    </row>
    <row r="57">
      <c r="A57" s="5">
        <v>46262.44220871528</v>
      </c>
      <c r="B57" s="6" t="s">
        <v>37</v>
      </c>
      <c r="C57" s="6" t="s">
        <v>38</v>
      </c>
      <c r="D57" s="6" t="s">
        <v>13</v>
      </c>
      <c r="E57" s="6" t="s">
        <v>14</v>
      </c>
      <c r="F57" s="6" t="s">
        <v>16</v>
      </c>
      <c r="G57" s="6" t="s">
        <v>39</v>
      </c>
      <c r="H57" s="6" t="s">
        <v>87</v>
      </c>
      <c r="I57" s="6" t="s">
        <v>19</v>
      </c>
      <c r="J57" s="6" t="s">
        <v>20</v>
      </c>
    </row>
    <row r="58">
      <c r="A58" s="5">
        <v>46262.446575486116</v>
      </c>
      <c r="B58" s="6" t="s">
        <v>46</v>
      </c>
      <c r="C58" s="6" t="s">
        <v>352</v>
      </c>
      <c r="D58" s="6" t="s">
        <v>13</v>
      </c>
      <c r="E58" s="6" t="s">
        <v>14</v>
      </c>
      <c r="F58" s="6" t="s">
        <v>16</v>
      </c>
      <c r="G58" s="6" t="s">
        <v>17</v>
      </c>
      <c r="H58" s="6" t="s">
        <v>18</v>
      </c>
      <c r="I58" s="6" t="s">
        <v>19</v>
      </c>
      <c r="J58" s="6" t="s">
        <v>20</v>
      </c>
      <c r="K58" s="6" t="s">
        <v>48</v>
      </c>
    </row>
    <row r="59">
      <c r="A59" s="5">
        <v>46262.46644570601</v>
      </c>
      <c r="B59" s="6" t="s">
        <v>60</v>
      </c>
      <c r="C59" s="6" t="s">
        <v>353</v>
      </c>
      <c r="D59" s="6" t="s">
        <v>13</v>
      </c>
      <c r="E59" s="6" t="s">
        <v>14</v>
      </c>
      <c r="F59" s="6" t="s">
        <v>16</v>
      </c>
      <c r="G59" s="6" t="s">
        <v>17</v>
      </c>
      <c r="H59" s="6" t="s">
        <v>18</v>
      </c>
      <c r="I59" s="6" t="s">
        <v>19</v>
      </c>
      <c r="J59" s="6" t="s">
        <v>20</v>
      </c>
    </row>
    <row r="60">
      <c r="A60" s="5">
        <v>46262.466850717596</v>
      </c>
      <c r="B60" s="6" t="s">
        <v>63</v>
      </c>
      <c r="C60" s="6" t="s">
        <v>327</v>
      </c>
      <c r="D60" s="6" t="s">
        <v>73</v>
      </c>
      <c r="E60" s="6" t="s">
        <v>14</v>
      </c>
      <c r="F60" s="6" t="s">
        <v>16</v>
      </c>
      <c r="G60" s="6" t="s">
        <v>17</v>
      </c>
      <c r="H60" s="6" t="s">
        <v>18</v>
      </c>
      <c r="I60" s="6" t="s">
        <v>19</v>
      </c>
      <c r="J60" s="6" t="s">
        <v>20</v>
      </c>
      <c r="K60" s="6" t="s">
        <v>64</v>
      </c>
    </row>
    <row r="61">
      <c r="A61" s="5">
        <v>46262.4812127662</v>
      </c>
      <c r="B61" s="6" t="s">
        <v>113</v>
      </c>
      <c r="C61" s="6" t="s">
        <v>354</v>
      </c>
      <c r="D61" s="6" t="s">
        <v>13</v>
      </c>
      <c r="E61" s="6" t="s">
        <v>14</v>
      </c>
      <c r="F61" s="6" t="s">
        <v>16</v>
      </c>
      <c r="G61" s="6" t="s">
        <v>17</v>
      </c>
      <c r="H61" s="6" t="s">
        <v>18</v>
      </c>
      <c r="I61" s="6" t="s">
        <v>19</v>
      </c>
      <c r="J61" s="6" t="s">
        <v>20</v>
      </c>
    </row>
    <row r="62">
      <c r="A62" s="5">
        <v>46262.48372396991</v>
      </c>
      <c r="B62" s="6" t="s">
        <v>66</v>
      </c>
      <c r="C62" s="6" t="s">
        <v>327</v>
      </c>
      <c r="D62" s="6" t="s">
        <v>13</v>
      </c>
      <c r="E62" s="6" t="s">
        <v>14</v>
      </c>
      <c r="F62" s="6" t="s">
        <v>16</v>
      </c>
      <c r="G62" s="6" t="s">
        <v>17</v>
      </c>
      <c r="H62" s="6" t="s">
        <v>18</v>
      </c>
      <c r="I62" s="6" t="s">
        <v>19</v>
      </c>
      <c r="J62" s="6" t="s">
        <v>20</v>
      </c>
      <c r="K62" s="6" t="s">
        <v>355</v>
      </c>
    </row>
    <row r="63">
      <c r="A63" s="5">
        <v>46262.50388423611</v>
      </c>
      <c r="B63" s="6" t="s">
        <v>71</v>
      </c>
      <c r="C63" s="6" t="s">
        <v>356</v>
      </c>
      <c r="D63" s="6" t="s">
        <v>13</v>
      </c>
      <c r="E63" s="6" t="s">
        <v>14</v>
      </c>
      <c r="F63" s="6" t="s">
        <v>16</v>
      </c>
      <c r="G63" s="6" t="s">
        <v>17</v>
      </c>
      <c r="H63" s="6" t="s">
        <v>18</v>
      </c>
      <c r="I63" s="6" t="s">
        <v>19</v>
      </c>
      <c r="J63" s="6" t="s">
        <v>20</v>
      </c>
    </row>
    <row r="64">
      <c r="A64" s="5">
        <v>46262.535893657405</v>
      </c>
      <c r="B64" s="6" t="s">
        <v>69</v>
      </c>
      <c r="C64" s="6" t="s">
        <v>357</v>
      </c>
      <c r="D64" s="6" t="s">
        <v>13</v>
      </c>
      <c r="E64" s="6" t="s">
        <v>14</v>
      </c>
      <c r="F64" s="6" t="s">
        <v>16</v>
      </c>
      <c r="G64" s="6" t="s">
        <v>17</v>
      </c>
      <c r="H64" s="6" t="s">
        <v>18</v>
      </c>
      <c r="I64" s="6" t="s">
        <v>19</v>
      </c>
      <c r="J64" s="6" t="s">
        <v>20</v>
      </c>
    </row>
    <row r="65">
      <c r="A65" s="5">
        <v>46262.59655240741</v>
      </c>
      <c r="B65" s="6" t="s">
        <v>86</v>
      </c>
      <c r="C65" s="6" t="s">
        <v>353</v>
      </c>
      <c r="D65" s="6" t="s">
        <v>13</v>
      </c>
      <c r="E65" s="6" t="s">
        <v>14</v>
      </c>
      <c r="F65" s="6" t="s">
        <v>16</v>
      </c>
      <c r="G65" s="6" t="s">
        <v>17</v>
      </c>
      <c r="H65" s="6" t="s">
        <v>18</v>
      </c>
      <c r="I65" s="6" t="s">
        <v>19</v>
      </c>
      <c r="J65" s="6" t="s">
        <v>20</v>
      </c>
    </row>
    <row r="66">
      <c r="A66" s="5">
        <v>46262.63111061342</v>
      </c>
      <c r="B66" s="6" t="s">
        <v>90</v>
      </c>
      <c r="C66" s="6" t="s">
        <v>358</v>
      </c>
      <c r="D66" s="6" t="s">
        <v>13</v>
      </c>
      <c r="E66" s="6" t="s">
        <v>14</v>
      </c>
      <c r="F66" s="6" t="s">
        <v>16</v>
      </c>
      <c r="G66" s="6" t="s">
        <v>17</v>
      </c>
      <c r="H66" s="6" t="s">
        <v>18</v>
      </c>
      <c r="I66" s="6" t="s">
        <v>19</v>
      </c>
      <c r="J66" s="6" t="s">
        <v>20</v>
      </c>
      <c r="K66" s="6" t="s">
        <v>92</v>
      </c>
    </row>
    <row r="67">
      <c r="A67" s="5">
        <v>46262.960420034724</v>
      </c>
      <c r="B67" s="6" t="s">
        <v>100</v>
      </c>
      <c r="C67" s="6" t="s">
        <v>359</v>
      </c>
      <c r="D67" s="6" t="s">
        <v>13</v>
      </c>
      <c r="E67" s="6" t="s">
        <v>14</v>
      </c>
      <c r="F67" s="6" t="s">
        <v>16</v>
      </c>
      <c r="G67" s="6" t="s">
        <v>17</v>
      </c>
      <c r="H67" s="6" t="s">
        <v>18</v>
      </c>
      <c r="I67" s="6" t="s">
        <v>19</v>
      </c>
      <c r="J67" s="6" t="s">
        <v>20</v>
      </c>
    </row>
    <row r="68">
      <c r="A68" s="5">
        <v>46263.03887181713</v>
      </c>
      <c r="B68" s="6" t="s">
        <v>124</v>
      </c>
      <c r="C68" s="6" t="s">
        <v>352</v>
      </c>
      <c r="D68" s="6" t="s">
        <v>13</v>
      </c>
      <c r="E68" s="6" t="s">
        <v>14</v>
      </c>
      <c r="F68" s="6" t="s">
        <v>16</v>
      </c>
      <c r="G68" s="6" t="s">
        <v>17</v>
      </c>
      <c r="H68" s="6" t="s">
        <v>18</v>
      </c>
      <c r="I68" s="6" t="s">
        <v>19</v>
      </c>
      <c r="J68" s="6" t="s">
        <v>20</v>
      </c>
    </row>
    <row r="69">
      <c r="A69" s="5">
        <v>46263.60024231482</v>
      </c>
      <c r="B69" s="6" t="s">
        <v>207</v>
      </c>
      <c r="C69" s="6" t="s">
        <v>360</v>
      </c>
      <c r="D69" s="6" t="s">
        <v>13</v>
      </c>
      <c r="E69" s="6" t="s">
        <v>14</v>
      </c>
      <c r="F69" s="6" t="s">
        <v>16</v>
      </c>
      <c r="G69" s="6" t="s">
        <v>17</v>
      </c>
      <c r="H69" s="6" t="s">
        <v>18</v>
      </c>
      <c r="I69" s="6" t="s">
        <v>19</v>
      </c>
      <c r="J69" s="6" t="s">
        <v>20</v>
      </c>
    </row>
    <row r="70">
      <c r="A70" s="5">
        <v>46264.63077940972</v>
      </c>
      <c r="B70" s="6" t="s">
        <v>138</v>
      </c>
      <c r="C70" s="6" t="s">
        <v>328</v>
      </c>
      <c r="D70" s="6" t="s">
        <v>13</v>
      </c>
      <c r="E70" s="6" t="s">
        <v>14</v>
      </c>
      <c r="F70" s="6" t="s">
        <v>16</v>
      </c>
      <c r="G70" s="6" t="s">
        <v>17</v>
      </c>
      <c r="H70" s="6" t="s">
        <v>18</v>
      </c>
      <c r="I70" s="6" t="s">
        <v>19</v>
      </c>
      <c r="J70" s="6" t="s">
        <v>56</v>
      </c>
      <c r="K70" s="6" t="s">
        <v>361</v>
      </c>
    </row>
    <row r="71">
      <c r="A71" s="5">
        <v>46264.87990880787</v>
      </c>
      <c r="B71" s="6" t="s">
        <v>108</v>
      </c>
      <c r="C71" s="6" t="s">
        <v>109</v>
      </c>
      <c r="D71" s="6" t="s">
        <v>13</v>
      </c>
      <c r="E71" s="6" t="s">
        <v>14</v>
      </c>
      <c r="F71" s="6" t="s">
        <v>16</v>
      </c>
      <c r="G71" s="6" t="s">
        <v>17</v>
      </c>
      <c r="H71" s="6" t="s">
        <v>18</v>
      </c>
      <c r="I71" s="6" t="s">
        <v>19</v>
      </c>
      <c r="J71" s="6" t="s">
        <v>20</v>
      </c>
    </row>
    <row r="72">
      <c r="A72" s="5">
        <v>46264.956573993055</v>
      </c>
      <c r="B72" s="6" t="s">
        <v>130</v>
      </c>
      <c r="C72" s="6" t="s">
        <v>333</v>
      </c>
      <c r="D72" s="6" t="s">
        <v>13</v>
      </c>
      <c r="E72" s="6" t="s">
        <v>14</v>
      </c>
      <c r="F72" s="6" t="s">
        <v>16</v>
      </c>
      <c r="G72" s="6" t="s">
        <v>17</v>
      </c>
      <c r="H72" s="6" t="s">
        <v>18</v>
      </c>
      <c r="I72" s="6" t="s">
        <v>19</v>
      </c>
      <c r="J72" s="6" t="s">
        <v>20</v>
      </c>
    </row>
    <row r="73">
      <c r="A73" s="5">
        <v>46265.3263778588</v>
      </c>
      <c r="B73" s="6" t="s">
        <v>111</v>
      </c>
      <c r="C73" s="6" t="s">
        <v>352</v>
      </c>
      <c r="D73" s="6" t="s">
        <v>13</v>
      </c>
      <c r="E73" s="6" t="s">
        <v>14</v>
      </c>
      <c r="F73" s="6" t="s">
        <v>16</v>
      </c>
      <c r="G73" s="6" t="s">
        <v>17</v>
      </c>
      <c r="H73" s="6" t="s">
        <v>18</v>
      </c>
      <c r="I73" s="6" t="s">
        <v>19</v>
      </c>
      <c r="J73" s="6" t="s">
        <v>20</v>
      </c>
    </row>
    <row r="74">
      <c r="A74" s="5">
        <v>46266.35260971065</v>
      </c>
      <c r="B74" s="6" t="s">
        <v>210</v>
      </c>
      <c r="C74" s="6" t="s">
        <v>362</v>
      </c>
      <c r="D74" s="6" t="s">
        <v>13</v>
      </c>
      <c r="E74" s="6" t="s">
        <v>14</v>
      </c>
      <c r="F74" s="6" t="s">
        <v>16</v>
      </c>
      <c r="G74" s="6" t="s">
        <v>17</v>
      </c>
      <c r="H74" s="6" t="s">
        <v>18</v>
      </c>
      <c r="I74" s="6" t="s">
        <v>19</v>
      </c>
      <c r="J74" s="6" t="s">
        <v>20</v>
      </c>
      <c r="K74" s="6" t="s">
        <v>363</v>
      </c>
    </row>
    <row r="75">
      <c r="A75" s="5">
        <v>46267.56336208333</v>
      </c>
      <c r="B75" s="6" t="s">
        <v>132</v>
      </c>
      <c r="C75" s="6" t="s">
        <v>364</v>
      </c>
      <c r="D75" s="6" t="s">
        <v>13</v>
      </c>
      <c r="E75" s="6" t="s">
        <v>14</v>
      </c>
      <c r="F75" s="6" t="s">
        <v>16</v>
      </c>
      <c r="G75" s="6" t="s">
        <v>17</v>
      </c>
      <c r="H75" s="6" t="s">
        <v>18</v>
      </c>
      <c r="I75" s="6" t="s">
        <v>19</v>
      </c>
      <c r="J75" s="6" t="s">
        <v>20</v>
      </c>
    </row>
    <row r="76">
      <c r="A76" s="5">
        <v>46267.60931746528</v>
      </c>
      <c r="B76" s="6" t="s">
        <v>133</v>
      </c>
      <c r="C76" s="6" t="s">
        <v>134</v>
      </c>
      <c r="D76" s="6" t="s">
        <v>13</v>
      </c>
      <c r="E76" s="6" t="s">
        <v>14</v>
      </c>
      <c r="F76" s="6" t="s">
        <v>16</v>
      </c>
      <c r="G76" s="6" t="s">
        <v>17</v>
      </c>
      <c r="H76" s="6" t="s">
        <v>18</v>
      </c>
      <c r="I76" s="6" t="s">
        <v>19</v>
      </c>
      <c r="J76" s="6" t="s">
        <v>20</v>
      </c>
    </row>
    <row r="77">
      <c r="A77" s="5">
        <v>46267.67941895833</v>
      </c>
      <c r="B77" s="6" t="s">
        <v>135</v>
      </c>
      <c r="C77" s="6" t="s">
        <v>352</v>
      </c>
      <c r="D77" s="6" t="s">
        <v>13</v>
      </c>
      <c r="E77" s="6" t="s">
        <v>14</v>
      </c>
      <c r="F77" s="6" t="s">
        <v>16</v>
      </c>
      <c r="G77" s="6" t="s">
        <v>17</v>
      </c>
      <c r="H77" s="6" t="s">
        <v>18</v>
      </c>
      <c r="I77" s="6" t="s">
        <v>19</v>
      </c>
      <c r="J77" s="6" t="s">
        <v>20</v>
      </c>
    </row>
    <row r="78">
      <c r="A78" s="5">
        <v>46268.34522854167</v>
      </c>
      <c r="B78" s="6" t="s">
        <v>140</v>
      </c>
      <c r="C78" s="6" t="s">
        <v>352</v>
      </c>
      <c r="D78" s="6" t="s">
        <v>13</v>
      </c>
      <c r="E78" s="6" t="s">
        <v>14</v>
      </c>
      <c r="F78" s="6" t="s">
        <v>16</v>
      </c>
      <c r="G78" s="6" t="s">
        <v>17</v>
      </c>
      <c r="H78" s="6" t="s">
        <v>18</v>
      </c>
      <c r="I78" s="6" t="s">
        <v>19</v>
      </c>
      <c r="J78" s="6" t="s">
        <v>20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1" t="s">
        <v>0</v>
      </c>
      <c r="B1" s="1" t="s">
        <v>1</v>
      </c>
      <c r="C1" s="3" t="s">
        <v>2</v>
      </c>
      <c r="D1" s="4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1"/>
      <c r="M1" s="7" t="s">
        <v>15</v>
      </c>
    </row>
    <row r="2">
      <c r="A2" s="8">
        <f>'1.6'!A:A</f>
        <v>46260.82058</v>
      </c>
      <c r="B2" s="1" t="str">
        <f>'1.6'!B:B</f>
        <v>bnco1014@signalschool.ac.th</v>
      </c>
      <c r="C2" s="1" t="str">
        <f>'1.6'!C:C</f>
        <v>ส.อ.ศุภณัฐ ไชยโสภา</v>
      </c>
      <c r="D2" s="9">
        <v>1.0</v>
      </c>
      <c r="E2" s="10">
        <f>IFERROR(vlookup('1.6'!D:D,lookup!$A$2:$B$4,2,false),0)</f>
        <v>5</v>
      </c>
      <c r="F2" s="10">
        <f>IFERROR(vlookup('1.6'!E:E,lookup!$A$6:$B$8,2,false),0)</f>
        <v>5</v>
      </c>
      <c r="G2" s="10">
        <f>IFERROR(vlookup('1.6'!F:F,lookup!$A$10:$B$12,2,false),0)</f>
        <v>5</v>
      </c>
      <c r="H2" s="10">
        <f>IFERROR(vlookup('1.6'!G:G,lookup!$A$14:$B$16,2,false),0)</f>
        <v>5</v>
      </c>
      <c r="I2" s="10">
        <f>IFERROR(vlookup('1.6'!H:H,lookup!$A$18:$B$20,2,false),0)</f>
        <v>5</v>
      </c>
      <c r="J2" s="10">
        <f>IFERROR(vlookup('1.6'!I:I,lookup!$A$22:$B$24,2,false),0)</f>
        <v>5</v>
      </c>
      <c r="K2" s="10">
        <f>IFERROR(vlookup('1.6'!J:J,lookup!$A$26:$B$28,2,false),0)</f>
        <v>5</v>
      </c>
      <c r="L2" s="1"/>
      <c r="M2" s="10">
        <v>1.0</v>
      </c>
      <c r="N2" s="11" t="str">
        <f t="shared" ref="N2:N81" si="1">CONCAT(R2,"@signalschool.ac.th")</f>
        <v>bnco1001@signalschool.ac.th</v>
      </c>
      <c r="O2" s="12">
        <f t="shared" ref="O2:O81" si="2">IFERROR(VLOOKUP(N2,B$2:D$81,3,FALSE),0)</f>
        <v>1</v>
      </c>
      <c r="R2" s="6" t="s">
        <v>91</v>
      </c>
    </row>
    <row r="3">
      <c r="A3" s="8">
        <f>'1.6'!A:A</f>
        <v>46260.82662</v>
      </c>
      <c r="B3" s="1" t="str">
        <f>'1.6'!B:B</f>
        <v>bnco1080@signalschool.ac.th</v>
      </c>
      <c r="C3" s="1" t="str">
        <f>'1.6'!C:C</f>
        <v>ส.อ.ศุภณัฐ  ไชยโสภา</v>
      </c>
      <c r="D3" s="9">
        <v>1.0</v>
      </c>
      <c r="E3" s="10">
        <f>IFERROR(vlookup('1.6'!D:D,lookup!$A$2:$B$4,2,false),0)</f>
        <v>5</v>
      </c>
      <c r="F3" s="10">
        <f>IFERROR(vlookup('1.6'!E:E,lookup!$A$6:$B$8,2,false),0)</f>
        <v>5</v>
      </c>
      <c r="G3" s="10">
        <f>IFERROR(vlookup('1.6'!F:F,lookup!$A$10:$B$12,2,false),0)</f>
        <v>5</v>
      </c>
      <c r="H3" s="10">
        <f>IFERROR(vlookup('1.6'!G:G,lookup!$A$14:$B$16,2,false),0)</f>
        <v>5</v>
      </c>
      <c r="I3" s="10">
        <f>IFERROR(vlookup('1.6'!H:H,lookup!$A$18:$B$20,2,false),0)</f>
        <v>5</v>
      </c>
      <c r="J3" s="10">
        <f>IFERROR(vlookup('1.6'!I:I,lookup!$A$22:$B$24,2,false),0)</f>
        <v>5</v>
      </c>
      <c r="K3" s="10">
        <f>IFERROR(vlookup('1.6'!J:J,lookup!$A$26:$B$28,2,false),0)</f>
        <v>5</v>
      </c>
      <c r="L3" s="1"/>
      <c r="M3" s="10">
        <v>2.0</v>
      </c>
      <c r="N3" s="11" t="str">
        <f t="shared" si="1"/>
        <v>bnco1002@signalschool.ac.th</v>
      </c>
      <c r="O3" s="12">
        <f t="shared" si="2"/>
        <v>1</v>
      </c>
      <c r="R3" s="6" t="s">
        <v>123</v>
      </c>
    </row>
    <row r="4">
      <c r="A4" s="8">
        <f>'1.6'!A:A</f>
        <v>46260.97207</v>
      </c>
      <c r="B4" s="1" t="str">
        <f>'1.6'!B:B</f>
        <v>bnco1010@signalschool.ac.th</v>
      </c>
      <c r="C4" s="1" t="str">
        <f>'1.6'!C:C</f>
        <v>อาจารย์เหนือ</v>
      </c>
      <c r="D4" s="9">
        <v>1.0</v>
      </c>
      <c r="E4" s="10">
        <f>IFERROR(vlookup('1.6'!D:D,lookup!$A$2:$B$4,2,false),0)</f>
        <v>5</v>
      </c>
      <c r="F4" s="10">
        <f>IFERROR(vlookup('1.6'!E:E,lookup!$A$6:$B$8,2,false),0)</f>
        <v>5</v>
      </c>
      <c r="G4" s="10">
        <f>IFERROR(vlookup('1.6'!F:F,lookup!$A$10:$B$12,2,false),0)</f>
        <v>5</v>
      </c>
      <c r="H4" s="10">
        <f>IFERROR(vlookup('1.6'!G:G,lookup!$A$14:$B$16,2,false),0)</f>
        <v>5</v>
      </c>
      <c r="I4" s="10">
        <f>IFERROR(vlookup('1.6'!H:H,lookup!$A$18:$B$20,2,false),0)</f>
        <v>5</v>
      </c>
      <c r="J4" s="10">
        <f>IFERROR(vlookup('1.6'!I:I,lookup!$A$22:$B$24,2,false),0)</f>
        <v>5</v>
      </c>
      <c r="K4" s="10">
        <f>IFERROR(vlookup('1.6'!J:J,lookup!$A$26:$B$28,2,false),0)</f>
        <v>5</v>
      </c>
      <c r="L4" s="1"/>
      <c r="M4" s="10">
        <v>3.0</v>
      </c>
      <c r="N4" s="11" t="str">
        <f t="shared" si="1"/>
        <v>bnco1003@signalschool.ac.th</v>
      </c>
      <c r="O4" s="12">
        <f t="shared" si="2"/>
        <v>1</v>
      </c>
      <c r="R4" s="6" t="s">
        <v>141</v>
      </c>
    </row>
    <row r="5">
      <c r="A5" s="8">
        <f>'1.6'!A:A</f>
        <v>46261.23427</v>
      </c>
      <c r="B5" s="1" t="str">
        <f>'1.6'!B:B</f>
        <v>bnco1076@signalschool.ac.th</v>
      </c>
      <c r="C5" s="1" t="str">
        <f>'1.6'!C:C</f>
        <v>ร.ท.ศุภชัย ป้องเศร้า, จ.ส.อ.พงศภัค อุ่นอนันต์, ส.อ.ศุภณัฐ ไชยโสภา</v>
      </c>
      <c r="D5" s="9">
        <v>1.0</v>
      </c>
      <c r="E5" s="10">
        <f>IFERROR(vlookup('1.6'!D:D,lookup!$A$2:$B$4,2,false),0)</f>
        <v>5</v>
      </c>
      <c r="F5" s="10">
        <f>IFERROR(vlookup('1.6'!E:E,lookup!$A$6:$B$8,2,false),0)</f>
        <v>5</v>
      </c>
      <c r="G5" s="10">
        <f>IFERROR(vlookup('1.6'!F:F,lookup!$A$10:$B$12,2,false),0)</f>
        <v>5</v>
      </c>
      <c r="H5" s="10">
        <f>IFERROR(vlookup('1.6'!G:G,lookup!$A$14:$B$16,2,false),0)</f>
        <v>5</v>
      </c>
      <c r="I5" s="10">
        <f>IFERROR(vlookup('1.6'!H:H,lookup!$A$18:$B$20,2,false),0)</f>
        <v>5</v>
      </c>
      <c r="J5" s="10">
        <f>IFERROR(vlookup('1.6'!I:I,lookup!$A$22:$B$24,2,false),0)</f>
        <v>5</v>
      </c>
      <c r="K5" s="10">
        <f>IFERROR(vlookup('1.6'!J:J,lookup!$A$26:$B$28,2,false),0)</f>
        <v>5</v>
      </c>
      <c r="L5" s="1"/>
      <c r="M5" s="10">
        <v>4.0</v>
      </c>
      <c r="N5" s="11" t="str">
        <f t="shared" si="1"/>
        <v>bnco1004@signalschool.ac.th</v>
      </c>
      <c r="O5" s="12">
        <f t="shared" si="2"/>
        <v>1</v>
      </c>
      <c r="R5" s="6" t="s">
        <v>143</v>
      </c>
    </row>
    <row r="6">
      <c r="A6" s="8">
        <f>'1.6'!A:A</f>
        <v>46261.30667</v>
      </c>
      <c r="B6" s="1" t="str">
        <f>'1.6'!B:B</f>
        <v>bnco1007@signalschool.ac.th</v>
      </c>
      <c r="C6" s="1" t="str">
        <f>'1.6'!C:C</f>
        <v>ร.ท.ศุภรัช หมอกสุข</v>
      </c>
      <c r="D6" s="9">
        <v>1.0</v>
      </c>
      <c r="E6" s="10">
        <f>IFERROR(vlookup('1.6'!D:D,lookup!$A$2:$B$4,2,false),0)</f>
        <v>5</v>
      </c>
      <c r="F6" s="10">
        <f>IFERROR(vlookup('1.6'!E:E,lookup!$A$6:$B$8,2,false),0)</f>
        <v>5</v>
      </c>
      <c r="G6" s="10">
        <f>IFERROR(vlookup('1.6'!F:F,lookup!$A$10:$B$12,2,false),0)</f>
        <v>5</v>
      </c>
      <c r="H6" s="10">
        <f>IFERROR(vlookup('1.6'!G:G,lookup!$A$14:$B$16,2,false),0)</f>
        <v>5</v>
      </c>
      <c r="I6" s="10">
        <f>IFERROR(vlookup('1.6'!H:H,lookup!$A$18:$B$20,2,false),0)</f>
        <v>5</v>
      </c>
      <c r="J6" s="10">
        <f>IFERROR(vlookup('1.6'!I:I,lookup!$A$22:$B$24,2,false),0)</f>
        <v>5</v>
      </c>
      <c r="K6" s="10">
        <f>IFERROR(vlookup('1.6'!J:J,lookup!$A$26:$B$28,2,false),0)</f>
        <v>5</v>
      </c>
      <c r="L6" s="1"/>
      <c r="M6" s="10">
        <v>5.0</v>
      </c>
      <c r="N6" s="11" t="str">
        <f t="shared" si="1"/>
        <v>bnco1005@signalschool.ac.th</v>
      </c>
      <c r="O6" s="12">
        <f t="shared" si="2"/>
        <v>1</v>
      </c>
      <c r="R6" s="6" t="s">
        <v>144</v>
      </c>
    </row>
    <row r="7">
      <c r="A7" s="8">
        <f>'1.6'!A:A</f>
        <v>46261.33853</v>
      </c>
      <c r="B7" s="1" t="str">
        <f>'1.6'!B:B</f>
        <v>bnco1061@signalschool.ac.th</v>
      </c>
      <c r="C7" s="1" t="str">
        <f>'1.6'!C:C</f>
        <v>ส.อ.ศุภณัฐ ไชยโสภา</v>
      </c>
      <c r="D7" s="9">
        <v>1.0</v>
      </c>
      <c r="E7" s="10">
        <f>IFERROR(vlookup('1.6'!D:D,lookup!$A$2:$B$4,2,false),0)</f>
        <v>5</v>
      </c>
      <c r="F7" s="10">
        <f>IFERROR(vlookup('1.6'!E:E,lookup!$A$6:$B$8,2,false),0)</f>
        <v>5</v>
      </c>
      <c r="G7" s="10">
        <f>IFERROR(vlookup('1.6'!F:F,lookup!$A$10:$B$12,2,false),0)</f>
        <v>5</v>
      </c>
      <c r="H7" s="10">
        <f>IFERROR(vlookup('1.6'!G:G,lookup!$A$14:$B$16,2,false),0)</f>
        <v>5</v>
      </c>
      <c r="I7" s="10">
        <f>IFERROR(vlookup('1.6'!H:H,lookup!$A$18:$B$20,2,false),0)</f>
        <v>5</v>
      </c>
      <c r="J7" s="10">
        <f>IFERROR(vlookup('1.6'!I:I,lookup!$A$22:$B$24,2,false),0)</f>
        <v>5</v>
      </c>
      <c r="K7" s="10">
        <f>IFERROR(vlookup('1.6'!J:J,lookup!$A$26:$B$28,2,false),0)</f>
        <v>5</v>
      </c>
      <c r="L7" s="1"/>
      <c r="M7" s="10">
        <v>6.0</v>
      </c>
      <c r="N7" s="11" t="str">
        <f t="shared" si="1"/>
        <v>bnco1006@signalschool.ac.th</v>
      </c>
      <c r="O7" s="12">
        <f t="shared" si="2"/>
        <v>1</v>
      </c>
      <c r="R7" s="6" t="s">
        <v>145</v>
      </c>
    </row>
    <row r="8">
      <c r="A8" s="8">
        <f>'1.6'!A:A</f>
        <v>46261.3395</v>
      </c>
      <c r="B8" s="1" t="str">
        <f>'1.6'!B:B</f>
        <v>bnco1056@signalschool.ac.th</v>
      </c>
      <c r="C8" s="1" t="str">
        <f>'1.6'!C:C</f>
        <v>ส.อ. ศุภณัฐ ไชยโสภา</v>
      </c>
      <c r="D8" s="9">
        <v>1.0</v>
      </c>
      <c r="E8" s="10">
        <f>IFERROR(vlookup('1.6'!D:D,lookup!$A$2:$B$4,2,false),0)</f>
        <v>5</v>
      </c>
      <c r="F8" s="10">
        <f>IFERROR(vlookup('1.6'!E:E,lookup!$A$6:$B$8,2,false),0)</f>
        <v>5</v>
      </c>
      <c r="G8" s="10">
        <f>IFERROR(vlookup('1.6'!F:F,lookup!$A$10:$B$12,2,false),0)</f>
        <v>5</v>
      </c>
      <c r="H8" s="10">
        <f>IFERROR(vlookup('1.6'!G:G,lookup!$A$14:$B$16,2,false),0)</f>
        <v>5</v>
      </c>
      <c r="I8" s="10">
        <f>IFERROR(vlookup('1.6'!H:H,lookup!$A$18:$B$20,2,false),0)</f>
        <v>5</v>
      </c>
      <c r="J8" s="10">
        <f>IFERROR(vlookup('1.6'!I:I,lookup!$A$22:$B$24,2,false),0)</f>
        <v>5</v>
      </c>
      <c r="K8" s="10">
        <f>IFERROR(vlookup('1.6'!J:J,lookup!$A$26:$B$28,2,false),0)</f>
        <v>5</v>
      </c>
      <c r="L8" s="1"/>
      <c r="M8" s="10">
        <v>7.0</v>
      </c>
      <c r="N8" s="11" t="str">
        <f t="shared" si="1"/>
        <v>bnco1007@signalschool.ac.th</v>
      </c>
      <c r="O8" s="12">
        <f t="shared" si="2"/>
        <v>1</v>
      </c>
      <c r="R8" s="6" t="s">
        <v>155</v>
      </c>
    </row>
    <row r="9">
      <c r="A9" s="8">
        <f>'1.6'!A:A</f>
        <v>46261.33981</v>
      </c>
      <c r="B9" s="1" t="str">
        <f>'1.6'!B:B</f>
        <v>bnco1035@signalschool.ac.th</v>
      </c>
      <c r="C9" s="1" t="str">
        <f>'1.6'!C:C</f>
        <v>ส.อ.ศุภณัฐ ไชยโสภา</v>
      </c>
      <c r="D9" s="9">
        <v>1.0</v>
      </c>
      <c r="E9" s="10">
        <f>IFERROR(vlookup('1.6'!D:D,lookup!$A$2:$B$4,2,false),0)</f>
        <v>5</v>
      </c>
      <c r="F9" s="10">
        <f>IFERROR(vlookup('1.6'!E:E,lookup!$A$6:$B$8,2,false),0)</f>
        <v>5</v>
      </c>
      <c r="G9" s="10">
        <f>IFERROR(vlookup('1.6'!F:F,lookup!$A$10:$B$12,2,false),0)</f>
        <v>5</v>
      </c>
      <c r="H9" s="10">
        <f>IFERROR(vlookup('1.6'!G:G,lookup!$A$14:$B$16,2,false),0)</f>
        <v>5</v>
      </c>
      <c r="I9" s="10">
        <f>IFERROR(vlookup('1.6'!H:H,lookup!$A$18:$B$20,2,false),0)</f>
        <v>5</v>
      </c>
      <c r="J9" s="10">
        <f>IFERROR(vlookup('1.6'!I:I,lookup!$A$22:$B$24,2,false),0)</f>
        <v>5</v>
      </c>
      <c r="K9" s="10">
        <f>IFERROR(vlookup('1.6'!J:J,lookup!$A$26:$B$28,2,false),0)</f>
        <v>5</v>
      </c>
      <c r="L9" s="1"/>
      <c r="M9" s="10">
        <v>8.0</v>
      </c>
      <c r="N9" s="11" t="str">
        <f t="shared" si="1"/>
        <v>bnco1008@signalschool.ac.th</v>
      </c>
      <c r="O9" s="12">
        <f t="shared" si="2"/>
        <v>1</v>
      </c>
      <c r="R9" s="6" t="s">
        <v>166</v>
      </c>
    </row>
    <row r="10">
      <c r="A10" s="8">
        <f>'1.6'!A:A</f>
        <v>46261.34277</v>
      </c>
      <c r="B10" s="1" t="str">
        <f>'1.6'!B:B</f>
        <v>bnco1039@signalschool.ac.th</v>
      </c>
      <c r="C10" s="1" t="str">
        <f>'1.6'!C:C</f>
        <v>ส.อ.ศุภณัฐ ไชยโสภา</v>
      </c>
      <c r="D10" s="9">
        <v>1.0</v>
      </c>
      <c r="E10" s="10">
        <f>IFERROR(vlookup('1.6'!D:D,lookup!$A$2:$B$4,2,false),0)</f>
        <v>5</v>
      </c>
      <c r="F10" s="10">
        <f>IFERROR(vlookup('1.6'!E:E,lookup!$A$6:$B$8,2,false),0)</f>
        <v>5</v>
      </c>
      <c r="G10" s="10">
        <f>IFERROR(vlookup('1.6'!F:F,lookup!$A$10:$B$12,2,false),0)</f>
        <v>3</v>
      </c>
      <c r="H10" s="10">
        <f>IFERROR(vlookup('1.6'!G:G,lookup!$A$14:$B$16,2,false),0)</f>
        <v>5</v>
      </c>
      <c r="I10" s="10">
        <f>IFERROR(vlookup('1.6'!H:H,lookup!$A$18:$B$20,2,false),0)</f>
        <v>5</v>
      </c>
      <c r="J10" s="10">
        <f>IFERROR(vlookup('1.6'!I:I,lookup!$A$22:$B$24,2,false),0)</f>
        <v>5</v>
      </c>
      <c r="K10" s="10">
        <f>IFERROR(vlookup('1.6'!J:J,lookup!$A$26:$B$28,2,false),0)</f>
        <v>3</v>
      </c>
      <c r="L10" s="1"/>
      <c r="M10" s="10">
        <v>9.0</v>
      </c>
      <c r="N10" s="11" t="str">
        <f t="shared" si="1"/>
        <v>bnco1009@signalschool.ac.th</v>
      </c>
      <c r="O10" s="12">
        <f t="shared" si="2"/>
        <v>1</v>
      </c>
      <c r="R10" s="6" t="s">
        <v>175</v>
      </c>
    </row>
    <row r="11">
      <c r="A11" s="8">
        <f>'1.6'!A:A</f>
        <v>46261.34568</v>
      </c>
      <c r="B11" s="1" t="str">
        <f>'1.6'!B:B</f>
        <v>bnco1038@signalschool.ac.th</v>
      </c>
      <c r="C11" s="1" t="str">
        <f>'1.6'!C:C</f>
        <v>ส.อ.ศุภณัฐ ไชยโสภา</v>
      </c>
      <c r="D11" s="9">
        <v>1.0</v>
      </c>
      <c r="E11" s="10">
        <f>IFERROR(vlookup('1.6'!D:D,lookup!$A$2:$B$4,2,false),0)</f>
        <v>5</v>
      </c>
      <c r="F11" s="10">
        <f>IFERROR(vlookup('1.6'!E:E,lookup!$A$6:$B$8,2,false),0)</f>
        <v>5</v>
      </c>
      <c r="G11" s="10">
        <f>IFERROR(vlookup('1.6'!F:F,lookup!$A$10:$B$12,2,false),0)</f>
        <v>5</v>
      </c>
      <c r="H11" s="10">
        <f>IFERROR(vlookup('1.6'!G:G,lookup!$A$14:$B$16,2,false),0)</f>
        <v>5</v>
      </c>
      <c r="I11" s="10">
        <f>IFERROR(vlookup('1.6'!H:H,lookup!$A$18:$B$20,2,false),0)</f>
        <v>5</v>
      </c>
      <c r="J11" s="10">
        <f>IFERROR(vlookup('1.6'!I:I,lookup!$A$22:$B$24,2,false),0)</f>
        <v>5</v>
      </c>
      <c r="K11" s="10">
        <f>IFERROR(vlookup('1.6'!J:J,lookup!$A$26:$B$28,2,false),0)</f>
        <v>5</v>
      </c>
      <c r="L11" s="1"/>
      <c r="M11" s="10">
        <v>10.0</v>
      </c>
      <c r="N11" s="11" t="str">
        <f t="shared" si="1"/>
        <v>bnco1010@signalschool.ac.th</v>
      </c>
      <c r="O11" s="12">
        <f t="shared" si="2"/>
        <v>1</v>
      </c>
      <c r="R11" s="6" t="s">
        <v>192</v>
      </c>
    </row>
    <row r="12">
      <c r="A12" s="8">
        <f>'1.6'!A:A</f>
        <v>46261.34617</v>
      </c>
      <c r="B12" s="1" t="str">
        <f>'1.6'!B:B</f>
        <v>bnco1062@signalschool.ac.th</v>
      </c>
      <c r="C12" s="1" t="str">
        <f>'1.6'!C:C</f>
        <v>ส.อ.สหกิจ เกื้อกูลบุตร</v>
      </c>
      <c r="D12" s="9">
        <v>1.0</v>
      </c>
      <c r="E12" s="10">
        <f>IFERROR(vlookup('1.6'!D:D,lookup!$A$2:$B$4,2,false),0)</f>
        <v>5</v>
      </c>
      <c r="F12" s="10">
        <f>IFERROR(vlookup('1.6'!E:E,lookup!$A$6:$B$8,2,false),0)</f>
        <v>5</v>
      </c>
      <c r="G12" s="10">
        <f>IFERROR(vlookup('1.6'!F:F,lookup!$A$10:$B$12,2,false),0)</f>
        <v>5</v>
      </c>
      <c r="H12" s="10">
        <f>IFERROR(vlookup('1.6'!G:G,lookup!$A$14:$B$16,2,false),0)</f>
        <v>5</v>
      </c>
      <c r="I12" s="10">
        <f>IFERROR(vlookup('1.6'!H:H,lookup!$A$18:$B$20,2,false),0)</f>
        <v>5</v>
      </c>
      <c r="J12" s="10">
        <f>IFERROR(vlookup('1.6'!I:I,lookup!$A$22:$B$24,2,false),0)</f>
        <v>5</v>
      </c>
      <c r="K12" s="10">
        <f>IFERROR(vlookup('1.6'!J:J,lookup!$A$26:$B$28,2,false),0)</f>
        <v>3</v>
      </c>
      <c r="L12" s="1"/>
      <c r="M12" s="10">
        <v>11.0</v>
      </c>
      <c r="N12" s="11" t="str">
        <f t="shared" si="1"/>
        <v>bnco1011@signalschool.ac.th</v>
      </c>
      <c r="O12" s="12">
        <f t="shared" si="2"/>
        <v>1</v>
      </c>
      <c r="R12" s="6" t="s">
        <v>209</v>
      </c>
    </row>
    <row r="13">
      <c r="A13" s="8">
        <f>'1.6'!A:A</f>
        <v>46261.34771</v>
      </c>
      <c r="B13" s="1" t="str">
        <f>'1.6'!B:B</f>
        <v>bnco1068@signalschool.ac.th</v>
      </c>
      <c r="C13" s="1" t="str">
        <f>'1.6'!C:C</f>
        <v>ส.อ. ศุภณัฐ  ไชยโสภา</v>
      </c>
      <c r="D13" s="9">
        <v>1.0</v>
      </c>
      <c r="E13" s="10">
        <f>IFERROR(vlookup('1.6'!D:D,lookup!$A$2:$B$4,2,false),0)</f>
        <v>3</v>
      </c>
      <c r="F13" s="10">
        <f>IFERROR(vlookup('1.6'!E:E,lookup!$A$6:$B$8,2,false),0)</f>
        <v>5</v>
      </c>
      <c r="G13" s="10">
        <f>IFERROR(vlookup('1.6'!F:F,lookup!$A$10:$B$12,2,false),0)</f>
        <v>5</v>
      </c>
      <c r="H13" s="10">
        <f>IFERROR(vlookup('1.6'!G:G,lookup!$A$14:$B$16,2,false),0)</f>
        <v>5</v>
      </c>
      <c r="I13" s="10">
        <f>IFERROR(vlookup('1.6'!H:H,lookup!$A$18:$B$20,2,false),0)</f>
        <v>3</v>
      </c>
      <c r="J13" s="10">
        <f>IFERROR(vlookup('1.6'!I:I,lookup!$A$22:$B$24,2,false),0)</f>
        <v>3</v>
      </c>
      <c r="K13" s="10">
        <f>IFERROR(vlookup('1.6'!J:J,lookup!$A$26:$B$28,2,false),0)</f>
        <v>5</v>
      </c>
      <c r="L13" s="1"/>
      <c r="M13" s="10">
        <v>12.0</v>
      </c>
      <c r="N13" s="11" t="str">
        <f t="shared" si="1"/>
        <v>bnco1012@signalschool.ac.th</v>
      </c>
      <c r="O13" s="12">
        <f t="shared" si="2"/>
        <v>1</v>
      </c>
      <c r="R13" s="6" t="s">
        <v>213</v>
      </c>
    </row>
    <row r="14">
      <c r="A14" s="8">
        <f>'1.6'!A:A</f>
        <v>46261.35228</v>
      </c>
      <c r="B14" s="1" t="str">
        <f>'1.6'!B:B</f>
        <v>bnco1058@signalschool.ac.th</v>
      </c>
      <c r="C14" s="1" t="str">
        <f>'1.6'!C:C</f>
        <v>ส.อ.ศุภณัฐ ไชยโสภา</v>
      </c>
      <c r="D14" s="9">
        <v>1.0</v>
      </c>
      <c r="E14" s="10">
        <f>IFERROR(vlookup('1.6'!D:D,lookup!$A$2:$B$4,2,false),0)</f>
        <v>5</v>
      </c>
      <c r="F14" s="10">
        <f>IFERROR(vlookup('1.6'!E:E,lookup!$A$6:$B$8,2,false),0)</f>
        <v>5</v>
      </c>
      <c r="G14" s="10">
        <f>IFERROR(vlookup('1.6'!F:F,lookup!$A$10:$B$12,2,false),0)</f>
        <v>5</v>
      </c>
      <c r="H14" s="10">
        <f>IFERROR(vlookup('1.6'!G:G,lookup!$A$14:$B$16,2,false),0)</f>
        <v>5</v>
      </c>
      <c r="I14" s="10">
        <f>IFERROR(vlookup('1.6'!H:H,lookup!$A$18:$B$20,2,false),0)</f>
        <v>5</v>
      </c>
      <c r="J14" s="10">
        <f>IFERROR(vlookup('1.6'!I:I,lookup!$A$22:$B$24,2,false),0)</f>
        <v>5</v>
      </c>
      <c r="K14" s="10">
        <f>IFERROR(vlookup('1.6'!J:J,lookup!$A$26:$B$28,2,false),0)</f>
        <v>5</v>
      </c>
      <c r="L14" s="1"/>
      <c r="M14" s="10">
        <v>13.0</v>
      </c>
      <c r="N14" s="11" t="str">
        <f t="shared" si="1"/>
        <v>bnco1013@signalschool.ac.th</v>
      </c>
      <c r="O14" s="12">
        <f t="shared" si="2"/>
        <v>1</v>
      </c>
      <c r="R14" s="6" t="s">
        <v>214</v>
      </c>
    </row>
    <row r="15">
      <c r="A15" s="8">
        <f>'1.6'!A:A</f>
        <v>46261.3568</v>
      </c>
      <c r="B15" s="1" t="str">
        <f>'1.6'!B:B</f>
        <v>bnco1072@signalschool.ac.th</v>
      </c>
      <c r="C15" s="1" t="str">
        <f>'1.6'!C:C</f>
        <v>ส.อ.ศุภณัฐ  ไชยโสภา</v>
      </c>
      <c r="D15" s="9">
        <v>1.0</v>
      </c>
      <c r="E15" s="10">
        <f>IFERROR(vlookup('1.6'!D:D,lookup!$A$2:$B$4,2,false),0)</f>
        <v>5</v>
      </c>
      <c r="F15" s="10">
        <f>IFERROR(vlookup('1.6'!E:E,lookup!$A$6:$B$8,2,false),0)</f>
        <v>5</v>
      </c>
      <c r="G15" s="10">
        <f>IFERROR(vlookup('1.6'!F:F,lookup!$A$10:$B$12,2,false),0)</f>
        <v>5</v>
      </c>
      <c r="H15" s="10">
        <f>IFERROR(vlookup('1.6'!G:G,lookup!$A$14:$B$16,2,false),0)</f>
        <v>5</v>
      </c>
      <c r="I15" s="10">
        <f>IFERROR(vlookup('1.6'!H:H,lookup!$A$18:$B$20,2,false),0)</f>
        <v>5</v>
      </c>
      <c r="J15" s="10">
        <f>IFERROR(vlookup('1.6'!I:I,lookup!$A$22:$B$24,2,false),0)</f>
        <v>5</v>
      </c>
      <c r="K15" s="10">
        <f>IFERROR(vlookup('1.6'!J:J,lookup!$A$26:$B$28,2,false),0)</f>
        <v>5</v>
      </c>
      <c r="L15" s="1"/>
      <c r="M15" s="10">
        <v>14.0</v>
      </c>
      <c r="N15" s="11" t="str">
        <f t="shared" si="1"/>
        <v>bnco1014@signalschool.ac.th</v>
      </c>
      <c r="O15" s="12">
        <f t="shared" si="2"/>
        <v>1</v>
      </c>
      <c r="R15" s="6" t="s">
        <v>215</v>
      </c>
    </row>
    <row r="16">
      <c r="A16" s="8">
        <f>'1.6'!A:A</f>
        <v>46261.3584</v>
      </c>
      <c r="B16" s="1" t="str">
        <f>'1.6'!B:B</f>
        <v>bnco1066@signalschool.ac.th</v>
      </c>
      <c r="C16" s="1" t="str">
        <f>'1.6'!C:C</f>
        <v>ส.อ.ศุภณัฐ ไชยโสภา</v>
      </c>
      <c r="D16" s="9">
        <v>1.0</v>
      </c>
      <c r="E16" s="10">
        <f>IFERROR(vlookup('1.6'!D:D,lookup!$A$2:$B$4,2,false),0)</f>
        <v>5</v>
      </c>
      <c r="F16" s="10">
        <f>IFERROR(vlookup('1.6'!E:E,lookup!$A$6:$B$8,2,false),0)</f>
        <v>5</v>
      </c>
      <c r="G16" s="10">
        <f>IFERROR(vlookup('1.6'!F:F,lookup!$A$10:$B$12,2,false),0)</f>
        <v>5</v>
      </c>
      <c r="H16" s="10">
        <f>IFERROR(vlookup('1.6'!G:G,lookup!$A$14:$B$16,2,false),0)</f>
        <v>5</v>
      </c>
      <c r="I16" s="10">
        <f>IFERROR(vlookup('1.6'!H:H,lookup!$A$18:$B$20,2,false),0)</f>
        <v>5</v>
      </c>
      <c r="J16" s="10">
        <f>IFERROR(vlookup('1.6'!I:I,lookup!$A$22:$B$24,2,false),0)</f>
        <v>5</v>
      </c>
      <c r="K16" s="10">
        <f>IFERROR(vlookup('1.6'!J:J,lookup!$A$26:$B$28,2,false),0)</f>
        <v>5</v>
      </c>
      <c r="L16" s="1"/>
      <c r="M16" s="10">
        <v>15.0</v>
      </c>
      <c r="N16" s="11" t="str">
        <f t="shared" si="1"/>
        <v>bnco1015@signalschool.ac.th</v>
      </c>
      <c r="O16" s="12">
        <f t="shared" si="2"/>
        <v>1</v>
      </c>
      <c r="R16" s="6" t="s">
        <v>221</v>
      </c>
    </row>
    <row r="17">
      <c r="A17" s="8">
        <f>'1.6'!A:A</f>
        <v>46261.37213</v>
      </c>
      <c r="B17" s="1" t="str">
        <f>'1.6'!B:B</f>
        <v>bnco1017@signalschool.ac.th</v>
      </c>
      <c r="C17" s="1" t="str">
        <f>'1.6'!C:C</f>
        <v>ส.อ.ศุภณัฐ ไชยโสภา</v>
      </c>
      <c r="D17" s="9">
        <v>1.0</v>
      </c>
      <c r="E17" s="10">
        <f>IFERROR(vlookup('1.6'!D:D,lookup!$A$2:$B$4,2,false),0)</f>
        <v>5</v>
      </c>
      <c r="F17" s="10">
        <f>IFERROR(vlookup('1.6'!E:E,lookup!$A$6:$B$8,2,false),0)</f>
        <v>5</v>
      </c>
      <c r="G17" s="10">
        <f>IFERROR(vlookup('1.6'!F:F,lookup!$A$10:$B$12,2,false),0)</f>
        <v>5</v>
      </c>
      <c r="H17" s="10">
        <f>IFERROR(vlookup('1.6'!G:G,lookup!$A$14:$B$16,2,false),0)</f>
        <v>5</v>
      </c>
      <c r="I17" s="10">
        <f>IFERROR(vlookup('1.6'!H:H,lookup!$A$18:$B$20,2,false),0)</f>
        <v>5</v>
      </c>
      <c r="J17" s="10">
        <f>IFERROR(vlookup('1.6'!I:I,lookup!$A$22:$B$24,2,false),0)</f>
        <v>5</v>
      </c>
      <c r="K17" s="10">
        <f>IFERROR(vlookup('1.6'!J:J,lookup!$A$26:$B$28,2,false),0)</f>
        <v>5</v>
      </c>
      <c r="L17" s="1"/>
      <c r="M17" s="10">
        <v>16.0</v>
      </c>
      <c r="N17" s="11" t="str">
        <f t="shared" si="1"/>
        <v>bnco1016@signalschool.ac.th</v>
      </c>
      <c r="O17" s="12">
        <f t="shared" si="2"/>
        <v>1</v>
      </c>
      <c r="R17" s="6" t="s">
        <v>223</v>
      </c>
    </row>
    <row r="18">
      <c r="A18" s="8">
        <f>'1.6'!A:A</f>
        <v>46261.38078</v>
      </c>
      <c r="B18" s="1" t="str">
        <f>'1.6'!B:B</f>
        <v>bnco1008@signalschool.ac.th</v>
      </c>
      <c r="C18" s="1" t="str">
        <f>'1.6'!C:C</f>
        <v>ส.อ.ศุภณัฐ ไชยโสภา</v>
      </c>
      <c r="D18" s="9">
        <v>1.0</v>
      </c>
      <c r="E18" s="10">
        <f>IFERROR(vlookup('1.6'!D:D,lookup!$A$2:$B$4,2,false),0)</f>
        <v>5</v>
      </c>
      <c r="F18" s="10">
        <f>IFERROR(vlookup('1.6'!E:E,lookup!$A$6:$B$8,2,false),0)</f>
        <v>5</v>
      </c>
      <c r="G18" s="10">
        <f>IFERROR(vlookup('1.6'!F:F,lookup!$A$10:$B$12,2,false),0)</f>
        <v>5</v>
      </c>
      <c r="H18" s="10">
        <f>IFERROR(vlookup('1.6'!G:G,lookup!$A$14:$B$16,2,false),0)</f>
        <v>5</v>
      </c>
      <c r="I18" s="10">
        <f>IFERROR(vlookup('1.6'!H:H,lookup!$A$18:$B$20,2,false),0)</f>
        <v>5</v>
      </c>
      <c r="J18" s="10">
        <f>IFERROR(vlookup('1.6'!I:I,lookup!$A$22:$B$24,2,false),0)</f>
        <v>5</v>
      </c>
      <c r="K18" s="10">
        <f>IFERROR(vlookup('1.6'!J:J,lookup!$A$26:$B$28,2,false),0)</f>
        <v>5</v>
      </c>
      <c r="L18" s="1"/>
      <c r="M18" s="10">
        <v>17.0</v>
      </c>
      <c r="N18" s="11" t="str">
        <f t="shared" si="1"/>
        <v>bnco1017@signalschool.ac.th</v>
      </c>
      <c r="O18" s="12">
        <f t="shared" si="2"/>
        <v>1</v>
      </c>
      <c r="R18" s="6" t="s">
        <v>229</v>
      </c>
    </row>
    <row r="19">
      <c r="A19" s="8">
        <f>'1.6'!A:A</f>
        <v>46261.38393</v>
      </c>
      <c r="B19" s="1" t="str">
        <f>'1.6'!B:B</f>
        <v>bnco1050@signalschool.ac.th</v>
      </c>
      <c r="C19" s="1" t="str">
        <f>'1.6'!C:C</f>
        <v>ส.อ.ศุภณัฐ ไชยโสภา</v>
      </c>
      <c r="D19" s="9">
        <v>1.0</v>
      </c>
      <c r="E19" s="10">
        <f>IFERROR(vlookup('1.6'!D:D,lookup!$A$2:$B$4,2,false),0)</f>
        <v>5</v>
      </c>
      <c r="F19" s="10">
        <f>IFERROR(vlookup('1.6'!E:E,lookup!$A$6:$B$8,2,false),0)</f>
        <v>5</v>
      </c>
      <c r="G19" s="10">
        <f>IFERROR(vlookup('1.6'!F:F,lookup!$A$10:$B$12,2,false),0)</f>
        <v>5</v>
      </c>
      <c r="H19" s="10">
        <f>IFERROR(vlookup('1.6'!G:G,lookup!$A$14:$B$16,2,false),0)</f>
        <v>5</v>
      </c>
      <c r="I19" s="10">
        <f>IFERROR(vlookup('1.6'!H:H,lookup!$A$18:$B$20,2,false),0)</f>
        <v>5</v>
      </c>
      <c r="J19" s="10">
        <f>IFERROR(vlookup('1.6'!I:I,lookup!$A$22:$B$24,2,false),0)</f>
        <v>5</v>
      </c>
      <c r="K19" s="10">
        <f>IFERROR(vlookup('1.6'!J:J,lookup!$A$26:$B$28,2,false),0)</f>
        <v>5</v>
      </c>
      <c r="L19" s="1"/>
      <c r="M19" s="10">
        <v>18.0</v>
      </c>
      <c r="N19" s="11" t="str">
        <f t="shared" si="1"/>
        <v>bnco1018@signalschool.ac.th</v>
      </c>
      <c r="O19" s="12">
        <f t="shared" si="2"/>
        <v>1</v>
      </c>
      <c r="R19" s="6" t="s">
        <v>232</v>
      </c>
    </row>
    <row r="20">
      <c r="A20" s="8">
        <f>'1.6'!A:A</f>
        <v>46261.39121</v>
      </c>
      <c r="B20" s="1" t="str">
        <f>'1.6'!B:B</f>
        <v>bnco1046@signalschool.ac.th</v>
      </c>
      <c r="C20" s="1" t="str">
        <f>'1.6'!C:C</f>
        <v>ส.อ.ศุภณัฐ ไชยโสภา</v>
      </c>
      <c r="D20" s="9">
        <v>1.0</v>
      </c>
      <c r="E20" s="10">
        <f>IFERROR(vlookup('1.6'!D:D,lookup!$A$2:$B$4,2,false),0)</f>
        <v>5</v>
      </c>
      <c r="F20" s="10">
        <f>IFERROR(vlookup('1.6'!E:E,lookup!$A$6:$B$8,2,false),0)</f>
        <v>5</v>
      </c>
      <c r="G20" s="10">
        <f>IFERROR(vlookup('1.6'!F:F,lookup!$A$10:$B$12,2,false),0)</f>
        <v>5</v>
      </c>
      <c r="H20" s="10">
        <f>IFERROR(vlookup('1.6'!G:G,lookup!$A$14:$B$16,2,false),0)</f>
        <v>5</v>
      </c>
      <c r="I20" s="10">
        <f>IFERROR(vlookup('1.6'!H:H,lookup!$A$18:$B$20,2,false),0)</f>
        <v>5</v>
      </c>
      <c r="J20" s="10">
        <f>IFERROR(vlookup('1.6'!I:I,lookup!$A$22:$B$24,2,false),0)</f>
        <v>5</v>
      </c>
      <c r="K20" s="10">
        <f>IFERROR(vlookup('1.6'!J:J,lookup!$A$26:$B$28,2,false),0)</f>
        <v>5</v>
      </c>
      <c r="L20" s="1"/>
      <c r="M20" s="10">
        <v>19.0</v>
      </c>
      <c r="N20" s="11" t="str">
        <f t="shared" si="1"/>
        <v>bnco1019@signalschool.ac.th</v>
      </c>
      <c r="O20" s="12">
        <f t="shared" si="2"/>
        <v>1</v>
      </c>
      <c r="R20" s="6" t="s">
        <v>233</v>
      </c>
    </row>
    <row r="21">
      <c r="A21" s="8">
        <f>'1.6'!A:A</f>
        <v>46261.39321</v>
      </c>
      <c r="B21" s="1" t="str">
        <f>'1.6'!B:B</f>
        <v>bnco1070@signalschool.ac.th</v>
      </c>
      <c r="C21" s="1" t="str">
        <f>'1.6'!C:C</f>
        <v>ส.อ.รณกร กุนันทิ</v>
      </c>
      <c r="D21" s="9">
        <v>1.0</v>
      </c>
      <c r="E21" s="10">
        <f>IFERROR(vlookup('1.6'!D:D,lookup!$A$2:$B$4,2,false),0)</f>
        <v>5</v>
      </c>
      <c r="F21" s="10">
        <f>IFERROR(vlookup('1.6'!E:E,lookup!$A$6:$B$8,2,false),0)</f>
        <v>3</v>
      </c>
      <c r="G21" s="10">
        <f>IFERROR(vlookup('1.6'!F:F,lookup!$A$10:$B$12,2,false),0)</f>
        <v>5</v>
      </c>
      <c r="H21" s="10">
        <f>IFERROR(vlookup('1.6'!G:G,lookup!$A$14:$B$16,2,false),0)</f>
        <v>3</v>
      </c>
      <c r="I21" s="10">
        <f>IFERROR(vlookup('1.6'!H:H,lookup!$A$18:$B$20,2,false),0)</f>
        <v>5</v>
      </c>
      <c r="J21" s="10">
        <f>IFERROR(vlookup('1.6'!I:I,lookup!$A$22:$B$24,2,false),0)</f>
        <v>3</v>
      </c>
      <c r="K21" s="10">
        <f>IFERROR(vlookup('1.6'!J:J,lookup!$A$26:$B$28,2,false),0)</f>
        <v>3</v>
      </c>
      <c r="L21" s="1"/>
      <c r="M21" s="10">
        <v>20.0</v>
      </c>
      <c r="N21" s="11" t="str">
        <f t="shared" si="1"/>
        <v>bnco1020@signalschool.ac.th</v>
      </c>
      <c r="O21" s="12">
        <f t="shared" si="2"/>
        <v>1</v>
      </c>
      <c r="R21" s="6" t="s">
        <v>234</v>
      </c>
    </row>
    <row r="22">
      <c r="A22" s="8">
        <f>'1.6'!A:A</f>
        <v>46261.39951</v>
      </c>
      <c r="B22" s="1" t="str">
        <f>'1.6'!B:B</f>
        <v>bnco1002@signalschool.ac.th</v>
      </c>
      <c r="C22" s="1" t="str">
        <f>'1.6'!C:C</f>
        <v>ส.อ ศุภณัฐ ไชยโสภา</v>
      </c>
      <c r="D22" s="9">
        <v>1.0</v>
      </c>
      <c r="E22" s="10">
        <f>IFERROR(vlookup('1.6'!D:D,lookup!$A$2:$B$4,2,false),0)</f>
        <v>5</v>
      </c>
      <c r="F22" s="10">
        <f>IFERROR(vlookup('1.6'!E:E,lookup!$A$6:$B$8,2,false),0)</f>
        <v>5</v>
      </c>
      <c r="G22" s="10">
        <f>IFERROR(vlookup('1.6'!F:F,lookup!$A$10:$B$12,2,false),0)</f>
        <v>5</v>
      </c>
      <c r="H22" s="10">
        <f>IFERROR(vlookup('1.6'!G:G,lookup!$A$14:$B$16,2,false),0)</f>
        <v>5</v>
      </c>
      <c r="I22" s="10">
        <f>IFERROR(vlookup('1.6'!H:H,lookup!$A$18:$B$20,2,false),0)</f>
        <v>5</v>
      </c>
      <c r="J22" s="10">
        <f>IFERROR(vlookup('1.6'!I:I,lookup!$A$22:$B$24,2,false),0)</f>
        <v>5</v>
      </c>
      <c r="K22" s="10">
        <f>IFERROR(vlookup('1.6'!J:J,lookup!$A$26:$B$28,2,false),0)</f>
        <v>5</v>
      </c>
      <c r="L22" s="1"/>
      <c r="M22" s="10">
        <v>21.0</v>
      </c>
      <c r="N22" s="11" t="str">
        <f t="shared" si="1"/>
        <v>bnco1021@signalschool.ac.th</v>
      </c>
      <c r="O22" s="12">
        <f t="shared" si="2"/>
        <v>1</v>
      </c>
      <c r="R22" s="6" t="s">
        <v>235</v>
      </c>
    </row>
    <row r="23">
      <c r="A23" s="8">
        <f>'1.6'!A:A</f>
        <v>46261.42617</v>
      </c>
      <c r="B23" s="1" t="str">
        <f>'1.6'!B:B</f>
        <v>bnco1005@signalschool.ac.th</v>
      </c>
      <c r="C23" s="1" t="str">
        <f>'1.6'!C:C</f>
        <v>ส.อ. ศุภณัฐ ไชยโสภา</v>
      </c>
      <c r="D23" s="9">
        <v>1.0</v>
      </c>
      <c r="E23" s="10">
        <f>IFERROR(vlookup('1.6'!D:D,lookup!$A$2:$B$4,2,false),0)</f>
        <v>5</v>
      </c>
      <c r="F23" s="10">
        <f>IFERROR(vlookup('1.6'!E:E,lookup!$A$6:$B$8,2,false),0)</f>
        <v>5</v>
      </c>
      <c r="G23" s="10">
        <f>IFERROR(vlookup('1.6'!F:F,lookup!$A$10:$B$12,2,false),0)</f>
        <v>5</v>
      </c>
      <c r="H23" s="10">
        <f>IFERROR(vlookup('1.6'!G:G,lookup!$A$14:$B$16,2,false),0)</f>
        <v>5</v>
      </c>
      <c r="I23" s="10">
        <f>IFERROR(vlookup('1.6'!H:H,lookup!$A$18:$B$20,2,false),0)</f>
        <v>5</v>
      </c>
      <c r="J23" s="10">
        <f>IFERROR(vlookup('1.6'!I:I,lookup!$A$22:$B$24,2,false),0)</f>
        <v>5</v>
      </c>
      <c r="K23" s="10">
        <f>IFERROR(vlookup('1.6'!J:J,lookup!$A$26:$B$28,2,false),0)</f>
        <v>5</v>
      </c>
      <c r="L23" s="1"/>
      <c r="M23" s="10">
        <v>22.0</v>
      </c>
      <c r="N23" s="11" t="str">
        <f t="shared" si="1"/>
        <v>bnco1022@signalschool.ac.th</v>
      </c>
      <c r="O23" s="12">
        <f t="shared" si="2"/>
        <v>1</v>
      </c>
      <c r="R23" s="6" t="s">
        <v>236</v>
      </c>
    </row>
    <row r="24">
      <c r="A24" s="8">
        <f>'1.6'!A:A</f>
        <v>46261.4263</v>
      </c>
      <c r="B24" s="1" t="str">
        <f>'1.6'!B:B</f>
        <v>bnco1067@signalschool.ac.th</v>
      </c>
      <c r="C24" s="1" t="str">
        <f>'1.6'!C:C</f>
        <v>ส.อ. ศุภณัฐ ไชยโสภา</v>
      </c>
      <c r="D24" s="9">
        <v>1.0</v>
      </c>
      <c r="E24" s="10">
        <f>IFERROR(vlookup('1.6'!D:D,lookup!$A$2:$B$4,2,false),0)</f>
        <v>5</v>
      </c>
      <c r="F24" s="10">
        <f>IFERROR(vlookup('1.6'!E:E,lookup!$A$6:$B$8,2,false),0)</f>
        <v>5</v>
      </c>
      <c r="G24" s="10">
        <f>IFERROR(vlookup('1.6'!F:F,lookup!$A$10:$B$12,2,false),0)</f>
        <v>5</v>
      </c>
      <c r="H24" s="10">
        <f>IFERROR(vlookup('1.6'!G:G,lookup!$A$14:$B$16,2,false),0)</f>
        <v>5</v>
      </c>
      <c r="I24" s="10">
        <f>IFERROR(vlookup('1.6'!H:H,lookup!$A$18:$B$20,2,false),0)</f>
        <v>5</v>
      </c>
      <c r="J24" s="10">
        <f>IFERROR(vlookup('1.6'!I:I,lookup!$A$22:$B$24,2,false),0)</f>
        <v>5</v>
      </c>
      <c r="K24" s="10">
        <f>IFERROR(vlookup('1.6'!J:J,lookup!$A$26:$B$28,2,false),0)</f>
        <v>5</v>
      </c>
      <c r="L24" s="1"/>
      <c r="M24" s="10">
        <v>23.0</v>
      </c>
      <c r="N24" s="11" t="str">
        <f t="shared" si="1"/>
        <v>bnco1023@signalschool.ac.th</v>
      </c>
      <c r="O24" s="12">
        <f t="shared" si="2"/>
        <v>1</v>
      </c>
      <c r="R24" s="6" t="s">
        <v>237</v>
      </c>
    </row>
    <row r="25">
      <c r="A25" s="8">
        <f>'1.6'!A:A</f>
        <v>46261.43007</v>
      </c>
      <c r="B25" s="1" t="str">
        <f>'1.6'!B:B</f>
        <v>bnco1042@signalschool.ac.th</v>
      </c>
      <c r="C25" s="1" t="str">
        <f>'1.6'!C:C</f>
        <v>ส.อ.ศุภณัฐ  ไชยโสภา</v>
      </c>
      <c r="D25" s="9">
        <v>1.0</v>
      </c>
      <c r="E25" s="10">
        <f>IFERROR(vlookup('1.6'!D:D,lookup!$A$2:$B$4,2,false),0)</f>
        <v>3</v>
      </c>
      <c r="F25" s="10">
        <f>IFERROR(vlookup('1.6'!E:E,lookup!$A$6:$B$8,2,false),0)</f>
        <v>5</v>
      </c>
      <c r="G25" s="10">
        <f>IFERROR(vlookup('1.6'!F:F,lookup!$A$10:$B$12,2,false),0)</f>
        <v>5</v>
      </c>
      <c r="H25" s="10">
        <f>IFERROR(vlookup('1.6'!G:G,lookup!$A$14:$B$16,2,false),0)</f>
        <v>5</v>
      </c>
      <c r="I25" s="10">
        <f>IFERROR(vlookup('1.6'!H:H,lookup!$A$18:$B$20,2,false),0)</f>
        <v>5</v>
      </c>
      <c r="J25" s="10">
        <f>IFERROR(vlookup('1.6'!I:I,lookup!$A$22:$B$24,2,false),0)</f>
        <v>5</v>
      </c>
      <c r="K25" s="10">
        <f>IFERROR(vlookup('1.6'!J:J,lookup!$A$26:$B$28,2,false),0)</f>
        <v>3</v>
      </c>
      <c r="L25" s="1"/>
      <c r="M25" s="10">
        <v>24.0</v>
      </c>
      <c r="N25" s="11" t="str">
        <f t="shared" si="1"/>
        <v>bnco1024@signalschool.ac.th</v>
      </c>
      <c r="O25" s="12">
        <f t="shared" si="2"/>
        <v>1</v>
      </c>
      <c r="R25" s="6" t="s">
        <v>238</v>
      </c>
    </row>
    <row r="26">
      <c r="A26" s="8">
        <f>'1.6'!A:A</f>
        <v>46261.45651</v>
      </c>
      <c r="B26" s="1" t="str">
        <f>'1.6'!B:B</f>
        <v>bnco1009@signalschool.ac.th</v>
      </c>
      <c r="C26" s="1" t="str">
        <f>'1.6'!C:C</f>
        <v>ส.อ.ศุภณัฐ ไชยโสภา</v>
      </c>
      <c r="D26" s="9">
        <v>1.0</v>
      </c>
      <c r="E26" s="10">
        <f>IFERROR(vlookup('1.6'!D:D,lookup!$A$2:$B$4,2,false),0)</f>
        <v>5</v>
      </c>
      <c r="F26" s="10">
        <f>IFERROR(vlookup('1.6'!E:E,lookup!$A$6:$B$8,2,false),0)</f>
        <v>5</v>
      </c>
      <c r="G26" s="10">
        <f>IFERROR(vlookup('1.6'!F:F,lookup!$A$10:$B$12,2,false),0)</f>
        <v>5</v>
      </c>
      <c r="H26" s="10">
        <f>IFERROR(vlookup('1.6'!G:G,lookup!$A$14:$B$16,2,false),0)</f>
        <v>5</v>
      </c>
      <c r="I26" s="10">
        <f>IFERROR(vlookup('1.6'!H:H,lookup!$A$18:$B$20,2,false),0)</f>
        <v>5</v>
      </c>
      <c r="J26" s="10">
        <f>IFERROR(vlookup('1.6'!I:I,lookup!$A$22:$B$24,2,false),0)</f>
        <v>5</v>
      </c>
      <c r="K26" s="10">
        <f>IFERROR(vlookup('1.6'!J:J,lookup!$A$26:$B$28,2,false),0)</f>
        <v>5</v>
      </c>
      <c r="L26" s="1"/>
      <c r="M26" s="10">
        <v>25.0</v>
      </c>
      <c r="N26" s="11" t="str">
        <f t="shared" si="1"/>
        <v>bnco1025@signalschool.ac.th</v>
      </c>
      <c r="O26" s="12">
        <f t="shared" si="2"/>
        <v>1</v>
      </c>
      <c r="R26" s="6" t="s">
        <v>239</v>
      </c>
    </row>
    <row r="27">
      <c r="A27" s="8">
        <f>'1.6'!A:A</f>
        <v>46261.46121</v>
      </c>
      <c r="B27" s="1" t="str">
        <f>'1.6'!B:B</f>
        <v>bnco1044@signalschool.ac.th</v>
      </c>
      <c r="C27" s="1" t="str">
        <f>'1.6'!C:C</f>
        <v>ส.อ. ศุภณัฐ ไชยโสภา</v>
      </c>
      <c r="D27" s="9">
        <v>1.0</v>
      </c>
      <c r="E27" s="10">
        <f>IFERROR(vlookup('1.6'!D:D,lookup!$A$2:$B$4,2,false),0)</f>
        <v>5</v>
      </c>
      <c r="F27" s="10">
        <f>IFERROR(vlookup('1.6'!E:E,lookup!$A$6:$B$8,2,false),0)</f>
        <v>5</v>
      </c>
      <c r="G27" s="10">
        <f>IFERROR(vlookup('1.6'!F:F,lookup!$A$10:$B$12,2,false),0)</f>
        <v>5</v>
      </c>
      <c r="H27" s="10">
        <f>IFERROR(vlookup('1.6'!G:G,lookup!$A$14:$B$16,2,false),0)</f>
        <v>5</v>
      </c>
      <c r="I27" s="10">
        <f>IFERROR(vlookup('1.6'!H:H,lookup!$A$18:$B$20,2,false),0)</f>
        <v>5</v>
      </c>
      <c r="J27" s="10">
        <f>IFERROR(vlookup('1.6'!I:I,lookup!$A$22:$B$24,2,false),0)</f>
        <v>5</v>
      </c>
      <c r="K27" s="10">
        <f>IFERROR(vlookup('1.6'!J:J,lookup!$A$26:$B$28,2,false),0)</f>
        <v>5</v>
      </c>
      <c r="L27" s="1"/>
      <c r="M27" s="10">
        <v>26.0</v>
      </c>
      <c r="N27" s="11" t="str">
        <f t="shared" si="1"/>
        <v>bnco1026@signalschool.ac.th</v>
      </c>
      <c r="O27" s="12">
        <f t="shared" si="2"/>
        <v>1</v>
      </c>
      <c r="R27" s="6" t="s">
        <v>240</v>
      </c>
    </row>
    <row r="28">
      <c r="A28" s="8">
        <f>'1.6'!A:A</f>
        <v>46261.47297</v>
      </c>
      <c r="B28" s="1" t="str">
        <f>'1.6'!B:B</f>
        <v>bnco1027@signalschool.ac.th</v>
      </c>
      <c r="C28" s="1" t="str">
        <f>'1.6'!C:C</f>
        <v>ส.อ.ไวยวุฒิ จิตต์นิยม</v>
      </c>
      <c r="D28" s="9">
        <v>1.0</v>
      </c>
      <c r="E28" s="10">
        <f>IFERROR(vlookup('1.6'!D:D,lookup!$A$2:$B$4,2,false),0)</f>
        <v>3</v>
      </c>
      <c r="F28" s="10">
        <f>IFERROR(vlookup('1.6'!E:E,lookup!$A$6:$B$8,2,false),0)</f>
        <v>5</v>
      </c>
      <c r="G28" s="10">
        <f>IFERROR(vlookup('1.6'!F:F,lookup!$A$10:$B$12,2,false),0)</f>
        <v>5</v>
      </c>
      <c r="H28" s="10">
        <f>IFERROR(vlookup('1.6'!G:G,lookup!$A$14:$B$16,2,false),0)</f>
        <v>5</v>
      </c>
      <c r="I28" s="10">
        <f>IFERROR(vlookup('1.6'!H:H,lookup!$A$18:$B$20,2,false),0)</f>
        <v>5</v>
      </c>
      <c r="J28" s="10">
        <f>IFERROR(vlookup('1.6'!I:I,lookup!$A$22:$B$24,2,false),0)</f>
        <v>5</v>
      </c>
      <c r="K28" s="10">
        <f>IFERROR(vlookup('1.6'!J:J,lookup!$A$26:$B$28,2,false),0)</f>
        <v>5</v>
      </c>
      <c r="L28" s="1"/>
      <c r="M28" s="10">
        <v>27.0</v>
      </c>
      <c r="N28" s="11" t="str">
        <f t="shared" si="1"/>
        <v>bnco1027@signalschool.ac.th</v>
      </c>
      <c r="O28" s="12">
        <f t="shared" si="2"/>
        <v>1</v>
      </c>
      <c r="R28" s="6" t="s">
        <v>241</v>
      </c>
    </row>
    <row r="29">
      <c r="A29" s="8">
        <f>'1.6'!A:A</f>
        <v>46261.50614</v>
      </c>
      <c r="B29" s="1" t="str">
        <f>'1.6'!B:B</f>
        <v>bnco1075@signalschool.ac.th</v>
      </c>
      <c r="C29" s="1" t="str">
        <f>'1.6'!C:C</f>
        <v>ส.อ.ศุภณัฐ ไชยโสภา</v>
      </c>
      <c r="D29" s="9">
        <v>1.0</v>
      </c>
      <c r="E29" s="10">
        <f>IFERROR(vlookup('1.6'!D:D,lookup!$A$2:$B$4,2,false),0)</f>
        <v>5</v>
      </c>
      <c r="F29" s="10">
        <f>IFERROR(vlookup('1.6'!E:E,lookup!$A$6:$B$8,2,false),0)</f>
        <v>5</v>
      </c>
      <c r="G29" s="10">
        <f>IFERROR(vlookup('1.6'!F:F,lookup!$A$10:$B$12,2,false),0)</f>
        <v>5</v>
      </c>
      <c r="H29" s="10">
        <f>IFERROR(vlookup('1.6'!G:G,lookup!$A$14:$B$16,2,false),0)</f>
        <v>5</v>
      </c>
      <c r="I29" s="10">
        <f>IFERROR(vlookup('1.6'!H:H,lookup!$A$18:$B$20,2,false),0)</f>
        <v>5</v>
      </c>
      <c r="J29" s="10">
        <f>IFERROR(vlookup('1.6'!I:I,lookup!$A$22:$B$24,2,false),0)</f>
        <v>5</v>
      </c>
      <c r="K29" s="10">
        <f>IFERROR(vlookup('1.6'!J:J,lookup!$A$26:$B$28,2,false),0)</f>
        <v>5</v>
      </c>
      <c r="L29" s="1"/>
      <c r="M29" s="10">
        <v>28.0</v>
      </c>
      <c r="N29" s="11" t="str">
        <f t="shared" si="1"/>
        <v>bnco1028@signalschool.ac.th</v>
      </c>
      <c r="O29" s="12">
        <f t="shared" si="2"/>
        <v>0</v>
      </c>
      <c r="R29" s="6" t="s">
        <v>242</v>
      </c>
    </row>
    <row r="30">
      <c r="A30" s="8">
        <f>'1.6'!A:A</f>
        <v>46261.56292</v>
      </c>
      <c r="B30" s="1" t="str">
        <f>'1.6'!B:B</f>
        <v>bnco1004@signalschool.ac.th</v>
      </c>
      <c r="C30" s="1" t="str">
        <f>'1.6'!C:C</f>
        <v>สิบเอก ศุภณัฐ ไชยโสภา</v>
      </c>
      <c r="D30" s="9">
        <v>1.0</v>
      </c>
      <c r="E30" s="10">
        <f>IFERROR(vlookup('1.6'!D:D,lookup!$A$2:$B$4,2,false),0)</f>
        <v>5</v>
      </c>
      <c r="F30" s="10">
        <f>IFERROR(vlookup('1.6'!E:E,lookup!$A$6:$B$8,2,false),0)</f>
        <v>5</v>
      </c>
      <c r="G30" s="10">
        <f>IFERROR(vlookup('1.6'!F:F,lookup!$A$10:$B$12,2,false),0)</f>
        <v>5</v>
      </c>
      <c r="H30" s="10">
        <f>IFERROR(vlookup('1.6'!G:G,lookup!$A$14:$B$16,2,false),0)</f>
        <v>5</v>
      </c>
      <c r="I30" s="10">
        <f>IFERROR(vlookup('1.6'!H:H,lookup!$A$18:$B$20,2,false),0)</f>
        <v>5</v>
      </c>
      <c r="J30" s="10">
        <f>IFERROR(vlookup('1.6'!I:I,lookup!$A$22:$B$24,2,false),0)</f>
        <v>5</v>
      </c>
      <c r="K30" s="10">
        <f>IFERROR(vlookup('1.6'!J:J,lookup!$A$26:$B$28,2,false),0)</f>
        <v>5</v>
      </c>
      <c r="L30" s="1"/>
      <c r="M30" s="10">
        <v>29.0</v>
      </c>
      <c r="N30" s="11" t="str">
        <f t="shared" si="1"/>
        <v>bnco1029@signalschool.ac.th</v>
      </c>
      <c r="O30" s="12">
        <f t="shared" si="2"/>
        <v>0</v>
      </c>
      <c r="R30" s="6" t="s">
        <v>243</v>
      </c>
    </row>
    <row r="31">
      <c r="A31" s="8">
        <f>'1.6'!A:A</f>
        <v>46261.5701</v>
      </c>
      <c r="B31" s="1" t="str">
        <f>'1.6'!B:B</f>
        <v>bnco1052@signalschool.ac.th</v>
      </c>
      <c r="C31" s="1" t="str">
        <f>'1.6'!C:C</f>
        <v>ส.อ.ศุภณัฐ  ไชยโสภา</v>
      </c>
      <c r="D31" s="9">
        <v>1.0</v>
      </c>
      <c r="E31" s="10">
        <f>IFERROR(vlookup('1.6'!D:D,lookup!$A$2:$B$4,2,false),0)</f>
        <v>5</v>
      </c>
      <c r="F31" s="10">
        <f>IFERROR(vlookup('1.6'!E:E,lookup!$A$6:$B$8,2,false),0)</f>
        <v>5</v>
      </c>
      <c r="G31" s="10">
        <f>IFERROR(vlookup('1.6'!F:F,lookup!$A$10:$B$12,2,false),0)</f>
        <v>5</v>
      </c>
      <c r="H31" s="10">
        <f>IFERROR(vlookup('1.6'!G:G,lookup!$A$14:$B$16,2,false),0)</f>
        <v>5</v>
      </c>
      <c r="I31" s="10">
        <f>IFERROR(vlookup('1.6'!H:H,lookup!$A$18:$B$20,2,false),0)</f>
        <v>5</v>
      </c>
      <c r="J31" s="10">
        <f>IFERROR(vlookup('1.6'!I:I,lookup!$A$22:$B$24,2,false),0)</f>
        <v>5</v>
      </c>
      <c r="K31" s="10">
        <f>IFERROR(vlookup('1.6'!J:J,lookup!$A$26:$B$28,2,false),0)</f>
        <v>5</v>
      </c>
      <c r="L31" s="1"/>
      <c r="M31" s="10">
        <v>30.0</v>
      </c>
      <c r="N31" s="11" t="str">
        <f t="shared" si="1"/>
        <v>bnco1030@signalschool.ac.th</v>
      </c>
      <c r="O31" s="12">
        <f t="shared" si="2"/>
        <v>1</v>
      </c>
      <c r="R31" s="6" t="s">
        <v>244</v>
      </c>
    </row>
    <row r="32">
      <c r="A32" s="8">
        <f>'1.6'!A:A</f>
        <v>46261.59111</v>
      </c>
      <c r="B32" s="1" t="str">
        <f>'1.6'!B:B</f>
        <v>bnco1049@signalschool.ac.th</v>
      </c>
      <c r="C32" s="1" t="str">
        <f>'1.6'!C:C</f>
        <v>ส.อ.ศุภณัฐ ไชยโสภา</v>
      </c>
      <c r="D32" s="9">
        <v>1.0</v>
      </c>
      <c r="E32" s="10">
        <f>IFERROR(vlookup('1.6'!D:D,lookup!$A$2:$B$4,2,false),0)</f>
        <v>5</v>
      </c>
      <c r="F32" s="10">
        <f>IFERROR(vlookup('1.6'!E:E,lookup!$A$6:$B$8,2,false),0)</f>
        <v>5</v>
      </c>
      <c r="G32" s="10">
        <f>IFERROR(vlookup('1.6'!F:F,lookup!$A$10:$B$12,2,false),0)</f>
        <v>5</v>
      </c>
      <c r="H32" s="10">
        <f>IFERROR(vlookup('1.6'!G:G,lookup!$A$14:$B$16,2,false),0)</f>
        <v>5</v>
      </c>
      <c r="I32" s="10">
        <f>IFERROR(vlookup('1.6'!H:H,lookup!$A$18:$B$20,2,false),0)</f>
        <v>5</v>
      </c>
      <c r="J32" s="10">
        <f>IFERROR(vlookup('1.6'!I:I,lookup!$A$22:$B$24,2,false),0)</f>
        <v>5</v>
      </c>
      <c r="K32" s="10">
        <f>IFERROR(vlookup('1.6'!J:J,lookup!$A$26:$B$28,2,false),0)</f>
        <v>5</v>
      </c>
      <c r="L32" s="1"/>
      <c r="M32" s="10">
        <v>31.0</v>
      </c>
      <c r="N32" s="11" t="str">
        <f t="shared" si="1"/>
        <v>bnco1031@signalschool.ac.th</v>
      </c>
      <c r="O32" s="12">
        <f t="shared" si="2"/>
        <v>1</v>
      </c>
      <c r="R32" s="6" t="s">
        <v>245</v>
      </c>
    </row>
    <row r="33">
      <c r="A33" s="8">
        <f>'1.6'!A:A</f>
        <v>46261.59353</v>
      </c>
      <c r="B33" s="1" t="str">
        <f>'1.6'!B:B</f>
        <v>bnco1053@signalschool.ac.th</v>
      </c>
      <c r="C33" s="1" t="str">
        <f>'1.6'!C:C</f>
        <v>ส.อ.ศุภนัฐ ไชยโสภา</v>
      </c>
      <c r="D33" s="9">
        <v>1.0</v>
      </c>
      <c r="E33" s="10">
        <f>IFERROR(vlookup('1.6'!D:D,lookup!$A$2:$B$4,2,false),0)</f>
        <v>5</v>
      </c>
      <c r="F33" s="10">
        <f>IFERROR(vlookup('1.6'!E:E,lookup!$A$6:$B$8,2,false),0)</f>
        <v>5</v>
      </c>
      <c r="G33" s="10">
        <f>IFERROR(vlookup('1.6'!F:F,lookup!$A$10:$B$12,2,false),0)</f>
        <v>5</v>
      </c>
      <c r="H33" s="10">
        <f>IFERROR(vlookup('1.6'!G:G,lookup!$A$14:$B$16,2,false),0)</f>
        <v>5</v>
      </c>
      <c r="I33" s="10">
        <f>IFERROR(vlookup('1.6'!H:H,lookup!$A$18:$B$20,2,false),0)</f>
        <v>5</v>
      </c>
      <c r="J33" s="10">
        <f>IFERROR(vlookup('1.6'!I:I,lookup!$A$22:$B$24,2,false),0)</f>
        <v>5</v>
      </c>
      <c r="K33" s="10">
        <f>IFERROR(vlookup('1.6'!J:J,lookup!$A$26:$B$28,2,false),0)</f>
        <v>5</v>
      </c>
      <c r="L33" s="1"/>
      <c r="M33" s="10">
        <v>32.0</v>
      </c>
      <c r="N33" s="11" t="str">
        <f t="shared" si="1"/>
        <v>bnco1032@signalschool.ac.th</v>
      </c>
      <c r="O33" s="12">
        <f t="shared" si="2"/>
        <v>1</v>
      </c>
      <c r="R33" s="6" t="s">
        <v>246</v>
      </c>
    </row>
    <row r="34">
      <c r="A34" s="8">
        <f>'1.6'!A:A</f>
        <v>46261.59975</v>
      </c>
      <c r="B34" s="1" t="str">
        <f>'1.6'!B:B</f>
        <v>bnco1015@signalschool.ac.th</v>
      </c>
      <c r="C34" s="1" t="str">
        <f>'1.6'!C:C</f>
        <v>ส.อ.ศุภณัฐ ไชยโสภา</v>
      </c>
      <c r="D34" s="9">
        <v>1.0</v>
      </c>
      <c r="E34" s="10">
        <f>IFERROR(vlookup('1.6'!D:D,lookup!$A$2:$B$4,2,false),0)</f>
        <v>5</v>
      </c>
      <c r="F34" s="10">
        <f>IFERROR(vlookup('1.6'!E:E,lookup!$A$6:$B$8,2,false),0)</f>
        <v>5</v>
      </c>
      <c r="G34" s="10">
        <f>IFERROR(vlookup('1.6'!F:F,lookup!$A$10:$B$12,2,false),0)</f>
        <v>5</v>
      </c>
      <c r="H34" s="10">
        <f>IFERROR(vlookup('1.6'!G:G,lookup!$A$14:$B$16,2,false),0)</f>
        <v>5</v>
      </c>
      <c r="I34" s="10">
        <f>IFERROR(vlookup('1.6'!H:H,lookup!$A$18:$B$20,2,false),0)</f>
        <v>5</v>
      </c>
      <c r="J34" s="10">
        <f>IFERROR(vlookup('1.6'!I:I,lookup!$A$22:$B$24,2,false),0)</f>
        <v>5</v>
      </c>
      <c r="K34" s="10">
        <f>IFERROR(vlookup('1.6'!J:J,lookup!$A$26:$B$28,2,false),0)</f>
        <v>5</v>
      </c>
      <c r="L34" s="1"/>
      <c r="M34" s="10">
        <v>33.0</v>
      </c>
      <c r="N34" s="11" t="str">
        <f t="shared" si="1"/>
        <v>bnco1033@signalschool.ac.th</v>
      </c>
      <c r="O34" s="12">
        <f t="shared" si="2"/>
        <v>1</v>
      </c>
      <c r="R34" s="6" t="s">
        <v>247</v>
      </c>
    </row>
    <row r="35">
      <c r="A35" s="8">
        <f>'1.6'!A:A</f>
        <v>46261.60041</v>
      </c>
      <c r="B35" s="1" t="str">
        <f>'1.6'!B:B</f>
        <v>bnco1079@signalschool.ac.th</v>
      </c>
      <c r="C35" s="1" t="str">
        <f>'1.6'!C:C</f>
        <v>ส.อ. ศุภณัฐ ไชยโสภา</v>
      </c>
      <c r="D35" s="9">
        <v>1.0</v>
      </c>
      <c r="E35" s="10">
        <f>IFERROR(vlookup('1.6'!D:D,lookup!$A$2:$B$4,2,false),0)</f>
        <v>5</v>
      </c>
      <c r="F35" s="10">
        <f>IFERROR(vlookup('1.6'!E:E,lookup!$A$6:$B$8,2,false),0)</f>
        <v>5</v>
      </c>
      <c r="G35" s="10">
        <f>IFERROR(vlookup('1.6'!F:F,lookup!$A$10:$B$12,2,false),0)</f>
        <v>5</v>
      </c>
      <c r="H35" s="10">
        <f>IFERROR(vlookup('1.6'!G:G,lookup!$A$14:$B$16,2,false),0)</f>
        <v>5</v>
      </c>
      <c r="I35" s="10">
        <f>IFERROR(vlookup('1.6'!H:H,lookup!$A$18:$B$20,2,false),0)</f>
        <v>5</v>
      </c>
      <c r="J35" s="10">
        <f>IFERROR(vlookup('1.6'!I:I,lookup!$A$22:$B$24,2,false),0)</f>
        <v>5</v>
      </c>
      <c r="K35" s="10">
        <f>IFERROR(vlookup('1.6'!J:J,lookup!$A$26:$B$28,2,false),0)</f>
        <v>5</v>
      </c>
      <c r="L35" s="1"/>
      <c r="M35" s="10">
        <v>34.0</v>
      </c>
      <c r="N35" s="11" t="str">
        <f t="shared" si="1"/>
        <v>bnco1034@signalschool.ac.th</v>
      </c>
      <c r="O35" s="12">
        <f t="shared" si="2"/>
        <v>1</v>
      </c>
      <c r="R35" s="6" t="s">
        <v>248</v>
      </c>
    </row>
    <row r="36">
      <c r="A36" s="8">
        <f>'1.6'!A:A</f>
        <v>46261.61122</v>
      </c>
      <c r="B36" s="1" t="str">
        <f>'1.6'!B:B</f>
        <v>bnco1012@signalschool.ac.th</v>
      </c>
      <c r="C36" s="1" t="str">
        <f>'1.6'!C:C</f>
        <v>ส.อ.ศุภณัฐ ไชยโสภา</v>
      </c>
      <c r="D36" s="9">
        <v>1.0</v>
      </c>
      <c r="E36" s="10">
        <f>IFERROR(vlookup('1.6'!D:D,lookup!$A$2:$B$4,2,false),0)</f>
        <v>5</v>
      </c>
      <c r="F36" s="10">
        <f>IFERROR(vlookup('1.6'!E:E,lookup!$A$6:$B$8,2,false),0)</f>
        <v>5</v>
      </c>
      <c r="G36" s="10">
        <f>IFERROR(vlookup('1.6'!F:F,lookup!$A$10:$B$12,2,false),0)</f>
        <v>5</v>
      </c>
      <c r="H36" s="10">
        <f>IFERROR(vlookup('1.6'!G:G,lookup!$A$14:$B$16,2,false),0)</f>
        <v>5</v>
      </c>
      <c r="I36" s="10">
        <f>IFERROR(vlookup('1.6'!H:H,lookup!$A$18:$B$20,2,false),0)</f>
        <v>5</v>
      </c>
      <c r="J36" s="10">
        <f>IFERROR(vlookup('1.6'!I:I,lookup!$A$22:$B$24,2,false),0)</f>
        <v>3</v>
      </c>
      <c r="K36" s="10">
        <f>IFERROR(vlookup('1.6'!J:J,lookup!$A$26:$B$28,2,false),0)</f>
        <v>3</v>
      </c>
      <c r="L36" s="1"/>
      <c r="M36" s="10">
        <v>35.0</v>
      </c>
      <c r="N36" s="11" t="str">
        <f t="shared" si="1"/>
        <v>bnco1035@signalschool.ac.th</v>
      </c>
      <c r="O36" s="12">
        <f t="shared" si="2"/>
        <v>1</v>
      </c>
      <c r="R36" s="6" t="s">
        <v>249</v>
      </c>
    </row>
    <row r="37">
      <c r="A37" s="8">
        <f>'1.6'!A:A</f>
        <v>46261.63115</v>
      </c>
      <c r="B37" s="1" t="str">
        <f>'1.6'!B:B</f>
        <v>bnco1078@signalschool.ac.th</v>
      </c>
      <c r="C37" s="1" t="str">
        <f>'1.6'!C:C</f>
        <v>ส.อ.ศุภณัฐ ไชยโสภา</v>
      </c>
      <c r="D37" s="9">
        <v>1.0</v>
      </c>
      <c r="E37" s="10">
        <f>IFERROR(vlookup('1.6'!D:D,lookup!$A$2:$B$4,2,false),0)</f>
        <v>5</v>
      </c>
      <c r="F37" s="10">
        <f>IFERROR(vlookup('1.6'!E:E,lookup!$A$6:$B$8,2,false),0)</f>
        <v>5</v>
      </c>
      <c r="G37" s="10">
        <f>IFERROR(vlookup('1.6'!F:F,lookup!$A$10:$B$12,2,false),0)</f>
        <v>5</v>
      </c>
      <c r="H37" s="10">
        <f>IFERROR(vlookup('1.6'!G:G,lookup!$A$14:$B$16,2,false),0)</f>
        <v>5</v>
      </c>
      <c r="I37" s="10">
        <f>IFERROR(vlookup('1.6'!H:H,lookup!$A$18:$B$20,2,false),0)</f>
        <v>5</v>
      </c>
      <c r="J37" s="10">
        <f>IFERROR(vlookup('1.6'!I:I,lookup!$A$22:$B$24,2,false),0)</f>
        <v>5</v>
      </c>
      <c r="K37" s="10">
        <f>IFERROR(vlookup('1.6'!J:J,lookup!$A$26:$B$28,2,false),0)</f>
        <v>5</v>
      </c>
      <c r="L37" s="1"/>
      <c r="M37" s="10">
        <v>36.0</v>
      </c>
      <c r="N37" s="11" t="str">
        <f t="shared" si="1"/>
        <v>bnco1036@signalschool.ac.th</v>
      </c>
      <c r="O37" s="12">
        <f t="shared" si="2"/>
        <v>1</v>
      </c>
      <c r="R37" s="6" t="s">
        <v>250</v>
      </c>
    </row>
    <row r="38">
      <c r="A38" s="8">
        <f>'1.6'!A:A</f>
        <v>46261.70939</v>
      </c>
      <c r="B38" s="1" t="str">
        <f>'1.6'!B:B</f>
        <v>bnco1074@signalschool.ac.th</v>
      </c>
      <c r="C38" s="1" t="str">
        <f>'1.6'!C:C</f>
        <v>ส.อ.ศุภณัฐ  ไชยโสภา</v>
      </c>
      <c r="D38" s="9">
        <v>1.0</v>
      </c>
      <c r="E38" s="10">
        <f>IFERROR(vlookup('1.6'!D:D,lookup!$A$2:$B$4,2,false),0)</f>
        <v>5</v>
      </c>
      <c r="F38" s="10">
        <f>IFERROR(vlookup('1.6'!E:E,lookup!$A$6:$B$8,2,false),0)</f>
        <v>5</v>
      </c>
      <c r="G38" s="10">
        <f>IFERROR(vlookup('1.6'!F:F,lookup!$A$10:$B$12,2,false),0)</f>
        <v>5</v>
      </c>
      <c r="H38" s="10">
        <f>IFERROR(vlookup('1.6'!G:G,lookup!$A$14:$B$16,2,false),0)</f>
        <v>5</v>
      </c>
      <c r="I38" s="10">
        <f>IFERROR(vlookup('1.6'!H:H,lookup!$A$18:$B$20,2,false),0)</f>
        <v>5</v>
      </c>
      <c r="J38" s="10">
        <f>IFERROR(vlookup('1.6'!I:I,lookup!$A$22:$B$24,2,false),0)</f>
        <v>5</v>
      </c>
      <c r="K38" s="10">
        <f>IFERROR(vlookup('1.6'!J:J,lookup!$A$26:$B$28,2,false),0)</f>
        <v>5</v>
      </c>
      <c r="L38" s="1"/>
      <c r="M38" s="10">
        <v>37.0</v>
      </c>
      <c r="N38" s="11" t="str">
        <f t="shared" si="1"/>
        <v>bnco1037@signalschool.ac.th</v>
      </c>
      <c r="O38" s="12">
        <f t="shared" si="2"/>
        <v>1</v>
      </c>
      <c r="R38" s="6" t="s">
        <v>251</v>
      </c>
    </row>
    <row r="39">
      <c r="A39" s="8">
        <f>'1.6'!A:A</f>
        <v>46261.72037</v>
      </c>
      <c r="B39" s="1" t="str">
        <f>'1.6'!B:B</f>
        <v>bnco1054@signalschool.ac.th</v>
      </c>
      <c r="C39" s="1" t="str">
        <f>'1.6'!C:C</f>
        <v>ส.อ.ศุภณัฐ ไชยโสภา</v>
      </c>
      <c r="D39" s="9">
        <v>1.0</v>
      </c>
      <c r="E39" s="10">
        <f>IFERROR(vlookup('1.6'!D:D,lookup!$A$2:$B$4,2,false),0)</f>
        <v>5</v>
      </c>
      <c r="F39" s="10">
        <f>IFERROR(vlookup('1.6'!E:E,lookup!$A$6:$B$8,2,false),0)</f>
        <v>5</v>
      </c>
      <c r="G39" s="10">
        <f>IFERROR(vlookup('1.6'!F:F,lookup!$A$10:$B$12,2,false),0)</f>
        <v>5</v>
      </c>
      <c r="H39" s="10">
        <f>IFERROR(vlookup('1.6'!G:G,lookup!$A$14:$B$16,2,false),0)</f>
        <v>5</v>
      </c>
      <c r="I39" s="10">
        <f>IFERROR(vlookup('1.6'!H:H,lookup!$A$18:$B$20,2,false),0)</f>
        <v>5</v>
      </c>
      <c r="J39" s="10">
        <f>IFERROR(vlookup('1.6'!I:I,lookup!$A$22:$B$24,2,false),0)</f>
        <v>5</v>
      </c>
      <c r="K39" s="10">
        <f>IFERROR(vlookup('1.6'!J:J,lookup!$A$26:$B$28,2,false),0)</f>
        <v>5</v>
      </c>
      <c r="L39" s="1"/>
      <c r="M39" s="10">
        <v>38.0</v>
      </c>
      <c r="N39" s="11" t="str">
        <f t="shared" si="1"/>
        <v>bnco1038@signalschool.ac.th</v>
      </c>
      <c r="O39" s="12">
        <f t="shared" si="2"/>
        <v>1</v>
      </c>
      <c r="R39" s="6" t="s">
        <v>252</v>
      </c>
    </row>
    <row r="40">
      <c r="A40" s="8">
        <f>'1.6'!A:A</f>
        <v>46261.72449</v>
      </c>
      <c r="B40" s="1" t="str">
        <f>'1.6'!B:B</f>
        <v>bnco1055@signalschool.ac.th</v>
      </c>
      <c r="C40" s="1" t="str">
        <f>'1.6'!C:C</f>
        <v>ส.อ.ศุภณัฐ ไชยโสภา</v>
      </c>
      <c r="D40" s="9">
        <v>1.0</v>
      </c>
      <c r="E40" s="10">
        <f>IFERROR(vlookup('1.6'!D:D,lookup!$A$2:$B$4,2,false),0)</f>
        <v>5</v>
      </c>
      <c r="F40" s="10">
        <f>IFERROR(vlookup('1.6'!E:E,lookup!$A$6:$B$8,2,false),0)</f>
        <v>5</v>
      </c>
      <c r="G40" s="10">
        <f>IFERROR(vlookup('1.6'!F:F,lookup!$A$10:$B$12,2,false),0)</f>
        <v>5</v>
      </c>
      <c r="H40" s="10">
        <f>IFERROR(vlookup('1.6'!G:G,lookup!$A$14:$B$16,2,false),0)</f>
        <v>5</v>
      </c>
      <c r="I40" s="10">
        <f>IFERROR(vlookup('1.6'!H:H,lookup!$A$18:$B$20,2,false),0)</f>
        <v>5</v>
      </c>
      <c r="J40" s="10">
        <f>IFERROR(vlookup('1.6'!I:I,lookup!$A$22:$B$24,2,false),0)</f>
        <v>5</v>
      </c>
      <c r="K40" s="10">
        <f>IFERROR(vlookup('1.6'!J:J,lookup!$A$26:$B$28,2,false),0)</f>
        <v>5</v>
      </c>
      <c r="L40" s="1"/>
      <c r="M40" s="10">
        <v>39.0</v>
      </c>
      <c r="N40" s="11" t="str">
        <f t="shared" si="1"/>
        <v>bnco1039@signalschool.ac.th</v>
      </c>
      <c r="O40" s="12">
        <f t="shared" si="2"/>
        <v>1</v>
      </c>
      <c r="R40" s="6" t="s">
        <v>253</v>
      </c>
    </row>
    <row r="41">
      <c r="A41" s="8">
        <f>'1.6'!A:A</f>
        <v>46261.77392</v>
      </c>
      <c r="B41" s="1" t="str">
        <f>'1.6'!B:B</f>
        <v>bnco1025@signalschool.ac.th</v>
      </c>
      <c r="C41" s="1" t="str">
        <f>'1.6'!C:C</f>
        <v>ส.อ.ศุภณัฐ  ไชยโสภา</v>
      </c>
      <c r="D41" s="9">
        <v>1.0</v>
      </c>
      <c r="E41" s="10">
        <f>IFERROR(vlookup('1.6'!D:D,lookup!$A$2:$B$4,2,false),0)</f>
        <v>5</v>
      </c>
      <c r="F41" s="10">
        <f>IFERROR(vlookup('1.6'!E:E,lookup!$A$6:$B$8,2,false),0)</f>
        <v>5</v>
      </c>
      <c r="G41" s="10">
        <f>IFERROR(vlookup('1.6'!F:F,lookup!$A$10:$B$12,2,false),0)</f>
        <v>5</v>
      </c>
      <c r="H41" s="10">
        <f>IFERROR(vlookup('1.6'!G:G,lookup!$A$14:$B$16,2,false),0)</f>
        <v>5</v>
      </c>
      <c r="I41" s="10">
        <f>IFERROR(vlookup('1.6'!H:H,lookup!$A$18:$B$20,2,false),0)</f>
        <v>5</v>
      </c>
      <c r="J41" s="10">
        <f>IFERROR(vlookup('1.6'!I:I,lookup!$A$22:$B$24,2,false),0)</f>
        <v>5</v>
      </c>
      <c r="K41" s="10">
        <f>IFERROR(vlookup('1.6'!J:J,lookup!$A$26:$B$28,2,false),0)</f>
        <v>5</v>
      </c>
      <c r="L41" s="1"/>
      <c r="M41" s="10">
        <v>40.0</v>
      </c>
      <c r="N41" s="11" t="str">
        <f t="shared" si="1"/>
        <v>bnco1040@signalschool.ac.th</v>
      </c>
      <c r="O41" s="12">
        <f t="shared" si="2"/>
        <v>1</v>
      </c>
      <c r="R41" s="6" t="s">
        <v>254</v>
      </c>
    </row>
    <row r="42">
      <c r="A42" s="8">
        <f>'1.6'!A:A</f>
        <v>46261.79276</v>
      </c>
      <c r="B42" s="1" t="str">
        <f>'1.6'!B:B</f>
        <v>bnco1021@signalschool.ac.th</v>
      </c>
      <c r="C42" s="1" t="str">
        <f>'1.6'!C:C</f>
        <v>ส.อ.ศุภณัฐ ไชยโสภา</v>
      </c>
      <c r="D42" s="9">
        <v>1.0</v>
      </c>
      <c r="E42" s="10">
        <f>IFERROR(vlookup('1.6'!D:D,lookup!$A$2:$B$4,2,false),0)</f>
        <v>5</v>
      </c>
      <c r="F42" s="10">
        <f>IFERROR(vlookup('1.6'!E:E,lookup!$A$6:$B$8,2,false),0)</f>
        <v>5</v>
      </c>
      <c r="G42" s="10">
        <f>IFERROR(vlookup('1.6'!F:F,lookup!$A$10:$B$12,2,false),0)</f>
        <v>5</v>
      </c>
      <c r="H42" s="10">
        <f>IFERROR(vlookup('1.6'!G:G,lookup!$A$14:$B$16,2,false),0)</f>
        <v>5</v>
      </c>
      <c r="I42" s="10">
        <f>IFERROR(vlookup('1.6'!H:H,lookup!$A$18:$B$20,2,false),0)</f>
        <v>5</v>
      </c>
      <c r="J42" s="10">
        <f>IFERROR(vlookup('1.6'!I:I,lookup!$A$22:$B$24,2,false),0)</f>
        <v>5</v>
      </c>
      <c r="K42" s="10">
        <f>IFERROR(vlookup('1.6'!J:J,lookup!$A$26:$B$28,2,false),0)</f>
        <v>5</v>
      </c>
      <c r="L42" s="1"/>
      <c r="M42" s="10">
        <v>41.0</v>
      </c>
      <c r="N42" s="11" t="str">
        <f t="shared" si="1"/>
        <v>bnco1041@signalschool.ac.th</v>
      </c>
      <c r="O42" s="12">
        <f t="shared" si="2"/>
        <v>1</v>
      </c>
      <c r="R42" s="6" t="s">
        <v>255</v>
      </c>
    </row>
    <row r="43">
      <c r="A43" s="8">
        <f>'1.6'!A:A</f>
        <v>46261.79418</v>
      </c>
      <c r="B43" s="1" t="str">
        <f>'1.6'!B:B</f>
        <v>bnco1073@signalschool.ac.th</v>
      </c>
      <c r="C43" s="1" t="str">
        <f>'1.6'!C:C</f>
        <v>ส.อ.ศุภณัฐ ไชยโสภา</v>
      </c>
      <c r="D43" s="9">
        <v>1.0</v>
      </c>
      <c r="E43" s="10">
        <f>IFERROR(vlookup('1.6'!D:D,lookup!$A$2:$B$4,2,false),0)</f>
        <v>5</v>
      </c>
      <c r="F43" s="10">
        <f>IFERROR(vlookup('1.6'!E:E,lookup!$A$6:$B$8,2,false),0)</f>
        <v>5</v>
      </c>
      <c r="G43" s="10">
        <f>IFERROR(vlookup('1.6'!F:F,lookup!$A$10:$B$12,2,false),0)</f>
        <v>5</v>
      </c>
      <c r="H43" s="10">
        <f>IFERROR(vlookup('1.6'!G:G,lookup!$A$14:$B$16,2,false),0)</f>
        <v>5</v>
      </c>
      <c r="I43" s="10">
        <f>IFERROR(vlookup('1.6'!H:H,lookup!$A$18:$B$20,2,false),0)</f>
        <v>5</v>
      </c>
      <c r="J43" s="10">
        <f>IFERROR(vlookup('1.6'!I:I,lookup!$A$22:$B$24,2,false),0)</f>
        <v>5</v>
      </c>
      <c r="K43" s="10">
        <f>IFERROR(vlookup('1.6'!J:J,lookup!$A$26:$B$28,2,false),0)</f>
        <v>5</v>
      </c>
      <c r="L43" s="1"/>
      <c r="M43" s="10">
        <v>42.0</v>
      </c>
      <c r="N43" s="11" t="str">
        <f t="shared" si="1"/>
        <v>bnco1042@signalschool.ac.th</v>
      </c>
      <c r="O43" s="12">
        <f t="shared" si="2"/>
        <v>1</v>
      </c>
      <c r="R43" s="6" t="s">
        <v>256</v>
      </c>
    </row>
    <row r="44">
      <c r="A44" s="8">
        <f>'1.6'!A:A</f>
        <v>46261.87126</v>
      </c>
      <c r="B44" s="1" t="str">
        <f>'1.6'!B:B</f>
        <v>bnco1036@signalschool.ac.th</v>
      </c>
      <c r="C44" s="1" t="str">
        <f>'1.6'!C:C</f>
        <v>ส.อ.ศุภณัฐ ไชยโสภา</v>
      </c>
      <c r="D44" s="9">
        <v>1.0</v>
      </c>
      <c r="E44" s="10">
        <f>IFERROR(vlookup('1.6'!D:D,lookup!$A$2:$B$4,2,false),0)</f>
        <v>5</v>
      </c>
      <c r="F44" s="10">
        <f>IFERROR(vlookup('1.6'!E:E,lookup!$A$6:$B$8,2,false),0)</f>
        <v>5</v>
      </c>
      <c r="G44" s="10">
        <f>IFERROR(vlookup('1.6'!F:F,lookup!$A$10:$B$12,2,false),0)</f>
        <v>5</v>
      </c>
      <c r="H44" s="10">
        <f>IFERROR(vlookup('1.6'!G:G,lookup!$A$14:$B$16,2,false),0)</f>
        <v>5</v>
      </c>
      <c r="I44" s="10">
        <f>IFERROR(vlookup('1.6'!H:H,lookup!$A$18:$B$20,2,false),0)</f>
        <v>5</v>
      </c>
      <c r="J44" s="10">
        <f>IFERROR(vlookup('1.6'!I:I,lookup!$A$22:$B$24,2,false),0)</f>
        <v>5</v>
      </c>
      <c r="K44" s="10">
        <f>IFERROR(vlookup('1.6'!J:J,lookup!$A$26:$B$28,2,false),0)</f>
        <v>5</v>
      </c>
      <c r="L44" s="1"/>
      <c r="M44" s="10">
        <v>43.0</v>
      </c>
      <c r="N44" s="11" t="str">
        <f t="shared" si="1"/>
        <v>bnco1043@signalschool.ac.th</v>
      </c>
      <c r="O44" s="12">
        <f t="shared" si="2"/>
        <v>0</v>
      </c>
      <c r="R44" s="6" t="s">
        <v>257</v>
      </c>
    </row>
    <row r="45">
      <c r="A45" s="8">
        <f>'1.6'!A:A</f>
        <v>46261.95152</v>
      </c>
      <c r="B45" s="1" t="str">
        <f>'1.6'!B:B</f>
        <v>bnco1069@signalschool.ac.th</v>
      </c>
      <c r="C45" s="1" t="str">
        <f>'1.6'!C:C</f>
        <v>ส.อ.ศุภณัฐ  ไชยโสภา</v>
      </c>
      <c r="D45" s="9">
        <v>1.0</v>
      </c>
      <c r="E45" s="10">
        <f>IFERROR(vlookup('1.6'!D:D,lookup!$A$2:$B$4,2,false),0)</f>
        <v>5</v>
      </c>
      <c r="F45" s="10">
        <f>IFERROR(vlookup('1.6'!E:E,lookup!$A$6:$B$8,2,false),0)</f>
        <v>5</v>
      </c>
      <c r="G45" s="10">
        <f>IFERROR(vlookup('1.6'!F:F,lookup!$A$10:$B$12,2,false),0)</f>
        <v>5</v>
      </c>
      <c r="H45" s="10">
        <f>IFERROR(vlookup('1.6'!G:G,lookup!$A$14:$B$16,2,false),0)</f>
        <v>5</v>
      </c>
      <c r="I45" s="10">
        <f>IFERROR(vlookup('1.6'!H:H,lookup!$A$18:$B$20,2,false),0)</f>
        <v>5</v>
      </c>
      <c r="J45" s="10">
        <f>IFERROR(vlookup('1.6'!I:I,lookup!$A$22:$B$24,2,false),0)</f>
        <v>5</v>
      </c>
      <c r="K45" s="10">
        <f>IFERROR(vlookup('1.6'!J:J,lookup!$A$26:$B$28,2,false),0)</f>
        <v>5</v>
      </c>
      <c r="L45" s="1"/>
      <c r="M45" s="10">
        <v>44.0</v>
      </c>
      <c r="N45" s="11" t="str">
        <f t="shared" si="1"/>
        <v>bnco1044@signalschool.ac.th</v>
      </c>
      <c r="O45" s="12">
        <f t="shared" si="2"/>
        <v>1</v>
      </c>
      <c r="R45" s="6" t="s">
        <v>258</v>
      </c>
    </row>
    <row r="46">
      <c r="A46" s="8">
        <f>'1.6'!A:A</f>
        <v>46262.03821</v>
      </c>
      <c r="B46" s="1" t="str">
        <f>'1.6'!B:B</f>
        <v>bnco1030@signalschool.ac.th</v>
      </c>
      <c r="C46" s="1" t="str">
        <f>'1.6'!C:C</f>
        <v>ส.อ.ศุภณัฐ ไชยโสภา</v>
      </c>
      <c r="D46" s="9">
        <v>1.0</v>
      </c>
      <c r="E46" s="10">
        <f>IFERROR(vlookup('1.6'!D:D,lookup!$A$2:$B$4,2,false),0)</f>
        <v>5</v>
      </c>
      <c r="F46" s="10">
        <f>IFERROR(vlookup('1.6'!E:E,lookup!$A$6:$B$8,2,false),0)</f>
        <v>5</v>
      </c>
      <c r="G46" s="10">
        <f>IFERROR(vlookup('1.6'!F:F,lookup!$A$10:$B$12,2,false),0)</f>
        <v>5</v>
      </c>
      <c r="H46" s="10">
        <f>IFERROR(vlookup('1.6'!G:G,lookup!$A$14:$B$16,2,false),0)</f>
        <v>5</v>
      </c>
      <c r="I46" s="10">
        <f>IFERROR(vlookup('1.6'!H:H,lookup!$A$18:$B$20,2,false),0)</f>
        <v>5</v>
      </c>
      <c r="J46" s="10">
        <f>IFERROR(vlookup('1.6'!I:I,lookup!$A$22:$B$24,2,false),0)</f>
        <v>5</v>
      </c>
      <c r="K46" s="10">
        <f>IFERROR(vlookup('1.6'!J:J,lookup!$A$26:$B$28,2,false),0)</f>
        <v>5</v>
      </c>
      <c r="L46" s="1"/>
      <c r="M46" s="10">
        <v>45.0</v>
      </c>
      <c r="N46" s="11" t="str">
        <f t="shared" si="1"/>
        <v>bnco1045@signalschool.ac.th</v>
      </c>
      <c r="O46" s="12">
        <f t="shared" si="2"/>
        <v>1</v>
      </c>
      <c r="R46" s="6" t="s">
        <v>259</v>
      </c>
    </row>
    <row r="47">
      <c r="A47" s="8">
        <f>'1.6'!A:A</f>
        <v>46262.32865</v>
      </c>
      <c r="B47" s="1" t="str">
        <f>'1.6'!B:B</f>
        <v>bnco1022@signalschool.ac.th</v>
      </c>
      <c r="C47" s="1" t="str">
        <f>'1.6'!C:C</f>
        <v>ส.อ.ศุภณัฐ ไชยโสภา</v>
      </c>
      <c r="D47" s="9">
        <v>1.0</v>
      </c>
      <c r="E47" s="10">
        <f>IFERROR(vlookup('1.6'!D:D,lookup!$A$2:$B$4,2,false),0)</f>
        <v>5</v>
      </c>
      <c r="F47" s="10">
        <f>IFERROR(vlookup('1.6'!E:E,lookup!$A$6:$B$8,2,false),0)</f>
        <v>5</v>
      </c>
      <c r="G47" s="10">
        <f>IFERROR(vlookup('1.6'!F:F,lookup!$A$10:$B$12,2,false),0)</f>
        <v>5</v>
      </c>
      <c r="H47" s="10">
        <f>IFERROR(vlookup('1.6'!G:G,lookup!$A$14:$B$16,2,false),0)</f>
        <v>5</v>
      </c>
      <c r="I47" s="10">
        <f>IFERROR(vlookup('1.6'!H:H,lookup!$A$18:$B$20,2,false),0)</f>
        <v>5</v>
      </c>
      <c r="J47" s="10">
        <f>IFERROR(vlookup('1.6'!I:I,lookup!$A$22:$B$24,2,false),0)</f>
        <v>5</v>
      </c>
      <c r="K47" s="10">
        <f>IFERROR(vlookup('1.6'!J:J,lookup!$A$26:$B$28,2,false),0)</f>
        <v>5</v>
      </c>
      <c r="L47" s="1"/>
      <c r="M47" s="10">
        <v>46.0</v>
      </c>
      <c r="N47" s="11" t="str">
        <f t="shared" si="1"/>
        <v>bnco1046@signalschool.ac.th</v>
      </c>
      <c r="O47" s="12">
        <f t="shared" si="2"/>
        <v>1</v>
      </c>
      <c r="R47" s="6" t="s">
        <v>260</v>
      </c>
    </row>
    <row r="48">
      <c r="A48" s="8">
        <f>'1.6'!A:A</f>
        <v>46262.3378</v>
      </c>
      <c r="B48" s="1" t="str">
        <f>'1.6'!B:B</f>
        <v>bnco1037@signalschool.ac.th</v>
      </c>
      <c r="C48" s="1" t="str">
        <f>'1.6'!C:C</f>
        <v>ส.อ. ศุภณัฐ ไชยโสภา</v>
      </c>
      <c r="D48" s="9">
        <v>1.0</v>
      </c>
      <c r="E48" s="10">
        <f>IFERROR(vlookup('1.6'!D:D,lookup!$A$2:$B$4,2,false),0)</f>
        <v>5</v>
      </c>
      <c r="F48" s="10">
        <f>IFERROR(vlookup('1.6'!E:E,lookup!$A$6:$B$8,2,false),0)</f>
        <v>5</v>
      </c>
      <c r="G48" s="10">
        <f>IFERROR(vlookup('1.6'!F:F,lookup!$A$10:$B$12,2,false),0)</f>
        <v>5</v>
      </c>
      <c r="H48" s="10">
        <f>IFERROR(vlookup('1.6'!G:G,lookup!$A$14:$B$16,2,false),0)</f>
        <v>5</v>
      </c>
      <c r="I48" s="10">
        <f>IFERROR(vlookup('1.6'!H:H,lookup!$A$18:$B$20,2,false),0)</f>
        <v>5</v>
      </c>
      <c r="J48" s="10">
        <f>IFERROR(vlookup('1.6'!I:I,lookup!$A$22:$B$24,2,false),0)</f>
        <v>5</v>
      </c>
      <c r="K48" s="10">
        <f>IFERROR(vlookup('1.6'!J:J,lookup!$A$26:$B$28,2,false),0)</f>
        <v>5</v>
      </c>
      <c r="L48" s="1"/>
      <c r="M48" s="10">
        <v>47.0</v>
      </c>
      <c r="N48" s="11" t="str">
        <f t="shared" si="1"/>
        <v>bnco1047@signalschool.ac.th</v>
      </c>
      <c r="O48" s="12">
        <f t="shared" si="2"/>
        <v>1</v>
      </c>
      <c r="R48" s="6" t="s">
        <v>261</v>
      </c>
    </row>
    <row r="49">
      <c r="A49" s="8">
        <f>'1.6'!A:A</f>
        <v>46262.33805</v>
      </c>
      <c r="B49" s="1" t="str">
        <f>'1.6'!B:B</f>
        <v>bnco1057@signalschool.ac.th</v>
      </c>
      <c r="C49" s="1" t="str">
        <f>'1.6'!C:C</f>
        <v>ส.อ.ศุภณัฐ  ไชยโสภา</v>
      </c>
      <c r="D49" s="9">
        <v>1.0</v>
      </c>
      <c r="E49" s="10">
        <f>IFERROR(vlookup('1.6'!D:D,lookup!$A$2:$B$4,2,false),0)</f>
        <v>5</v>
      </c>
      <c r="F49" s="10">
        <f>IFERROR(vlookup('1.6'!E:E,lookup!$A$6:$B$8,2,false),0)</f>
        <v>5</v>
      </c>
      <c r="G49" s="10">
        <f>IFERROR(vlookup('1.6'!F:F,lookup!$A$10:$B$12,2,false),0)</f>
        <v>5</v>
      </c>
      <c r="H49" s="10">
        <f>IFERROR(vlookup('1.6'!G:G,lookup!$A$14:$B$16,2,false),0)</f>
        <v>5</v>
      </c>
      <c r="I49" s="10">
        <f>IFERROR(vlookup('1.6'!H:H,lookup!$A$18:$B$20,2,false),0)</f>
        <v>5</v>
      </c>
      <c r="J49" s="10">
        <f>IFERROR(vlookup('1.6'!I:I,lookup!$A$22:$B$24,2,false),0)</f>
        <v>5</v>
      </c>
      <c r="K49" s="10">
        <f>IFERROR(vlookup('1.6'!J:J,lookup!$A$26:$B$28,2,false),0)</f>
        <v>5</v>
      </c>
      <c r="L49" s="1"/>
      <c r="M49" s="10">
        <v>48.0</v>
      </c>
      <c r="N49" s="11" t="str">
        <f t="shared" si="1"/>
        <v>bnco1048@signalschool.ac.th</v>
      </c>
      <c r="O49" s="12">
        <f t="shared" si="2"/>
        <v>0</v>
      </c>
      <c r="R49" s="6" t="s">
        <v>262</v>
      </c>
    </row>
    <row r="50">
      <c r="A50" s="8">
        <f>'1.6'!A:A</f>
        <v>46262.33914</v>
      </c>
      <c r="B50" s="1" t="str">
        <f>'1.6'!B:B</f>
        <v>bnco1065@signalschool.ac.th</v>
      </c>
      <c r="C50" s="1" t="str">
        <f>'1.6'!C:C</f>
        <v>ส.อ.ศุภณัฐ    ไชยโสภา</v>
      </c>
      <c r="D50" s="9">
        <v>1.0</v>
      </c>
      <c r="E50" s="10">
        <f>IFERROR(vlookup('1.6'!D:D,lookup!$A$2:$B$4,2,false),0)</f>
        <v>5</v>
      </c>
      <c r="F50" s="10">
        <f>IFERROR(vlookup('1.6'!E:E,lookup!$A$6:$B$8,2,false),0)</f>
        <v>5</v>
      </c>
      <c r="G50" s="10">
        <f>IFERROR(vlookup('1.6'!F:F,lookup!$A$10:$B$12,2,false),0)</f>
        <v>5</v>
      </c>
      <c r="H50" s="10">
        <f>IFERROR(vlookup('1.6'!G:G,lookup!$A$14:$B$16,2,false),0)</f>
        <v>5</v>
      </c>
      <c r="I50" s="10">
        <f>IFERROR(vlookup('1.6'!H:H,lookup!$A$18:$B$20,2,false),0)</f>
        <v>5</v>
      </c>
      <c r="J50" s="10">
        <f>IFERROR(vlookup('1.6'!I:I,lookup!$A$22:$B$24,2,false),0)</f>
        <v>5</v>
      </c>
      <c r="K50" s="10">
        <f>IFERROR(vlookup('1.6'!J:J,lookup!$A$26:$B$28,2,false),0)</f>
        <v>5</v>
      </c>
      <c r="L50" s="1"/>
      <c r="M50" s="10">
        <v>49.0</v>
      </c>
      <c r="N50" s="11" t="str">
        <f t="shared" si="1"/>
        <v>bnco1049@signalschool.ac.th</v>
      </c>
      <c r="O50" s="12">
        <f t="shared" si="2"/>
        <v>1</v>
      </c>
      <c r="R50" s="6" t="s">
        <v>263</v>
      </c>
    </row>
    <row r="51">
      <c r="A51" s="8">
        <f>'1.6'!A:A</f>
        <v>46262.34549</v>
      </c>
      <c r="B51" s="1" t="str">
        <f>'1.6'!B:B</f>
        <v>bnco1016@signalschool.ac.th</v>
      </c>
      <c r="C51" s="1" t="str">
        <f>'1.6'!C:C</f>
        <v>ส.อ.สิทธิพร กันนุฬา</v>
      </c>
      <c r="D51" s="9">
        <v>1.0</v>
      </c>
      <c r="E51" s="10">
        <f>IFERROR(vlookup('1.6'!D:D,lookup!$A$2:$B$4,2,false),0)</f>
        <v>5</v>
      </c>
      <c r="F51" s="10">
        <f>IFERROR(vlookup('1.6'!E:E,lookup!$A$6:$B$8,2,false),0)</f>
        <v>5</v>
      </c>
      <c r="G51" s="10">
        <f>IFERROR(vlookup('1.6'!F:F,lookup!$A$10:$B$12,2,false),0)</f>
        <v>3</v>
      </c>
      <c r="H51" s="10">
        <f>IFERROR(vlookup('1.6'!G:G,lookup!$A$14:$B$16,2,false),0)</f>
        <v>5</v>
      </c>
      <c r="I51" s="10">
        <f>IFERROR(vlookup('1.6'!H:H,lookup!$A$18:$B$20,2,false),0)</f>
        <v>5</v>
      </c>
      <c r="J51" s="10">
        <f>IFERROR(vlookup('1.6'!I:I,lookup!$A$22:$B$24,2,false),0)</f>
        <v>5</v>
      </c>
      <c r="K51" s="10">
        <f>IFERROR(vlookup('1.6'!J:J,lookup!$A$26:$B$28,2,false),0)</f>
        <v>5</v>
      </c>
      <c r="L51" s="1"/>
      <c r="M51" s="10">
        <v>50.0</v>
      </c>
      <c r="N51" s="11" t="str">
        <f t="shared" si="1"/>
        <v>bnco1050@signalschool.ac.th</v>
      </c>
      <c r="O51" s="12">
        <f t="shared" si="2"/>
        <v>1</v>
      </c>
      <c r="R51" s="6" t="s">
        <v>264</v>
      </c>
    </row>
    <row r="52">
      <c r="A52" s="8">
        <f>'1.6'!A:A</f>
        <v>46262.38455</v>
      </c>
      <c r="B52" s="1" t="str">
        <f>'1.6'!B:B</f>
        <v>bnco1023@signalschool.ac.th</v>
      </c>
      <c r="C52" s="1" t="str">
        <f>'1.6'!C:C</f>
        <v>ส.อ.ศุภณัฐ ไชยโสภา</v>
      </c>
      <c r="D52" s="9">
        <v>1.0</v>
      </c>
      <c r="E52" s="10">
        <f>IFERROR(vlookup('1.6'!D:D,lookup!$A$2:$B$4,2,false),0)</f>
        <v>5</v>
      </c>
      <c r="F52" s="10">
        <f>IFERROR(vlookup('1.6'!E:E,lookup!$A$6:$B$8,2,false),0)</f>
        <v>5</v>
      </c>
      <c r="G52" s="10">
        <f>IFERROR(vlookup('1.6'!F:F,lookup!$A$10:$B$12,2,false),0)</f>
        <v>5</v>
      </c>
      <c r="H52" s="10">
        <f>IFERROR(vlookup('1.6'!G:G,lookup!$A$14:$B$16,2,false),0)</f>
        <v>5</v>
      </c>
      <c r="I52" s="10">
        <f>IFERROR(vlookup('1.6'!H:H,lookup!$A$18:$B$20,2,false),0)</f>
        <v>5</v>
      </c>
      <c r="J52" s="10">
        <f>IFERROR(vlookup('1.6'!I:I,lookup!$A$22:$B$24,2,false),0)</f>
        <v>5</v>
      </c>
      <c r="K52" s="10">
        <f>IFERROR(vlookup('1.6'!J:J,lookup!$A$26:$B$28,2,false),0)</f>
        <v>5</v>
      </c>
      <c r="L52" s="1"/>
      <c r="M52" s="10">
        <v>51.0</v>
      </c>
      <c r="N52" s="11" t="str">
        <f t="shared" si="1"/>
        <v>bnco1051@signalschool.ac.th</v>
      </c>
      <c r="O52" s="12">
        <f t="shared" si="2"/>
        <v>1</v>
      </c>
      <c r="R52" s="6" t="s">
        <v>265</v>
      </c>
    </row>
    <row r="53">
      <c r="A53" s="8">
        <f>'1.6'!A:A</f>
        <v>46262.39128</v>
      </c>
      <c r="B53" s="1" t="str">
        <f>'1.6'!B:B</f>
        <v>bnco1019@signalschool.ac.th</v>
      </c>
      <c r="C53" s="1" t="str">
        <f>'1.6'!C:C</f>
        <v>ส.อ.ศุณัฐ  ไชยโสภา</v>
      </c>
      <c r="D53" s="9">
        <v>1.0</v>
      </c>
      <c r="E53" s="10">
        <f>IFERROR(vlookup('1.6'!D:D,lookup!$A$2:$B$4,2,false),0)</f>
        <v>5</v>
      </c>
      <c r="F53" s="10">
        <f>IFERROR(vlookup('1.6'!E:E,lookup!$A$6:$B$8,2,false),0)</f>
        <v>5</v>
      </c>
      <c r="G53" s="10">
        <f>IFERROR(vlookup('1.6'!F:F,lookup!$A$10:$B$12,2,false),0)</f>
        <v>5</v>
      </c>
      <c r="H53" s="10">
        <f>IFERROR(vlookup('1.6'!G:G,lookup!$A$14:$B$16,2,false),0)</f>
        <v>5</v>
      </c>
      <c r="I53" s="10">
        <f>IFERROR(vlookup('1.6'!H:H,lookup!$A$18:$B$20,2,false),0)</f>
        <v>5</v>
      </c>
      <c r="J53" s="10">
        <f>IFERROR(vlookup('1.6'!I:I,lookup!$A$22:$B$24,2,false),0)</f>
        <v>5</v>
      </c>
      <c r="K53" s="10">
        <f>IFERROR(vlookup('1.6'!J:J,lookup!$A$26:$B$28,2,false),0)</f>
        <v>5</v>
      </c>
      <c r="L53" s="1"/>
      <c r="M53" s="10">
        <v>52.0</v>
      </c>
      <c r="N53" s="11" t="str">
        <f t="shared" si="1"/>
        <v>bnco1052@signalschool.ac.th</v>
      </c>
      <c r="O53" s="12">
        <f t="shared" si="2"/>
        <v>1</v>
      </c>
      <c r="R53" s="6" t="s">
        <v>266</v>
      </c>
    </row>
    <row r="54">
      <c r="A54" s="8">
        <f>'1.6'!A:A</f>
        <v>46262.40827</v>
      </c>
      <c r="B54" s="1" t="str">
        <f>'1.6'!B:B</f>
        <v>bnco1013@signalschool.ac.th</v>
      </c>
      <c r="C54" s="1" t="str">
        <f>'1.6'!C:C</f>
        <v>ส.อ.พจนันท์ ประสิทธิ์สัชฌุกร, ส.อ.ศุภณัฐ ไชยโสภา</v>
      </c>
      <c r="D54" s="9">
        <v>1.0</v>
      </c>
      <c r="E54" s="10">
        <f>IFERROR(vlookup('1.6'!D:D,lookup!$A$2:$B$4,2,false),0)</f>
        <v>5</v>
      </c>
      <c r="F54" s="10">
        <f>IFERROR(vlookup('1.6'!E:E,lookup!$A$6:$B$8,2,false),0)</f>
        <v>5</v>
      </c>
      <c r="G54" s="10">
        <f>IFERROR(vlookup('1.6'!F:F,lookup!$A$10:$B$12,2,false),0)</f>
        <v>5</v>
      </c>
      <c r="H54" s="10">
        <f>IFERROR(vlookup('1.6'!G:G,lookup!$A$14:$B$16,2,false),0)</f>
        <v>5</v>
      </c>
      <c r="I54" s="10">
        <f>IFERROR(vlookup('1.6'!H:H,lookup!$A$18:$B$20,2,false),0)</f>
        <v>5</v>
      </c>
      <c r="J54" s="10">
        <f>IFERROR(vlookup('1.6'!I:I,lookup!$A$22:$B$24,2,false),0)</f>
        <v>5</v>
      </c>
      <c r="K54" s="10">
        <f>IFERROR(vlookup('1.6'!J:J,lookup!$A$26:$B$28,2,false),0)</f>
        <v>5</v>
      </c>
      <c r="L54" s="1"/>
      <c r="M54" s="10">
        <v>53.0</v>
      </c>
      <c r="N54" s="11" t="str">
        <f t="shared" si="1"/>
        <v>bnco1053@signalschool.ac.th</v>
      </c>
      <c r="O54" s="12">
        <f t="shared" si="2"/>
        <v>1</v>
      </c>
      <c r="R54" s="6" t="s">
        <v>267</v>
      </c>
    </row>
    <row r="55">
      <c r="A55" s="8">
        <f>'1.6'!A:A</f>
        <v>46262.41357</v>
      </c>
      <c r="B55" s="1" t="str">
        <f>'1.6'!B:B</f>
        <v>bnco1051@signalschool.ac.th</v>
      </c>
      <c r="C55" s="1" t="str">
        <f>'1.6'!C:C</f>
        <v>ส.อ.ศุภณัฐ ชัยโสภา</v>
      </c>
      <c r="D55" s="9">
        <v>1.0</v>
      </c>
      <c r="E55" s="10">
        <f>IFERROR(vlookup('1.6'!D:D,lookup!$A$2:$B$4,2,false),0)</f>
        <v>5</v>
      </c>
      <c r="F55" s="10">
        <f>IFERROR(vlookup('1.6'!E:E,lookup!$A$6:$B$8,2,false),0)</f>
        <v>5</v>
      </c>
      <c r="G55" s="10">
        <f>IFERROR(vlookup('1.6'!F:F,lookup!$A$10:$B$12,2,false),0)</f>
        <v>5</v>
      </c>
      <c r="H55" s="10">
        <f>IFERROR(vlookup('1.6'!G:G,lookup!$A$14:$B$16,2,false),0)</f>
        <v>5</v>
      </c>
      <c r="I55" s="10">
        <f>IFERROR(vlookup('1.6'!H:H,lookup!$A$18:$B$20,2,false),0)</f>
        <v>5</v>
      </c>
      <c r="J55" s="10">
        <f>IFERROR(vlookup('1.6'!I:I,lookup!$A$22:$B$24,2,false),0)</f>
        <v>5</v>
      </c>
      <c r="K55" s="10">
        <f>IFERROR(vlookup('1.6'!J:J,lookup!$A$26:$B$28,2,false),0)</f>
        <v>5</v>
      </c>
      <c r="L55" s="1"/>
      <c r="M55" s="10">
        <v>54.0</v>
      </c>
      <c r="N55" s="11" t="str">
        <f t="shared" si="1"/>
        <v>bnco1054@signalschool.ac.th</v>
      </c>
      <c r="O55" s="12">
        <f t="shared" si="2"/>
        <v>1</v>
      </c>
      <c r="R55" s="6" t="s">
        <v>268</v>
      </c>
    </row>
    <row r="56">
      <c r="A56" s="8">
        <f>'1.6'!A:A</f>
        <v>46262.42209</v>
      </c>
      <c r="B56" s="1" t="str">
        <f>'1.6'!B:B</f>
        <v>bnco1041@signalschool.ac.th</v>
      </c>
      <c r="C56" s="1" t="str">
        <f>'1.6'!C:C</f>
        <v>ส.อ.ศุภณัฐ ไชยโสภา</v>
      </c>
      <c r="D56" s="9">
        <v>1.0</v>
      </c>
      <c r="E56" s="10">
        <f>IFERROR(vlookup('1.6'!D:D,lookup!$A$2:$B$4,2,false),0)</f>
        <v>5</v>
      </c>
      <c r="F56" s="10">
        <f>IFERROR(vlookup('1.6'!E:E,lookup!$A$6:$B$8,2,false),0)</f>
        <v>5</v>
      </c>
      <c r="G56" s="10">
        <f>IFERROR(vlookup('1.6'!F:F,lookup!$A$10:$B$12,2,false),0)</f>
        <v>5</v>
      </c>
      <c r="H56" s="10">
        <f>IFERROR(vlookup('1.6'!G:G,lookup!$A$14:$B$16,2,false),0)</f>
        <v>5</v>
      </c>
      <c r="I56" s="10">
        <f>IFERROR(vlookup('1.6'!H:H,lookup!$A$18:$B$20,2,false),0)</f>
        <v>5</v>
      </c>
      <c r="J56" s="10">
        <f>IFERROR(vlookup('1.6'!I:I,lookup!$A$22:$B$24,2,false),0)</f>
        <v>5</v>
      </c>
      <c r="K56" s="10">
        <f>IFERROR(vlookup('1.6'!J:J,lookup!$A$26:$B$28,2,false),0)</f>
        <v>5</v>
      </c>
      <c r="L56" s="13"/>
      <c r="M56" s="10">
        <v>55.0</v>
      </c>
      <c r="N56" s="11" t="str">
        <f t="shared" si="1"/>
        <v>bnco1055@signalschool.ac.th</v>
      </c>
      <c r="O56" s="12">
        <f t="shared" si="2"/>
        <v>1</v>
      </c>
      <c r="R56" s="6" t="s">
        <v>269</v>
      </c>
    </row>
    <row r="57">
      <c r="A57" s="8">
        <f>'1.6'!A:A</f>
        <v>46262.44221</v>
      </c>
      <c r="B57" s="1" t="str">
        <f>'1.6'!B:B</f>
        <v>bnco1006@signalschool.ac.th</v>
      </c>
      <c r="C57" s="1" t="str">
        <f>'1.6'!C:C</f>
        <v>ร.ท.ศุภรัชฎ หมอกสุข</v>
      </c>
      <c r="D57" s="9">
        <v>1.0</v>
      </c>
      <c r="E57" s="10">
        <f>IFERROR(vlookup('1.6'!D:D,lookup!$A$2:$B$4,2,false),0)</f>
        <v>5</v>
      </c>
      <c r="F57" s="10">
        <f>IFERROR(vlookup('1.6'!E:E,lookup!$A$6:$B$8,2,false),0)</f>
        <v>5</v>
      </c>
      <c r="G57" s="10">
        <f>IFERROR(vlookup('1.6'!F:F,lookup!$A$10:$B$12,2,false),0)</f>
        <v>5</v>
      </c>
      <c r="H57" s="10">
        <f>IFERROR(vlookup('1.6'!G:G,lookup!$A$14:$B$16,2,false),0)</f>
        <v>3</v>
      </c>
      <c r="I57" s="10">
        <f>IFERROR(vlookup('1.6'!H:H,lookup!$A$18:$B$20,2,false),0)</f>
        <v>3</v>
      </c>
      <c r="J57" s="10">
        <f>IFERROR(vlookup('1.6'!I:I,lookup!$A$22:$B$24,2,false),0)</f>
        <v>5</v>
      </c>
      <c r="K57" s="10">
        <f>IFERROR(vlookup('1.6'!J:J,lookup!$A$26:$B$28,2,false),0)</f>
        <v>5</v>
      </c>
      <c r="L57" s="13"/>
      <c r="M57" s="10">
        <v>56.0</v>
      </c>
      <c r="N57" s="11" t="str">
        <f t="shared" si="1"/>
        <v>bnco1056@signalschool.ac.th</v>
      </c>
      <c r="O57" s="12">
        <f t="shared" si="2"/>
        <v>1</v>
      </c>
      <c r="R57" s="6" t="s">
        <v>270</v>
      </c>
    </row>
    <row r="58">
      <c r="A58" s="8">
        <f>'1.6'!A:A</f>
        <v>46262.44658</v>
      </c>
      <c r="B58" s="1" t="str">
        <f>'1.6'!B:B</f>
        <v>bnco1018@signalschool.ac.th</v>
      </c>
      <c r="C58" s="1" t="str">
        <f>'1.6'!C:C</f>
        <v>ร.ท.ศุภชัย ป้องเศร้า</v>
      </c>
      <c r="D58" s="9">
        <v>1.0</v>
      </c>
      <c r="E58" s="10">
        <f>IFERROR(vlookup('1.6'!D:D,lookup!$A$2:$B$4,2,false),0)</f>
        <v>5</v>
      </c>
      <c r="F58" s="10">
        <f>IFERROR(vlookup('1.6'!E:E,lookup!$A$6:$B$8,2,false),0)</f>
        <v>5</v>
      </c>
      <c r="G58" s="10">
        <f>IFERROR(vlookup('1.6'!F:F,lookup!$A$10:$B$12,2,false),0)</f>
        <v>5</v>
      </c>
      <c r="H58" s="10">
        <f>IFERROR(vlookup('1.6'!G:G,lookup!$A$14:$B$16,2,false),0)</f>
        <v>5</v>
      </c>
      <c r="I58" s="10">
        <f>IFERROR(vlookup('1.6'!H:H,lookup!$A$18:$B$20,2,false),0)</f>
        <v>5</v>
      </c>
      <c r="J58" s="10">
        <f>IFERROR(vlookup('1.6'!I:I,lookup!$A$22:$B$24,2,false),0)</f>
        <v>5</v>
      </c>
      <c r="K58" s="10">
        <f>IFERROR(vlookup('1.6'!J:J,lookup!$A$26:$B$28,2,false),0)</f>
        <v>5</v>
      </c>
      <c r="L58" s="13"/>
      <c r="M58" s="10">
        <v>57.0</v>
      </c>
      <c r="N58" s="11" t="str">
        <f t="shared" si="1"/>
        <v>bnco1057@signalschool.ac.th</v>
      </c>
      <c r="O58" s="12">
        <f t="shared" si="2"/>
        <v>1</v>
      </c>
      <c r="R58" s="6" t="s">
        <v>271</v>
      </c>
    </row>
    <row r="59">
      <c r="A59" s="8">
        <f>'1.6'!A:A</f>
        <v>46262.46645</v>
      </c>
      <c r="B59" s="1" t="str">
        <f>'1.6'!B:B</f>
        <v>bnco1003@signalschool.ac.th</v>
      </c>
      <c r="C59" s="1" t="str">
        <f>'1.6'!C:C</f>
        <v>ร.ท.ศุภชัย  ป้องเศร้า</v>
      </c>
      <c r="D59" s="9">
        <v>1.0</v>
      </c>
      <c r="E59" s="10">
        <f>IFERROR(vlookup('1.6'!D:D,lookup!$A$2:$B$4,2,false),0)</f>
        <v>5</v>
      </c>
      <c r="F59" s="10">
        <f>IFERROR(vlookup('1.6'!E:E,lookup!$A$6:$B$8,2,false),0)</f>
        <v>5</v>
      </c>
      <c r="G59" s="10">
        <f>IFERROR(vlookup('1.6'!F:F,lookup!$A$10:$B$12,2,false),0)</f>
        <v>5</v>
      </c>
      <c r="H59" s="10">
        <f>IFERROR(vlookup('1.6'!G:G,lookup!$A$14:$B$16,2,false),0)</f>
        <v>5</v>
      </c>
      <c r="I59" s="10">
        <f>IFERROR(vlookup('1.6'!H:H,lookup!$A$18:$B$20,2,false),0)</f>
        <v>5</v>
      </c>
      <c r="J59" s="10">
        <f>IFERROR(vlookup('1.6'!I:I,lookup!$A$22:$B$24,2,false),0)</f>
        <v>5</v>
      </c>
      <c r="K59" s="10">
        <f>IFERROR(vlookup('1.6'!J:J,lookup!$A$26:$B$28,2,false),0)</f>
        <v>5</v>
      </c>
      <c r="L59" s="14"/>
      <c r="M59" s="10">
        <v>58.0</v>
      </c>
      <c r="N59" s="11" t="str">
        <f t="shared" si="1"/>
        <v>bnco1058@signalschool.ac.th</v>
      </c>
      <c r="O59" s="12">
        <f t="shared" si="2"/>
        <v>1</v>
      </c>
      <c r="R59" s="6" t="s">
        <v>272</v>
      </c>
    </row>
    <row r="60">
      <c r="A60" s="8">
        <f>'1.6'!A:A</f>
        <v>46262.46685</v>
      </c>
      <c r="B60" s="1" t="str">
        <f>'1.6'!B:B</f>
        <v>bnco1032@signalschool.ac.th</v>
      </c>
      <c r="C60" s="1" t="str">
        <f>'1.6'!C:C</f>
        <v>ส.อ.ศุภณัฐ ไชยโสภา</v>
      </c>
      <c r="D60" s="9">
        <v>1.0</v>
      </c>
      <c r="E60" s="10">
        <f>IFERROR(vlookup('1.6'!D:D,lookup!$A$2:$B$4,2,false),0)</f>
        <v>3</v>
      </c>
      <c r="F60" s="10">
        <f>IFERROR(vlookup('1.6'!E:E,lookup!$A$6:$B$8,2,false),0)</f>
        <v>5</v>
      </c>
      <c r="G60" s="10">
        <f>IFERROR(vlookup('1.6'!F:F,lookup!$A$10:$B$12,2,false),0)</f>
        <v>5</v>
      </c>
      <c r="H60" s="10">
        <f>IFERROR(vlookup('1.6'!G:G,lookup!$A$14:$B$16,2,false),0)</f>
        <v>5</v>
      </c>
      <c r="I60" s="10">
        <f>IFERROR(vlookup('1.6'!H:H,lookup!$A$18:$B$20,2,false),0)</f>
        <v>5</v>
      </c>
      <c r="J60" s="10">
        <f>IFERROR(vlookup('1.6'!I:I,lookup!$A$22:$B$24,2,false),0)</f>
        <v>5</v>
      </c>
      <c r="K60" s="10">
        <f>IFERROR(vlookup('1.6'!J:J,lookup!$A$26:$B$28,2,false),0)</f>
        <v>5</v>
      </c>
      <c r="L60" s="10"/>
      <c r="M60" s="10">
        <v>59.0</v>
      </c>
      <c r="N60" s="11" t="str">
        <f t="shared" si="1"/>
        <v>bnco1059@signalschool.ac.th</v>
      </c>
      <c r="O60" s="12">
        <f t="shared" si="2"/>
        <v>1</v>
      </c>
      <c r="R60" s="6" t="s">
        <v>273</v>
      </c>
    </row>
    <row r="61">
      <c r="A61" s="8">
        <f>'1.6'!A:A</f>
        <v>46262.48121</v>
      </c>
      <c r="B61" s="1" t="str">
        <f>'1.6'!B:B</f>
        <v>bnco1024@signalschool.ac.th</v>
      </c>
      <c r="C61" s="1" t="str">
        <f>'1.6'!C:C</f>
        <v>ร.ท.ศุภชัย ป้องเศร้า, จ.ส.อ.พงศภัค อุ่นอนันต์</v>
      </c>
      <c r="D61" s="9">
        <v>1.0</v>
      </c>
      <c r="E61" s="10">
        <f>IFERROR(vlookup('1.6'!D:D,lookup!$A$2:$B$4,2,false),0)</f>
        <v>5</v>
      </c>
      <c r="F61" s="10">
        <f>IFERROR(vlookup('1.6'!E:E,lookup!$A$6:$B$8,2,false),0)</f>
        <v>5</v>
      </c>
      <c r="G61" s="10">
        <f>IFERROR(vlookup('1.6'!F:F,lookup!$A$10:$B$12,2,false),0)</f>
        <v>5</v>
      </c>
      <c r="H61" s="10">
        <f>IFERROR(vlookup('1.6'!G:G,lookup!$A$14:$B$16,2,false),0)</f>
        <v>5</v>
      </c>
      <c r="I61" s="10">
        <f>IFERROR(vlookup('1.6'!H:H,lookup!$A$18:$B$20,2,false),0)</f>
        <v>5</v>
      </c>
      <c r="J61" s="10">
        <f>IFERROR(vlookup('1.6'!I:I,lookup!$A$22:$B$24,2,false),0)</f>
        <v>5</v>
      </c>
      <c r="K61" s="10">
        <f>IFERROR(vlookup('1.6'!J:J,lookup!$A$26:$B$28,2,false),0)</f>
        <v>5</v>
      </c>
      <c r="M61" s="10">
        <v>60.0</v>
      </c>
      <c r="N61" s="11" t="str">
        <f t="shared" si="1"/>
        <v>bnco1060@signalschool.ac.th</v>
      </c>
      <c r="O61" s="12">
        <f t="shared" si="2"/>
        <v>1</v>
      </c>
      <c r="R61" s="6" t="s">
        <v>274</v>
      </c>
    </row>
    <row r="62">
      <c r="A62" s="8">
        <f>'1.6'!A:A</f>
        <v>46262.48372</v>
      </c>
      <c r="B62" s="1" t="str">
        <f>'1.6'!B:B</f>
        <v>bnco1060@signalschool.ac.th</v>
      </c>
      <c r="C62" s="1" t="str">
        <f>'1.6'!C:C</f>
        <v>ส.อ.ศุภณัฐ ไชยโสภา</v>
      </c>
      <c r="D62" s="9">
        <v>1.0</v>
      </c>
      <c r="E62" s="10">
        <f>IFERROR(vlookup('1.6'!D:D,lookup!$A$2:$B$4,2,false),0)</f>
        <v>5</v>
      </c>
      <c r="F62" s="10">
        <f>IFERROR(vlookup('1.6'!E:E,lookup!$A$6:$B$8,2,false),0)</f>
        <v>5</v>
      </c>
      <c r="G62" s="10">
        <f>IFERROR(vlookup('1.6'!F:F,lookup!$A$10:$B$12,2,false),0)</f>
        <v>5</v>
      </c>
      <c r="H62" s="10">
        <f>IFERROR(vlookup('1.6'!G:G,lookup!$A$14:$B$16,2,false),0)</f>
        <v>5</v>
      </c>
      <c r="I62" s="10">
        <f>IFERROR(vlookup('1.6'!H:H,lookup!$A$18:$B$20,2,false),0)</f>
        <v>5</v>
      </c>
      <c r="J62" s="10">
        <f>IFERROR(vlookup('1.6'!I:I,lookup!$A$22:$B$24,2,false),0)</f>
        <v>5</v>
      </c>
      <c r="K62" s="10">
        <f>IFERROR(vlookup('1.6'!J:J,lookup!$A$26:$B$28,2,false),0)</f>
        <v>5</v>
      </c>
      <c r="M62" s="10">
        <v>61.0</v>
      </c>
      <c r="N62" s="11" t="str">
        <f t="shared" si="1"/>
        <v>bnco1061@signalschool.ac.th</v>
      </c>
      <c r="O62" s="12">
        <f t="shared" si="2"/>
        <v>1</v>
      </c>
      <c r="R62" s="6" t="s">
        <v>275</v>
      </c>
    </row>
    <row r="63">
      <c r="A63" s="8">
        <f>'1.6'!A:A</f>
        <v>46262.50388</v>
      </c>
      <c r="B63" s="1" t="str">
        <f>'1.6'!B:B</f>
        <v>bnco1063@signalschool.ac.th</v>
      </c>
      <c r="C63" s="1" t="str">
        <f>'1.6'!C:C</f>
        <v>ร.ท.ศุภชัย ป้องเศร้า จ.ส.อ.พงศภัค อุ่นอนันต์ พ.ท.สุทธิพงษ์ ขำดี</v>
      </c>
      <c r="D63" s="9">
        <v>1.0</v>
      </c>
      <c r="E63" s="10">
        <f>IFERROR(vlookup('1.6'!D:D,lookup!$A$2:$B$4,2,false),0)</f>
        <v>5</v>
      </c>
      <c r="F63" s="10">
        <f>IFERROR(vlookup('1.6'!E:E,lookup!$A$6:$B$8,2,false),0)</f>
        <v>5</v>
      </c>
      <c r="G63" s="10">
        <f>IFERROR(vlookup('1.6'!F:F,lookup!$A$10:$B$12,2,false),0)</f>
        <v>5</v>
      </c>
      <c r="H63" s="10">
        <f>IFERROR(vlookup('1.6'!G:G,lookup!$A$14:$B$16,2,false),0)</f>
        <v>5</v>
      </c>
      <c r="I63" s="10">
        <f>IFERROR(vlookup('1.6'!H:H,lookup!$A$18:$B$20,2,false),0)</f>
        <v>5</v>
      </c>
      <c r="J63" s="10">
        <f>IFERROR(vlookup('1.6'!I:I,lookup!$A$22:$B$24,2,false),0)</f>
        <v>5</v>
      </c>
      <c r="K63" s="10">
        <f>IFERROR(vlookup('1.6'!J:J,lookup!$A$26:$B$28,2,false),0)</f>
        <v>5</v>
      </c>
      <c r="M63" s="10">
        <v>62.0</v>
      </c>
      <c r="N63" s="11" t="str">
        <f t="shared" si="1"/>
        <v>bnco1062@signalschool.ac.th</v>
      </c>
      <c r="O63" s="12">
        <f t="shared" si="2"/>
        <v>1</v>
      </c>
      <c r="R63" s="6" t="s">
        <v>276</v>
      </c>
    </row>
    <row r="64">
      <c r="A64" s="8">
        <f>'1.6'!A:A</f>
        <v>46262.53589</v>
      </c>
      <c r="B64" s="1" t="str">
        <f>'1.6'!B:B</f>
        <v>bnco1031@signalschool.ac.th</v>
      </c>
      <c r="C64" s="1" t="str">
        <f>'1.6'!C:C</f>
        <v>ร.ท. ศุภชัย ป้องเศร้า ,จ.ส.อ. พงศภัค อุ่นอนันต์</v>
      </c>
      <c r="D64" s="9">
        <v>1.0</v>
      </c>
      <c r="E64" s="10">
        <f>IFERROR(vlookup('1.6'!D:D,lookup!$A$2:$B$4,2,false),0)</f>
        <v>5</v>
      </c>
      <c r="F64" s="10">
        <f>IFERROR(vlookup('1.6'!E:E,lookup!$A$6:$B$8,2,false),0)</f>
        <v>5</v>
      </c>
      <c r="G64" s="10">
        <f>IFERROR(vlookup('1.6'!F:F,lookup!$A$10:$B$12,2,false),0)</f>
        <v>5</v>
      </c>
      <c r="H64" s="10">
        <f>IFERROR(vlookup('1.6'!G:G,lookup!$A$14:$B$16,2,false),0)</f>
        <v>5</v>
      </c>
      <c r="I64" s="10">
        <f>IFERROR(vlookup('1.6'!H:H,lookup!$A$18:$B$20,2,false),0)</f>
        <v>5</v>
      </c>
      <c r="J64" s="10">
        <f>IFERROR(vlookup('1.6'!I:I,lookup!$A$22:$B$24,2,false),0)</f>
        <v>5</v>
      </c>
      <c r="K64" s="10">
        <f>IFERROR(vlookup('1.6'!J:J,lookup!$A$26:$B$28,2,false),0)</f>
        <v>5</v>
      </c>
      <c r="M64" s="10">
        <v>63.0</v>
      </c>
      <c r="N64" s="11" t="str">
        <f t="shared" si="1"/>
        <v>bnco1063@signalschool.ac.th</v>
      </c>
      <c r="O64" s="12">
        <f t="shared" si="2"/>
        <v>1</v>
      </c>
      <c r="R64" s="6" t="s">
        <v>277</v>
      </c>
    </row>
    <row r="65">
      <c r="A65" s="8">
        <f>'1.6'!A:A</f>
        <v>46262.59655</v>
      </c>
      <c r="B65" s="1" t="str">
        <f>'1.6'!B:B</f>
        <v>bnco1045@signalschool.ac.th</v>
      </c>
      <c r="C65" s="1" t="str">
        <f>'1.6'!C:C</f>
        <v>ร.ท.ศุภชัย  ป้องเศร้า</v>
      </c>
      <c r="D65" s="9">
        <v>1.0</v>
      </c>
      <c r="E65" s="10">
        <f>IFERROR(vlookup('1.6'!D:D,lookup!$A$2:$B$4,2,false),0)</f>
        <v>5</v>
      </c>
      <c r="F65" s="10">
        <f>IFERROR(vlookup('1.6'!E:E,lookup!$A$6:$B$8,2,false),0)</f>
        <v>5</v>
      </c>
      <c r="G65" s="10">
        <f>IFERROR(vlookup('1.6'!F:F,lookup!$A$10:$B$12,2,false),0)</f>
        <v>5</v>
      </c>
      <c r="H65" s="10">
        <f>IFERROR(vlookup('1.6'!G:G,lookup!$A$14:$B$16,2,false),0)</f>
        <v>5</v>
      </c>
      <c r="I65" s="10">
        <f>IFERROR(vlookup('1.6'!H:H,lookup!$A$18:$B$20,2,false),0)</f>
        <v>5</v>
      </c>
      <c r="J65" s="10">
        <f>IFERROR(vlookup('1.6'!I:I,lookup!$A$22:$B$24,2,false),0)</f>
        <v>5</v>
      </c>
      <c r="K65" s="10">
        <f>IFERROR(vlookup('1.6'!J:J,lookup!$A$26:$B$28,2,false),0)</f>
        <v>5</v>
      </c>
      <c r="M65" s="10">
        <v>64.0</v>
      </c>
      <c r="N65" s="11" t="str">
        <f t="shared" si="1"/>
        <v>bnco1064@signalschool.ac.th</v>
      </c>
      <c r="O65" s="12">
        <f t="shared" si="2"/>
        <v>1</v>
      </c>
      <c r="R65" s="6" t="s">
        <v>278</v>
      </c>
    </row>
    <row r="66">
      <c r="A66" s="8">
        <f>'1.6'!A:A</f>
        <v>46262.63111</v>
      </c>
      <c r="B66" s="1" t="str">
        <f>'1.6'!B:B</f>
        <v>bnco1064@signalschool.ac.th</v>
      </c>
      <c r="C66" s="1" t="str">
        <f>'1.6'!C:C</f>
        <v>ร.ท.ศุภชัย ป้องเศร้า  จ.ส.อ พงศภัค  อุ่นอนันต์</v>
      </c>
      <c r="D66" s="9">
        <v>1.0</v>
      </c>
      <c r="E66" s="10">
        <f>IFERROR(vlookup('1.6'!D:D,lookup!$A$2:$B$4,2,false),0)</f>
        <v>5</v>
      </c>
      <c r="F66" s="10">
        <f>IFERROR(vlookup('1.6'!E:E,lookup!$A$6:$B$8,2,false),0)</f>
        <v>5</v>
      </c>
      <c r="G66" s="10">
        <f>IFERROR(vlookup('1.6'!F:F,lookup!$A$10:$B$12,2,false),0)</f>
        <v>5</v>
      </c>
      <c r="H66" s="10">
        <f>IFERROR(vlookup('1.6'!G:G,lookup!$A$14:$B$16,2,false),0)</f>
        <v>5</v>
      </c>
      <c r="I66" s="10">
        <f>IFERROR(vlookup('1.6'!H:H,lookup!$A$18:$B$20,2,false),0)</f>
        <v>5</v>
      </c>
      <c r="J66" s="10">
        <f>IFERROR(vlookup('1.6'!I:I,lookup!$A$22:$B$24,2,false),0)</f>
        <v>5</v>
      </c>
      <c r="K66" s="10">
        <f>IFERROR(vlookup('1.6'!J:J,lookup!$A$26:$B$28,2,false),0)</f>
        <v>5</v>
      </c>
      <c r="M66" s="10">
        <v>65.0</v>
      </c>
      <c r="N66" s="11" t="str">
        <f t="shared" si="1"/>
        <v>bnco1065@signalschool.ac.th</v>
      </c>
      <c r="O66" s="12">
        <f t="shared" si="2"/>
        <v>1</v>
      </c>
      <c r="R66" s="6" t="s">
        <v>279</v>
      </c>
    </row>
    <row r="67">
      <c r="A67" s="8">
        <f>'1.6'!A:A</f>
        <v>46262.96042</v>
      </c>
      <c r="B67" s="1" t="str">
        <f>'1.6'!B:B</f>
        <v>bnco1071@signalschool.ac.th</v>
      </c>
      <c r="C67" s="1" t="str">
        <f>'1.6'!C:C</f>
        <v>ร.ท.ศุภชัย ป้องเศร้า จ.ส.อ.พงศถัค อุ่นอนันต์ พ.ท.สุธิพงษ์ ขำดี</v>
      </c>
      <c r="D67" s="9">
        <v>1.0</v>
      </c>
      <c r="E67" s="10">
        <f>IFERROR(vlookup('1.6'!D:D,lookup!$A$2:$B$4,2,false),0)</f>
        <v>5</v>
      </c>
      <c r="F67" s="10">
        <f>IFERROR(vlookup('1.6'!E:E,lookup!$A$6:$B$8,2,false),0)</f>
        <v>5</v>
      </c>
      <c r="G67" s="10">
        <f>IFERROR(vlookup('1.6'!F:F,lookup!$A$10:$B$12,2,false),0)</f>
        <v>5</v>
      </c>
      <c r="H67" s="10">
        <f>IFERROR(vlookup('1.6'!G:G,lookup!$A$14:$B$16,2,false),0)</f>
        <v>5</v>
      </c>
      <c r="I67" s="10">
        <f>IFERROR(vlookup('1.6'!H:H,lookup!$A$18:$B$20,2,false),0)</f>
        <v>5</v>
      </c>
      <c r="J67" s="10">
        <f>IFERROR(vlookup('1.6'!I:I,lookup!$A$22:$B$24,2,false),0)</f>
        <v>5</v>
      </c>
      <c r="K67" s="10">
        <f>IFERROR(vlookup('1.6'!J:J,lookup!$A$26:$B$28,2,false),0)</f>
        <v>5</v>
      </c>
      <c r="M67" s="10">
        <v>66.0</v>
      </c>
      <c r="N67" s="11" t="str">
        <f t="shared" si="1"/>
        <v>bnco1066@signalschool.ac.th</v>
      </c>
      <c r="O67" s="12">
        <f t="shared" si="2"/>
        <v>1</v>
      </c>
      <c r="R67" s="6" t="s">
        <v>280</v>
      </c>
    </row>
    <row r="68">
      <c r="A68" s="8">
        <f>'1.6'!A:A</f>
        <v>46263.03887</v>
      </c>
      <c r="B68" s="1" t="str">
        <f>'1.6'!B:B</f>
        <v>bnco1047@signalschool.ac.th</v>
      </c>
      <c r="C68" s="1" t="str">
        <f>'1.6'!C:C</f>
        <v>ร.ท.ศุภชัย ป้องเศร้า</v>
      </c>
      <c r="D68" s="9">
        <v>1.0</v>
      </c>
      <c r="E68" s="10">
        <f>IFERROR(vlookup('1.6'!D:D,lookup!$A$2:$B$4,2,false),0)</f>
        <v>5</v>
      </c>
      <c r="F68" s="10">
        <f>IFERROR(vlookup('1.6'!E:E,lookup!$A$6:$B$8,2,false),0)</f>
        <v>5</v>
      </c>
      <c r="G68" s="10">
        <f>IFERROR(vlookup('1.6'!F:F,lookup!$A$10:$B$12,2,false),0)</f>
        <v>5</v>
      </c>
      <c r="H68" s="10">
        <f>IFERROR(vlookup('1.6'!G:G,lookup!$A$14:$B$16,2,false),0)</f>
        <v>5</v>
      </c>
      <c r="I68" s="10">
        <f>IFERROR(vlookup('1.6'!H:H,lookup!$A$18:$B$20,2,false),0)</f>
        <v>5</v>
      </c>
      <c r="J68" s="10">
        <f>IFERROR(vlookup('1.6'!I:I,lookup!$A$22:$B$24,2,false),0)</f>
        <v>5</v>
      </c>
      <c r="K68" s="10">
        <f>IFERROR(vlookup('1.6'!J:J,lookup!$A$26:$B$28,2,false),0)</f>
        <v>5</v>
      </c>
      <c r="M68" s="10">
        <v>67.0</v>
      </c>
      <c r="N68" s="11" t="str">
        <f t="shared" si="1"/>
        <v>bnco1067@signalschool.ac.th</v>
      </c>
      <c r="O68" s="12">
        <f t="shared" si="2"/>
        <v>1</v>
      </c>
      <c r="R68" s="6" t="s">
        <v>281</v>
      </c>
    </row>
    <row r="69">
      <c r="A69" s="8">
        <f>'1.6'!A:A</f>
        <v>46263.60024</v>
      </c>
      <c r="B69" s="1" t="str">
        <f>'1.6'!B:B</f>
        <v>bnco1077@signalschool.ac.th</v>
      </c>
      <c r="C69" s="1" t="str">
        <f>'1.6'!C:C</f>
        <v>ส.อ.ภูมินทร์  อ่อนไถล</v>
      </c>
      <c r="D69" s="9">
        <v>1.0</v>
      </c>
      <c r="E69" s="10">
        <f>IFERROR(vlookup('1.6'!D:D,lookup!$A$2:$B$4,2,false),0)</f>
        <v>5</v>
      </c>
      <c r="F69" s="10">
        <f>IFERROR(vlookup('1.6'!E:E,lookup!$A$6:$B$8,2,false),0)</f>
        <v>5</v>
      </c>
      <c r="G69" s="10">
        <f>IFERROR(vlookup('1.6'!F:F,lookup!$A$10:$B$12,2,false),0)</f>
        <v>5</v>
      </c>
      <c r="H69" s="10">
        <f>IFERROR(vlookup('1.6'!G:G,lookup!$A$14:$B$16,2,false),0)</f>
        <v>5</v>
      </c>
      <c r="I69" s="10">
        <f>IFERROR(vlookup('1.6'!H:H,lookup!$A$18:$B$20,2,false),0)</f>
        <v>5</v>
      </c>
      <c r="J69" s="10">
        <f>IFERROR(vlookup('1.6'!I:I,lookup!$A$22:$B$24,2,false),0)</f>
        <v>5</v>
      </c>
      <c r="K69" s="10">
        <f>IFERROR(vlookup('1.6'!J:J,lookup!$A$26:$B$28,2,false),0)</f>
        <v>5</v>
      </c>
      <c r="M69" s="10">
        <v>68.0</v>
      </c>
      <c r="N69" s="11" t="str">
        <f t="shared" si="1"/>
        <v>bnco1068@signalschool.ac.th</v>
      </c>
      <c r="O69" s="12">
        <f t="shared" si="2"/>
        <v>1</v>
      </c>
      <c r="R69" s="6" t="s">
        <v>282</v>
      </c>
    </row>
    <row r="70">
      <c r="A70" s="8">
        <f>'1.6'!A:A</f>
        <v>46264.63078</v>
      </c>
      <c r="B70" s="1" t="str">
        <f>'1.6'!B:B</f>
        <v>bnco1026@signalschool.ac.th</v>
      </c>
      <c r="C70" s="1" t="str">
        <f>'1.6'!C:C</f>
        <v>ส.อ.ศุภณัฐ  ไชยโสภา</v>
      </c>
      <c r="D70" s="9">
        <v>1.0</v>
      </c>
      <c r="E70" s="10">
        <f>IFERROR(vlookup('1.6'!D:D,lookup!$A$2:$B$4,2,false),0)</f>
        <v>5</v>
      </c>
      <c r="F70" s="10">
        <f>IFERROR(vlookup('1.6'!E:E,lookup!$A$6:$B$8,2,false),0)</f>
        <v>5</v>
      </c>
      <c r="G70" s="10">
        <f>IFERROR(vlookup('1.6'!F:F,lookup!$A$10:$B$12,2,false),0)</f>
        <v>5</v>
      </c>
      <c r="H70" s="10">
        <f>IFERROR(vlookup('1.6'!G:G,lookup!$A$14:$B$16,2,false),0)</f>
        <v>5</v>
      </c>
      <c r="I70" s="10">
        <f>IFERROR(vlookup('1.6'!H:H,lookup!$A$18:$B$20,2,false),0)</f>
        <v>5</v>
      </c>
      <c r="J70" s="10">
        <f>IFERROR(vlookup('1.6'!I:I,lookup!$A$22:$B$24,2,false),0)</f>
        <v>5</v>
      </c>
      <c r="K70" s="10">
        <f>IFERROR(vlookup('1.6'!J:J,lookup!$A$26:$B$28,2,false),0)</f>
        <v>3</v>
      </c>
      <c r="M70" s="10">
        <v>69.0</v>
      </c>
      <c r="N70" s="11" t="str">
        <f t="shared" si="1"/>
        <v>bnco1069@signalschool.ac.th</v>
      </c>
      <c r="O70" s="12">
        <f t="shared" si="2"/>
        <v>1</v>
      </c>
      <c r="R70" s="6" t="s">
        <v>283</v>
      </c>
    </row>
    <row r="71">
      <c r="A71" s="8">
        <f>'1.6'!A:A</f>
        <v>46264.87991</v>
      </c>
      <c r="B71" s="1" t="str">
        <f>'1.6'!B:B</f>
        <v>edu.rad@signalschool.ac.th</v>
      </c>
      <c r="C71" s="1" t="str">
        <f>'1.6'!C:C</f>
        <v>ครูอาจารย์ รร.ส.สส.</v>
      </c>
      <c r="D71" s="9">
        <v>1.0</v>
      </c>
      <c r="E71" s="10">
        <f>IFERROR(vlookup('1.6'!D:D,lookup!$A$2:$B$4,2,false),0)</f>
        <v>5</v>
      </c>
      <c r="F71" s="10">
        <f>IFERROR(vlookup('1.6'!E:E,lookup!$A$6:$B$8,2,false),0)</f>
        <v>5</v>
      </c>
      <c r="G71" s="10">
        <f>IFERROR(vlookup('1.6'!F:F,lookup!$A$10:$B$12,2,false),0)</f>
        <v>5</v>
      </c>
      <c r="H71" s="10">
        <f>IFERROR(vlookup('1.6'!G:G,lookup!$A$14:$B$16,2,false),0)</f>
        <v>5</v>
      </c>
      <c r="I71" s="10">
        <f>IFERROR(vlookup('1.6'!H:H,lookup!$A$18:$B$20,2,false),0)</f>
        <v>5</v>
      </c>
      <c r="J71" s="10">
        <f>IFERROR(vlookup('1.6'!I:I,lookup!$A$22:$B$24,2,false),0)</f>
        <v>5</v>
      </c>
      <c r="K71" s="10">
        <f>IFERROR(vlookup('1.6'!J:J,lookup!$A$26:$B$28,2,false),0)</f>
        <v>5</v>
      </c>
      <c r="M71" s="10">
        <v>70.0</v>
      </c>
      <c r="N71" s="11" t="str">
        <f t="shared" si="1"/>
        <v>bnco1070@signalschool.ac.th</v>
      </c>
      <c r="O71" s="12">
        <f t="shared" si="2"/>
        <v>1</v>
      </c>
      <c r="R71" s="6" t="s">
        <v>284</v>
      </c>
    </row>
    <row r="72">
      <c r="A72" s="8">
        <f>'1.6'!A:A</f>
        <v>46264.95657</v>
      </c>
      <c r="B72" s="1" t="str">
        <f>'1.6'!B:B</f>
        <v>bnco1020@signalschool.ac.th</v>
      </c>
      <c r="C72" s="1" t="str">
        <f>'1.6'!C:C</f>
        <v>ส.อ. ศุภณัฐ ไชยโสภา</v>
      </c>
      <c r="D72" s="9">
        <v>1.0</v>
      </c>
      <c r="E72" s="10">
        <f>IFERROR(vlookup('1.6'!D:D,lookup!$A$2:$B$4,2,false),0)</f>
        <v>5</v>
      </c>
      <c r="F72" s="10">
        <f>IFERROR(vlookup('1.6'!E:E,lookup!$A$6:$B$8,2,false),0)</f>
        <v>5</v>
      </c>
      <c r="G72" s="10">
        <f>IFERROR(vlookup('1.6'!F:F,lookup!$A$10:$B$12,2,false),0)</f>
        <v>5</v>
      </c>
      <c r="H72" s="10">
        <f>IFERROR(vlookup('1.6'!G:G,lookup!$A$14:$B$16,2,false),0)</f>
        <v>5</v>
      </c>
      <c r="I72" s="10">
        <f>IFERROR(vlookup('1.6'!H:H,lookup!$A$18:$B$20,2,false),0)</f>
        <v>5</v>
      </c>
      <c r="J72" s="10">
        <f>IFERROR(vlookup('1.6'!I:I,lookup!$A$22:$B$24,2,false),0)</f>
        <v>5</v>
      </c>
      <c r="K72" s="10">
        <f>IFERROR(vlookup('1.6'!J:J,lookup!$A$26:$B$28,2,false),0)</f>
        <v>5</v>
      </c>
      <c r="M72" s="10">
        <v>71.0</v>
      </c>
      <c r="N72" s="11" t="str">
        <f t="shared" si="1"/>
        <v>bnco1071@signalschool.ac.th</v>
      </c>
      <c r="O72" s="12">
        <f t="shared" si="2"/>
        <v>1</v>
      </c>
      <c r="R72" s="6" t="s">
        <v>285</v>
      </c>
    </row>
    <row r="73">
      <c r="A73" s="8">
        <f>'1.6'!A:A</f>
        <v>46265.32638</v>
      </c>
      <c r="B73" s="1" t="str">
        <f>'1.6'!B:B</f>
        <v>bnco1059@signalschool.ac.th</v>
      </c>
      <c r="C73" s="1" t="str">
        <f>'1.6'!C:C</f>
        <v>ร.ท.ศุภชัย ป้องเศร้า</v>
      </c>
      <c r="D73" s="9">
        <v>1.0</v>
      </c>
      <c r="E73" s="10">
        <f>IFERROR(vlookup('1.6'!D:D,lookup!$A$2:$B$4,2,false),0)</f>
        <v>5</v>
      </c>
      <c r="F73" s="10">
        <f>IFERROR(vlookup('1.6'!E:E,lookup!$A$6:$B$8,2,false),0)</f>
        <v>5</v>
      </c>
      <c r="G73" s="10">
        <f>IFERROR(vlookup('1.6'!F:F,lookup!$A$10:$B$12,2,false),0)</f>
        <v>5</v>
      </c>
      <c r="H73" s="10">
        <f>IFERROR(vlookup('1.6'!G:G,lookup!$A$14:$B$16,2,false),0)</f>
        <v>5</v>
      </c>
      <c r="I73" s="10">
        <f>IFERROR(vlookup('1.6'!H:H,lookup!$A$18:$B$20,2,false),0)</f>
        <v>5</v>
      </c>
      <c r="J73" s="10">
        <f>IFERROR(vlookup('1.6'!I:I,lookup!$A$22:$B$24,2,false),0)</f>
        <v>5</v>
      </c>
      <c r="K73" s="10">
        <f>IFERROR(vlookup('1.6'!J:J,lookup!$A$26:$B$28,2,false),0)</f>
        <v>5</v>
      </c>
      <c r="M73" s="10">
        <v>72.0</v>
      </c>
      <c r="N73" s="11" t="str">
        <f t="shared" si="1"/>
        <v>bnco1072@signalschool.ac.th</v>
      </c>
      <c r="O73" s="12">
        <f t="shared" si="2"/>
        <v>1</v>
      </c>
      <c r="R73" s="6" t="s">
        <v>286</v>
      </c>
    </row>
    <row r="74">
      <c r="A74" s="8">
        <f>'1.6'!A:A</f>
        <v>46266.35261</v>
      </c>
      <c r="B74" s="1" t="str">
        <f>'1.6'!B:B</f>
        <v>bnco1033@signalschool.ac.th</v>
      </c>
      <c r="C74" s="1" t="str">
        <f>'1.6'!C:C</f>
        <v>ส.อ.นัทธพงศ์ รอดเจริญ</v>
      </c>
      <c r="D74" s="9">
        <v>1.0</v>
      </c>
      <c r="E74" s="10">
        <f>IFERROR(vlookup('1.6'!D:D,lookup!$A$2:$B$4,2,false),0)</f>
        <v>5</v>
      </c>
      <c r="F74" s="10">
        <f>IFERROR(vlookup('1.6'!E:E,lookup!$A$6:$B$8,2,false),0)</f>
        <v>5</v>
      </c>
      <c r="G74" s="10">
        <f>IFERROR(vlookup('1.6'!F:F,lookup!$A$10:$B$12,2,false),0)</f>
        <v>5</v>
      </c>
      <c r="H74" s="10">
        <f>IFERROR(vlookup('1.6'!G:G,lookup!$A$14:$B$16,2,false),0)</f>
        <v>5</v>
      </c>
      <c r="I74" s="10">
        <f>IFERROR(vlookup('1.6'!H:H,lookup!$A$18:$B$20,2,false),0)</f>
        <v>5</v>
      </c>
      <c r="J74" s="10">
        <f>IFERROR(vlookup('1.6'!I:I,lookup!$A$22:$B$24,2,false),0)</f>
        <v>5</v>
      </c>
      <c r="K74" s="10">
        <f>IFERROR(vlookup('1.6'!J:J,lookup!$A$26:$B$28,2,false),0)</f>
        <v>5</v>
      </c>
      <c r="M74" s="10">
        <v>73.0</v>
      </c>
      <c r="N74" s="11" t="str">
        <f t="shared" si="1"/>
        <v>bnco1073@signalschool.ac.th</v>
      </c>
      <c r="O74" s="12">
        <f t="shared" si="2"/>
        <v>1</v>
      </c>
      <c r="R74" s="6" t="s">
        <v>287</v>
      </c>
    </row>
    <row r="75">
      <c r="A75" s="8">
        <f>'1.6'!A:A</f>
        <v>46267.56336</v>
      </c>
      <c r="B75" s="1" t="str">
        <f>'1.6'!B:B</f>
        <v>bnco1034@signalschool.ac.th</v>
      </c>
      <c r="C75" s="1" t="str">
        <f>'1.6'!C:C</f>
        <v>ร.ท.ศุภชัย ป้องเศร้า </v>
      </c>
      <c r="D75" s="9">
        <v>1.0</v>
      </c>
      <c r="E75" s="10">
        <f>IFERROR(vlookup('1.6'!D:D,lookup!$A$2:$B$4,2,false),0)</f>
        <v>5</v>
      </c>
      <c r="F75" s="10">
        <f>IFERROR(vlookup('1.6'!E:E,lookup!$A$6:$B$8,2,false),0)</f>
        <v>5</v>
      </c>
      <c r="G75" s="10">
        <f>IFERROR(vlookup('1.6'!F:F,lookup!$A$10:$B$12,2,false),0)</f>
        <v>5</v>
      </c>
      <c r="H75" s="10">
        <f>IFERROR(vlookup('1.6'!G:G,lookup!$A$14:$B$16,2,false),0)</f>
        <v>5</v>
      </c>
      <c r="I75" s="10">
        <f>IFERROR(vlookup('1.6'!H:H,lookup!$A$18:$B$20,2,false),0)</f>
        <v>5</v>
      </c>
      <c r="J75" s="10">
        <f>IFERROR(vlookup('1.6'!I:I,lookup!$A$22:$B$24,2,false),0)</f>
        <v>5</v>
      </c>
      <c r="K75" s="10">
        <f>IFERROR(vlookup('1.6'!J:J,lookup!$A$26:$B$28,2,false),0)</f>
        <v>5</v>
      </c>
      <c r="M75" s="10">
        <v>74.0</v>
      </c>
      <c r="N75" s="11" t="str">
        <f t="shared" si="1"/>
        <v>bnco1074@signalschool.ac.th</v>
      </c>
      <c r="O75" s="12">
        <f t="shared" si="2"/>
        <v>1</v>
      </c>
      <c r="R75" s="6" t="s">
        <v>288</v>
      </c>
    </row>
    <row r="76">
      <c r="A76" s="8">
        <f>'1.6'!A:A</f>
        <v>46267.60932</v>
      </c>
      <c r="B76" s="1" t="str">
        <f>'1.6'!B:B</f>
        <v>bnco1001@signalschool.ac.th</v>
      </c>
      <c r="C76" s="1" t="str">
        <f>'1.6'!C:C</f>
        <v>ครู/อาจารย์</v>
      </c>
      <c r="D76" s="9">
        <v>1.0</v>
      </c>
      <c r="E76" s="10">
        <f>IFERROR(vlookup('1.6'!D:D,lookup!$A$2:$B$4,2,false),0)</f>
        <v>5</v>
      </c>
      <c r="F76" s="10">
        <f>IFERROR(vlookup('1.6'!E:E,lookup!$A$6:$B$8,2,false),0)</f>
        <v>5</v>
      </c>
      <c r="G76" s="10">
        <f>IFERROR(vlookup('1.6'!F:F,lookup!$A$10:$B$12,2,false),0)</f>
        <v>5</v>
      </c>
      <c r="H76" s="10">
        <f>IFERROR(vlookup('1.6'!G:G,lookup!$A$14:$B$16,2,false),0)</f>
        <v>5</v>
      </c>
      <c r="I76" s="10">
        <f>IFERROR(vlookup('1.6'!H:H,lookup!$A$18:$B$20,2,false),0)</f>
        <v>5</v>
      </c>
      <c r="J76" s="10">
        <f>IFERROR(vlookup('1.6'!I:I,lookup!$A$22:$B$24,2,false),0)</f>
        <v>5</v>
      </c>
      <c r="K76" s="10">
        <f>IFERROR(vlookup('1.6'!J:J,lookup!$A$26:$B$28,2,false),0)</f>
        <v>5</v>
      </c>
      <c r="M76" s="10">
        <v>75.0</v>
      </c>
      <c r="N76" s="11" t="str">
        <f t="shared" si="1"/>
        <v>bnco1075@signalschool.ac.th</v>
      </c>
      <c r="O76" s="12">
        <f t="shared" si="2"/>
        <v>1</v>
      </c>
      <c r="R76" s="6" t="s">
        <v>289</v>
      </c>
    </row>
    <row r="77">
      <c r="A77" s="8">
        <f>'1.6'!A:A</f>
        <v>46267.67942</v>
      </c>
      <c r="B77" s="1" t="str">
        <f>'1.6'!B:B</f>
        <v>bnco1011@signalschool.ac.th</v>
      </c>
      <c r="C77" s="1" t="str">
        <f>'1.6'!C:C</f>
        <v>ร.ท.ศุภชัย ป้องเศร้า</v>
      </c>
      <c r="D77" s="9">
        <v>1.0</v>
      </c>
      <c r="E77" s="10">
        <f>IFERROR(vlookup('1.6'!D:D,lookup!$A$2:$B$4,2,false),0)</f>
        <v>5</v>
      </c>
      <c r="F77" s="10">
        <f>IFERROR(vlookup('1.6'!E:E,lookup!$A$6:$B$8,2,false),0)</f>
        <v>5</v>
      </c>
      <c r="G77" s="10">
        <f>IFERROR(vlookup('1.6'!F:F,lookup!$A$10:$B$12,2,false),0)</f>
        <v>5</v>
      </c>
      <c r="H77" s="10">
        <f>IFERROR(vlookup('1.6'!G:G,lookup!$A$14:$B$16,2,false),0)</f>
        <v>5</v>
      </c>
      <c r="I77" s="10">
        <f>IFERROR(vlookup('1.6'!H:H,lookup!$A$18:$B$20,2,false),0)</f>
        <v>5</v>
      </c>
      <c r="J77" s="10">
        <f>IFERROR(vlookup('1.6'!I:I,lookup!$A$22:$B$24,2,false),0)</f>
        <v>5</v>
      </c>
      <c r="K77" s="10">
        <f>IFERROR(vlookup('1.6'!J:J,lookup!$A$26:$B$28,2,false),0)</f>
        <v>5</v>
      </c>
      <c r="M77" s="10">
        <v>76.0</v>
      </c>
      <c r="N77" s="11" t="str">
        <f t="shared" si="1"/>
        <v>bnco1076@signalschool.ac.th</v>
      </c>
      <c r="O77" s="12">
        <f t="shared" si="2"/>
        <v>1</v>
      </c>
      <c r="R77" s="6" t="s">
        <v>290</v>
      </c>
    </row>
    <row r="78">
      <c r="A78" s="8">
        <f>'1.6'!A:A</f>
        <v>46268.34523</v>
      </c>
      <c r="B78" s="1" t="str">
        <f>'1.6'!B:B</f>
        <v>bnco1040@signalschool.ac.th</v>
      </c>
      <c r="C78" s="1" t="str">
        <f>'1.6'!C:C</f>
        <v>ร.ท.ศุภชัย ป้องเศร้า</v>
      </c>
      <c r="D78" s="9">
        <v>1.0</v>
      </c>
      <c r="E78" s="10">
        <f>IFERROR(vlookup('1.6'!D:D,lookup!$A$2:$B$4,2,false),0)</f>
        <v>5</v>
      </c>
      <c r="F78" s="10">
        <f>IFERROR(vlookup('1.6'!E:E,lookup!$A$6:$B$8,2,false),0)</f>
        <v>5</v>
      </c>
      <c r="G78" s="10">
        <f>IFERROR(vlookup('1.6'!F:F,lookup!$A$10:$B$12,2,false),0)</f>
        <v>5</v>
      </c>
      <c r="H78" s="10">
        <f>IFERROR(vlookup('1.6'!G:G,lookup!$A$14:$B$16,2,false),0)</f>
        <v>5</v>
      </c>
      <c r="I78" s="10">
        <f>IFERROR(vlookup('1.6'!H:H,lookup!$A$18:$B$20,2,false),0)</f>
        <v>5</v>
      </c>
      <c r="J78" s="10">
        <f>IFERROR(vlookup('1.6'!I:I,lookup!$A$22:$B$24,2,false),0)</f>
        <v>5</v>
      </c>
      <c r="K78" s="10">
        <f>IFERROR(vlookup('1.6'!J:J,lookup!$A$26:$B$28,2,false),0)</f>
        <v>5</v>
      </c>
      <c r="M78" s="10">
        <v>77.0</v>
      </c>
      <c r="N78" s="11" t="str">
        <f t="shared" si="1"/>
        <v>bnco1077@signalschool.ac.th</v>
      </c>
      <c r="O78" s="12">
        <f t="shared" si="2"/>
        <v>1</v>
      </c>
      <c r="R78" s="6" t="s">
        <v>291</v>
      </c>
    </row>
    <row r="79">
      <c r="A79" s="8" t="str">
        <f>'1.6'!A:A</f>
        <v/>
      </c>
      <c r="B79" s="1" t="str">
        <f>'1.6'!B:B</f>
        <v/>
      </c>
      <c r="C79" s="1" t="str">
        <f>'1.6'!C:C</f>
        <v/>
      </c>
      <c r="D79" s="9">
        <v>1.0</v>
      </c>
      <c r="E79" s="10">
        <f>IFERROR(vlookup('1.6'!D:D,lookup!$A$2:$B$4,2,false),0)</f>
        <v>0</v>
      </c>
      <c r="F79" s="10">
        <f>IFERROR(vlookup('1.6'!E:E,lookup!$A$6:$B$8,2,false),0)</f>
        <v>0</v>
      </c>
      <c r="G79" s="10">
        <f>IFERROR(vlookup('1.6'!F:F,lookup!$A$10:$B$12,2,false),0)</f>
        <v>0</v>
      </c>
      <c r="H79" s="10">
        <f>IFERROR(vlookup('1.6'!G:G,lookup!$A$14:$B$16,2,false),0)</f>
        <v>0</v>
      </c>
      <c r="I79" s="10">
        <f>IFERROR(vlookup('1.6'!H:H,lookup!$A$18:$B$20,2,false),0)</f>
        <v>0</v>
      </c>
      <c r="J79" s="10">
        <f>IFERROR(vlookup('1.6'!I:I,lookup!$A$22:$B$24,2,false),0)</f>
        <v>0</v>
      </c>
      <c r="K79" s="10">
        <f>IFERROR(vlookup('1.6'!J:J,lookup!$A$26:$B$28,2,false),0)</f>
        <v>0</v>
      </c>
      <c r="M79" s="10">
        <v>78.0</v>
      </c>
      <c r="N79" s="11" t="str">
        <f t="shared" si="1"/>
        <v>bnco1078@signalschool.ac.th</v>
      </c>
      <c r="O79" s="12">
        <f t="shared" si="2"/>
        <v>1</v>
      </c>
      <c r="R79" s="6" t="s">
        <v>292</v>
      </c>
    </row>
    <row r="80">
      <c r="A80" s="8" t="str">
        <f>'1.6'!A:A</f>
        <v/>
      </c>
      <c r="B80" s="1" t="str">
        <f>'1.6'!B:B</f>
        <v/>
      </c>
      <c r="C80" s="1" t="str">
        <f>'1.6'!C:C</f>
        <v/>
      </c>
      <c r="D80" s="9">
        <v>1.0</v>
      </c>
      <c r="E80" s="10">
        <f>IFERROR(vlookup('1.6'!D:D,lookup!$A$2:$B$4,2,false),0)</f>
        <v>0</v>
      </c>
      <c r="F80" s="10">
        <f>IFERROR(vlookup('1.6'!E:E,lookup!$A$6:$B$8,2,false),0)</f>
        <v>0</v>
      </c>
      <c r="G80" s="10">
        <f>IFERROR(vlookup('1.6'!F:F,lookup!$A$10:$B$12,2,false),0)</f>
        <v>0</v>
      </c>
      <c r="H80" s="10">
        <f>IFERROR(vlookup('1.6'!G:G,lookup!$A$14:$B$16,2,false),0)</f>
        <v>0</v>
      </c>
      <c r="I80" s="10">
        <f>IFERROR(vlookup('1.6'!H:H,lookup!$A$18:$B$20,2,false),0)</f>
        <v>0</v>
      </c>
      <c r="J80" s="10">
        <f>IFERROR(vlookup('1.6'!I:I,lookup!$A$22:$B$24,2,false),0)</f>
        <v>0</v>
      </c>
      <c r="K80" s="10">
        <f>IFERROR(vlookup('1.6'!J:J,lookup!$A$26:$B$28,2,false),0)</f>
        <v>0</v>
      </c>
      <c r="M80" s="10">
        <v>79.0</v>
      </c>
      <c r="N80" s="11" t="str">
        <f t="shared" si="1"/>
        <v>bnco1079@signalschool.ac.th</v>
      </c>
      <c r="O80" s="12">
        <f t="shared" si="2"/>
        <v>1</v>
      </c>
      <c r="R80" s="6" t="s">
        <v>293</v>
      </c>
    </row>
    <row r="81">
      <c r="A81" s="8" t="str">
        <f>'1.6'!A:A</f>
        <v/>
      </c>
      <c r="B81" s="1" t="str">
        <f>'1.6'!B:B</f>
        <v/>
      </c>
      <c r="C81" s="1" t="str">
        <f>'1.6'!C:C</f>
        <v/>
      </c>
      <c r="D81" s="9">
        <v>1.0</v>
      </c>
      <c r="E81" s="10">
        <f>IFERROR(vlookup('1.6'!D:D,lookup!$A$2:$B$4,2,false),0)</f>
        <v>0</v>
      </c>
      <c r="F81" s="10">
        <f>IFERROR(vlookup('1.6'!E:E,lookup!$A$6:$B$8,2,false),0)</f>
        <v>0</v>
      </c>
      <c r="G81" s="10">
        <f>IFERROR(vlookup('1.6'!F:F,lookup!$A$10:$B$12,2,false),0)</f>
        <v>0</v>
      </c>
      <c r="H81" s="10">
        <f>IFERROR(vlookup('1.6'!G:G,lookup!$A$14:$B$16,2,false),0)</f>
        <v>0</v>
      </c>
      <c r="I81" s="10">
        <f>IFERROR(vlookup('1.6'!H:H,lookup!$A$18:$B$20,2,false),0)</f>
        <v>0</v>
      </c>
      <c r="J81" s="10">
        <f>IFERROR(vlookup('1.6'!I:I,lookup!$A$22:$B$24,2,false),0)</f>
        <v>0</v>
      </c>
      <c r="K81" s="10">
        <f>IFERROR(vlookup('1.6'!J:J,lookup!$A$26:$B$28,2,false),0)</f>
        <v>0</v>
      </c>
      <c r="M81" s="10">
        <v>80.0</v>
      </c>
      <c r="N81" s="11" t="str">
        <f t="shared" si="1"/>
        <v>bnco1080@signalschool.ac.th</v>
      </c>
      <c r="O81" s="12">
        <f t="shared" si="2"/>
        <v>1</v>
      </c>
      <c r="R81" s="6" t="s">
        <v>294</v>
      </c>
    </row>
    <row r="82">
      <c r="A82" s="8" t="str">
        <f>'1.6'!A:A</f>
        <v/>
      </c>
      <c r="B82" s="1" t="str">
        <f>'1.6'!B:B</f>
        <v/>
      </c>
      <c r="C82" s="1" t="str">
        <f>'1.6'!C:C</f>
        <v/>
      </c>
      <c r="D82" s="9"/>
      <c r="E82" s="15"/>
      <c r="F82" s="15"/>
      <c r="G82" s="15"/>
      <c r="H82" s="15"/>
      <c r="I82" s="15"/>
      <c r="J82" s="15"/>
      <c r="K82" s="15"/>
    </row>
    <row r="83">
      <c r="A83" s="8" t="str">
        <f>'1.6'!A:A</f>
        <v/>
      </c>
      <c r="B83" s="1" t="str">
        <f>'1.6'!B:B</f>
        <v/>
      </c>
      <c r="C83" s="1" t="str">
        <f>'1.6'!C:C</f>
        <v/>
      </c>
      <c r="D83" s="9"/>
      <c r="E83" s="15"/>
      <c r="F83" s="15"/>
      <c r="G83" s="15"/>
      <c r="H83" s="15"/>
      <c r="I83" s="15"/>
      <c r="J83" s="15"/>
      <c r="K83" s="15"/>
    </row>
    <row r="84">
      <c r="A84" s="8" t="str">
        <f>'1.6'!A:A</f>
        <v/>
      </c>
      <c r="B84" s="1" t="str">
        <f>'1.6'!B:B</f>
        <v/>
      </c>
      <c r="C84" s="1" t="str">
        <f>'1.6'!C:C</f>
        <v/>
      </c>
      <c r="D84" s="9"/>
      <c r="E84" s="15"/>
      <c r="F84" s="15"/>
      <c r="G84" s="15"/>
      <c r="H84" s="15"/>
      <c r="I84" s="15"/>
      <c r="J84" s="15"/>
      <c r="K84" s="15"/>
    </row>
    <row r="85">
      <c r="A85" s="8" t="str">
        <f>'1.6'!A:A</f>
        <v/>
      </c>
      <c r="B85" s="1" t="str">
        <f>'1.6'!B:B</f>
        <v/>
      </c>
      <c r="C85" s="1" t="str">
        <f>'1.6'!C:C</f>
        <v/>
      </c>
      <c r="D85" s="9"/>
      <c r="E85" s="15"/>
      <c r="F85" s="15"/>
      <c r="G85" s="15"/>
      <c r="H85" s="15"/>
      <c r="I85" s="15"/>
      <c r="J85" s="15"/>
      <c r="K85" s="15"/>
    </row>
    <row r="86">
      <c r="A86" s="8" t="str">
        <f>'1.6'!A:A</f>
        <v/>
      </c>
      <c r="B86" s="1" t="str">
        <f>'1.6'!B:B</f>
        <v/>
      </c>
      <c r="C86" s="1" t="str">
        <f>'1.6'!C:C</f>
        <v/>
      </c>
      <c r="D86" s="9"/>
      <c r="E86" s="15"/>
      <c r="F86" s="15"/>
      <c r="G86" s="15"/>
      <c r="H86" s="15"/>
      <c r="I86" s="15"/>
      <c r="J86" s="15"/>
      <c r="K86" s="15"/>
    </row>
    <row r="87">
      <c r="A87" s="8" t="str">
        <f>'1.6'!A:A</f>
        <v/>
      </c>
      <c r="B87" s="1" t="str">
        <f>'1.6'!B:B</f>
        <v/>
      </c>
      <c r="C87" s="1" t="str">
        <f>'1.6'!C:C</f>
        <v/>
      </c>
      <c r="D87" s="9"/>
      <c r="E87" s="15"/>
      <c r="F87" s="15"/>
      <c r="G87" s="15"/>
      <c r="H87" s="15"/>
      <c r="I87" s="15"/>
      <c r="J87" s="15"/>
      <c r="K87" s="15"/>
    </row>
    <row r="88">
      <c r="A88" s="8" t="str">
        <f>'1.6'!A:A</f>
        <v/>
      </c>
      <c r="B88" s="1" t="str">
        <f>'1.6'!B:B</f>
        <v/>
      </c>
      <c r="C88" s="1" t="str">
        <f>'1.6'!C:C</f>
        <v/>
      </c>
      <c r="D88" s="9"/>
      <c r="E88" s="15"/>
      <c r="F88" s="15"/>
      <c r="G88" s="15"/>
      <c r="H88" s="15"/>
      <c r="I88" s="15"/>
      <c r="J88" s="15"/>
      <c r="K88" s="15"/>
    </row>
    <row r="89">
      <c r="A89" s="8" t="str">
        <f>'1.6'!A:A</f>
        <v/>
      </c>
      <c r="B89" s="1" t="str">
        <f>'1.6'!B:B</f>
        <v/>
      </c>
      <c r="C89" s="1" t="str">
        <f>'1.6'!C:C</f>
        <v/>
      </c>
      <c r="D89" s="9"/>
      <c r="E89" s="15"/>
      <c r="F89" s="15"/>
      <c r="G89" s="15"/>
      <c r="H89" s="15"/>
      <c r="I89" s="15"/>
      <c r="J89" s="15"/>
      <c r="K89" s="15"/>
    </row>
    <row r="90">
      <c r="A90" s="8" t="str">
        <f>'1.6'!A:A</f>
        <v/>
      </c>
      <c r="B90" s="1" t="str">
        <f>'1.6'!B:B</f>
        <v/>
      </c>
      <c r="C90" s="1" t="str">
        <f>'1.6'!C:C</f>
        <v/>
      </c>
      <c r="D90" s="9"/>
      <c r="E90" s="15"/>
      <c r="F90" s="15"/>
      <c r="G90" s="15"/>
      <c r="H90" s="15"/>
      <c r="I90" s="15"/>
      <c r="J90" s="15"/>
      <c r="K90" s="15"/>
    </row>
    <row r="91">
      <c r="A91" s="8" t="str">
        <f>'1.6'!A:A</f>
        <v/>
      </c>
      <c r="B91" s="1" t="str">
        <f>'1.6'!B:B</f>
        <v/>
      </c>
      <c r="C91" s="1" t="str">
        <f>'1.6'!C:C</f>
        <v/>
      </c>
      <c r="D91" s="9"/>
      <c r="E91" s="15"/>
      <c r="F91" s="15"/>
      <c r="G91" s="15"/>
      <c r="H91" s="15"/>
      <c r="I91" s="15"/>
      <c r="J91" s="15"/>
      <c r="K91" s="15"/>
    </row>
    <row r="92">
      <c r="A92" s="8" t="str">
        <f>'1.6'!A:A</f>
        <v/>
      </c>
      <c r="B92" s="1" t="str">
        <f>'1.6'!B:B</f>
        <v/>
      </c>
      <c r="C92" s="1" t="str">
        <f>'1.6'!C:C</f>
        <v/>
      </c>
      <c r="D92" s="9"/>
      <c r="E92" s="15"/>
      <c r="F92" s="15"/>
      <c r="G92" s="15"/>
      <c r="H92" s="15"/>
      <c r="I92" s="15"/>
      <c r="J92" s="15"/>
      <c r="K92" s="15"/>
    </row>
    <row r="93">
      <c r="A93" s="8" t="str">
        <f>'1.6'!A:A</f>
        <v/>
      </c>
      <c r="B93" s="1" t="str">
        <f>'1.6'!B:B</f>
        <v/>
      </c>
      <c r="C93" s="1" t="str">
        <f>'1.6'!C:C</f>
        <v/>
      </c>
      <c r="D93" s="9"/>
      <c r="E93" s="15"/>
      <c r="F93" s="15"/>
      <c r="G93" s="15"/>
      <c r="H93" s="15"/>
      <c r="I93" s="15"/>
      <c r="J93" s="15"/>
      <c r="K93" s="15"/>
    </row>
    <row r="94">
      <c r="A94" s="8" t="str">
        <f>'1.6'!A:A</f>
        <v/>
      </c>
      <c r="B94" s="1" t="str">
        <f>'1.6'!B:B</f>
        <v/>
      </c>
      <c r="C94" s="1" t="str">
        <f>'1.6'!C:C</f>
        <v/>
      </c>
      <c r="D94" s="9"/>
      <c r="E94" s="15"/>
      <c r="F94" s="15"/>
      <c r="G94" s="15"/>
      <c r="H94" s="15"/>
      <c r="I94" s="15"/>
      <c r="J94" s="15"/>
      <c r="K94" s="15"/>
    </row>
    <row r="95">
      <c r="A95" s="8" t="str">
        <f>'1.6'!A:A</f>
        <v/>
      </c>
      <c r="B95" s="1" t="str">
        <f>'1.6'!B:B</f>
        <v/>
      </c>
      <c r="C95" s="1" t="str">
        <f>'1.6'!C:C</f>
        <v/>
      </c>
      <c r="D95" s="9"/>
      <c r="E95" s="15"/>
      <c r="F95" s="15"/>
      <c r="G95" s="15"/>
      <c r="H95" s="15"/>
      <c r="I95" s="15"/>
      <c r="J95" s="15"/>
      <c r="K95" s="15"/>
    </row>
    <row r="96">
      <c r="A96" s="8" t="str">
        <f>'1.6'!A:A</f>
        <v/>
      </c>
      <c r="B96" s="1" t="str">
        <f>'1.6'!B:B</f>
        <v/>
      </c>
      <c r="C96" s="1" t="str">
        <f>'1.6'!C:C</f>
        <v/>
      </c>
      <c r="D96" s="9"/>
      <c r="E96" s="15"/>
      <c r="F96" s="15"/>
      <c r="G96" s="15"/>
      <c r="H96" s="15"/>
      <c r="I96" s="15"/>
      <c r="J96" s="15"/>
      <c r="K96" s="15"/>
    </row>
    <row r="97">
      <c r="A97" s="8" t="str">
        <f>'1.6'!A:A</f>
        <v/>
      </c>
      <c r="B97" s="1" t="str">
        <f>'1.6'!B:B</f>
        <v/>
      </c>
      <c r="C97" s="1" t="str">
        <f>'1.6'!C:C</f>
        <v/>
      </c>
      <c r="D97" s="9"/>
      <c r="E97" s="15"/>
      <c r="F97" s="15"/>
      <c r="G97" s="15"/>
      <c r="H97" s="15"/>
      <c r="I97" s="15"/>
      <c r="J97" s="15"/>
      <c r="K97" s="15"/>
    </row>
    <row r="98">
      <c r="A98" s="8" t="str">
        <f>'1.6'!A:A</f>
        <v/>
      </c>
      <c r="B98" s="1" t="str">
        <f>'1.6'!B:B</f>
        <v/>
      </c>
      <c r="C98" s="1" t="str">
        <f>'1.6'!C:C</f>
        <v/>
      </c>
      <c r="D98" s="9"/>
      <c r="E98" s="15"/>
      <c r="F98" s="15"/>
      <c r="G98" s="15"/>
      <c r="H98" s="15"/>
      <c r="I98" s="15"/>
      <c r="J98" s="15"/>
      <c r="K98" s="15"/>
    </row>
    <row r="99">
      <c r="A99" s="8" t="str">
        <f>'1.6'!A:A</f>
        <v/>
      </c>
      <c r="B99" s="1" t="str">
        <f>'1.6'!B:B</f>
        <v/>
      </c>
      <c r="C99" s="1" t="str">
        <f>'1.6'!C:C</f>
        <v/>
      </c>
      <c r="D99" s="9"/>
      <c r="E99" s="15"/>
      <c r="F99" s="15"/>
      <c r="G99" s="15"/>
      <c r="H99" s="15"/>
      <c r="I99" s="15"/>
      <c r="J99" s="15"/>
      <c r="K99" s="15"/>
    </row>
    <row r="100">
      <c r="A100" s="8" t="str">
        <f>'1.6'!A:A</f>
        <v/>
      </c>
      <c r="B100" s="1" t="str">
        <f>'1.6'!B:B</f>
        <v/>
      </c>
      <c r="C100" s="1" t="str">
        <f>'1.6'!C:C</f>
        <v/>
      </c>
      <c r="D100" s="9"/>
      <c r="E100" s="15"/>
      <c r="F100" s="15"/>
      <c r="G100" s="15"/>
      <c r="H100" s="15"/>
      <c r="I100" s="15"/>
      <c r="J100" s="15"/>
      <c r="K100" s="15"/>
    </row>
    <row r="101">
      <c r="A101" s="8" t="str">
        <f>'1.6'!A:A</f>
        <v/>
      </c>
      <c r="B101" s="1" t="str">
        <f>'1.6'!B:B</f>
        <v/>
      </c>
      <c r="C101" s="1" t="str">
        <f>'1.6'!C:C</f>
        <v/>
      </c>
      <c r="D101" s="9"/>
      <c r="E101" s="15"/>
      <c r="F101" s="15"/>
      <c r="G101" s="15"/>
      <c r="H101" s="15"/>
      <c r="I101" s="15"/>
      <c r="J101" s="15"/>
      <c r="K101" s="15"/>
      <c r="N101" s="1" t="s">
        <v>295</v>
      </c>
      <c r="O101" s="12">
        <f>SUM(O2:O81)</f>
        <v>76</v>
      </c>
    </row>
    <row r="102">
      <c r="C102" s="1"/>
      <c r="E102" s="14">
        <f t="shared" ref="E102:K102" si="3">AVERAGE(E2:E81)</f>
        <v>4.7125</v>
      </c>
      <c r="F102" s="14">
        <f t="shared" si="3"/>
        <v>4.7875</v>
      </c>
      <c r="G102" s="14">
        <f t="shared" si="3"/>
        <v>4.7625</v>
      </c>
      <c r="H102" s="14">
        <f t="shared" si="3"/>
        <v>4.7625</v>
      </c>
      <c r="I102" s="14">
        <f t="shared" si="3"/>
        <v>4.7625</v>
      </c>
      <c r="J102" s="14">
        <f t="shared" si="3"/>
        <v>4.7375</v>
      </c>
      <c r="K102" s="14">
        <f t="shared" si="3"/>
        <v>4.6625</v>
      </c>
      <c r="L102" s="16">
        <f>AVERAGE(E102:K102)</f>
        <v>4.741071429</v>
      </c>
      <c r="N102" s="1" t="s">
        <v>296</v>
      </c>
      <c r="O102" s="12">
        <f>(O101*100)/80</f>
        <v>95</v>
      </c>
    </row>
    <row r="103">
      <c r="A103" s="8"/>
      <c r="C103" s="1"/>
    </row>
    <row r="104">
      <c r="A104" s="8"/>
      <c r="C104" s="1"/>
    </row>
    <row r="105">
      <c r="A105" s="8"/>
      <c r="C105" s="1"/>
    </row>
    <row r="106">
      <c r="A106" s="8"/>
      <c r="C106" s="1"/>
    </row>
    <row r="107">
      <c r="A107" s="8"/>
      <c r="C107" s="1"/>
    </row>
    <row r="108">
      <c r="A108" s="8"/>
      <c r="C108" s="1"/>
    </row>
    <row r="109">
      <c r="A109" s="8"/>
      <c r="C109" s="1"/>
    </row>
    <row r="110">
      <c r="A110" s="8"/>
      <c r="C110" s="1"/>
    </row>
    <row r="111">
      <c r="A111" s="8"/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</sheetData>
  <mergeCells count="1">
    <mergeCell ref="M1:O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5">
        <v>46219.35676415509</v>
      </c>
      <c r="B2" s="6" t="s">
        <v>44</v>
      </c>
      <c r="C2" s="6" t="s">
        <v>365</v>
      </c>
      <c r="D2" s="6" t="s">
        <v>13</v>
      </c>
      <c r="E2" s="6" t="s">
        <v>14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</row>
    <row r="3">
      <c r="A3" s="5">
        <v>46219.35970480324</v>
      </c>
      <c r="B3" s="6" t="s">
        <v>24</v>
      </c>
      <c r="C3" s="6" t="s">
        <v>366</v>
      </c>
      <c r="D3" s="6" t="s">
        <v>13</v>
      </c>
      <c r="E3" s="6" t="s">
        <v>14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</row>
    <row r="4">
      <c r="A4" s="5">
        <v>46219.38755679398</v>
      </c>
      <c r="B4" s="6" t="s">
        <v>60</v>
      </c>
      <c r="C4" s="6" t="s">
        <v>22</v>
      </c>
      <c r="D4" s="6" t="s">
        <v>13</v>
      </c>
      <c r="E4" s="6" t="s">
        <v>14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</row>
    <row r="5">
      <c r="A5" s="5">
        <v>46219.39127543982</v>
      </c>
      <c r="B5" s="6" t="s">
        <v>83</v>
      </c>
      <c r="C5" s="6" t="s">
        <v>12</v>
      </c>
      <c r="D5" s="6" t="s">
        <v>13</v>
      </c>
      <c r="E5" s="6" t="s">
        <v>14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</row>
    <row r="6">
      <c r="A6" s="5">
        <v>46219.39268821759</v>
      </c>
      <c r="B6" s="6" t="s">
        <v>118</v>
      </c>
      <c r="C6" s="6" t="s">
        <v>367</v>
      </c>
      <c r="D6" s="6" t="s">
        <v>13</v>
      </c>
      <c r="E6" s="6" t="s">
        <v>14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20</v>
      </c>
    </row>
    <row r="7">
      <c r="A7" s="5">
        <v>46219.39512244213</v>
      </c>
      <c r="B7" s="6" t="s">
        <v>82</v>
      </c>
      <c r="C7" s="6" t="s">
        <v>12</v>
      </c>
      <c r="D7" s="6" t="s">
        <v>13</v>
      </c>
      <c r="E7" s="6" t="s">
        <v>14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368</v>
      </c>
    </row>
    <row r="8">
      <c r="A8" s="5">
        <v>46219.39695491898</v>
      </c>
      <c r="B8" s="6" t="s">
        <v>201</v>
      </c>
      <c r="C8" s="6" t="s">
        <v>12</v>
      </c>
      <c r="D8" s="6" t="s">
        <v>13</v>
      </c>
      <c r="E8" s="6" t="s">
        <v>14</v>
      </c>
      <c r="F8" s="6" t="s">
        <v>16</v>
      </c>
      <c r="G8" s="6" t="s">
        <v>17</v>
      </c>
      <c r="H8" s="6" t="s">
        <v>18</v>
      </c>
      <c r="I8" s="6" t="s">
        <v>19</v>
      </c>
      <c r="J8" s="6" t="s">
        <v>20</v>
      </c>
    </row>
    <row r="9">
      <c r="A9" s="5">
        <v>46219.40263677083</v>
      </c>
      <c r="B9" s="6" t="s">
        <v>111</v>
      </c>
      <c r="C9" s="6" t="s">
        <v>369</v>
      </c>
      <c r="D9" s="6" t="s">
        <v>13</v>
      </c>
      <c r="E9" s="6" t="s">
        <v>14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>
      <c r="A10" s="5">
        <v>46219.402948773146</v>
      </c>
      <c r="B10" s="6" t="s">
        <v>140</v>
      </c>
      <c r="C10" s="6" t="s">
        <v>369</v>
      </c>
      <c r="D10" s="6" t="s">
        <v>13</v>
      </c>
      <c r="E10" s="6" t="s">
        <v>14</v>
      </c>
      <c r="F10" s="6" t="s">
        <v>16</v>
      </c>
      <c r="G10" s="6" t="s">
        <v>17</v>
      </c>
      <c r="H10" s="6" t="s">
        <v>18</v>
      </c>
      <c r="I10" s="6" t="s">
        <v>19</v>
      </c>
      <c r="J10" s="6" t="s">
        <v>20</v>
      </c>
    </row>
    <row r="11">
      <c r="A11" s="5">
        <v>46219.40946465278</v>
      </c>
      <c r="B11" s="6" t="s">
        <v>200</v>
      </c>
      <c r="C11" s="6" t="s">
        <v>12</v>
      </c>
      <c r="D11" s="6" t="s">
        <v>13</v>
      </c>
      <c r="E11" s="6" t="s">
        <v>14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20</v>
      </c>
    </row>
    <row r="12">
      <c r="A12" s="5">
        <v>46219.42489188658</v>
      </c>
      <c r="B12" s="6" t="s">
        <v>51</v>
      </c>
      <c r="C12" s="6" t="s">
        <v>369</v>
      </c>
      <c r="D12" s="6" t="s">
        <v>13</v>
      </c>
      <c r="E12" s="6" t="s">
        <v>14</v>
      </c>
      <c r="F12" s="6" t="s">
        <v>16</v>
      </c>
      <c r="G12" s="6" t="s">
        <v>17</v>
      </c>
      <c r="H12" s="6" t="s">
        <v>18</v>
      </c>
      <c r="I12" s="6" t="s">
        <v>19</v>
      </c>
      <c r="J12" s="6" t="s">
        <v>20</v>
      </c>
      <c r="K12" s="6" t="s">
        <v>48</v>
      </c>
    </row>
    <row r="13">
      <c r="A13" s="5">
        <v>46219.42706417824</v>
      </c>
      <c r="B13" s="6" t="s">
        <v>132</v>
      </c>
      <c r="C13" s="6" t="s">
        <v>369</v>
      </c>
      <c r="D13" s="6" t="s">
        <v>13</v>
      </c>
      <c r="E13" s="6" t="s">
        <v>14</v>
      </c>
      <c r="F13" s="6" t="s">
        <v>16</v>
      </c>
      <c r="G13" s="6" t="s">
        <v>17</v>
      </c>
      <c r="H13" s="6" t="s">
        <v>18</v>
      </c>
      <c r="I13" s="6" t="s">
        <v>19</v>
      </c>
      <c r="J13" s="6" t="s">
        <v>20</v>
      </c>
    </row>
    <row r="14">
      <c r="A14" s="5">
        <v>46219.42760180555</v>
      </c>
      <c r="B14" s="6" t="s">
        <v>85</v>
      </c>
      <c r="C14" s="6" t="s">
        <v>369</v>
      </c>
      <c r="D14" s="6" t="s">
        <v>73</v>
      </c>
      <c r="E14" s="6" t="s">
        <v>14</v>
      </c>
      <c r="F14" s="6" t="s">
        <v>54</v>
      </c>
      <c r="G14" s="6" t="s">
        <v>39</v>
      </c>
      <c r="H14" s="6" t="s">
        <v>87</v>
      </c>
      <c r="I14" s="6" t="s">
        <v>19</v>
      </c>
      <c r="J14" s="6" t="s">
        <v>370</v>
      </c>
    </row>
    <row r="15">
      <c r="A15" s="5">
        <v>46219.43839998843</v>
      </c>
      <c r="B15" s="6" t="s">
        <v>126</v>
      </c>
      <c r="C15" s="6" t="s">
        <v>12</v>
      </c>
      <c r="D15" s="6" t="s">
        <v>13</v>
      </c>
      <c r="E15" s="6" t="s">
        <v>14</v>
      </c>
      <c r="F15" s="6" t="s">
        <v>16</v>
      </c>
      <c r="G15" s="6" t="s">
        <v>17</v>
      </c>
      <c r="H15" s="6" t="s">
        <v>18</v>
      </c>
      <c r="I15" s="6" t="s">
        <v>19</v>
      </c>
      <c r="J15" s="6" t="s">
        <v>20</v>
      </c>
    </row>
    <row r="16">
      <c r="A16" s="5">
        <v>46219.43918623842</v>
      </c>
      <c r="B16" s="6" t="s">
        <v>203</v>
      </c>
      <c r="C16" s="6" t="s">
        <v>371</v>
      </c>
      <c r="D16" s="6" t="s">
        <v>13</v>
      </c>
      <c r="E16" s="6" t="s">
        <v>14</v>
      </c>
      <c r="F16" s="6" t="s">
        <v>16</v>
      </c>
      <c r="G16" s="6" t="s">
        <v>17</v>
      </c>
      <c r="H16" s="6" t="s">
        <v>18</v>
      </c>
      <c r="I16" s="6" t="s">
        <v>19</v>
      </c>
      <c r="J16" s="6" t="s">
        <v>20</v>
      </c>
    </row>
    <row r="17">
      <c r="A17" s="5">
        <v>46219.533830381944</v>
      </c>
      <c r="B17" s="6" t="s">
        <v>98</v>
      </c>
      <c r="C17" s="6" t="s">
        <v>372</v>
      </c>
      <c r="D17" s="6" t="s">
        <v>13</v>
      </c>
      <c r="E17" s="6" t="s">
        <v>14</v>
      </c>
      <c r="F17" s="6" t="s">
        <v>16</v>
      </c>
      <c r="G17" s="6" t="s">
        <v>17</v>
      </c>
      <c r="H17" s="6" t="s">
        <v>18</v>
      </c>
      <c r="I17" s="6" t="s">
        <v>19</v>
      </c>
      <c r="J17" s="6" t="s">
        <v>20</v>
      </c>
    </row>
    <row r="18">
      <c r="A18" s="5">
        <v>46219.535926620374</v>
      </c>
      <c r="B18" s="6" t="s">
        <v>210</v>
      </c>
      <c r="C18" s="6" t="s">
        <v>369</v>
      </c>
      <c r="D18" s="6" t="s">
        <v>13</v>
      </c>
      <c r="E18" s="6" t="s">
        <v>14</v>
      </c>
      <c r="F18" s="6" t="s">
        <v>16</v>
      </c>
      <c r="G18" s="6" t="s">
        <v>17</v>
      </c>
      <c r="H18" s="6" t="s">
        <v>18</v>
      </c>
      <c r="I18" s="6" t="s">
        <v>19</v>
      </c>
      <c r="J18" s="6" t="s">
        <v>20</v>
      </c>
      <c r="K18" s="6" t="s">
        <v>373</v>
      </c>
    </row>
    <row r="19">
      <c r="A19" s="5">
        <v>46219.59127333333</v>
      </c>
      <c r="B19" s="6" t="s">
        <v>61</v>
      </c>
      <c r="C19" s="6" t="s">
        <v>12</v>
      </c>
      <c r="D19" s="6" t="s">
        <v>13</v>
      </c>
      <c r="E19" s="6" t="s">
        <v>14</v>
      </c>
      <c r="F19" s="6" t="s">
        <v>16</v>
      </c>
      <c r="G19" s="6" t="s">
        <v>17</v>
      </c>
      <c r="H19" s="6" t="s">
        <v>18</v>
      </c>
      <c r="I19" s="6" t="s">
        <v>19</v>
      </c>
      <c r="J19" s="6" t="s">
        <v>20</v>
      </c>
    </row>
    <row r="20">
      <c r="A20" s="5">
        <v>46219.92380793982</v>
      </c>
      <c r="B20" s="6" t="s">
        <v>74</v>
      </c>
      <c r="C20" s="6" t="s">
        <v>374</v>
      </c>
      <c r="D20" s="6" t="s">
        <v>13</v>
      </c>
      <c r="E20" s="6" t="s">
        <v>14</v>
      </c>
      <c r="F20" s="6" t="s">
        <v>16</v>
      </c>
      <c r="G20" s="6" t="s">
        <v>17</v>
      </c>
      <c r="H20" s="6" t="s">
        <v>18</v>
      </c>
      <c r="I20" s="6" t="s">
        <v>19</v>
      </c>
      <c r="J20" s="6" t="s">
        <v>20</v>
      </c>
    </row>
    <row r="21">
      <c r="A21" s="5">
        <v>46220.3327630787</v>
      </c>
      <c r="B21" s="6" t="s">
        <v>40</v>
      </c>
      <c r="C21" s="6" t="s">
        <v>375</v>
      </c>
      <c r="D21" s="6" t="s">
        <v>13</v>
      </c>
      <c r="E21" s="6" t="s">
        <v>14</v>
      </c>
      <c r="F21" s="6" t="s">
        <v>16</v>
      </c>
      <c r="G21" s="6" t="s">
        <v>17</v>
      </c>
      <c r="H21" s="6" t="s">
        <v>18</v>
      </c>
      <c r="I21" s="6" t="s">
        <v>19</v>
      </c>
      <c r="J21" s="6" t="s">
        <v>20</v>
      </c>
    </row>
    <row r="22">
      <c r="A22" s="5">
        <v>46220.351505439816</v>
      </c>
      <c r="B22" s="6" t="s">
        <v>207</v>
      </c>
      <c r="C22" s="6" t="s">
        <v>360</v>
      </c>
      <c r="D22" s="6" t="s">
        <v>13</v>
      </c>
      <c r="E22" s="6" t="s">
        <v>14</v>
      </c>
      <c r="F22" s="6" t="s">
        <v>16</v>
      </c>
      <c r="G22" s="6" t="s">
        <v>17</v>
      </c>
      <c r="H22" s="6" t="s">
        <v>18</v>
      </c>
      <c r="I22" s="6" t="s">
        <v>19</v>
      </c>
      <c r="J22" s="6" t="s">
        <v>20</v>
      </c>
    </row>
    <row r="23">
      <c r="A23" s="5">
        <v>46220.42158708333</v>
      </c>
      <c r="B23" s="6" t="s">
        <v>101</v>
      </c>
      <c r="C23" s="6" t="s">
        <v>366</v>
      </c>
      <c r="D23" s="6" t="s">
        <v>13</v>
      </c>
      <c r="E23" s="6" t="s">
        <v>14</v>
      </c>
      <c r="F23" s="6" t="s">
        <v>16</v>
      </c>
      <c r="G23" s="6" t="s">
        <v>17</v>
      </c>
      <c r="H23" s="6" t="s">
        <v>18</v>
      </c>
      <c r="I23" s="6" t="s">
        <v>19</v>
      </c>
      <c r="J23" s="6" t="s">
        <v>20</v>
      </c>
    </row>
    <row r="24">
      <c r="A24" s="5">
        <v>46220.421749560184</v>
      </c>
      <c r="B24" s="6" t="s">
        <v>21</v>
      </c>
      <c r="C24" s="6" t="s">
        <v>376</v>
      </c>
      <c r="D24" s="6" t="s">
        <v>13</v>
      </c>
      <c r="E24" s="6" t="s">
        <v>14</v>
      </c>
      <c r="F24" s="6" t="s">
        <v>16</v>
      </c>
      <c r="G24" s="6" t="s">
        <v>17</v>
      </c>
      <c r="H24" s="6" t="s">
        <v>18</v>
      </c>
      <c r="I24" s="6" t="s">
        <v>19</v>
      </c>
      <c r="J24" s="6" t="s">
        <v>56</v>
      </c>
    </row>
    <row r="25">
      <c r="A25" s="5">
        <v>46220.42225530093</v>
      </c>
      <c r="B25" s="6" t="s">
        <v>75</v>
      </c>
      <c r="C25" s="6" t="s">
        <v>377</v>
      </c>
      <c r="D25" s="6" t="s">
        <v>13</v>
      </c>
      <c r="E25" s="6" t="s">
        <v>14</v>
      </c>
      <c r="F25" s="6" t="s">
        <v>16</v>
      </c>
      <c r="G25" s="6" t="s">
        <v>17</v>
      </c>
      <c r="H25" s="6" t="s">
        <v>18</v>
      </c>
      <c r="I25" s="6" t="s">
        <v>55</v>
      </c>
      <c r="J25" s="6" t="s">
        <v>56</v>
      </c>
    </row>
    <row r="26">
      <c r="A26" s="5">
        <v>46220.42242649305</v>
      </c>
      <c r="B26" s="6" t="s">
        <v>25</v>
      </c>
      <c r="C26" s="6" t="s">
        <v>378</v>
      </c>
      <c r="D26" s="6" t="s">
        <v>13</v>
      </c>
      <c r="E26" s="6" t="s">
        <v>14</v>
      </c>
      <c r="F26" s="6" t="s">
        <v>16</v>
      </c>
      <c r="G26" s="6" t="s">
        <v>17</v>
      </c>
      <c r="H26" s="6" t="s">
        <v>18</v>
      </c>
      <c r="I26" s="6" t="s">
        <v>19</v>
      </c>
      <c r="J26" s="6" t="s">
        <v>20</v>
      </c>
    </row>
    <row r="27">
      <c r="A27" s="5">
        <v>46220.4226350463</v>
      </c>
      <c r="B27" s="6" t="s">
        <v>49</v>
      </c>
      <c r="C27" s="6" t="s">
        <v>366</v>
      </c>
      <c r="D27" s="6" t="s">
        <v>13</v>
      </c>
      <c r="E27" s="6" t="s">
        <v>14</v>
      </c>
      <c r="F27" s="6" t="s">
        <v>16</v>
      </c>
      <c r="G27" s="6" t="s">
        <v>17</v>
      </c>
      <c r="H27" s="6" t="s">
        <v>18</v>
      </c>
      <c r="I27" s="6" t="s">
        <v>19</v>
      </c>
      <c r="J27" s="6" t="s">
        <v>20</v>
      </c>
      <c r="K27" s="6" t="s">
        <v>379</v>
      </c>
    </row>
    <row r="28">
      <c r="A28" s="5">
        <v>46220.4226627662</v>
      </c>
      <c r="B28" s="6" t="s">
        <v>106</v>
      </c>
      <c r="C28" s="6" t="s">
        <v>380</v>
      </c>
      <c r="D28" s="6" t="s">
        <v>13</v>
      </c>
      <c r="E28" s="6" t="s">
        <v>14</v>
      </c>
      <c r="F28" s="6" t="s">
        <v>16</v>
      </c>
      <c r="G28" s="6" t="s">
        <v>17</v>
      </c>
      <c r="H28" s="6" t="s">
        <v>18</v>
      </c>
      <c r="I28" s="6" t="s">
        <v>19</v>
      </c>
      <c r="J28" s="6" t="s">
        <v>20</v>
      </c>
    </row>
    <row r="29">
      <c r="A29" s="5">
        <v>46220.4226770949</v>
      </c>
      <c r="B29" s="6" t="s">
        <v>30</v>
      </c>
      <c r="C29" s="6" t="s">
        <v>366</v>
      </c>
      <c r="D29" s="6" t="s">
        <v>13</v>
      </c>
      <c r="E29" s="6" t="s">
        <v>14</v>
      </c>
      <c r="F29" s="6" t="s">
        <v>16</v>
      </c>
      <c r="G29" s="6" t="s">
        <v>17</v>
      </c>
      <c r="H29" s="6" t="s">
        <v>18</v>
      </c>
      <c r="I29" s="6" t="s">
        <v>19</v>
      </c>
      <c r="J29" s="6" t="s">
        <v>20</v>
      </c>
    </row>
    <row r="30">
      <c r="A30" s="5">
        <v>46220.42290395833</v>
      </c>
      <c r="B30" s="6" t="s">
        <v>46</v>
      </c>
      <c r="C30" s="6" t="s">
        <v>366</v>
      </c>
      <c r="D30" s="6" t="s">
        <v>13</v>
      </c>
      <c r="E30" s="6" t="s">
        <v>14</v>
      </c>
      <c r="F30" s="6" t="s">
        <v>16</v>
      </c>
      <c r="G30" s="6" t="s">
        <v>17</v>
      </c>
      <c r="H30" s="6" t="s">
        <v>18</v>
      </c>
      <c r="I30" s="6" t="s">
        <v>19</v>
      </c>
      <c r="J30" s="6" t="s">
        <v>20</v>
      </c>
    </row>
    <row r="31">
      <c r="A31" s="5">
        <v>46220.42294819445</v>
      </c>
      <c r="B31" s="6" t="s">
        <v>37</v>
      </c>
      <c r="C31" s="6" t="s">
        <v>381</v>
      </c>
      <c r="D31" s="6" t="s">
        <v>13</v>
      </c>
      <c r="E31" s="6" t="s">
        <v>14</v>
      </c>
      <c r="F31" s="6" t="s">
        <v>16</v>
      </c>
      <c r="G31" s="6" t="s">
        <v>17</v>
      </c>
      <c r="H31" s="6" t="s">
        <v>18</v>
      </c>
      <c r="I31" s="6" t="s">
        <v>19</v>
      </c>
      <c r="J31" s="6" t="s">
        <v>20</v>
      </c>
      <c r="K31" s="6" t="s">
        <v>382</v>
      </c>
    </row>
    <row r="32">
      <c r="A32" s="5">
        <v>46220.423147800924</v>
      </c>
      <c r="B32" s="6" t="s">
        <v>125</v>
      </c>
      <c r="C32" s="6" t="s">
        <v>366</v>
      </c>
      <c r="D32" s="6" t="s">
        <v>13</v>
      </c>
      <c r="E32" s="6" t="s">
        <v>14</v>
      </c>
      <c r="F32" s="6" t="s">
        <v>16</v>
      </c>
      <c r="G32" s="6" t="s">
        <v>17</v>
      </c>
      <c r="H32" s="6" t="s">
        <v>18</v>
      </c>
      <c r="I32" s="6" t="s">
        <v>19</v>
      </c>
      <c r="J32" s="6" t="s">
        <v>20</v>
      </c>
    </row>
    <row r="33">
      <c r="A33" s="5">
        <v>46220.42315265046</v>
      </c>
      <c r="B33" s="6" t="s">
        <v>196</v>
      </c>
      <c r="C33" s="6" t="s">
        <v>378</v>
      </c>
      <c r="D33" s="6" t="s">
        <v>13</v>
      </c>
      <c r="E33" s="6" t="s">
        <v>14</v>
      </c>
      <c r="F33" s="6" t="s">
        <v>16</v>
      </c>
      <c r="G33" s="6" t="s">
        <v>17</v>
      </c>
      <c r="H33" s="6" t="s">
        <v>18</v>
      </c>
      <c r="I33" s="6" t="s">
        <v>19</v>
      </c>
      <c r="J33" s="6" t="s">
        <v>20</v>
      </c>
    </row>
    <row r="34">
      <c r="A34" s="5">
        <v>46220.423156261575</v>
      </c>
      <c r="B34" s="6" t="s">
        <v>59</v>
      </c>
      <c r="C34" s="6" t="s">
        <v>378</v>
      </c>
      <c r="D34" s="6" t="s">
        <v>13</v>
      </c>
      <c r="E34" s="6" t="s">
        <v>14</v>
      </c>
      <c r="F34" s="6" t="s">
        <v>16</v>
      </c>
      <c r="G34" s="6" t="s">
        <v>17</v>
      </c>
      <c r="H34" s="6" t="s">
        <v>18</v>
      </c>
      <c r="I34" s="6" t="s">
        <v>19</v>
      </c>
      <c r="J34" s="6" t="s">
        <v>20</v>
      </c>
      <c r="K34" s="6" t="s">
        <v>48</v>
      </c>
    </row>
    <row r="35">
      <c r="A35" s="5">
        <v>46220.423284606484</v>
      </c>
      <c r="B35" s="6" t="s">
        <v>97</v>
      </c>
      <c r="C35" s="6" t="s">
        <v>378</v>
      </c>
      <c r="D35" s="6" t="s">
        <v>13</v>
      </c>
      <c r="E35" s="6" t="s">
        <v>14</v>
      </c>
      <c r="F35" s="6" t="s">
        <v>16</v>
      </c>
      <c r="G35" s="6" t="s">
        <v>17</v>
      </c>
      <c r="H35" s="6" t="s">
        <v>18</v>
      </c>
      <c r="I35" s="6" t="s">
        <v>19</v>
      </c>
      <c r="J35" s="6" t="s">
        <v>20</v>
      </c>
    </row>
    <row r="36">
      <c r="A36" s="5">
        <v>46220.423393703706</v>
      </c>
      <c r="B36" s="6" t="s">
        <v>78</v>
      </c>
      <c r="C36" s="6" t="s">
        <v>383</v>
      </c>
      <c r="D36" s="6" t="s">
        <v>13</v>
      </c>
      <c r="E36" s="6" t="s">
        <v>14</v>
      </c>
      <c r="F36" s="6" t="s">
        <v>16</v>
      </c>
      <c r="G36" s="6" t="s">
        <v>17</v>
      </c>
      <c r="H36" s="6" t="s">
        <v>18</v>
      </c>
      <c r="I36" s="6" t="s">
        <v>19</v>
      </c>
      <c r="J36" s="6" t="s">
        <v>20</v>
      </c>
    </row>
    <row r="37">
      <c r="A37" s="5">
        <v>46220.42342251157</v>
      </c>
      <c r="B37" s="6" t="s">
        <v>124</v>
      </c>
      <c r="C37" s="6" t="s">
        <v>366</v>
      </c>
      <c r="D37" s="6" t="s">
        <v>13</v>
      </c>
      <c r="E37" s="6" t="s">
        <v>14</v>
      </c>
      <c r="F37" s="6" t="s">
        <v>16</v>
      </c>
      <c r="G37" s="6" t="s">
        <v>17</v>
      </c>
      <c r="H37" s="6" t="s">
        <v>18</v>
      </c>
      <c r="I37" s="6" t="s">
        <v>19</v>
      </c>
      <c r="J37" s="6" t="s">
        <v>20</v>
      </c>
    </row>
    <row r="38">
      <c r="A38" s="5">
        <v>46220.42381273148</v>
      </c>
      <c r="B38" s="6" t="s">
        <v>99</v>
      </c>
      <c r="C38" s="6" t="s">
        <v>384</v>
      </c>
      <c r="D38" s="6" t="s">
        <v>13</v>
      </c>
      <c r="E38" s="6" t="s">
        <v>14</v>
      </c>
      <c r="F38" s="6" t="s">
        <v>16</v>
      </c>
      <c r="G38" s="6" t="s">
        <v>17</v>
      </c>
      <c r="H38" s="6" t="s">
        <v>18</v>
      </c>
      <c r="I38" s="6" t="s">
        <v>19</v>
      </c>
      <c r="J38" s="6" t="s">
        <v>20</v>
      </c>
    </row>
    <row r="39">
      <c r="A39" s="5">
        <v>46220.423952638885</v>
      </c>
      <c r="B39" s="6" t="s">
        <v>11</v>
      </c>
      <c r="C39" s="6" t="s">
        <v>366</v>
      </c>
      <c r="D39" s="6" t="s">
        <v>13</v>
      </c>
      <c r="E39" s="6" t="s">
        <v>14</v>
      </c>
      <c r="F39" s="6" t="s">
        <v>16</v>
      </c>
      <c r="G39" s="6" t="s">
        <v>17</v>
      </c>
      <c r="H39" s="6" t="s">
        <v>18</v>
      </c>
      <c r="I39" s="6" t="s">
        <v>19</v>
      </c>
      <c r="J39" s="6" t="s">
        <v>20</v>
      </c>
    </row>
    <row r="40">
      <c r="A40" s="5">
        <v>46220.42396267361</v>
      </c>
      <c r="B40" s="6" t="s">
        <v>28</v>
      </c>
      <c r="C40" s="6" t="s">
        <v>335</v>
      </c>
      <c r="D40" s="6" t="s">
        <v>13</v>
      </c>
      <c r="E40" s="6" t="s">
        <v>14</v>
      </c>
      <c r="F40" s="6" t="s">
        <v>16</v>
      </c>
      <c r="G40" s="6" t="s">
        <v>17</v>
      </c>
      <c r="H40" s="6" t="s">
        <v>18</v>
      </c>
      <c r="I40" s="6" t="s">
        <v>19</v>
      </c>
      <c r="J40" s="6" t="s">
        <v>20</v>
      </c>
    </row>
    <row r="41">
      <c r="A41" s="5">
        <v>46220.42403574074</v>
      </c>
      <c r="B41" s="6" t="s">
        <v>138</v>
      </c>
      <c r="C41" s="6" t="s">
        <v>366</v>
      </c>
      <c r="D41" s="6" t="s">
        <v>13</v>
      </c>
      <c r="E41" s="6" t="s">
        <v>14</v>
      </c>
      <c r="F41" s="6" t="s">
        <v>16</v>
      </c>
      <c r="G41" s="6" t="s">
        <v>17</v>
      </c>
      <c r="H41" s="6" t="s">
        <v>18</v>
      </c>
      <c r="I41" s="6" t="s">
        <v>55</v>
      </c>
      <c r="J41" s="6" t="s">
        <v>56</v>
      </c>
      <c r="K41" s="6" t="s">
        <v>169</v>
      </c>
    </row>
    <row r="42">
      <c r="A42" s="5">
        <v>46220.424253854166</v>
      </c>
      <c r="B42" s="6" t="s">
        <v>90</v>
      </c>
      <c r="C42" s="6" t="s">
        <v>366</v>
      </c>
      <c r="D42" s="6" t="s">
        <v>13</v>
      </c>
      <c r="E42" s="6" t="s">
        <v>14</v>
      </c>
      <c r="F42" s="6" t="s">
        <v>16</v>
      </c>
      <c r="G42" s="6" t="s">
        <v>17</v>
      </c>
      <c r="H42" s="6" t="s">
        <v>18</v>
      </c>
      <c r="I42" s="6" t="s">
        <v>19</v>
      </c>
      <c r="J42" s="6" t="s">
        <v>20</v>
      </c>
      <c r="K42" s="6" t="s">
        <v>36</v>
      </c>
    </row>
    <row r="43">
      <c r="A43" s="5">
        <v>46220.4244272338</v>
      </c>
      <c r="B43" s="6" t="s">
        <v>133</v>
      </c>
      <c r="C43" s="6" t="s">
        <v>366</v>
      </c>
      <c r="D43" s="6" t="s">
        <v>13</v>
      </c>
      <c r="E43" s="6" t="s">
        <v>14</v>
      </c>
      <c r="F43" s="6" t="s">
        <v>16</v>
      </c>
      <c r="G43" s="6" t="s">
        <v>17</v>
      </c>
      <c r="H43" s="6" t="s">
        <v>18</v>
      </c>
      <c r="I43" s="6" t="s">
        <v>19</v>
      </c>
      <c r="J43" s="6" t="s">
        <v>20</v>
      </c>
    </row>
    <row r="44">
      <c r="A44" s="5">
        <v>46220.424868483795</v>
      </c>
      <c r="B44" s="6" t="s">
        <v>176</v>
      </c>
      <c r="C44" s="6" t="s">
        <v>366</v>
      </c>
      <c r="D44" s="6" t="s">
        <v>13</v>
      </c>
      <c r="E44" s="6" t="s">
        <v>14</v>
      </c>
      <c r="F44" s="6" t="s">
        <v>16</v>
      </c>
      <c r="G44" s="6" t="s">
        <v>17</v>
      </c>
      <c r="H44" s="6" t="s">
        <v>18</v>
      </c>
      <c r="I44" s="6" t="s">
        <v>19</v>
      </c>
      <c r="J44" s="6" t="s">
        <v>20</v>
      </c>
    </row>
    <row r="45">
      <c r="A45" s="5">
        <v>46220.42490157408</v>
      </c>
      <c r="B45" s="6" t="s">
        <v>116</v>
      </c>
      <c r="C45" s="6" t="s">
        <v>377</v>
      </c>
      <c r="D45" s="6" t="s">
        <v>13</v>
      </c>
      <c r="E45" s="6" t="s">
        <v>14</v>
      </c>
      <c r="F45" s="6" t="s">
        <v>16</v>
      </c>
      <c r="G45" s="6" t="s">
        <v>17</v>
      </c>
      <c r="H45" s="6" t="s">
        <v>18</v>
      </c>
      <c r="I45" s="6" t="s">
        <v>19</v>
      </c>
      <c r="J45" s="6" t="s">
        <v>20</v>
      </c>
    </row>
    <row r="46">
      <c r="A46" s="5">
        <v>46220.42502034722</v>
      </c>
      <c r="B46" s="6" t="s">
        <v>205</v>
      </c>
      <c r="C46" s="6" t="s">
        <v>385</v>
      </c>
      <c r="D46" s="6" t="s">
        <v>13</v>
      </c>
      <c r="E46" s="6" t="s">
        <v>14</v>
      </c>
      <c r="F46" s="6" t="s">
        <v>16</v>
      </c>
      <c r="G46" s="6" t="s">
        <v>17</v>
      </c>
      <c r="H46" s="6" t="s">
        <v>18</v>
      </c>
      <c r="I46" s="6" t="s">
        <v>19</v>
      </c>
      <c r="J46" s="6" t="s">
        <v>20</v>
      </c>
    </row>
    <row r="47">
      <c r="A47" s="5">
        <v>46220.42529608797</v>
      </c>
      <c r="B47" s="6" t="s">
        <v>88</v>
      </c>
      <c r="C47" s="6" t="s">
        <v>378</v>
      </c>
      <c r="D47" s="6" t="s">
        <v>13</v>
      </c>
      <c r="E47" s="6" t="s">
        <v>14</v>
      </c>
      <c r="F47" s="6" t="s">
        <v>16</v>
      </c>
      <c r="G47" s="6" t="s">
        <v>17</v>
      </c>
      <c r="H47" s="6" t="s">
        <v>18</v>
      </c>
      <c r="I47" s="6" t="s">
        <v>19</v>
      </c>
      <c r="J47" s="6" t="s">
        <v>20</v>
      </c>
      <c r="K47" s="6" t="s">
        <v>386</v>
      </c>
    </row>
    <row r="48">
      <c r="A48" s="5">
        <v>46220.42544101852</v>
      </c>
      <c r="B48" s="6" t="s">
        <v>121</v>
      </c>
      <c r="C48" s="6" t="s">
        <v>366</v>
      </c>
      <c r="D48" s="6" t="s">
        <v>73</v>
      </c>
      <c r="E48" s="6" t="s">
        <v>14</v>
      </c>
      <c r="F48" s="6" t="s">
        <v>16</v>
      </c>
      <c r="G48" s="6" t="s">
        <v>17</v>
      </c>
      <c r="H48" s="6" t="s">
        <v>18</v>
      </c>
      <c r="I48" s="6" t="s">
        <v>55</v>
      </c>
      <c r="J48" s="6" t="s">
        <v>20</v>
      </c>
    </row>
    <row r="49">
      <c r="A49" s="5">
        <v>46220.42550070602</v>
      </c>
      <c r="B49" s="6" t="s">
        <v>136</v>
      </c>
      <c r="C49" s="6" t="s">
        <v>378</v>
      </c>
      <c r="D49" s="6" t="s">
        <v>13</v>
      </c>
      <c r="E49" s="6" t="s">
        <v>14</v>
      </c>
      <c r="F49" s="6" t="s">
        <v>16</v>
      </c>
      <c r="G49" s="6" t="s">
        <v>17</v>
      </c>
      <c r="H49" s="6" t="s">
        <v>18</v>
      </c>
      <c r="I49" s="6" t="s">
        <v>19</v>
      </c>
      <c r="J49" s="6" t="s">
        <v>20</v>
      </c>
    </row>
    <row r="50">
      <c r="A50" s="5">
        <v>46220.425653541664</v>
      </c>
      <c r="B50" s="6" t="s">
        <v>100</v>
      </c>
      <c r="C50" s="6" t="s">
        <v>378</v>
      </c>
      <c r="D50" s="6" t="s">
        <v>13</v>
      </c>
      <c r="E50" s="6" t="s">
        <v>14</v>
      </c>
      <c r="F50" s="6" t="s">
        <v>16</v>
      </c>
      <c r="G50" s="6" t="s">
        <v>17</v>
      </c>
      <c r="H50" s="6" t="s">
        <v>18</v>
      </c>
      <c r="I50" s="6" t="s">
        <v>19</v>
      </c>
      <c r="J50" s="6" t="s">
        <v>20</v>
      </c>
    </row>
    <row r="51">
      <c r="A51" s="5">
        <v>46220.42571096065</v>
      </c>
      <c r="B51" s="6" t="s">
        <v>77</v>
      </c>
      <c r="C51" s="6" t="s">
        <v>378</v>
      </c>
      <c r="D51" s="6" t="s">
        <v>13</v>
      </c>
      <c r="E51" s="6" t="s">
        <v>14</v>
      </c>
      <c r="F51" s="6" t="s">
        <v>16</v>
      </c>
      <c r="G51" s="6" t="s">
        <v>17</v>
      </c>
      <c r="H51" s="6" t="s">
        <v>18</v>
      </c>
      <c r="I51" s="6" t="s">
        <v>19</v>
      </c>
      <c r="J51" s="6" t="s">
        <v>56</v>
      </c>
    </row>
    <row r="52">
      <c r="A52" s="5">
        <v>46220.42610064815</v>
      </c>
      <c r="B52" s="6" t="s">
        <v>33</v>
      </c>
      <c r="C52" s="6" t="s">
        <v>378</v>
      </c>
      <c r="D52" s="6" t="s">
        <v>73</v>
      </c>
      <c r="E52" s="6" t="s">
        <v>14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>
      <c r="A53" s="5">
        <v>46220.42628945602</v>
      </c>
      <c r="B53" s="6" t="s">
        <v>72</v>
      </c>
      <c r="C53" s="6" t="s">
        <v>366</v>
      </c>
      <c r="D53" s="6" t="s">
        <v>13</v>
      </c>
      <c r="E53" s="6" t="s">
        <v>14</v>
      </c>
      <c r="F53" s="6" t="s">
        <v>16</v>
      </c>
      <c r="G53" s="6" t="s">
        <v>17</v>
      </c>
      <c r="H53" s="6" t="s">
        <v>18</v>
      </c>
      <c r="I53" s="6" t="s">
        <v>19</v>
      </c>
      <c r="J53" s="6" t="s">
        <v>20</v>
      </c>
      <c r="K53" s="6" t="s">
        <v>387</v>
      </c>
    </row>
    <row r="54">
      <c r="A54" s="5">
        <v>46220.42757306713</v>
      </c>
      <c r="B54" s="6" t="s">
        <v>71</v>
      </c>
      <c r="C54" s="6" t="s">
        <v>366</v>
      </c>
      <c r="D54" s="6" t="s">
        <v>13</v>
      </c>
      <c r="E54" s="6" t="s">
        <v>14</v>
      </c>
      <c r="F54" s="6" t="s">
        <v>16</v>
      </c>
      <c r="G54" s="6" t="s">
        <v>17</v>
      </c>
      <c r="H54" s="6" t="s">
        <v>18</v>
      </c>
      <c r="I54" s="6" t="s">
        <v>19</v>
      </c>
      <c r="J54" s="6" t="s">
        <v>20</v>
      </c>
    </row>
    <row r="55">
      <c r="A55" s="5">
        <v>46220.43240315972</v>
      </c>
      <c r="B55" s="6" t="s">
        <v>388</v>
      </c>
      <c r="C55" s="6" t="s">
        <v>378</v>
      </c>
      <c r="D55" s="6" t="s">
        <v>13</v>
      </c>
      <c r="E55" s="6" t="s">
        <v>14</v>
      </c>
      <c r="F55" s="6" t="s">
        <v>16</v>
      </c>
      <c r="G55" s="6" t="s">
        <v>39</v>
      </c>
      <c r="H55" s="6" t="s">
        <v>18</v>
      </c>
      <c r="I55" s="6" t="s">
        <v>55</v>
      </c>
      <c r="J55" s="6" t="s">
        <v>20</v>
      </c>
    </row>
    <row r="56">
      <c r="A56" s="5">
        <v>46220.43287927083</v>
      </c>
      <c r="B56" s="6" t="s">
        <v>57</v>
      </c>
      <c r="C56" s="6" t="s">
        <v>366</v>
      </c>
      <c r="D56" s="6" t="s">
        <v>13</v>
      </c>
      <c r="E56" s="6" t="s">
        <v>14</v>
      </c>
      <c r="F56" s="6" t="s">
        <v>16</v>
      </c>
      <c r="G56" s="6" t="s">
        <v>17</v>
      </c>
      <c r="H56" s="6" t="s">
        <v>18</v>
      </c>
      <c r="I56" s="6" t="s">
        <v>19</v>
      </c>
      <c r="J56" s="6" t="s">
        <v>20</v>
      </c>
    </row>
    <row r="57">
      <c r="A57" s="5">
        <v>46220.433148599535</v>
      </c>
      <c r="B57" s="6" t="s">
        <v>42</v>
      </c>
      <c r="C57" s="6" t="s">
        <v>366</v>
      </c>
      <c r="D57" s="6" t="s">
        <v>13</v>
      </c>
      <c r="E57" s="6" t="s">
        <v>14</v>
      </c>
      <c r="F57" s="6" t="s">
        <v>16</v>
      </c>
      <c r="G57" s="6" t="s">
        <v>17</v>
      </c>
      <c r="H57" s="6" t="s">
        <v>18</v>
      </c>
      <c r="I57" s="6" t="s">
        <v>19</v>
      </c>
      <c r="J57" s="6" t="s">
        <v>20</v>
      </c>
    </row>
    <row r="58">
      <c r="A58" s="5">
        <v>46220.43349819444</v>
      </c>
      <c r="B58" s="6" t="s">
        <v>52</v>
      </c>
      <c r="C58" s="6" t="s">
        <v>378</v>
      </c>
      <c r="D58" s="6" t="s">
        <v>13</v>
      </c>
      <c r="E58" s="6" t="s">
        <v>14</v>
      </c>
      <c r="F58" s="6" t="s">
        <v>54</v>
      </c>
      <c r="G58" s="6" t="s">
        <v>39</v>
      </c>
      <c r="H58" s="6" t="s">
        <v>18</v>
      </c>
      <c r="I58" s="6" t="s">
        <v>19</v>
      </c>
      <c r="J58" s="6" t="s">
        <v>20</v>
      </c>
    </row>
    <row r="59">
      <c r="A59" s="5">
        <v>46220.43750672454</v>
      </c>
      <c r="B59" s="6" t="s">
        <v>95</v>
      </c>
      <c r="C59" s="6" t="s">
        <v>366</v>
      </c>
      <c r="D59" s="6" t="s">
        <v>13</v>
      </c>
      <c r="E59" s="6" t="s">
        <v>14</v>
      </c>
      <c r="F59" s="6" t="s">
        <v>16</v>
      </c>
      <c r="G59" s="6" t="s">
        <v>17</v>
      </c>
      <c r="H59" s="6" t="s">
        <v>18</v>
      </c>
      <c r="I59" s="6" t="s">
        <v>19</v>
      </c>
      <c r="J59" s="6" t="s">
        <v>20</v>
      </c>
    </row>
    <row r="60">
      <c r="A60" s="5">
        <v>46220.43917384259</v>
      </c>
      <c r="B60" s="6" t="s">
        <v>113</v>
      </c>
      <c r="C60" s="6" t="s">
        <v>378</v>
      </c>
      <c r="D60" s="6" t="s">
        <v>13</v>
      </c>
      <c r="E60" s="6" t="s">
        <v>14</v>
      </c>
      <c r="F60" s="6" t="s">
        <v>16</v>
      </c>
      <c r="G60" s="6" t="s">
        <v>17</v>
      </c>
      <c r="H60" s="6" t="s">
        <v>18</v>
      </c>
      <c r="I60" s="6" t="s">
        <v>19</v>
      </c>
      <c r="J60" s="6" t="s">
        <v>20</v>
      </c>
    </row>
    <row r="61">
      <c r="A61" s="5">
        <v>46220.440216585645</v>
      </c>
      <c r="B61" s="6" t="s">
        <v>114</v>
      </c>
      <c r="C61" s="6" t="s">
        <v>366</v>
      </c>
      <c r="D61" s="6" t="s">
        <v>13</v>
      </c>
      <c r="E61" s="6" t="s">
        <v>14</v>
      </c>
      <c r="F61" s="6" t="s">
        <v>16</v>
      </c>
      <c r="G61" s="6" t="s">
        <v>17</v>
      </c>
      <c r="H61" s="6" t="s">
        <v>18</v>
      </c>
      <c r="I61" s="6" t="s">
        <v>19</v>
      </c>
      <c r="J61" s="6" t="s">
        <v>20</v>
      </c>
    </row>
    <row r="62">
      <c r="A62" s="5">
        <v>46220.44994697916</v>
      </c>
      <c r="B62" s="6" t="s">
        <v>104</v>
      </c>
      <c r="C62" s="6" t="s">
        <v>378</v>
      </c>
      <c r="D62" s="6" t="s">
        <v>13</v>
      </c>
      <c r="E62" s="6" t="s">
        <v>14</v>
      </c>
      <c r="F62" s="6" t="s">
        <v>16</v>
      </c>
      <c r="G62" s="6" t="s">
        <v>17</v>
      </c>
      <c r="H62" s="6" t="s">
        <v>18</v>
      </c>
      <c r="I62" s="6" t="s">
        <v>19</v>
      </c>
      <c r="J62" s="6" t="s">
        <v>20</v>
      </c>
    </row>
    <row r="63">
      <c r="A63" s="5">
        <v>46220.45229090277</v>
      </c>
      <c r="B63" s="6" t="s">
        <v>130</v>
      </c>
      <c r="C63" s="6" t="s">
        <v>389</v>
      </c>
      <c r="D63" s="6" t="s">
        <v>13</v>
      </c>
      <c r="E63" s="6" t="s">
        <v>14</v>
      </c>
      <c r="F63" s="6" t="s">
        <v>16</v>
      </c>
      <c r="G63" s="6" t="s">
        <v>17</v>
      </c>
      <c r="H63" s="6" t="s">
        <v>18</v>
      </c>
      <c r="I63" s="6" t="s">
        <v>19</v>
      </c>
      <c r="J63" s="6" t="s">
        <v>20</v>
      </c>
    </row>
    <row r="64">
      <c r="A64" s="5">
        <v>46221.01387045139</v>
      </c>
      <c r="B64" s="6" t="s">
        <v>69</v>
      </c>
      <c r="C64" s="6" t="s">
        <v>366</v>
      </c>
      <c r="D64" s="6" t="s">
        <v>13</v>
      </c>
      <c r="E64" s="6" t="s">
        <v>14</v>
      </c>
      <c r="F64" s="6" t="s">
        <v>16</v>
      </c>
      <c r="G64" s="6" t="s">
        <v>17</v>
      </c>
      <c r="H64" s="6" t="s">
        <v>18</v>
      </c>
      <c r="I64" s="6" t="s">
        <v>19</v>
      </c>
      <c r="J64" s="6" t="s">
        <v>20</v>
      </c>
    </row>
    <row r="65">
      <c r="A65" s="5">
        <v>46221.63661814815</v>
      </c>
      <c r="B65" s="6" t="s">
        <v>80</v>
      </c>
      <c r="C65" s="6" t="s">
        <v>366</v>
      </c>
      <c r="D65" s="6" t="s">
        <v>13</v>
      </c>
      <c r="E65" s="6" t="s">
        <v>14</v>
      </c>
      <c r="F65" s="6" t="s">
        <v>16</v>
      </c>
      <c r="G65" s="6" t="s">
        <v>17</v>
      </c>
      <c r="H65" s="6" t="s">
        <v>18</v>
      </c>
      <c r="I65" s="6" t="s">
        <v>19</v>
      </c>
      <c r="J65" s="6" t="s">
        <v>20</v>
      </c>
    </row>
    <row r="66">
      <c r="A66" s="5">
        <v>46221.78389211805</v>
      </c>
      <c r="B66" s="6" t="s">
        <v>190</v>
      </c>
      <c r="C66" s="6" t="s">
        <v>390</v>
      </c>
      <c r="D66" s="6" t="s">
        <v>13</v>
      </c>
      <c r="E66" s="6" t="s">
        <v>14</v>
      </c>
      <c r="F66" s="6" t="s">
        <v>16</v>
      </c>
      <c r="G66" s="6" t="s">
        <v>17</v>
      </c>
      <c r="H66" s="6" t="s">
        <v>18</v>
      </c>
      <c r="I66" s="6" t="s">
        <v>55</v>
      </c>
      <c r="J66" s="6" t="s">
        <v>56</v>
      </c>
    </row>
    <row r="67">
      <c r="A67" s="5">
        <v>46222.51106263889</v>
      </c>
      <c r="B67" s="6" t="s">
        <v>103</v>
      </c>
      <c r="C67" s="6" t="s">
        <v>390</v>
      </c>
      <c r="D67" s="6" t="s">
        <v>13</v>
      </c>
      <c r="E67" s="6" t="s">
        <v>14</v>
      </c>
      <c r="F67" s="6" t="s">
        <v>16</v>
      </c>
      <c r="G67" s="6" t="s">
        <v>17</v>
      </c>
      <c r="H67" s="6" t="s">
        <v>18</v>
      </c>
      <c r="I67" s="6" t="s">
        <v>19</v>
      </c>
      <c r="J67" s="6" t="s">
        <v>20</v>
      </c>
    </row>
    <row r="68">
      <c r="A68" s="5">
        <v>46223.351883564814</v>
      </c>
      <c r="B68" s="6" t="s">
        <v>66</v>
      </c>
      <c r="C68" s="6" t="s">
        <v>366</v>
      </c>
      <c r="D68" s="6" t="s">
        <v>13</v>
      </c>
      <c r="E68" s="6" t="s">
        <v>14</v>
      </c>
      <c r="F68" s="6" t="s">
        <v>16</v>
      </c>
      <c r="G68" s="6" t="s">
        <v>17</v>
      </c>
      <c r="H68" s="6" t="s">
        <v>18</v>
      </c>
      <c r="I68" s="6" t="s">
        <v>19</v>
      </c>
      <c r="J68" s="6" t="s">
        <v>20</v>
      </c>
      <c r="K68" s="6" t="s">
        <v>391</v>
      </c>
    </row>
    <row r="69">
      <c r="A69" s="5">
        <v>46223.49608690973</v>
      </c>
      <c r="B69" s="6" t="s">
        <v>79</v>
      </c>
      <c r="C69" s="6" t="s">
        <v>366</v>
      </c>
      <c r="D69" s="6" t="s">
        <v>13</v>
      </c>
      <c r="E69" s="6" t="s">
        <v>14</v>
      </c>
      <c r="F69" s="6" t="s">
        <v>16</v>
      </c>
      <c r="G69" s="6" t="s">
        <v>17</v>
      </c>
      <c r="H69" s="6" t="s">
        <v>18</v>
      </c>
      <c r="I69" s="6" t="s">
        <v>19</v>
      </c>
      <c r="J69" s="6" t="s">
        <v>20</v>
      </c>
    </row>
    <row r="70">
      <c r="A70" s="5">
        <v>46262.48427976852</v>
      </c>
      <c r="B70" s="6" t="s">
        <v>63</v>
      </c>
      <c r="C70" s="6" t="s">
        <v>392</v>
      </c>
      <c r="D70" s="6" t="s">
        <v>13</v>
      </c>
      <c r="E70" s="6" t="s">
        <v>14</v>
      </c>
      <c r="F70" s="6" t="s">
        <v>16</v>
      </c>
      <c r="G70" s="6" t="s">
        <v>17</v>
      </c>
      <c r="H70" s="6" t="s">
        <v>18</v>
      </c>
      <c r="I70" s="6" t="s">
        <v>19</v>
      </c>
      <c r="J70" s="6" t="s">
        <v>20</v>
      </c>
      <c r="K70" s="6" t="s">
        <v>64</v>
      </c>
    </row>
    <row r="71">
      <c r="A71" s="5">
        <v>46262.59723254629</v>
      </c>
      <c r="B71" s="6" t="s">
        <v>86</v>
      </c>
      <c r="C71" s="6" t="s">
        <v>393</v>
      </c>
      <c r="D71" s="6" t="s">
        <v>13</v>
      </c>
      <c r="E71" s="6" t="s">
        <v>14</v>
      </c>
      <c r="F71" s="6" t="s">
        <v>16</v>
      </c>
      <c r="G71" s="6" t="s">
        <v>17</v>
      </c>
      <c r="H71" s="6" t="s">
        <v>18</v>
      </c>
      <c r="I71" s="6" t="s">
        <v>19</v>
      </c>
      <c r="J71" s="6" t="s">
        <v>20</v>
      </c>
    </row>
    <row r="72">
      <c r="A72" s="5">
        <v>46262.80136881945</v>
      </c>
      <c r="B72" s="6" t="s">
        <v>93</v>
      </c>
      <c r="C72" s="6" t="s">
        <v>392</v>
      </c>
      <c r="D72" s="6" t="s">
        <v>13</v>
      </c>
      <c r="E72" s="6" t="s">
        <v>14</v>
      </c>
      <c r="F72" s="6" t="s">
        <v>16</v>
      </c>
      <c r="G72" s="6" t="s">
        <v>17</v>
      </c>
      <c r="H72" s="6" t="s">
        <v>18</v>
      </c>
      <c r="I72" s="6" t="s">
        <v>19</v>
      </c>
      <c r="J72" s="6" t="s">
        <v>20</v>
      </c>
    </row>
    <row r="73">
      <c r="A73" s="5">
        <v>46264.5334482176</v>
      </c>
      <c r="B73" s="6" t="s">
        <v>105</v>
      </c>
      <c r="C73" s="6" t="s">
        <v>394</v>
      </c>
      <c r="D73" s="6" t="s">
        <v>13</v>
      </c>
      <c r="E73" s="6" t="s">
        <v>14</v>
      </c>
      <c r="F73" s="6" t="s">
        <v>16</v>
      </c>
      <c r="G73" s="6" t="s">
        <v>17</v>
      </c>
      <c r="H73" s="6" t="s">
        <v>18</v>
      </c>
      <c r="I73" s="6" t="s">
        <v>19</v>
      </c>
      <c r="J73" s="6" t="s">
        <v>20</v>
      </c>
    </row>
    <row r="74">
      <c r="A74" s="5">
        <v>46264.88015667824</v>
      </c>
      <c r="B74" s="6" t="s">
        <v>108</v>
      </c>
      <c r="C74" s="6" t="s">
        <v>109</v>
      </c>
      <c r="D74" s="6" t="s">
        <v>13</v>
      </c>
      <c r="E74" s="6" t="s">
        <v>14</v>
      </c>
      <c r="F74" s="6" t="s">
        <v>16</v>
      </c>
      <c r="G74" s="6" t="s">
        <v>17</v>
      </c>
      <c r="H74" s="6" t="s">
        <v>18</v>
      </c>
      <c r="I74" s="6" t="s">
        <v>19</v>
      </c>
      <c r="J74" s="6" t="s">
        <v>20</v>
      </c>
    </row>
    <row r="75">
      <c r="A75" s="5">
        <v>46265.68095866898</v>
      </c>
      <c r="B75" s="6" t="s">
        <v>112</v>
      </c>
      <c r="C75" s="6" t="s">
        <v>392</v>
      </c>
      <c r="D75" s="6" t="s">
        <v>13</v>
      </c>
      <c r="E75" s="6" t="s">
        <v>14</v>
      </c>
      <c r="F75" s="6" t="s">
        <v>16</v>
      </c>
      <c r="G75" s="6" t="s">
        <v>17</v>
      </c>
      <c r="H75" s="6" t="s">
        <v>18</v>
      </c>
      <c r="I75" s="6" t="s">
        <v>19</v>
      </c>
      <c r="J75" s="6" t="s">
        <v>20</v>
      </c>
    </row>
    <row r="76">
      <c r="A76" s="5">
        <v>46265.705735787036</v>
      </c>
      <c r="B76" s="6" t="s">
        <v>115</v>
      </c>
      <c r="C76" s="6" t="s">
        <v>392</v>
      </c>
      <c r="D76" s="6" t="s">
        <v>13</v>
      </c>
      <c r="E76" s="6" t="s">
        <v>14</v>
      </c>
      <c r="F76" s="6" t="s">
        <v>16</v>
      </c>
      <c r="G76" s="6" t="s">
        <v>17</v>
      </c>
      <c r="H76" s="6" t="s">
        <v>18</v>
      </c>
      <c r="I76" s="6" t="s">
        <v>19</v>
      </c>
      <c r="J76" s="6" t="s">
        <v>20</v>
      </c>
    </row>
    <row r="77">
      <c r="A77" s="5">
        <v>46267.30859423611</v>
      </c>
      <c r="B77" s="6" t="s">
        <v>129</v>
      </c>
      <c r="C77" s="6" t="s">
        <v>352</v>
      </c>
      <c r="D77" s="6" t="s">
        <v>13</v>
      </c>
      <c r="E77" s="6" t="s">
        <v>14</v>
      </c>
      <c r="F77" s="6" t="s">
        <v>16</v>
      </c>
      <c r="G77" s="6" t="s">
        <v>17</v>
      </c>
      <c r="H77" s="6" t="s">
        <v>18</v>
      </c>
      <c r="I77" s="6" t="s">
        <v>19</v>
      </c>
      <c r="J77" s="6" t="s">
        <v>20</v>
      </c>
    </row>
    <row r="78">
      <c r="A78" s="5">
        <v>46267.3094950463</v>
      </c>
      <c r="B78" s="6" t="s">
        <v>127</v>
      </c>
      <c r="C78" s="6" t="s">
        <v>393</v>
      </c>
      <c r="D78" s="6" t="s">
        <v>13</v>
      </c>
      <c r="E78" s="6" t="s">
        <v>14</v>
      </c>
      <c r="F78" s="6" t="s">
        <v>16</v>
      </c>
      <c r="G78" s="6" t="s">
        <v>17</v>
      </c>
      <c r="H78" s="6" t="s">
        <v>18</v>
      </c>
      <c r="I78" s="6" t="s">
        <v>19</v>
      </c>
      <c r="J78" s="6" t="s">
        <v>20</v>
      </c>
    </row>
    <row r="79">
      <c r="A79" s="5">
        <v>46267.60694457176</v>
      </c>
      <c r="B79" s="6" t="s">
        <v>135</v>
      </c>
      <c r="C79" s="6" t="s">
        <v>395</v>
      </c>
      <c r="D79" s="6" t="s">
        <v>13</v>
      </c>
      <c r="E79" s="6" t="s">
        <v>14</v>
      </c>
      <c r="F79" s="6" t="s">
        <v>16</v>
      </c>
      <c r="G79" s="6" t="s">
        <v>17</v>
      </c>
      <c r="H79" s="6" t="s">
        <v>18</v>
      </c>
      <c r="I79" s="6" t="s">
        <v>19</v>
      </c>
      <c r="J79" s="6" t="s">
        <v>20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17" t="s">
        <v>0</v>
      </c>
      <c r="B1" s="17" t="s">
        <v>1</v>
      </c>
      <c r="C1" s="17" t="s">
        <v>2</v>
      </c>
      <c r="D1" s="18"/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9"/>
      <c r="M1" s="20" t="s">
        <v>15</v>
      </c>
      <c r="P1" s="19"/>
      <c r="Q1" s="19"/>
      <c r="R1" s="19"/>
    </row>
    <row r="2">
      <c r="A2" s="21">
        <f>'1.7'!A:A</f>
        <v>46219.35676</v>
      </c>
      <c r="B2" s="17" t="str">
        <f>'1.7'!B:B</f>
        <v>bnco1052@signalschool.ac.th</v>
      </c>
      <c r="C2" s="17" t="str">
        <f>'1.7'!C:C</f>
        <v>ส.อ.สิทธิโชค  หนูแดง</v>
      </c>
      <c r="D2" s="22">
        <v>1.0</v>
      </c>
      <c r="E2" s="23">
        <f>IFERROR(vlookup('1.7'!D:D,lookup!$A$2:$B$4,2,false),0)</f>
        <v>5</v>
      </c>
      <c r="F2" s="23">
        <f>IFERROR(vlookup('1.7'!E:E,lookup!$A$6:$B$8,2,false),0)</f>
        <v>5</v>
      </c>
      <c r="G2" s="23">
        <f>IFERROR(vlookup('1.7'!F:F,lookup!$A$10:$B$12,2,false),0)</f>
        <v>5</v>
      </c>
      <c r="H2" s="23">
        <f>IFERROR(vlookup('1.7'!G:G,lookup!$A$14:$B$16,2,false),0)</f>
        <v>5</v>
      </c>
      <c r="I2" s="23">
        <f>IFERROR(vlookup('1.7'!H:H,lookup!$A$18:$B$20,2,false),0)</f>
        <v>5</v>
      </c>
      <c r="J2" s="23">
        <f>IFERROR(vlookup('1.7'!I:I,lookup!$A$22:$B$24,2,false),0)</f>
        <v>5</v>
      </c>
      <c r="K2" s="23">
        <f>IFERROR(vlookup('1.7'!J:J,lookup!$A$26:$B$28,2,false),0)</f>
        <v>5</v>
      </c>
      <c r="L2" s="19"/>
      <c r="M2" s="23">
        <v>1.0</v>
      </c>
      <c r="N2" s="24" t="str">
        <f t="shared" ref="N2:N81" si="1">CONCAT(R2,"@signalschool.ac.th")</f>
        <v>bnco1001@signalschool.ac.th</v>
      </c>
      <c r="O2" s="25">
        <f t="shared" ref="O2:O81" si="2">IFERROR(VLOOKUP(N2,B$2:D$81,3,FALSE),0)</f>
        <v>1</v>
      </c>
      <c r="P2" s="19"/>
      <c r="Q2" s="19"/>
      <c r="R2" s="26" t="s">
        <v>91</v>
      </c>
    </row>
    <row r="3">
      <c r="A3" s="21">
        <f>'1.7'!A:A</f>
        <v>46219.3597</v>
      </c>
      <c r="B3" s="17" t="str">
        <f>'1.7'!B:B</f>
        <v>bnco1009@signalschool.ac.th</v>
      </c>
      <c r="C3" s="17" t="str">
        <f>'1.7'!C:C</f>
        <v>พ.ต.ประทีป คุ้มยิ้ม</v>
      </c>
      <c r="D3" s="22">
        <v>1.0</v>
      </c>
      <c r="E3" s="23">
        <f>IFERROR(vlookup('1.7'!D:D,lookup!$A$2:$B$4,2,false),0)</f>
        <v>5</v>
      </c>
      <c r="F3" s="23">
        <f>IFERROR(vlookup('1.7'!E:E,lookup!$A$6:$B$8,2,false),0)</f>
        <v>5</v>
      </c>
      <c r="G3" s="23">
        <f>IFERROR(vlookup('1.7'!F:F,lookup!$A$10:$B$12,2,false),0)</f>
        <v>5</v>
      </c>
      <c r="H3" s="23">
        <f>IFERROR(vlookup('1.7'!G:G,lookup!$A$14:$B$16,2,false),0)</f>
        <v>5</v>
      </c>
      <c r="I3" s="23">
        <f>IFERROR(vlookup('1.7'!H:H,lookup!$A$18:$B$20,2,false),0)</f>
        <v>5</v>
      </c>
      <c r="J3" s="23">
        <f>IFERROR(vlookup('1.7'!I:I,lookup!$A$22:$B$24,2,false),0)</f>
        <v>5</v>
      </c>
      <c r="K3" s="23">
        <f>IFERROR(vlookup('1.7'!J:J,lookup!$A$26:$B$28,2,false),0)</f>
        <v>5</v>
      </c>
      <c r="L3" s="19"/>
      <c r="M3" s="23">
        <v>2.0</v>
      </c>
      <c r="N3" s="24" t="str">
        <f t="shared" si="1"/>
        <v>bnco1002@signalschool.ac.th</v>
      </c>
      <c r="O3" s="25">
        <f t="shared" si="2"/>
        <v>1</v>
      </c>
      <c r="P3" s="19"/>
      <c r="Q3" s="19"/>
      <c r="R3" s="26" t="s">
        <v>123</v>
      </c>
    </row>
    <row r="4">
      <c r="A4" s="21">
        <f>'1.7'!A:A</f>
        <v>46219.38756</v>
      </c>
      <c r="B4" s="17" t="str">
        <f>'1.7'!B:B</f>
        <v>bnco1003@signalschool.ac.th</v>
      </c>
      <c r="C4" s="17" t="str">
        <f>'1.7'!C:C</f>
        <v>ส.อ.ไชยพร  รักษากุล</v>
      </c>
      <c r="D4" s="22">
        <v>1.0</v>
      </c>
      <c r="E4" s="23">
        <f>IFERROR(vlookup('1.7'!D:D,lookup!$A$2:$B$4,2,false),0)</f>
        <v>5</v>
      </c>
      <c r="F4" s="23">
        <f>IFERROR(vlookup('1.7'!E:E,lookup!$A$6:$B$8,2,false),0)</f>
        <v>5</v>
      </c>
      <c r="G4" s="23">
        <f>IFERROR(vlookup('1.7'!F:F,lookup!$A$10:$B$12,2,false),0)</f>
        <v>5</v>
      </c>
      <c r="H4" s="23">
        <f>IFERROR(vlookup('1.7'!G:G,lookup!$A$14:$B$16,2,false),0)</f>
        <v>5</v>
      </c>
      <c r="I4" s="23">
        <f>IFERROR(vlookup('1.7'!H:H,lookup!$A$18:$B$20,2,false),0)</f>
        <v>5</v>
      </c>
      <c r="J4" s="23">
        <f>IFERROR(vlookup('1.7'!I:I,lookup!$A$22:$B$24,2,false),0)</f>
        <v>5</v>
      </c>
      <c r="K4" s="23">
        <f>IFERROR(vlookup('1.7'!J:J,lookup!$A$26:$B$28,2,false),0)</f>
        <v>5</v>
      </c>
      <c r="L4" s="19"/>
      <c r="M4" s="23">
        <v>3.0</v>
      </c>
      <c r="N4" s="24" t="str">
        <f t="shared" si="1"/>
        <v>bnco1003@signalschool.ac.th</v>
      </c>
      <c r="O4" s="25">
        <f t="shared" si="2"/>
        <v>1</v>
      </c>
      <c r="P4" s="19"/>
      <c r="Q4" s="19"/>
      <c r="R4" s="26" t="s">
        <v>141</v>
      </c>
    </row>
    <row r="5">
      <c r="A5" s="21">
        <f>'1.7'!A:A</f>
        <v>46219.39128</v>
      </c>
      <c r="B5" s="17" t="str">
        <f>'1.7'!B:B</f>
        <v>bnco1067@signalschool.ac.th</v>
      </c>
      <c r="C5" s="17" t="str">
        <f>'1.7'!C:C</f>
        <v>ส.อ.ไชยพร รักษากุล</v>
      </c>
      <c r="D5" s="22">
        <v>1.0</v>
      </c>
      <c r="E5" s="23">
        <f>IFERROR(vlookup('1.7'!D:D,lookup!$A$2:$B$4,2,false),0)</f>
        <v>5</v>
      </c>
      <c r="F5" s="23">
        <f>IFERROR(vlookup('1.7'!E:E,lookup!$A$6:$B$8,2,false),0)</f>
        <v>5</v>
      </c>
      <c r="G5" s="23">
        <f>IFERROR(vlookup('1.7'!F:F,lookup!$A$10:$B$12,2,false),0)</f>
        <v>5</v>
      </c>
      <c r="H5" s="23">
        <f>IFERROR(vlookup('1.7'!G:G,lookup!$A$14:$B$16,2,false),0)</f>
        <v>5</v>
      </c>
      <c r="I5" s="23">
        <f>IFERROR(vlookup('1.7'!H:H,lookup!$A$18:$B$20,2,false),0)</f>
        <v>5</v>
      </c>
      <c r="J5" s="23">
        <f>IFERROR(vlookup('1.7'!I:I,lookup!$A$22:$B$24,2,false),0)</f>
        <v>5</v>
      </c>
      <c r="K5" s="23">
        <f>IFERROR(vlookup('1.7'!J:J,lookup!$A$26:$B$28,2,false),0)</f>
        <v>5</v>
      </c>
      <c r="L5" s="19"/>
      <c r="M5" s="23">
        <v>4.0</v>
      </c>
      <c r="N5" s="24" t="str">
        <f t="shared" si="1"/>
        <v>bnco1004@signalschool.ac.th</v>
      </c>
      <c r="O5" s="25">
        <f t="shared" si="2"/>
        <v>1</v>
      </c>
      <c r="P5" s="19"/>
      <c r="Q5" s="19"/>
      <c r="R5" s="26" t="s">
        <v>143</v>
      </c>
    </row>
    <row r="6">
      <c r="A6" s="21">
        <f>'1.7'!A:A</f>
        <v>46219.39269</v>
      </c>
      <c r="B6" s="17" t="str">
        <f>'1.7'!B:B</f>
        <v>bnco1004@signalschool.ac.th</v>
      </c>
      <c r="C6" s="17" t="str">
        <f>'1.7'!C:C</f>
        <v>สิบเอก ไชยพร  รักษากุล</v>
      </c>
      <c r="D6" s="22">
        <v>1.0</v>
      </c>
      <c r="E6" s="23">
        <f>IFERROR(vlookup('1.7'!D:D,lookup!$A$2:$B$4,2,false),0)</f>
        <v>5</v>
      </c>
      <c r="F6" s="23">
        <f>IFERROR(vlookup('1.7'!E:E,lookup!$A$6:$B$8,2,false),0)</f>
        <v>5</v>
      </c>
      <c r="G6" s="23">
        <f>IFERROR(vlookup('1.7'!F:F,lookup!$A$10:$B$12,2,false),0)</f>
        <v>5</v>
      </c>
      <c r="H6" s="23">
        <f>IFERROR(vlookup('1.7'!G:G,lookup!$A$14:$B$16,2,false),0)</f>
        <v>5</v>
      </c>
      <c r="I6" s="23">
        <f>IFERROR(vlookup('1.7'!H:H,lookup!$A$18:$B$20,2,false),0)</f>
        <v>5</v>
      </c>
      <c r="J6" s="23">
        <f>IFERROR(vlookup('1.7'!I:I,lookup!$A$22:$B$24,2,false),0)</f>
        <v>5</v>
      </c>
      <c r="K6" s="23">
        <f>IFERROR(vlookup('1.7'!J:J,lookup!$A$26:$B$28,2,false),0)</f>
        <v>5</v>
      </c>
      <c r="L6" s="19"/>
      <c r="M6" s="23">
        <v>5.0</v>
      </c>
      <c r="N6" s="24" t="str">
        <f t="shared" si="1"/>
        <v>bnco1005@signalschool.ac.th</v>
      </c>
      <c r="O6" s="25">
        <f t="shared" si="2"/>
        <v>1</v>
      </c>
      <c r="P6" s="19"/>
      <c r="Q6" s="19"/>
      <c r="R6" s="26" t="s">
        <v>144</v>
      </c>
    </row>
    <row r="7">
      <c r="A7" s="21">
        <f>'1.7'!A:A</f>
        <v>46219.39512</v>
      </c>
      <c r="B7" s="17" t="str">
        <f>'1.7'!B:B</f>
        <v>bnco1005@signalschool.ac.th</v>
      </c>
      <c r="C7" s="17" t="str">
        <f>'1.7'!C:C</f>
        <v>ส.อ.ไชยพร รักษากุล</v>
      </c>
      <c r="D7" s="22">
        <v>1.0</v>
      </c>
      <c r="E7" s="23">
        <f>IFERROR(vlookup('1.7'!D:D,lookup!$A$2:$B$4,2,false),0)</f>
        <v>5</v>
      </c>
      <c r="F7" s="23">
        <f>IFERROR(vlookup('1.7'!E:E,lookup!$A$6:$B$8,2,false),0)</f>
        <v>5</v>
      </c>
      <c r="G7" s="23">
        <f>IFERROR(vlookup('1.7'!F:F,lookup!$A$10:$B$12,2,false),0)</f>
        <v>5</v>
      </c>
      <c r="H7" s="23">
        <f>IFERROR(vlookup('1.7'!G:G,lookup!$A$14:$B$16,2,false),0)</f>
        <v>5</v>
      </c>
      <c r="I7" s="23">
        <f>IFERROR(vlookup('1.7'!H:H,lookup!$A$18:$B$20,2,false),0)</f>
        <v>5</v>
      </c>
      <c r="J7" s="23">
        <f>IFERROR(vlookup('1.7'!I:I,lookup!$A$22:$B$24,2,false),0)</f>
        <v>5</v>
      </c>
      <c r="K7" s="23">
        <f>IFERROR(vlookup('1.7'!J:J,lookup!$A$26:$B$28,2,false),0)</f>
        <v>5</v>
      </c>
      <c r="L7" s="19"/>
      <c r="M7" s="23">
        <v>6.0</v>
      </c>
      <c r="N7" s="24" t="str">
        <f t="shared" si="1"/>
        <v>bnco1006@signalschool.ac.th</v>
      </c>
      <c r="O7" s="25">
        <f t="shared" si="2"/>
        <v>1</v>
      </c>
      <c r="P7" s="19"/>
      <c r="Q7" s="19"/>
      <c r="R7" s="26" t="s">
        <v>145</v>
      </c>
    </row>
    <row r="8">
      <c r="A8" s="21">
        <f>'1.7'!A:A</f>
        <v>46219.39695</v>
      </c>
      <c r="B8" s="17" t="str">
        <f>'1.7'!B:B</f>
        <v>bnco1037@signalschool.ac.th</v>
      </c>
      <c r="C8" s="17" t="str">
        <f>'1.7'!C:C</f>
        <v>ส.อ.ไชยพร รักษากุล</v>
      </c>
      <c r="D8" s="22">
        <v>1.0</v>
      </c>
      <c r="E8" s="23">
        <f>IFERROR(vlookup('1.7'!D:D,lookup!$A$2:$B$4,2,false),0)</f>
        <v>5</v>
      </c>
      <c r="F8" s="23">
        <f>IFERROR(vlookup('1.7'!E:E,lookup!$A$6:$B$8,2,false),0)</f>
        <v>5</v>
      </c>
      <c r="G8" s="23">
        <f>IFERROR(vlookup('1.7'!F:F,lookup!$A$10:$B$12,2,false),0)</f>
        <v>5</v>
      </c>
      <c r="H8" s="23">
        <f>IFERROR(vlookup('1.7'!G:G,lookup!$A$14:$B$16,2,false),0)</f>
        <v>5</v>
      </c>
      <c r="I8" s="23">
        <f>IFERROR(vlookup('1.7'!H:H,lookup!$A$18:$B$20,2,false),0)</f>
        <v>5</v>
      </c>
      <c r="J8" s="23">
        <f>IFERROR(vlookup('1.7'!I:I,lookup!$A$22:$B$24,2,false),0)</f>
        <v>5</v>
      </c>
      <c r="K8" s="23">
        <f>IFERROR(vlookup('1.7'!J:J,lookup!$A$26:$B$28,2,false),0)</f>
        <v>5</v>
      </c>
      <c r="L8" s="19"/>
      <c r="M8" s="23">
        <v>7.0</v>
      </c>
      <c r="N8" s="24" t="str">
        <f t="shared" si="1"/>
        <v>bnco1007@signalschool.ac.th</v>
      </c>
      <c r="O8" s="25">
        <f t="shared" si="2"/>
        <v>1</v>
      </c>
      <c r="P8" s="19"/>
      <c r="Q8" s="19"/>
      <c r="R8" s="26" t="s">
        <v>155</v>
      </c>
    </row>
    <row r="9">
      <c r="A9" s="21">
        <f>'1.7'!A:A</f>
        <v>46219.40264</v>
      </c>
      <c r="B9" s="17" t="str">
        <f>'1.7'!B:B</f>
        <v>bnco1059@signalschool.ac.th</v>
      </c>
      <c r="C9" s="17" t="str">
        <f>'1.7'!C:C</f>
        <v>ส.อ. ไชยพร รักษากุล</v>
      </c>
      <c r="D9" s="22">
        <v>1.0</v>
      </c>
      <c r="E9" s="23">
        <f>IFERROR(vlookup('1.7'!D:D,lookup!$A$2:$B$4,2,false),0)</f>
        <v>5</v>
      </c>
      <c r="F9" s="23">
        <f>IFERROR(vlookup('1.7'!E:E,lookup!$A$6:$B$8,2,false),0)</f>
        <v>5</v>
      </c>
      <c r="G9" s="23">
        <f>IFERROR(vlookup('1.7'!F:F,lookup!$A$10:$B$12,2,false),0)</f>
        <v>5</v>
      </c>
      <c r="H9" s="23">
        <f>IFERROR(vlookup('1.7'!G:G,lookup!$A$14:$B$16,2,false),0)</f>
        <v>5</v>
      </c>
      <c r="I9" s="23">
        <f>IFERROR(vlookup('1.7'!H:H,lookup!$A$18:$B$20,2,false),0)</f>
        <v>5</v>
      </c>
      <c r="J9" s="23">
        <f>IFERROR(vlookup('1.7'!I:I,lookup!$A$22:$B$24,2,false),0)</f>
        <v>5</v>
      </c>
      <c r="K9" s="23">
        <f>IFERROR(vlookup('1.7'!J:J,lookup!$A$26:$B$28,2,false),0)</f>
        <v>5</v>
      </c>
      <c r="L9" s="19"/>
      <c r="M9" s="23">
        <v>8.0</v>
      </c>
      <c r="N9" s="24" t="str">
        <f t="shared" si="1"/>
        <v>bnco1008@signalschool.ac.th</v>
      </c>
      <c r="O9" s="25">
        <f t="shared" si="2"/>
        <v>1</v>
      </c>
      <c r="P9" s="19"/>
      <c r="Q9" s="19"/>
      <c r="R9" s="26" t="s">
        <v>166</v>
      </c>
    </row>
    <row r="10">
      <c r="A10" s="21">
        <f>'1.7'!A:A</f>
        <v>46219.40295</v>
      </c>
      <c r="B10" s="17" t="str">
        <f>'1.7'!B:B</f>
        <v>bnco1040@signalschool.ac.th</v>
      </c>
      <c r="C10" s="17" t="str">
        <f>'1.7'!C:C</f>
        <v>ส.อ. ไชยพร รักษากุล</v>
      </c>
      <c r="D10" s="22">
        <v>1.0</v>
      </c>
      <c r="E10" s="23">
        <f>IFERROR(vlookup('1.7'!D:D,lookup!$A$2:$B$4,2,false),0)</f>
        <v>5</v>
      </c>
      <c r="F10" s="23">
        <f>IFERROR(vlookup('1.7'!E:E,lookup!$A$6:$B$8,2,false),0)</f>
        <v>5</v>
      </c>
      <c r="G10" s="23">
        <f>IFERROR(vlookup('1.7'!F:F,lookup!$A$10:$B$12,2,false),0)</f>
        <v>5</v>
      </c>
      <c r="H10" s="23">
        <f>IFERROR(vlookup('1.7'!G:G,lookup!$A$14:$B$16,2,false),0)</f>
        <v>5</v>
      </c>
      <c r="I10" s="23">
        <f>IFERROR(vlookup('1.7'!H:H,lookup!$A$18:$B$20,2,false),0)</f>
        <v>5</v>
      </c>
      <c r="J10" s="23">
        <f>IFERROR(vlookup('1.7'!I:I,lookup!$A$22:$B$24,2,false),0)</f>
        <v>5</v>
      </c>
      <c r="K10" s="23">
        <f>IFERROR(vlookup('1.7'!J:J,lookup!$A$26:$B$28,2,false),0)</f>
        <v>5</v>
      </c>
      <c r="L10" s="19"/>
      <c r="M10" s="23">
        <v>9.0</v>
      </c>
      <c r="N10" s="24" t="str">
        <f t="shared" si="1"/>
        <v>bnco1009@signalschool.ac.th</v>
      </c>
      <c r="O10" s="25">
        <f t="shared" si="2"/>
        <v>1</v>
      </c>
      <c r="P10" s="19"/>
      <c r="Q10" s="19"/>
      <c r="R10" s="26" t="s">
        <v>175</v>
      </c>
    </row>
    <row r="11">
      <c r="A11" s="21">
        <f>'1.7'!A:A</f>
        <v>46219.40946</v>
      </c>
      <c r="B11" s="17" t="str">
        <f>'1.7'!B:B</f>
        <v>bnco1007@signalschool.ac.th</v>
      </c>
      <c r="C11" s="17" t="str">
        <f>'1.7'!C:C</f>
        <v>ส.อ.ไชยพร รักษากุล</v>
      </c>
      <c r="D11" s="22">
        <v>1.0</v>
      </c>
      <c r="E11" s="23">
        <f>IFERROR(vlookup('1.7'!D:D,lookup!$A$2:$B$4,2,false),0)</f>
        <v>5</v>
      </c>
      <c r="F11" s="23">
        <f>IFERROR(vlookup('1.7'!E:E,lookup!$A$6:$B$8,2,false),0)</f>
        <v>5</v>
      </c>
      <c r="G11" s="23">
        <f>IFERROR(vlookup('1.7'!F:F,lookup!$A$10:$B$12,2,false),0)</f>
        <v>5</v>
      </c>
      <c r="H11" s="23">
        <f>IFERROR(vlookup('1.7'!G:G,lookup!$A$14:$B$16,2,false),0)</f>
        <v>5</v>
      </c>
      <c r="I11" s="23">
        <f>IFERROR(vlookup('1.7'!H:H,lookup!$A$18:$B$20,2,false),0)</f>
        <v>5</v>
      </c>
      <c r="J11" s="23">
        <f>IFERROR(vlookup('1.7'!I:I,lookup!$A$22:$B$24,2,false),0)</f>
        <v>5</v>
      </c>
      <c r="K11" s="23">
        <f>IFERROR(vlookup('1.7'!J:J,lookup!$A$26:$B$28,2,false),0)</f>
        <v>5</v>
      </c>
      <c r="L11" s="19"/>
      <c r="M11" s="23">
        <v>10.0</v>
      </c>
      <c r="N11" s="24" t="str">
        <f t="shared" si="1"/>
        <v>bnco1010@signalschool.ac.th</v>
      </c>
      <c r="O11" s="25">
        <f t="shared" si="2"/>
        <v>1</v>
      </c>
      <c r="P11" s="19"/>
      <c r="Q11" s="19"/>
      <c r="R11" s="26" t="s">
        <v>192</v>
      </c>
    </row>
    <row r="12">
      <c r="A12" s="21">
        <f>'1.7'!A:A</f>
        <v>46219.42489</v>
      </c>
      <c r="B12" s="17" t="str">
        <f>'1.7'!B:B</f>
        <v>bnco1035@signalschool.ac.th</v>
      </c>
      <c r="C12" s="17" t="str">
        <f>'1.7'!C:C</f>
        <v>ส.อ. ไชยพร รักษากุล</v>
      </c>
      <c r="D12" s="22">
        <v>1.0</v>
      </c>
      <c r="E12" s="23">
        <f>IFERROR(vlookup('1.7'!D:D,lookup!$A$2:$B$4,2,false),0)</f>
        <v>5</v>
      </c>
      <c r="F12" s="23">
        <f>IFERROR(vlookup('1.7'!E:E,lookup!$A$6:$B$8,2,false),0)</f>
        <v>5</v>
      </c>
      <c r="G12" s="23">
        <f>IFERROR(vlookup('1.7'!F:F,lookup!$A$10:$B$12,2,false),0)</f>
        <v>5</v>
      </c>
      <c r="H12" s="23">
        <f>IFERROR(vlookup('1.7'!G:G,lookup!$A$14:$B$16,2,false),0)</f>
        <v>5</v>
      </c>
      <c r="I12" s="23">
        <f>IFERROR(vlookup('1.7'!H:H,lookup!$A$18:$B$20,2,false),0)</f>
        <v>5</v>
      </c>
      <c r="J12" s="23">
        <f>IFERROR(vlookup('1.7'!I:I,lookup!$A$22:$B$24,2,false),0)</f>
        <v>5</v>
      </c>
      <c r="K12" s="23">
        <f>IFERROR(vlookup('1.7'!J:J,lookup!$A$26:$B$28,2,false),0)</f>
        <v>5</v>
      </c>
      <c r="L12" s="19"/>
      <c r="M12" s="23">
        <v>11.0</v>
      </c>
      <c r="N12" s="24" t="str">
        <f t="shared" si="1"/>
        <v>bnco1011@signalschool.ac.th</v>
      </c>
      <c r="O12" s="25">
        <f t="shared" si="2"/>
        <v>1</v>
      </c>
      <c r="P12" s="19"/>
      <c r="Q12" s="19"/>
      <c r="R12" s="26" t="s">
        <v>209</v>
      </c>
    </row>
    <row r="13">
      <c r="A13" s="21">
        <f>'1.7'!A:A</f>
        <v>46219.42706</v>
      </c>
      <c r="B13" s="17" t="str">
        <f>'1.7'!B:B</f>
        <v>bnco1034@signalschool.ac.th</v>
      </c>
      <c r="C13" s="17" t="str">
        <f>'1.7'!C:C</f>
        <v>ส.อ. ไชยพร รักษากุล</v>
      </c>
      <c r="D13" s="22">
        <v>1.0</v>
      </c>
      <c r="E13" s="23">
        <f>IFERROR(vlookup('1.7'!D:D,lookup!$A$2:$B$4,2,false),0)</f>
        <v>5</v>
      </c>
      <c r="F13" s="23">
        <f>IFERROR(vlookup('1.7'!E:E,lookup!$A$6:$B$8,2,false),0)</f>
        <v>5</v>
      </c>
      <c r="G13" s="23">
        <f>IFERROR(vlookup('1.7'!F:F,lookup!$A$10:$B$12,2,false),0)</f>
        <v>5</v>
      </c>
      <c r="H13" s="23">
        <f>IFERROR(vlookup('1.7'!G:G,lookup!$A$14:$B$16,2,false),0)</f>
        <v>5</v>
      </c>
      <c r="I13" s="23">
        <f>IFERROR(vlookup('1.7'!H:H,lookup!$A$18:$B$20,2,false),0)</f>
        <v>5</v>
      </c>
      <c r="J13" s="23">
        <f>IFERROR(vlookup('1.7'!I:I,lookup!$A$22:$B$24,2,false),0)</f>
        <v>5</v>
      </c>
      <c r="K13" s="23">
        <f>IFERROR(vlookup('1.7'!J:J,lookup!$A$26:$B$28,2,false),0)</f>
        <v>5</v>
      </c>
      <c r="L13" s="19"/>
      <c r="M13" s="23">
        <v>12.0</v>
      </c>
      <c r="N13" s="24" t="str">
        <f t="shared" si="1"/>
        <v>bnco1012@signalschool.ac.th</v>
      </c>
      <c r="O13" s="25">
        <f t="shared" si="2"/>
        <v>1</v>
      </c>
      <c r="P13" s="19"/>
      <c r="Q13" s="19"/>
      <c r="R13" s="26" t="s">
        <v>213</v>
      </c>
    </row>
    <row r="14">
      <c r="A14" s="21">
        <f>'1.7'!A:A</f>
        <v>46219.4276</v>
      </c>
      <c r="B14" s="17" t="str">
        <f>'1.7'!B:B</f>
        <v>bnco1039@signalschool.ac.th</v>
      </c>
      <c r="C14" s="17" t="str">
        <f>'1.7'!C:C</f>
        <v>ส.อ. ไชยพร รักษากุล</v>
      </c>
      <c r="D14" s="22">
        <v>1.0</v>
      </c>
      <c r="E14" s="23">
        <f>IFERROR(vlookup('1.7'!D:D,lookup!$A$2:$B$4,2,false),0)</f>
        <v>3</v>
      </c>
      <c r="F14" s="23">
        <f>IFERROR(vlookup('1.7'!E:E,lookup!$A$6:$B$8,2,false),0)</f>
        <v>5</v>
      </c>
      <c r="G14" s="23">
        <f>IFERROR(vlookup('1.7'!F:F,lookup!$A$10:$B$12,2,false),0)</f>
        <v>3</v>
      </c>
      <c r="H14" s="23">
        <f>IFERROR(vlookup('1.7'!G:G,lookup!$A$14:$B$16,2,false),0)</f>
        <v>3</v>
      </c>
      <c r="I14" s="23">
        <f>IFERROR(vlookup('1.7'!H:H,lookup!$A$18:$B$20,2,false),0)</f>
        <v>3</v>
      </c>
      <c r="J14" s="23">
        <f>IFERROR(vlookup('1.7'!I:I,lookup!$A$22:$B$24,2,false),0)</f>
        <v>5</v>
      </c>
      <c r="K14" s="23">
        <f>IFERROR(vlookup('1.7'!J:J,lookup!$A$26:$B$28,2,false),0)</f>
        <v>1</v>
      </c>
      <c r="L14" s="19"/>
      <c r="M14" s="23">
        <v>13.0</v>
      </c>
      <c r="N14" s="24" t="str">
        <f t="shared" si="1"/>
        <v>bnco1013@signalschool.ac.th</v>
      </c>
      <c r="O14" s="25">
        <f t="shared" si="2"/>
        <v>1</v>
      </c>
      <c r="P14" s="19"/>
      <c r="Q14" s="19"/>
      <c r="R14" s="26" t="s">
        <v>214</v>
      </c>
    </row>
    <row r="15">
      <c r="A15" s="21">
        <f>'1.7'!A:A</f>
        <v>46219.4384</v>
      </c>
      <c r="B15" s="17" t="str">
        <f>'1.7'!B:B</f>
        <v>bnco1017@signalschool.ac.th</v>
      </c>
      <c r="C15" s="17" t="str">
        <f>'1.7'!C:C</f>
        <v>ส.อ.ไชยพร รักษากุล</v>
      </c>
      <c r="D15" s="22">
        <v>1.0</v>
      </c>
      <c r="E15" s="23">
        <f>IFERROR(vlookup('1.7'!D:D,lookup!$A$2:$B$4,2,false),0)</f>
        <v>5</v>
      </c>
      <c r="F15" s="23">
        <f>IFERROR(vlookup('1.7'!E:E,lookup!$A$6:$B$8,2,false),0)</f>
        <v>5</v>
      </c>
      <c r="G15" s="23">
        <f>IFERROR(vlookup('1.7'!F:F,lookup!$A$10:$B$12,2,false),0)</f>
        <v>5</v>
      </c>
      <c r="H15" s="23">
        <f>IFERROR(vlookup('1.7'!G:G,lookup!$A$14:$B$16,2,false),0)</f>
        <v>5</v>
      </c>
      <c r="I15" s="23">
        <f>IFERROR(vlookup('1.7'!H:H,lookup!$A$18:$B$20,2,false),0)</f>
        <v>5</v>
      </c>
      <c r="J15" s="23">
        <f>IFERROR(vlookup('1.7'!I:I,lookup!$A$22:$B$24,2,false),0)</f>
        <v>5</v>
      </c>
      <c r="K15" s="23">
        <f>IFERROR(vlookup('1.7'!J:J,lookup!$A$26:$B$28,2,false),0)</f>
        <v>5</v>
      </c>
      <c r="L15" s="19"/>
      <c r="M15" s="23">
        <v>14.0</v>
      </c>
      <c r="N15" s="24" t="str">
        <f t="shared" si="1"/>
        <v>bnco1014@signalschool.ac.th</v>
      </c>
      <c r="O15" s="25">
        <f t="shared" si="2"/>
        <v>1</v>
      </c>
      <c r="P15" s="19"/>
      <c r="Q15" s="19"/>
      <c r="R15" s="26" t="s">
        <v>215</v>
      </c>
    </row>
    <row r="16">
      <c r="A16" s="21">
        <f>'1.7'!A:A</f>
        <v>46219.43919</v>
      </c>
      <c r="B16" s="17" t="str">
        <f>'1.7'!B:B</f>
        <v>bnco1075@signalschool.ac.th</v>
      </c>
      <c r="C16" s="17" t="str">
        <f>'1.7'!C:C</f>
        <v>อ. ที่ปรึกษา</v>
      </c>
      <c r="D16" s="22">
        <v>1.0</v>
      </c>
      <c r="E16" s="23">
        <f>IFERROR(vlookup('1.7'!D:D,lookup!$A$2:$B$4,2,false),0)</f>
        <v>5</v>
      </c>
      <c r="F16" s="23">
        <f>IFERROR(vlookup('1.7'!E:E,lookup!$A$6:$B$8,2,false),0)</f>
        <v>5</v>
      </c>
      <c r="G16" s="23">
        <f>IFERROR(vlookup('1.7'!F:F,lookup!$A$10:$B$12,2,false),0)</f>
        <v>5</v>
      </c>
      <c r="H16" s="23">
        <f>IFERROR(vlookup('1.7'!G:G,lookup!$A$14:$B$16,2,false),0)</f>
        <v>5</v>
      </c>
      <c r="I16" s="23">
        <f>IFERROR(vlookup('1.7'!H:H,lookup!$A$18:$B$20,2,false),0)</f>
        <v>5</v>
      </c>
      <c r="J16" s="23">
        <f>IFERROR(vlookup('1.7'!I:I,lookup!$A$22:$B$24,2,false),0)</f>
        <v>5</v>
      </c>
      <c r="K16" s="23">
        <f>IFERROR(vlookup('1.7'!J:J,lookup!$A$26:$B$28,2,false),0)</f>
        <v>5</v>
      </c>
      <c r="L16" s="19"/>
      <c r="M16" s="23">
        <v>15.0</v>
      </c>
      <c r="N16" s="24" t="str">
        <f t="shared" si="1"/>
        <v>bnco1015@signalschool.ac.th</v>
      </c>
      <c r="O16" s="25">
        <f t="shared" si="2"/>
        <v>1</v>
      </c>
      <c r="P16" s="19"/>
      <c r="Q16" s="19"/>
      <c r="R16" s="26" t="s">
        <v>221</v>
      </c>
    </row>
    <row r="17">
      <c r="A17" s="21">
        <f>'1.7'!A:A</f>
        <v>46219.53383</v>
      </c>
      <c r="B17" s="17" t="str">
        <f>'1.7'!B:B</f>
        <v>bnco1014@signalschool.ac.th</v>
      </c>
      <c r="C17" s="17" t="str">
        <f>'1.7'!C:C</f>
        <v>ส.อ. พงษ์พิสิทธิ์ สุธาทัศน์</v>
      </c>
      <c r="D17" s="22">
        <v>1.0</v>
      </c>
      <c r="E17" s="23">
        <f>IFERROR(vlookup('1.7'!D:D,lookup!$A$2:$B$4,2,false),0)</f>
        <v>5</v>
      </c>
      <c r="F17" s="23">
        <f>IFERROR(vlookup('1.7'!E:E,lookup!$A$6:$B$8,2,false),0)</f>
        <v>5</v>
      </c>
      <c r="G17" s="23">
        <f>IFERROR(vlookup('1.7'!F:F,lookup!$A$10:$B$12,2,false),0)</f>
        <v>5</v>
      </c>
      <c r="H17" s="23">
        <f>IFERROR(vlookup('1.7'!G:G,lookup!$A$14:$B$16,2,false),0)</f>
        <v>5</v>
      </c>
      <c r="I17" s="23">
        <f>IFERROR(vlookup('1.7'!H:H,lookup!$A$18:$B$20,2,false),0)</f>
        <v>5</v>
      </c>
      <c r="J17" s="23">
        <f>IFERROR(vlookup('1.7'!I:I,lookup!$A$22:$B$24,2,false),0)</f>
        <v>5</v>
      </c>
      <c r="K17" s="23">
        <f>IFERROR(vlookup('1.7'!J:J,lookup!$A$26:$B$28,2,false),0)</f>
        <v>5</v>
      </c>
      <c r="L17" s="19"/>
      <c r="M17" s="23">
        <v>16.0</v>
      </c>
      <c r="N17" s="24" t="str">
        <f t="shared" si="1"/>
        <v>bnco1016@signalschool.ac.th</v>
      </c>
      <c r="O17" s="25">
        <f t="shared" si="2"/>
        <v>1</v>
      </c>
      <c r="P17" s="19"/>
      <c r="Q17" s="19"/>
      <c r="R17" s="26" t="s">
        <v>223</v>
      </c>
    </row>
    <row r="18">
      <c r="A18" s="21">
        <f>'1.7'!A:A</f>
        <v>46219.53593</v>
      </c>
      <c r="B18" s="17" t="str">
        <f>'1.7'!B:B</f>
        <v>bnco1033@signalschool.ac.th</v>
      </c>
      <c r="C18" s="17" t="str">
        <f>'1.7'!C:C</f>
        <v>ส.อ. ไชยพร รักษากุล</v>
      </c>
      <c r="D18" s="22">
        <v>1.0</v>
      </c>
      <c r="E18" s="23">
        <f>IFERROR(vlookup('1.7'!D:D,lookup!$A$2:$B$4,2,false),0)</f>
        <v>5</v>
      </c>
      <c r="F18" s="23">
        <f>IFERROR(vlookup('1.7'!E:E,lookup!$A$6:$B$8,2,false),0)</f>
        <v>5</v>
      </c>
      <c r="G18" s="23">
        <f>IFERROR(vlookup('1.7'!F:F,lookup!$A$10:$B$12,2,false),0)</f>
        <v>5</v>
      </c>
      <c r="H18" s="23">
        <f>IFERROR(vlookup('1.7'!G:G,lookup!$A$14:$B$16,2,false),0)</f>
        <v>5</v>
      </c>
      <c r="I18" s="23">
        <f>IFERROR(vlookup('1.7'!H:H,lookup!$A$18:$B$20,2,false),0)</f>
        <v>5</v>
      </c>
      <c r="J18" s="23">
        <f>IFERROR(vlookup('1.7'!I:I,lookup!$A$22:$B$24,2,false),0)</f>
        <v>5</v>
      </c>
      <c r="K18" s="23">
        <f>IFERROR(vlookup('1.7'!J:J,lookup!$A$26:$B$28,2,false),0)</f>
        <v>5</v>
      </c>
      <c r="L18" s="19"/>
      <c r="M18" s="23">
        <v>17.0</v>
      </c>
      <c r="N18" s="24" t="str">
        <f t="shared" si="1"/>
        <v>bnco1017@signalschool.ac.th</v>
      </c>
      <c r="O18" s="25">
        <f t="shared" si="2"/>
        <v>1</v>
      </c>
      <c r="P18" s="19"/>
      <c r="Q18" s="19"/>
      <c r="R18" s="26" t="s">
        <v>229</v>
      </c>
    </row>
    <row r="19">
      <c r="A19" s="21">
        <f>'1.7'!A:A</f>
        <v>46219.59127</v>
      </c>
      <c r="B19" s="17" t="str">
        <f>'1.7'!B:B</f>
        <v>bnco1079@signalschool.ac.th</v>
      </c>
      <c r="C19" s="17" t="str">
        <f>'1.7'!C:C</f>
        <v>ส.อ.ไชยพร รักษากุล</v>
      </c>
      <c r="D19" s="22">
        <v>1.0</v>
      </c>
      <c r="E19" s="23">
        <f>IFERROR(vlookup('1.7'!D:D,lookup!$A$2:$B$4,2,false),0)</f>
        <v>5</v>
      </c>
      <c r="F19" s="23">
        <f>IFERROR(vlookup('1.7'!E:E,lookup!$A$6:$B$8,2,false),0)</f>
        <v>5</v>
      </c>
      <c r="G19" s="23">
        <f>IFERROR(vlookup('1.7'!F:F,lookup!$A$10:$B$12,2,false),0)</f>
        <v>5</v>
      </c>
      <c r="H19" s="23">
        <f>IFERROR(vlookup('1.7'!G:G,lookup!$A$14:$B$16,2,false),0)</f>
        <v>5</v>
      </c>
      <c r="I19" s="23">
        <f>IFERROR(vlookup('1.7'!H:H,lookup!$A$18:$B$20,2,false),0)</f>
        <v>5</v>
      </c>
      <c r="J19" s="23">
        <f>IFERROR(vlookup('1.7'!I:I,lookup!$A$22:$B$24,2,false),0)</f>
        <v>5</v>
      </c>
      <c r="K19" s="23">
        <f>IFERROR(vlookup('1.7'!J:J,lookup!$A$26:$B$28,2,false),0)</f>
        <v>5</v>
      </c>
      <c r="L19" s="19"/>
      <c r="M19" s="23">
        <v>18.0</v>
      </c>
      <c r="N19" s="24" t="str">
        <f t="shared" si="1"/>
        <v>bnco1018@signalschool.ac.th</v>
      </c>
      <c r="O19" s="25">
        <f t="shared" si="2"/>
        <v>1</v>
      </c>
      <c r="P19" s="19"/>
      <c r="Q19" s="19"/>
      <c r="R19" s="26" t="s">
        <v>232</v>
      </c>
    </row>
    <row r="20">
      <c r="A20" s="21">
        <f>'1.7'!A:A</f>
        <v>46219.92381</v>
      </c>
      <c r="B20" s="17" t="str">
        <f>'1.7'!B:B</f>
        <v>bnco1069@signalschool.ac.th</v>
      </c>
      <c r="C20" s="17" t="str">
        <f>'1.7'!C:C</f>
        <v>ส.อ.วรเดช  จิตตารมย์</v>
      </c>
      <c r="D20" s="22">
        <v>1.0</v>
      </c>
      <c r="E20" s="23">
        <f>IFERROR(vlookup('1.7'!D:D,lookup!$A$2:$B$4,2,false),0)</f>
        <v>5</v>
      </c>
      <c r="F20" s="23">
        <f>IFERROR(vlookup('1.7'!E:E,lookup!$A$6:$B$8,2,false),0)</f>
        <v>5</v>
      </c>
      <c r="G20" s="23">
        <f>IFERROR(vlookup('1.7'!F:F,lookup!$A$10:$B$12,2,false),0)</f>
        <v>5</v>
      </c>
      <c r="H20" s="23">
        <f>IFERROR(vlookup('1.7'!G:G,lookup!$A$14:$B$16,2,false),0)</f>
        <v>5</v>
      </c>
      <c r="I20" s="23">
        <f>IFERROR(vlookup('1.7'!H:H,lookup!$A$18:$B$20,2,false),0)</f>
        <v>5</v>
      </c>
      <c r="J20" s="23">
        <f>IFERROR(vlookup('1.7'!I:I,lookup!$A$22:$B$24,2,false),0)</f>
        <v>5</v>
      </c>
      <c r="K20" s="23">
        <f>IFERROR(vlookup('1.7'!J:J,lookup!$A$26:$B$28,2,false),0)</f>
        <v>5</v>
      </c>
      <c r="L20" s="19"/>
      <c r="M20" s="23">
        <v>19.0</v>
      </c>
      <c r="N20" s="24" t="str">
        <f t="shared" si="1"/>
        <v>bnco1019@signalschool.ac.th</v>
      </c>
      <c r="O20" s="25">
        <f t="shared" si="2"/>
        <v>1</v>
      </c>
      <c r="P20" s="19"/>
      <c r="Q20" s="19"/>
      <c r="R20" s="26" t="s">
        <v>233</v>
      </c>
    </row>
    <row r="21">
      <c r="A21" s="21">
        <f>'1.7'!A:A</f>
        <v>46220.33276</v>
      </c>
      <c r="B21" s="17" t="str">
        <f>'1.7'!B:B</f>
        <v>bnco1051@signalschool.ac.th</v>
      </c>
      <c r="C21" s="17" t="str">
        <f>'1.7'!C:C</f>
        <v>พ.ท.สุทธิพงษ์ ขำดี</v>
      </c>
      <c r="D21" s="22">
        <v>1.0</v>
      </c>
      <c r="E21" s="23">
        <f>IFERROR(vlookup('1.7'!D:D,lookup!$A$2:$B$4,2,false),0)</f>
        <v>5</v>
      </c>
      <c r="F21" s="23">
        <f>IFERROR(vlookup('1.7'!E:E,lookup!$A$6:$B$8,2,false),0)</f>
        <v>5</v>
      </c>
      <c r="G21" s="23">
        <f>IFERROR(vlookup('1.7'!F:F,lookup!$A$10:$B$12,2,false),0)</f>
        <v>5</v>
      </c>
      <c r="H21" s="23">
        <f>IFERROR(vlookup('1.7'!G:G,lookup!$A$14:$B$16,2,false),0)</f>
        <v>5</v>
      </c>
      <c r="I21" s="23">
        <f>IFERROR(vlookup('1.7'!H:H,lookup!$A$18:$B$20,2,false),0)</f>
        <v>5</v>
      </c>
      <c r="J21" s="23">
        <f>IFERROR(vlookup('1.7'!I:I,lookup!$A$22:$B$24,2,false),0)</f>
        <v>5</v>
      </c>
      <c r="K21" s="23">
        <f>IFERROR(vlookup('1.7'!J:J,lookup!$A$26:$B$28,2,false),0)</f>
        <v>5</v>
      </c>
      <c r="L21" s="19"/>
      <c r="M21" s="23">
        <v>20.0</v>
      </c>
      <c r="N21" s="24" t="str">
        <f t="shared" si="1"/>
        <v>bnco1020@signalschool.ac.th</v>
      </c>
      <c r="O21" s="25">
        <f t="shared" si="2"/>
        <v>1</v>
      </c>
      <c r="P21" s="19"/>
      <c r="Q21" s="19"/>
      <c r="R21" s="26" t="s">
        <v>234</v>
      </c>
    </row>
    <row r="22">
      <c r="A22" s="21">
        <f>'1.7'!A:A</f>
        <v>46220.35151</v>
      </c>
      <c r="B22" s="17" t="str">
        <f>'1.7'!B:B</f>
        <v>bnco1077@signalschool.ac.th</v>
      </c>
      <c r="C22" s="17" t="str">
        <f>'1.7'!C:C</f>
        <v>ส.อ.ภูมินทร์  อ่อนไถล</v>
      </c>
      <c r="D22" s="22">
        <v>1.0</v>
      </c>
      <c r="E22" s="23">
        <f>IFERROR(vlookup('1.7'!D:D,lookup!$A$2:$B$4,2,false),0)</f>
        <v>5</v>
      </c>
      <c r="F22" s="23">
        <f>IFERROR(vlookup('1.7'!E:E,lookup!$A$6:$B$8,2,false),0)</f>
        <v>5</v>
      </c>
      <c r="G22" s="23">
        <f>IFERROR(vlookup('1.7'!F:F,lookup!$A$10:$B$12,2,false),0)</f>
        <v>5</v>
      </c>
      <c r="H22" s="23">
        <f>IFERROR(vlookup('1.7'!G:G,lookup!$A$14:$B$16,2,false),0)</f>
        <v>5</v>
      </c>
      <c r="I22" s="23">
        <f>IFERROR(vlookup('1.7'!H:H,lookup!$A$18:$B$20,2,false),0)</f>
        <v>5</v>
      </c>
      <c r="J22" s="23">
        <f>IFERROR(vlookup('1.7'!I:I,lookup!$A$22:$B$24,2,false),0)</f>
        <v>5</v>
      </c>
      <c r="K22" s="23">
        <f>IFERROR(vlookup('1.7'!J:J,lookup!$A$26:$B$28,2,false),0)</f>
        <v>5</v>
      </c>
      <c r="L22" s="19"/>
      <c r="M22" s="23">
        <v>21.0</v>
      </c>
      <c r="N22" s="24" t="str">
        <f t="shared" si="1"/>
        <v>bnco1021@signalschool.ac.th</v>
      </c>
      <c r="O22" s="25">
        <f t="shared" si="2"/>
        <v>1</v>
      </c>
      <c r="P22" s="19"/>
      <c r="Q22" s="19"/>
      <c r="R22" s="26" t="s">
        <v>235</v>
      </c>
    </row>
    <row r="23">
      <c r="A23" s="21">
        <f>'1.7'!A:A</f>
        <v>46220.42159</v>
      </c>
      <c r="B23" s="17" t="str">
        <f>'1.7'!B:B</f>
        <v>bnco1061@signalschool.ac.th</v>
      </c>
      <c r="C23" s="17" t="str">
        <f>'1.7'!C:C</f>
        <v>พ.ต.ประทีป คุ้มยิ้ม</v>
      </c>
      <c r="D23" s="22">
        <v>1.0</v>
      </c>
      <c r="E23" s="23">
        <f>IFERROR(vlookup('1.7'!D:D,lookup!$A$2:$B$4,2,false),0)</f>
        <v>5</v>
      </c>
      <c r="F23" s="23">
        <f>IFERROR(vlookup('1.7'!E:E,lookup!$A$6:$B$8,2,false),0)</f>
        <v>5</v>
      </c>
      <c r="G23" s="23">
        <f>IFERROR(vlookup('1.7'!F:F,lookup!$A$10:$B$12,2,false),0)</f>
        <v>5</v>
      </c>
      <c r="H23" s="23">
        <f>IFERROR(vlookup('1.7'!G:G,lookup!$A$14:$B$16,2,false),0)</f>
        <v>5</v>
      </c>
      <c r="I23" s="23">
        <f>IFERROR(vlookup('1.7'!H:H,lookup!$A$18:$B$20,2,false),0)</f>
        <v>5</v>
      </c>
      <c r="J23" s="23">
        <f>IFERROR(vlookup('1.7'!I:I,lookup!$A$22:$B$24,2,false),0)</f>
        <v>5</v>
      </c>
      <c r="K23" s="23">
        <f>IFERROR(vlookup('1.7'!J:J,lookup!$A$26:$B$28,2,false),0)</f>
        <v>5</v>
      </c>
      <c r="L23" s="19"/>
      <c r="M23" s="23">
        <v>22.0</v>
      </c>
      <c r="N23" s="24" t="str">
        <f t="shared" si="1"/>
        <v>bnco1022@signalschool.ac.th</v>
      </c>
      <c r="O23" s="25">
        <f t="shared" si="2"/>
        <v>1</v>
      </c>
      <c r="P23" s="19"/>
      <c r="Q23" s="19"/>
      <c r="R23" s="26" t="s">
        <v>236</v>
      </c>
    </row>
    <row r="24">
      <c r="A24" s="21">
        <f>'1.7'!A:A</f>
        <v>46220.42175</v>
      </c>
      <c r="B24" s="17" t="str">
        <f>'1.7'!B:B</f>
        <v>bnco1058@signalschool.ac.th</v>
      </c>
      <c r="C24" s="17" t="str">
        <f>'1.7'!C:C</f>
        <v>พ.ต.ประทีบ  คุ้มยิ้ม</v>
      </c>
      <c r="D24" s="22">
        <v>1.0</v>
      </c>
      <c r="E24" s="23">
        <f>IFERROR(vlookup('1.7'!D:D,lookup!$A$2:$B$4,2,false),0)</f>
        <v>5</v>
      </c>
      <c r="F24" s="23">
        <f>IFERROR(vlookup('1.7'!E:E,lookup!$A$6:$B$8,2,false),0)</f>
        <v>5</v>
      </c>
      <c r="G24" s="23">
        <f>IFERROR(vlookup('1.7'!F:F,lookup!$A$10:$B$12,2,false),0)</f>
        <v>5</v>
      </c>
      <c r="H24" s="23">
        <f>IFERROR(vlookup('1.7'!G:G,lookup!$A$14:$B$16,2,false),0)</f>
        <v>5</v>
      </c>
      <c r="I24" s="23">
        <f>IFERROR(vlookup('1.7'!H:H,lookup!$A$18:$B$20,2,false),0)</f>
        <v>5</v>
      </c>
      <c r="J24" s="23">
        <f>IFERROR(vlookup('1.7'!I:I,lookup!$A$22:$B$24,2,false),0)</f>
        <v>5</v>
      </c>
      <c r="K24" s="23">
        <f>IFERROR(vlookup('1.7'!J:J,lookup!$A$26:$B$28,2,false),0)</f>
        <v>3</v>
      </c>
      <c r="L24" s="19"/>
      <c r="M24" s="23">
        <v>23.0</v>
      </c>
      <c r="N24" s="24" t="str">
        <f t="shared" si="1"/>
        <v>bnco1023@signalschool.ac.th</v>
      </c>
      <c r="O24" s="25">
        <f t="shared" si="2"/>
        <v>1</v>
      </c>
      <c r="P24" s="19"/>
      <c r="Q24" s="19"/>
      <c r="R24" s="26" t="s">
        <v>237</v>
      </c>
    </row>
    <row r="25">
      <c r="A25" s="21">
        <f>'1.7'!A:A</f>
        <v>46220.42226</v>
      </c>
      <c r="B25" s="17" t="str">
        <f>'1.7'!B:B</f>
        <v>bnco1044@signalschool.ac.th</v>
      </c>
      <c r="C25" s="17" t="str">
        <f>'1.7'!C:C</f>
        <v>พ.ต. ประทีป คุ้มยิ้ม</v>
      </c>
      <c r="D25" s="22">
        <v>1.0</v>
      </c>
      <c r="E25" s="23">
        <f>IFERROR(vlookup('1.7'!D:D,lookup!$A$2:$B$4,2,false),0)</f>
        <v>5</v>
      </c>
      <c r="F25" s="23">
        <f>IFERROR(vlookup('1.7'!E:E,lookup!$A$6:$B$8,2,false),0)</f>
        <v>5</v>
      </c>
      <c r="G25" s="23">
        <f>IFERROR(vlookup('1.7'!F:F,lookup!$A$10:$B$12,2,false),0)</f>
        <v>5</v>
      </c>
      <c r="H25" s="23">
        <f>IFERROR(vlookup('1.7'!G:G,lookup!$A$14:$B$16,2,false),0)</f>
        <v>5</v>
      </c>
      <c r="I25" s="23">
        <f>IFERROR(vlookup('1.7'!H:H,lookup!$A$18:$B$20,2,false),0)</f>
        <v>5</v>
      </c>
      <c r="J25" s="23">
        <f>IFERROR(vlookup('1.7'!I:I,lookup!$A$22:$B$24,2,false),0)</f>
        <v>3</v>
      </c>
      <c r="K25" s="23">
        <f>IFERROR(vlookup('1.7'!J:J,lookup!$A$26:$B$28,2,false),0)</f>
        <v>3</v>
      </c>
      <c r="L25" s="19"/>
      <c r="M25" s="23">
        <v>24.0</v>
      </c>
      <c r="N25" s="24" t="str">
        <f t="shared" si="1"/>
        <v>bnco1024@signalschool.ac.th</v>
      </c>
      <c r="O25" s="25">
        <f t="shared" si="2"/>
        <v>1</v>
      </c>
      <c r="P25" s="19"/>
      <c r="Q25" s="19"/>
      <c r="R25" s="26" t="s">
        <v>238</v>
      </c>
    </row>
    <row r="26">
      <c r="A26" s="21">
        <f>'1.7'!A:A</f>
        <v>46220.42243</v>
      </c>
      <c r="B26" s="17" t="str">
        <f>'1.7'!B:B</f>
        <v>bnco1056@signalschool.ac.th</v>
      </c>
      <c r="C26" s="17" t="str">
        <f>'1.7'!C:C</f>
        <v>พ.ต.ประทีป  คุ้มยิ้ม</v>
      </c>
      <c r="D26" s="22">
        <v>1.0</v>
      </c>
      <c r="E26" s="23">
        <f>IFERROR(vlookup('1.7'!D:D,lookup!$A$2:$B$4,2,false),0)</f>
        <v>5</v>
      </c>
      <c r="F26" s="23">
        <f>IFERROR(vlookup('1.7'!E:E,lookup!$A$6:$B$8,2,false),0)</f>
        <v>5</v>
      </c>
      <c r="G26" s="23">
        <f>IFERROR(vlookup('1.7'!F:F,lookup!$A$10:$B$12,2,false),0)</f>
        <v>5</v>
      </c>
      <c r="H26" s="23">
        <f>IFERROR(vlookup('1.7'!G:G,lookup!$A$14:$B$16,2,false),0)</f>
        <v>5</v>
      </c>
      <c r="I26" s="23">
        <f>IFERROR(vlookup('1.7'!H:H,lookup!$A$18:$B$20,2,false),0)</f>
        <v>5</v>
      </c>
      <c r="J26" s="23">
        <f>IFERROR(vlookup('1.7'!I:I,lookup!$A$22:$B$24,2,false),0)</f>
        <v>5</v>
      </c>
      <c r="K26" s="23">
        <f>IFERROR(vlookup('1.7'!J:J,lookup!$A$26:$B$28,2,false),0)</f>
        <v>5</v>
      </c>
      <c r="L26" s="19"/>
      <c r="M26" s="23">
        <v>25.0</v>
      </c>
      <c r="N26" s="24" t="str">
        <f t="shared" si="1"/>
        <v>bnco1025@signalschool.ac.th</v>
      </c>
      <c r="O26" s="25">
        <f t="shared" si="2"/>
        <v>1</v>
      </c>
      <c r="P26" s="19"/>
      <c r="Q26" s="19"/>
      <c r="R26" s="26" t="s">
        <v>239</v>
      </c>
    </row>
    <row r="27">
      <c r="A27" s="21">
        <f>'1.7'!A:A</f>
        <v>46220.42264</v>
      </c>
      <c r="B27" s="17" t="str">
        <f>'1.7'!B:B</f>
        <v>bnco1038@signalschool.ac.th</v>
      </c>
      <c r="C27" s="17" t="str">
        <f>'1.7'!C:C</f>
        <v>พ.ต.ประทีป คุ้มยิ้ม</v>
      </c>
      <c r="D27" s="22">
        <v>1.0</v>
      </c>
      <c r="E27" s="23">
        <f>IFERROR(vlookup('1.7'!D:D,lookup!$A$2:$B$4,2,false),0)</f>
        <v>5</v>
      </c>
      <c r="F27" s="23">
        <f>IFERROR(vlookup('1.7'!E:E,lookup!$A$6:$B$8,2,false),0)</f>
        <v>5</v>
      </c>
      <c r="G27" s="23">
        <f>IFERROR(vlookup('1.7'!F:F,lookup!$A$10:$B$12,2,false),0)</f>
        <v>5</v>
      </c>
      <c r="H27" s="23">
        <f>IFERROR(vlookup('1.7'!G:G,lookup!$A$14:$B$16,2,false),0)</f>
        <v>5</v>
      </c>
      <c r="I27" s="23">
        <f>IFERROR(vlookup('1.7'!H:H,lookup!$A$18:$B$20,2,false),0)</f>
        <v>5</v>
      </c>
      <c r="J27" s="23">
        <f>IFERROR(vlookup('1.7'!I:I,lookup!$A$22:$B$24,2,false),0)</f>
        <v>5</v>
      </c>
      <c r="K27" s="23">
        <f>IFERROR(vlookup('1.7'!J:J,lookup!$A$26:$B$28,2,false),0)</f>
        <v>5</v>
      </c>
      <c r="L27" s="19"/>
      <c r="M27" s="23">
        <v>26.0</v>
      </c>
      <c r="N27" s="24" t="str">
        <f t="shared" si="1"/>
        <v>bnco1026@signalschool.ac.th</v>
      </c>
      <c r="O27" s="25">
        <f t="shared" si="2"/>
        <v>1</v>
      </c>
      <c r="P27" s="19"/>
      <c r="Q27" s="19"/>
      <c r="R27" s="26" t="s">
        <v>240</v>
      </c>
    </row>
    <row r="28">
      <c r="A28" s="21">
        <f>'1.7'!A:A</f>
        <v>46220.42266</v>
      </c>
      <c r="B28" s="17" t="str">
        <f>'1.7'!B:B</f>
        <v>bnco1002@signalschool.ac.th</v>
      </c>
      <c r="C28" s="17" t="str">
        <f>'1.7'!C:C</f>
        <v>พันตรี ประทีป คุ้มยิ้ม</v>
      </c>
      <c r="D28" s="22">
        <v>1.0</v>
      </c>
      <c r="E28" s="23">
        <f>IFERROR(vlookup('1.7'!D:D,lookup!$A$2:$B$4,2,false),0)</f>
        <v>5</v>
      </c>
      <c r="F28" s="23">
        <f>IFERROR(vlookup('1.7'!E:E,lookup!$A$6:$B$8,2,false),0)</f>
        <v>5</v>
      </c>
      <c r="G28" s="23">
        <f>IFERROR(vlookup('1.7'!F:F,lookup!$A$10:$B$12,2,false),0)</f>
        <v>5</v>
      </c>
      <c r="H28" s="23">
        <f>IFERROR(vlookup('1.7'!G:G,lookup!$A$14:$B$16,2,false),0)</f>
        <v>5</v>
      </c>
      <c r="I28" s="23">
        <f>IFERROR(vlookup('1.7'!H:H,lookup!$A$18:$B$20,2,false),0)</f>
        <v>5</v>
      </c>
      <c r="J28" s="23">
        <f>IFERROR(vlookup('1.7'!I:I,lookup!$A$22:$B$24,2,false),0)</f>
        <v>5</v>
      </c>
      <c r="K28" s="23">
        <f>IFERROR(vlookup('1.7'!J:J,lookup!$A$26:$B$28,2,false),0)</f>
        <v>5</v>
      </c>
      <c r="L28" s="19"/>
      <c r="M28" s="23">
        <v>27.0</v>
      </c>
      <c r="N28" s="24" t="str">
        <f t="shared" si="1"/>
        <v>bnco1027@signalschool.ac.th</v>
      </c>
      <c r="O28" s="25">
        <f t="shared" si="2"/>
        <v>1</v>
      </c>
      <c r="P28" s="19"/>
      <c r="Q28" s="19"/>
      <c r="R28" s="26" t="s">
        <v>241</v>
      </c>
    </row>
    <row r="29">
      <c r="A29" s="21">
        <f>'1.7'!A:A</f>
        <v>46220.42268</v>
      </c>
      <c r="B29" s="17" t="str">
        <f>'1.7'!B:B</f>
        <v>bnco1041@signalschool.ac.th</v>
      </c>
      <c r="C29" s="17" t="str">
        <f>'1.7'!C:C</f>
        <v>พ.ต.ประทีป คุ้มยิ้ม</v>
      </c>
      <c r="D29" s="22">
        <v>1.0</v>
      </c>
      <c r="E29" s="23">
        <f>IFERROR(vlookup('1.7'!D:D,lookup!$A$2:$B$4,2,false),0)</f>
        <v>5</v>
      </c>
      <c r="F29" s="23">
        <f>IFERROR(vlookup('1.7'!E:E,lookup!$A$6:$B$8,2,false),0)</f>
        <v>5</v>
      </c>
      <c r="G29" s="23">
        <f>IFERROR(vlookup('1.7'!F:F,lookup!$A$10:$B$12,2,false),0)</f>
        <v>5</v>
      </c>
      <c r="H29" s="23">
        <f>IFERROR(vlookup('1.7'!G:G,lookup!$A$14:$B$16,2,false),0)</f>
        <v>5</v>
      </c>
      <c r="I29" s="23">
        <f>IFERROR(vlookup('1.7'!H:H,lookup!$A$18:$B$20,2,false),0)</f>
        <v>5</v>
      </c>
      <c r="J29" s="23">
        <f>IFERROR(vlookup('1.7'!I:I,lookup!$A$22:$B$24,2,false),0)</f>
        <v>5</v>
      </c>
      <c r="K29" s="23">
        <f>IFERROR(vlookup('1.7'!J:J,lookup!$A$26:$B$28,2,false),0)</f>
        <v>5</v>
      </c>
      <c r="L29" s="19"/>
      <c r="M29" s="23">
        <v>28.0</v>
      </c>
      <c r="N29" s="24" t="str">
        <f t="shared" si="1"/>
        <v>bnco1028@signalschool.ac.th</v>
      </c>
      <c r="O29" s="25">
        <f t="shared" si="2"/>
        <v>0</v>
      </c>
      <c r="P29" s="19"/>
      <c r="Q29" s="19"/>
      <c r="R29" s="26" t="s">
        <v>242</v>
      </c>
    </row>
    <row r="30">
      <c r="A30" s="21">
        <f>'1.7'!A:A</f>
        <v>46220.4229</v>
      </c>
      <c r="B30" s="17" t="str">
        <f>'1.7'!B:B</f>
        <v>bnco1018@signalschool.ac.th</v>
      </c>
      <c r="C30" s="17" t="str">
        <f>'1.7'!C:C</f>
        <v>พ.ต.ประทีป คุ้มยิ้ม</v>
      </c>
      <c r="D30" s="22">
        <v>1.0</v>
      </c>
      <c r="E30" s="23">
        <f>IFERROR(vlookup('1.7'!D:D,lookup!$A$2:$B$4,2,false),0)</f>
        <v>5</v>
      </c>
      <c r="F30" s="23">
        <f>IFERROR(vlookup('1.7'!E:E,lookup!$A$6:$B$8,2,false),0)</f>
        <v>5</v>
      </c>
      <c r="G30" s="23">
        <f>IFERROR(vlookup('1.7'!F:F,lookup!$A$10:$B$12,2,false),0)</f>
        <v>5</v>
      </c>
      <c r="H30" s="23">
        <f>IFERROR(vlookup('1.7'!G:G,lookup!$A$14:$B$16,2,false),0)</f>
        <v>5</v>
      </c>
      <c r="I30" s="23">
        <f>IFERROR(vlookup('1.7'!H:H,lookup!$A$18:$B$20,2,false),0)</f>
        <v>5</v>
      </c>
      <c r="J30" s="23">
        <f>IFERROR(vlookup('1.7'!I:I,lookup!$A$22:$B$24,2,false),0)</f>
        <v>5</v>
      </c>
      <c r="K30" s="23">
        <f>IFERROR(vlookup('1.7'!J:J,lookup!$A$26:$B$28,2,false),0)</f>
        <v>5</v>
      </c>
      <c r="L30" s="19"/>
      <c r="M30" s="23">
        <v>29.0</v>
      </c>
      <c r="N30" s="24" t="str">
        <f t="shared" si="1"/>
        <v>bnco1029@signalschool.ac.th</v>
      </c>
      <c r="O30" s="25">
        <f t="shared" si="2"/>
        <v>0</v>
      </c>
      <c r="P30" s="19"/>
      <c r="Q30" s="19"/>
      <c r="R30" s="26" t="s">
        <v>243</v>
      </c>
    </row>
    <row r="31">
      <c r="A31" s="21">
        <f>'1.7'!A:A</f>
        <v>46220.42295</v>
      </c>
      <c r="B31" s="17" t="str">
        <f>'1.7'!B:B</f>
        <v>bnco1006@signalschool.ac.th</v>
      </c>
      <c r="C31" s="17" t="str">
        <f>'1.7'!C:C</f>
        <v>พ.ต.ประทีป  คุ้มยิ้ม  </v>
      </c>
      <c r="D31" s="22">
        <v>1.0</v>
      </c>
      <c r="E31" s="23">
        <f>IFERROR(vlookup('1.7'!D:D,lookup!$A$2:$B$4,2,false),0)</f>
        <v>5</v>
      </c>
      <c r="F31" s="23">
        <f>IFERROR(vlookup('1.7'!E:E,lookup!$A$6:$B$8,2,false),0)</f>
        <v>5</v>
      </c>
      <c r="G31" s="23">
        <f>IFERROR(vlookup('1.7'!F:F,lookup!$A$10:$B$12,2,false),0)</f>
        <v>5</v>
      </c>
      <c r="H31" s="23">
        <f>IFERROR(vlookup('1.7'!G:G,lookup!$A$14:$B$16,2,false),0)</f>
        <v>5</v>
      </c>
      <c r="I31" s="23">
        <f>IFERROR(vlookup('1.7'!H:H,lookup!$A$18:$B$20,2,false),0)</f>
        <v>5</v>
      </c>
      <c r="J31" s="23">
        <f>IFERROR(vlookup('1.7'!I:I,lookup!$A$22:$B$24,2,false),0)</f>
        <v>5</v>
      </c>
      <c r="K31" s="23">
        <f>IFERROR(vlookup('1.7'!J:J,lookup!$A$26:$B$28,2,false),0)</f>
        <v>5</v>
      </c>
      <c r="L31" s="19"/>
      <c r="M31" s="23">
        <v>30.0</v>
      </c>
      <c r="N31" s="24" t="str">
        <f t="shared" si="1"/>
        <v>bnco1030@signalschool.ac.th</v>
      </c>
      <c r="O31" s="25">
        <f t="shared" si="2"/>
        <v>0</v>
      </c>
      <c r="P31" s="19"/>
      <c r="Q31" s="19"/>
      <c r="R31" s="26" t="s">
        <v>244</v>
      </c>
    </row>
    <row r="32">
      <c r="A32" s="21">
        <f>'1.7'!A:A</f>
        <v>46220.42315</v>
      </c>
      <c r="B32" s="17" t="str">
        <f>'1.7'!B:B</f>
        <v>bnco1055@signalschool.ac.th</v>
      </c>
      <c r="C32" s="17" t="str">
        <f>'1.7'!C:C</f>
        <v>พ.ต.ประทีป คุ้มยิ้ม</v>
      </c>
      <c r="D32" s="22">
        <v>1.0</v>
      </c>
      <c r="E32" s="23">
        <f>IFERROR(vlookup('1.7'!D:D,lookup!$A$2:$B$4,2,false),0)</f>
        <v>5</v>
      </c>
      <c r="F32" s="23">
        <f>IFERROR(vlookup('1.7'!E:E,lookup!$A$6:$B$8,2,false),0)</f>
        <v>5</v>
      </c>
      <c r="G32" s="23">
        <f>IFERROR(vlookup('1.7'!F:F,lookup!$A$10:$B$12,2,false),0)</f>
        <v>5</v>
      </c>
      <c r="H32" s="23">
        <f>IFERROR(vlookup('1.7'!G:G,lookup!$A$14:$B$16,2,false),0)</f>
        <v>5</v>
      </c>
      <c r="I32" s="23">
        <f>IFERROR(vlookup('1.7'!H:H,lookup!$A$18:$B$20,2,false),0)</f>
        <v>5</v>
      </c>
      <c r="J32" s="23">
        <f>IFERROR(vlookup('1.7'!I:I,lookup!$A$22:$B$24,2,false),0)</f>
        <v>5</v>
      </c>
      <c r="K32" s="23">
        <f>IFERROR(vlookup('1.7'!J:J,lookup!$A$26:$B$28,2,false),0)</f>
        <v>5</v>
      </c>
      <c r="L32" s="19"/>
      <c r="M32" s="23">
        <v>31.0</v>
      </c>
      <c r="N32" s="24" t="str">
        <f t="shared" si="1"/>
        <v>bnco1031@signalschool.ac.th</v>
      </c>
      <c r="O32" s="25">
        <f t="shared" si="2"/>
        <v>1</v>
      </c>
      <c r="P32" s="19"/>
      <c r="Q32" s="19"/>
      <c r="R32" s="26" t="s">
        <v>245</v>
      </c>
    </row>
    <row r="33">
      <c r="A33" s="21">
        <f>'1.7'!A:A</f>
        <v>46220.42315</v>
      </c>
      <c r="B33" s="17" t="str">
        <f>'1.7'!B:B</f>
        <v>bnco1074@signalschool.ac.th</v>
      </c>
      <c r="C33" s="17" t="str">
        <f>'1.7'!C:C</f>
        <v>พ.ต.ประทีป  คุ้มยิ้ม</v>
      </c>
      <c r="D33" s="22">
        <v>1.0</v>
      </c>
      <c r="E33" s="23">
        <f>IFERROR(vlookup('1.7'!D:D,lookup!$A$2:$B$4,2,false),0)</f>
        <v>5</v>
      </c>
      <c r="F33" s="23">
        <f>IFERROR(vlookup('1.7'!E:E,lookup!$A$6:$B$8,2,false),0)</f>
        <v>5</v>
      </c>
      <c r="G33" s="23">
        <f>IFERROR(vlookup('1.7'!F:F,lookup!$A$10:$B$12,2,false),0)</f>
        <v>5</v>
      </c>
      <c r="H33" s="23">
        <f>IFERROR(vlookup('1.7'!G:G,lookup!$A$14:$B$16,2,false),0)</f>
        <v>5</v>
      </c>
      <c r="I33" s="23">
        <f>IFERROR(vlookup('1.7'!H:H,lookup!$A$18:$B$20,2,false),0)</f>
        <v>5</v>
      </c>
      <c r="J33" s="23">
        <f>IFERROR(vlookup('1.7'!I:I,lookup!$A$22:$B$24,2,false),0)</f>
        <v>5</v>
      </c>
      <c r="K33" s="23">
        <f>IFERROR(vlookup('1.7'!J:J,lookup!$A$26:$B$28,2,false),0)</f>
        <v>5</v>
      </c>
      <c r="L33" s="19"/>
      <c r="M33" s="23">
        <v>32.0</v>
      </c>
      <c r="N33" s="24" t="str">
        <f t="shared" si="1"/>
        <v>bnco1032@signalschool.ac.th</v>
      </c>
      <c r="O33" s="25">
        <f t="shared" si="2"/>
        <v>1</v>
      </c>
      <c r="P33" s="19"/>
      <c r="Q33" s="19"/>
      <c r="R33" s="26" t="s">
        <v>246</v>
      </c>
    </row>
    <row r="34">
      <c r="A34" s="21">
        <f>'1.7'!A:A</f>
        <v>46220.42316</v>
      </c>
      <c r="B34" s="17" t="str">
        <f>'1.7'!B:B</f>
        <v>bnco1042@signalschool.ac.th</v>
      </c>
      <c r="C34" s="17" t="str">
        <f>'1.7'!C:C</f>
        <v>พ.ต.ประทีป  คุ้มยิ้ม</v>
      </c>
      <c r="D34" s="22">
        <v>1.0</v>
      </c>
      <c r="E34" s="23">
        <f>IFERROR(vlookup('1.7'!D:D,lookup!$A$2:$B$4,2,false),0)</f>
        <v>5</v>
      </c>
      <c r="F34" s="23">
        <f>IFERROR(vlookup('1.7'!E:E,lookup!$A$6:$B$8,2,false),0)</f>
        <v>5</v>
      </c>
      <c r="G34" s="23">
        <f>IFERROR(vlookup('1.7'!F:F,lookup!$A$10:$B$12,2,false),0)</f>
        <v>5</v>
      </c>
      <c r="H34" s="23">
        <f>IFERROR(vlookup('1.7'!G:G,lookup!$A$14:$B$16,2,false),0)</f>
        <v>5</v>
      </c>
      <c r="I34" s="23">
        <f>IFERROR(vlookup('1.7'!H:H,lookup!$A$18:$B$20,2,false),0)</f>
        <v>5</v>
      </c>
      <c r="J34" s="23">
        <f>IFERROR(vlookup('1.7'!I:I,lookup!$A$22:$B$24,2,false),0)</f>
        <v>5</v>
      </c>
      <c r="K34" s="23">
        <f>IFERROR(vlookup('1.7'!J:J,lookup!$A$26:$B$28,2,false),0)</f>
        <v>5</v>
      </c>
      <c r="L34" s="19"/>
      <c r="M34" s="23">
        <v>33.0</v>
      </c>
      <c r="N34" s="24" t="str">
        <f t="shared" si="1"/>
        <v>bnco1033@signalschool.ac.th</v>
      </c>
      <c r="O34" s="25">
        <f t="shared" si="2"/>
        <v>1</v>
      </c>
      <c r="P34" s="19"/>
      <c r="Q34" s="19"/>
      <c r="R34" s="26" t="s">
        <v>247</v>
      </c>
    </row>
    <row r="35">
      <c r="A35" s="21">
        <f>'1.7'!A:A</f>
        <v>46220.42328</v>
      </c>
      <c r="B35" s="17" t="str">
        <f>'1.7'!B:B</f>
        <v>bnco1072@signalschool.ac.th</v>
      </c>
      <c r="C35" s="17" t="str">
        <f>'1.7'!C:C</f>
        <v>พ.ต.ประทีป  คุ้มยิ้ม</v>
      </c>
      <c r="D35" s="22">
        <v>1.0</v>
      </c>
      <c r="E35" s="23">
        <f>IFERROR(vlookup('1.7'!D:D,lookup!$A$2:$B$4,2,false),0)</f>
        <v>5</v>
      </c>
      <c r="F35" s="23">
        <f>IFERROR(vlookup('1.7'!E:E,lookup!$A$6:$B$8,2,false),0)</f>
        <v>5</v>
      </c>
      <c r="G35" s="23">
        <f>IFERROR(vlookup('1.7'!F:F,lookup!$A$10:$B$12,2,false),0)</f>
        <v>5</v>
      </c>
      <c r="H35" s="23">
        <f>IFERROR(vlookup('1.7'!G:G,lookup!$A$14:$B$16,2,false),0)</f>
        <v>5</v>
      </c>
      <c r="I35" s="23">
        <f>IFERROR(vlookup('1.7'!H:H,lookup!$A$18:$B$20,2,false),0)</f>
        <v>5</v>
      </c>
      <c r="J35" s="23">
        <f>IFERROR(vlookup('1.7'!I:I,lookup!$A$22:$B$24,2,false),0)</f>
        <v>5</v>
      </c>
      <c r="K35" s="23">
        <f>IFERROR(vlookup('1.7'!J:J,lookup!$A$26:$B$28,2,false),0)</f>
        <v>5</v>
      </c>
      <c r="L35" s="19"/>
      <c r="M35" s="23">
        <v>34.0</v>
      </c>
      <c r="N35" s="24" t="str">
        <f t="shared" si="1"/>
        <v>bnco1034@signalschool.ac.th</v>
      </c>
      <c r="O35" s="25">
        <f t="shared" si="2"/>
        <v>1</v>
      </c>
      <c r="P35" s="19"/>
      <c r="Q35" s="19"/>
      <c r="R35" s="26" t="s">
        <v>248</v>
      </c>
    </row>
    <row r="36">
      <c r="A36" s="21">
        <f>'1.7'!A:A</f>
        <v>46220.42339</v>
      </c>
      <c r="B36" s="17" t="str">
        <f>'1.7'!B:B</f>
        <v>bnco1049@signalschool.ac.th</v>
      </c>
      <c r="C36" s="17" t="str">
        <f>'1.7'!C:C</f>
        <v>พ.ต.ปะทีป คุ้มยิ้ม</v>
      </c>
      <c r="D36" s="22">
        <v>1.0</v>
      </c>
      <c r="E36" s="23">
        <f>IFERROR(vlookup('1.7'!D:D,lookup!$A$2:$B$4,2,false),0)</f>
        <v>5</v>
      </c>
      <c r="F36" s="23">
        <f>IFERROR(vlookup('1.7'!E:E,lookup!$A$6:$B$8,2,false),0)</f>
        <v>5</v>
      </c>
      <c r="G36" s="23">
        <f>IFERROR(vlookup('1.7'!F:F,lookup!$A$10:$B$12,2,false),0)</f>
        <v>5</v>
      </c>
      <c r="H36" s="23">
        <f>IFERROR(vlookup('1.7'!G:G,lookup!$A$14:$B$16,2,false),0)</f>
        <v>5</v>
      </c>
      <c r="I36" s="23">
        <f>IFERROR(vlookup('1.7'!H:H,lookup!$A$18:$B$20,2,false),0)</f>
        <v>5</v>
      </c>
      <c r="J36" s="23">
        <f>IFERROR(vlookup('1.7'!I:I,lookup!$A$22:$B$24,2,false),0)</f>
        <v>5</v>
      </c>
      <c r="K36" s="23">
        <f>IFERROR(vlookup('1.7'!J:J,lookup!$A$26:$B$28,2,false),0)</f>
        <v>5</v>
      </c>
      <c r="L36" s="19"/>
      <c r="M36" s="23">
        <v>35.0</v>
      </c>
      <c r="N36" s="24" t="str">
        <f t="shared" si="1"/>
        <v>bnco1035@signalschool.ac.th</v>
      </c>
      <c r="O36" s="25">
        <f t="shared" si="2"/>
        <v>1</v>
      </c>
      <c r="P36" s="19"/>
      <c r="Q36" s="19"/>
      <c r="R36" s="26" t="s">
        <v>249</v>
      </c>
    </row>
    <row r="37">
      <c r="A37" s="21">
        <f>'1.7'!A:A</f>
        <v>46220.42342</v>
      </c>
      <c r="B37" s="17" t="str">
        <f>'1.7'!B:B</f>
        <v>bnco1047@signalschool.ac.th</v>
      </c>
      <c r="C37" s="17" t="str">
        <f>'1.7'!C:C</f>
        <v>พ.ต.ประทีป คุ้มยิ้ม</v>
      </c>
      <c r="D37" s="22">
        <v>1.0</v>
      </c>
      <c r="E37" s="23">
        <f>IFERROR(vlookup('1.7'!D:D,lookup!$A$2:$B$4,2,false),0)</f>
        <v>5</v>
      </c>
      <c r="F37" s="23">
        <f>IFERROR(vlookup('1.7'!E:E,lookup!$A$6:$B$8,2,false),0)</f>
        <v>5</v>
      </c>
      <c r="G37" s="23">
        <f>IFERROR(vlookup('1.7'!F:F,lookup!$A$10:$B$12,2,false),0)</f>
        <v>5</v>
      </c>
      <c r="H37" s="23">
        <f>IFERROR(vlookup('1.7'!G:G,lookup!$A$14:$B$16,2,false),0)</f>
        <v>5</v>
      </c>
      <c r="I37" s="23">
        <f>IFERROR(vlookup('1.7'!H:H,lookup!$A$18:$B$20,2,false),0)</f>
        <v>5</v>
      </c>
      <c r="J37" s="23">
        <f>IFERROR(vlookup('1.7'!I:I,lookup!$A$22:$B$24,2,false),0)</f>
        <v>5</v>
      </c>
      <c r="K37" s="23">
        <f>IFERROR(vlookup('1.7'!J:J,lookup!$A$26:$B$28,2,false),0)</f>
        <v>5</v>
      </c>
      <c r="L37" s="19"/>
      <c r="M37" s="23">
        <v>36.0</v>
      </c>
      <c r="N37" s="24" t="str">
        <f t="shared" si="1"/>
        <v>bnco1036@signalschool.ac.th</v>
      </c>
      <c r="O37" s="25">
        <f t="shared" si="2"/>
        <v>1</v>
      </c>
      <c r="P37" s="19"/>
      <c r="Q37" s="19"/>
      <c r="R37" s="26" t="s">
        <v>250</v>
      </c>
    </row>
    <row r="38">
      <c r="A38" s="21">
        <f>'1.7'!A:A</f>
        <v>46220.42381</v>
      </c>
      <c r="B38" s="17" t="str">
        <f>'1.7'!B:B</f>
        <v>bnco1076@signalschool.ac.th</v>
      </c>
      <c r="C38" s="17" t="str">
        <f>'1.7'!C:C</f>
        <v>พ.ต. ประทีป  คุ้มยิ้ม</v>
      </c>
      <c r="D38" s="22">
        <v>1.0</v>
      </c>
      <c r="E38" s="23">
        <f>IFERROR(vlookup('1.7'!D:D,lookup!$A$2:$B$4,2,false),0)</f>
        <v>5</v>
      </c>
      <c r="F38" s="23">
        <f>IFERROR(vlookup('1.7'!E:E,lookup!$A$6:$B$8,2,false),0)</f>
        <v>5</v>
      </c>
      <c r="G38" s="23">
        <f>IFERROR(vlookup('1.7'!F:F,lookup!$A$10:$B$12,2,false),0)</f>
        <v>5</v>
      </c>
      <c r="H38" s="23">
        <f>IFERROR(vlookup('1.7'!G:G,lookup!$A$14:$B$16,2,false),0)</f>
        <v>5</v>
      </c>
      <c r="I38" s="23">
        <f>IFERROR(vlookup('1.7'!H:H,lookup!$A$18:$B$20,2,false),0)</f>
        <v>5</v>
      </c>
      <c r="J38" s="23">
        <f>IFERROR(vlookup('1.7'!I:I,lookup!$A$22:$B$24,2,false),0)</f>
        <v>5</v>
      </c>
      <c r="K38" s="23">
        <f>IFERROR(vlookup('1.7'!J:J,lookup!$A$26:$B$28,2,false),0)</f>
        <v>5</v>
      </c>
      <c r="L38" s="19"/>
      <c r="M38" s="23">
        <v>37.0</v>
      </c>
      <c r="N38" s="24" t="str">
        <f t="shared" si="1"/>
        <v>bnco1037@signalschool.ac.th</v>
      </c>
      <c r="O38" s="25">
        <f t="shared" si="2"/>
        <v>1</v>
      </c>
      <c r="P38" s="19"/>
      <c r="Q38" s="19"/>
      <c r="R38" s="26" t="s">
        <v>251</v>
      </c>
    </row>
    <row r="39">
      <c r="A39" s="21">
        <f>'1.7'!A:A</f>
        <v>46220.42395</v>
      </c>
      <c r="B39" s="17" t="str">
        <f>'1.7'!B:B</f>
        <v>bnco1013@signalschool.ac.th</v>
      </c>
      <c r="C39" s="17" t="str">
        <f>'1.7'!C:C</f>
        <v>พ.ต.ประทีป คุ้มยิ้ม</v>
      </c>
      <c r="D39" s="22">
        <v>1.0</v>
      </c>
      <c r="E39" s="23">
        <f>IFERROR(vlookup('1.7'!D:D,lookup!$A$2:$B$4,2,false),0)</f>
        <v>5</v>
      </c>
      <c r="F39" s="23">
        <f>IFERROR(vlookup('1.7'!E:E,lookup!$A$6:$B$8,2,false),0)</f>
        <v>5</v>
      </c>
      <c r="G39" s="23">
        <f>IFERROR(vlookup('1.7'!F:F,lookup!$A$10:$B$12,2,false),0)</f>
        <v>5</v>
      </c>
      <c r="H39" s="23">
        <f>IFERROR(vlookup('1.7'!G:G,lookup!$A$14:$B$16,2,false),0)</f>
        <v>5</v>
      </c>
      <c r="I39" s="23">
        <f>IFERROR(vlookup('1.7'!H:H,lookup!$A$18:$B$20,2,false),0)</f>
        <v>5</v>
      </c>
      <c r="J39" s="23">
        <f>IFERROR(vlookup('1.7'!I:I,lookup!$A$22:$B$24,2,false),0)</f>
        <v>5</v>
      </c>
      <c r="K39" s="23">
        <f>IFERROR(vlookup('1.7'!J:J,lookup!$A$26:$B$28,2,false),0)</f>
        <v>5</v>
      </c>
      <c r="L39" s="19"/>
      <c r="M39" s="23">
        <v>38.0</v>
      </c>
      <c r="N39" s="24" t="str">
        <f t="shared" si="1"/>
        <v>bnco1038@signalschool.ac.th</v>
      </c>
      <c r="O39" s="25">
        <f t="shared" si="2"/>
        <v>1</v>
      </c>
      <c r="P39" s="19"/>
      <c r="Q39" s="19"/>
      <c r="R39" s="26" t="s">
        <v>252</v>
      </c>
    </row>
    <row r="40">
      <c r="A40" s="21">
        <f>'1.7'!A:A</f>
        <v>46220.42396</v>
      </c>
      <c r="B40" s="17" t="str">
        <f>'1.7'!B:B</f>
        <v>bnco1062@signalschool.ac.th</v>
      </c>
      <c r="C40" s="17" t="str">
        <f>'1.7'!C:C</f>
        <v>ส.อ.สหกิจ เกื้อกูลบุตร</v>
      </c>
      <c r="D40" s="22">
        <v>1.0</v>
      </c>
      <c r="E40" s="23">
        <f>IFERROR(vlookup('1.7'!D:D,lookup!$A$2:$B$4,2,false),0)</f>
        <v>5</v>
      </c>
      <c r="F40" s="23">
        <f>IFERROR(vlookup('1.7'!E:E,lookup!$A$6:$B$8,2,false),0)</f>
        <v>5</v>
      </c>
      <c r="G40" s="23">
        <f>IFERROR(vlookup('1.7'!F:F,lookup!$A$10:$B$12,2,false),0)</f>
        <v>5</v>
      </c>
      <c r="H40" s="23">
        <f>IFERROR(vlookup('1.7'!G:G,lookup!$A$14:$B$16,2,false),0)</f>
        <v>5</v>
      </c>
      <c r="I40" s="23">
        <f>IFERROR(vlookup('1.7'!H:H,lookup!$A$18:$B$20,2,false),0)</f>
        <v>5</v>
      </c>
      <c r="J40" s="23">
        <f>IFERROR(vlookup('1.7'!I:I,lookup!$A$22:$B$24,2,false),0)</f>
        <v>5</v>
      </c>
      <c r="K40" s="23">
        <f>IFERROR(vlookup('1.7'!J:J,lookup!$A$26:$B$28,2,false),0)</f>
        <v>5</v>
      </c>
      <c r="L40" s="19"/>
      <c r="M40" s="23">
        <v>39.0</v>
      </c>
      <c r="N40" s="24" t="str">
        <f t="shared" si="1"/>
        <v>bnco1039@signalschool.ac.th</v>
      </c>
      <c r="O40" s="25">
        <f t="shared" si="2"/>
        <v>1</v>
      </c>
      <c r="P40" s="19"/>
      <c r="Q40" s="19"/>
      <c r="R40" s="26" t="s">
        <v>253</v>
      </c>
    </row>
    <row r="41">
      <c r="A41" s="21">
        <f>'1.7'!A:A</f>
        <v>46220.42404</v>
      </c>
      <c r="B41" s="17" t="str">
        <f>'1.7'!B:B</f>
        <v>bnco1026@signalschool.ac.th</v>
      </c>
      <c r="C41" s="17" t="str">
        <f>'1.7'!C:C</f>
        <v>พ.ต.ประทีป คุ้มยิ้ม</v>
      </c>
      <c r="D41" s="22">
        <v>1.0</v>
      </c>
      <c r="E41" s="23">
        <f>IFERROR(vlookup('1.7'!D:D,lookup!$A$2:$B$4,2,false),0)</f>
        <v>5</v>
      </c>
      <c r="F41" s="23">
        <f>IFERROR(vlookup('1.7'!E:E,lookup!$A$6:$B$8,2,false),0)</f>
        <v>5</v>
      </c>
      <c r="G41" s="23">
        <f>IFERROR(vlookup('1.7'!F:F,lookup!$A$10:$B$12,2,false),0)</f>
        <v>5</v>
      </c>
      <c r="H41" s="23">
        <f>IFERROR(vlookup('1.7'!G:G,lookup!$A$14:$B$16,2,false),0)</f>
        <v>5</v>
      </c>
      <c r="I41" s="23">
        <f>IFERROR(vlookup('1.7'!H:H,lookup!$A$18:$B$20,2,false),0)</f>
        <v>5</v>
      </c>
      <c r="J41" s="23">
        <f>IFERROR(vlookup('1.7'!I:I,lookup!$A$22:$B$24,2,false),0)</f>
        <v>3</v>
      </c>
      <c r="K41" s="23">
        <f>IFERROR(vlookup('1.7'!J:J,lookup!$A$26:$B$28,2,false),0)</f>
        <v>3</v>
      </c>
      <c r="L41" s="19"/>
      <c r="M41" s="23">
        <v>40.0</v>
      </c>
      <c r="N41" s="24" t="str">
        <f t="shared" si="1"/>
        <v>bnco1040@signalschool.ac.th</v>
      </c>
      <c r="O41" s="25">
        <f t="shared" si="2"/>
        <v>1</v>
      </c>
      <c r="P41" s="19"/>
      <c r="Q41" s="19"/>
      <c r="R41" s="26" t="s">
        <v>254</v>
      </c>
    </row>
    <row r="42">
      <c r="A42" s="21">
        <f>'1.7'!A:A</f>
        <v>46220.42425</v>
      </c>
      <c r="B42" s="17" t="str">
        <f>'1.7'!B:B</f>
        <v>bnco1064@signalschool.ac.th</v>
      </c>
      <c r="C42" s="17" t="str">
        <f>'1.7'!C:C</f>
        <v>พ.ต.ประทีป คุ้มยิ้ม</v>
      </c>
      <c r="D42" s="22">
        <v>1.0</v>
      </c>
      <c r="E42" s="23">
        <f>IFERROR(vlookup('1.7'!D:D,lookup!$A$2:$B$4,2,false),0)</f>
        <v>5</v>
      </c>
      <c r="F42" s="23">
        <f>IFERROR(vlookup('1.7'!E:E,lookup!$A$6:$B$8,2,false),0)</f>
        <v>5</v>
      </c>
      <c r="G42" s="23">
        <f>IFERROR(vlookup('1.7'!F:F,lookup!$A$10:$B$12,2,false),0)</f>
        <v>5</v>
      </c>
      <c r="H42" s="23">
        <f>IFERROR(vlookup('1.7'!G:G,lookup!$A$14:$B$16,2,false),0)</f>
        <v>5</v>
      </c>
      <c r="I42" s="23">
        <f>IFERROR(vlookup('1.7'!H:H,lookup!$A$18:$B$20,2,false),0)</f>
        <v>5</v>
      </c>
      <c r="J42" s="23">
        <f>IFERROR(vlookup('1.7'!I:I,lookup!$A$22:$B$24,2,false),0)</f>
        <v>5</v>
      </c>
      <c r="K42" s="23">
        <f>IFERROR(vlookup('1.7'!J:J,lookup!$A$26:$B$28,2,false),0)</f>
        <v>5</v>
      </c>
      <c r="L42" s="19"/>
      <c r="M42" s="23">
        <v>41.0</v>
      </c>
      <c r="N42" s="24" t="str">
        <f t="shared" si="1"/>
        <v>bnco1041@signalschool.ac.th</v>
      </c>
      <c r="O42" s="25">
        <f t="shared" si="2"/>
        <v>1</v>
      </c>
      <c r="P42" s="19"/>
      <c r="Q42" s="19"/>
      <c r="R42" s="26" t="s">
        <v>255</v>
      </c>
    </row>
    <row r="43">
      <c r="A43" s="21">
        <f>'1.7'!A:A</f>
        <v>46220.42443</v>
      </c>
      <c r="B43" s="17" t="str">
        <f>'1.7'!B:B</f>
        <v>bnco1001@signalschool.ac.th</v>
      </c>
      <c r="C43" s="17" t="str">
        <f>'1.7'!C:C</f>
        <v>พ.ต.ประทีป คุ้มยิ้ม</v>
      </c>
      <c r="D43" s="22">
        <v>1.0</v>
      </c>
      <c r="E43" s="23">
        <f>IFERROR(vlookup('1.7'!D:D,lookup!$A$2:$B$4,2,false),0)</f>
        <v>5</v>
      </c>
      <c r="F43" s="23">
        <f>IFERROR(vlookup('1.7'!E:E,lookup!$A$6:$B$8,2,false),0)</f>
        <v>5</v>
      </c>
      <c r="G43" s="23">
        <f>IFERROR(vlookup('1.7'!F:F,lookup!$A$10:$B$12,2,false),0)</f>
        <v>5</v>
      </c>
      <c r="H43" s="23">
        <f>IFERROR(vlookup('1.7'!G:G,lookup!$A$14:$B$16,2,false),0)</f>
        <v>5</v>
      </c>
      <c r="I43" s="23">
        <f>IFERROR(vlookup('1.7'!H:H,lookup!$A$18:$B$20,2,false),0)</f>
        <v>5</v>
      </c>
      <c r="J43" s="23">
        <f>IFERROR(vlookup('1.7'!I:I,lookup!$A$22:$B$24,2,false),0)</f>
        <v>5</v>
      </c>
      <c r="K43" s="23">
        <f>IFERROR(vlookup('1.7'!J:J,lookup!$A$26:$B$28,2,false),0)</f>
        <v>5</v>
      </c>
      <c r="L43" s="19"/>
      <c r="M43" s="23">
        <v>42.0</v>
      </c>
      <c r="N43" s="24" t="str">
        <f t="shared" si="1"/>
        <v>bnco1042@signalschool.ac.th</v>
      </c>
      <c r="O43" s="25">
        <f t="shared" si="2"/>
        <v>1</v>
      </c>
      <c r="P43" s="19"/>
      <c r="Q43" s="19"/>
      <c r="R43" s="26" t="s">
        <v>256</v>
      </c>
    </row>
    <row r="44">
      <c r="A44" s="21">
        <f>'1.7'!A:A</f>
        <v>46220.42487</v>
      </c>
      <c r="B44" s="17" t="str">
        <f>'1.7'!B:B</f>
        <v>bnco1010@signalschool.ac.th</v>
      </c>
      <c r="C44" s="17" t="str">
        <f>'1.7'!C:C</f>
        <v>พ.ต.ประทีป คุ้มยิ้ม</v>
      </c>
      <c r="D44" s="22">
        <v>1.0</v>
      </c>
      <c r="E44" s="23">
        <f>IFERROR(vlookup('1.7'!D:D,lookup!$A$2:$B$4,2,false),0)</f>
        <v>5</v>
      </c>
      <c r="F44" s="23">
        <f>IFERROR(vlookup('1.7'!E:E,lookup!$A$6:$B$8,2,false),0)</f>
        <v>5</v>
      </c>
      <c r="G44" s="23">
        <f>IFERROR(vlookup('1.7'!F:F,lookup!$A$10:$B$12,2,false),0)</f>
        <v>5</v>
      </c>
      <c r="H44" s="23">
        <f>IFERROR(vlookup('1.7'!G:G,lookup!$A$14:$B$16,2,false),0)</f>
        <v>5</v>
      </c>
      <c r="I44" s="23">
        <f>IFERROR(vlookup('1.7'!H:H,lookup!$A$18:$B$20,2,false),0)</f>
        <v>5</v>
      </c>
      <c r="J44" s="23">
        <f>IFERROR(vlookup('1.7'!I:I,lookup!$A$22:$B$24,2,false),0)</f>
        <v>5</v>
      </c>
      <c r="K44" s="23">
        <f>IFERROR(vlookup('1.7'!J:J,lookup!$A$26:$B$28,2,false),0)</f>
        <v>5</v>
      </c>
      <c r="L44" s="19"/>
      <c r="M44" s="23">
        <v>43.0</v>
      </c>
      <c r="N44" s="24" t="str">
        <f t="shared" si="1"/>
        <v>bnco1043@signalschool.ac.th</v>
      </c>
      <c r="O44" s="25">
        <f t="shared" si="2"/>
        <v>1</v>
      </c>
      <c r="P44" s="19"/>
      <c r="Q44" s="19"/>
      <c r="R44" s="26" t="s">
        <v>257</v>
      </c>
    </row>
    <row r="45">
      <c r="A45" s="21">
        <f>'1.7'!A:A</f>
        <v>46220.4249</v>
      </c>
      <c r="B45" s="17" t="str">
        <f>'1.7'!B:B</f>
        <v>bnco1057@signalschool.ac.th</v>
      </c>
      <c r="C45" s="17" t="str">
        <f>'1.7'!C:C</f>
        <v>พ.ต. ประทีป คุ้มยิ้ม</v>
      </c>
      <c r="D45" s="22">
        <v>1.0</v>
      </c>
      <c r="E45" s="23">
        <f>IFERROR(vlookup('1.7'!D:D,lookup!$A$2:$B$4,2,false),0)</f>
        <v>5</v>
      </c>
      <c r="F45" s="23">
        <f>IFERROR(vlookup('1.7'!E:E,lookup!$A$6:$B$8,2,false),0)</f>
        <v>5</v>
      </c>
      <c r="G45" s="23">
        <f>IFERROR(vlookup('1.7'!F:F,lookup!$A$10:$B$12,2,false),0)</f>
        <v>5</v>
      </c>
      <c r="H45" s="23">
        <f>IFERROR(vlookup('1.7'!G:G,lookup!$A$14:$B$16,2,false),0)</f>
        <v>5</v>
      </c>
      <c r="I45" s="23">
        <f>IFERROR(vlookup('1.7'!H:H,lookup!$A$18:$B$20,2,false),0)</f>
        <v>5</v>
      </c>
      <c r="J45" s="23">
        <f>IFERROR(vlookup('1.7'!I:I,lookup!$A$22:$B$24,2,false),0)</f>
        <v>5</v>
      </c>
      <c r="K45" s="23">
        <f>IFERROR(vlookup('1.7'!J:J,lookup!$A$26:$B$28,2,false),0)</f>
        <v>5</v>
      </c>
      <c r="L45" s="19"/>
      <c r="M45" s="23">
        <v>44.0</v>
      </c>
      <c r="N45" s="24" t="str">
        <f t="shared" si="1"/>
        <v>bnco1044@signalschool.ac.th</v>
      </c>
      <c r="O45" s="25">
        <f t="shared" si="2"/>
        <v>1</v>
      </c>
      <c r="P45" s="19"/>
      <c r="Q45" s="19"/>
      <c r="R45" s="26" t="s">
        <v>258</v>
      </c>
    </row>
    <row r="46">
      <c r="A46" s="21">
        <f>'1.7'!A:A</f>
        <v>46220.42502</v>
      </c>
      <c r="B46" s="17" t="str">
        <f>'1.7'!B:B</f>
        <v>bnco1025@signalschool.ac.th</v>
      </c>
      <c r="C46" s="17" t="str">
        <f>'1.7'!C:C</f>
        <v>ส.อ.ธนวัฒน์ ชนสยอง</v>
      </c>
      <c r="D46" s="22">
        <v>1.0</v>
      </c>
      <c r="E46" s="23">
        <f>IFERROR(vlookup('1.7'!D:D,lookup!$A$2:$B$4,2,false),0)</f>
        <v>5</v>
      </c>
      <c r="F46" s="23">
        <f>IFERROR(vlookup('1.7'!E:E,lookup!$A$6:$B$8,2,false),0)</f>
        <v>5</v>
      </c>
      <c r="G46" s="23">
        <f>IFERROR(vlookup('1.7'!F:F,lookup!$A$10:$B$12,2,false),0)</f>
        <v>5</v>
      </c>
      <c r="H46" s="23">
        <f>IFERROR(vlookup('1.7'!G:G,lookup!$A$14:$B$16,2,false),0)</f>
        <v>5</v>
      </c>
      <c r="I46" s="23">
        <f>IFERROR(vlookup('1.7'!H:H,lookup!$A$18:$B$20,2,false),0)</f>
        <v>5</v>
      </c>
      <c r="J46" s="23">
        <f>IFERROR(vlookup('1.7'!I:I,lookup!$A$22:$B$24,2,false),0)</f>
        <v>5</v>
      </c>
      <c r="K46" s="23">
        <f>IFERROR(vlookup('1.7'!J:J,lookup!$A$26:$B$28,2,false),0)</f>
        <v>5</v>
      </c>
      <c r="L46" s="19"/>
      <c r="M46" s="23">
        <v>45.0</v>
      </c>
      <c r="N46" s="24" t="str">
        <f t="shared" si="1"/>
        <v>bnco1045@signalschool.ac.th</v>
      </c>
      <c r="O46" s="25">
        <f t="shared" si="2"/>
        <v>1</v>
      </c>
      <c r="P46" s="19"/>
      <c r="Q46" s="19"/>
      <c r="R46" s="26" t="s">
        <v>259</v>
      </c>
    </row>
    <row r="47">
      <c r="A47" s="21">
        <f>'1.7'!A:A</f>
        <v>46220.4253</v>
      </c>
      <c r="B47" s="17" t="str">
        <f>'1.7'!B:B</f>
        <v>bnco1080@signalschool.ac.th</v>
      </c>
      <c r="C47" s="17" t="str">
        <f>'1.7'!C:C</f>
        <v>พ.ต.ประทีป  คุ้มยิ้ม</v>
      </c>
      <c r="D47" s="22">
        <v>1.0</v>
      </c>
      <c r="E47" s="23">
        <f>IFERROR(vlookup('1.7'!D:D,lookup!$A$2:$B$4,2,false),0)</f>
        <v>5</v>
      </c>
      <c r="F47" s="23">
        <f>IFERROR(vlookup('1.7'!E:E,lookup!$A$6:$B$8,2,false),0)</f>
        <v>5</v>
      </c>
      <c r="G47" s="23">
        <f>IFERROR(vlookup('1.7'!F:F,lookup!$A$10:$B$12,2,false),0)</f>
        <v>5</v>
      </c>
      <c r="H47" s="23">
        <f>IFERROR(vlookup('1.7'!G:G,lookup!$A$14:$B$16,2,false),0)</f>
        <v>5</v>
      </c>
      <c r="I47" s="23">
        <f>IFERROR(vlookup('1.7'!H:H,lookup!$A$18:$B$20,2,false),0)</f>
        <v>5</v>
      </c>
      <c r="J47" s="23">
        <f>IFERROR(vlookup('1.7'!I:I,lookup!$A$22:$B$24,2,false),0)</f>
        <v>5</v>
      </c>
      <c r="K47" s="23">
        <f>IFERROR(vlookup('1.7'!J:J,lookup!$A$26:$B$28,2,false),0)</f>
        <v>5</v>
      </c>
      <c r="L47" s="19"/>
      <c r="M47" s="23">
        <v>46.0</v>
      </c>
      <c r="N47" s="24" t="str">
        <f t="shared" si="1"/>
        <v>bnco1046@signalschool.ac.th</v>
      </c>
      <c r="O47" s="25">
        <f t="shared" si="2"/>
        <v>1</v>
      </c>
      <c r="P47" s="19"/>
      <c r="Q47" s="19"/>
      <c r="R47" s="26" t="s">
        <v>260</v>
      </c>
    </row>
    <row r="48">
      <c r="A48" s="21">
        <f>'1.7'!A:A</f>
        <v>46220.42544</v>
      </c>
      <c r="B48" s="17" t="str">
        <f>'1.7'!B:B</f>
        <v>bnco1053@signalschool.ac.th</v>
      </c>
      <c r="C48" s="17" t="str">
        <f>'1.7'!C:C</f>
        <v>พ.ต.ประทีป คุ้มยิ้ม</v>
      </c>
      <c r="D48" s="22">
        <v>1.0</v>
      </c>
      <c r="E48" s="23">
        <f>IFERROR(vlookup('1.7'!D:D,lookup!$A$2:$B$4,2,false),0)</f>
        <v>3</v>
      </c>
      <c r="F48" s="23">
        <f>IFERROR(vlookup('1.7'!E:E,lookup!$A$6:$B$8,2,false),0)</f>
        <v>5</v>
      </c>
      <c r="G48" s="23">
        <f>IFERROR(vlookup('1.7'!F:F,lookup!$A$10:$B$12,2,false),0)</f>
        <v>5</v>
      </c>
      <c r="H48" s="23">
        <f>IFERROR(vlookup('1.7'!G:G,lookup!$A$14:$B$16,2,false),0)</f>
        <v>5</v>
      </c>
      <c r="I48" s="23">
        <f>IFERROR(vlookup('1.7'!H:H,lookup!$A$18:$B$20,2,false),0)</f>
        <v>5</v>
      </c>
      <c r="J48" s="23">
        <f>IFERROR(vlookup('1.7'!I:I,lookup!$A$22:$B$24,2,false),0)</f>
        <v>3</v>
      </c>
      <c r="K48" s="23">
        <f>IFERROR(vlookup('1.7'!J:J,lookup!$A$26:$B$28,2,false),0)</f>
        <v>5</v>
      </c>
      <c r="L48" s="19"/>
      <c r="M48" s="23">
        <v>47.0</v>
      </c>
      <c r="N48" s="24" t="str">
        <f t="shared" si="1"/>
        <v>bnco1047@signalschool.ac.th</v>
      </c>
      <c r="O48" s="25">
        <f t="shared" si="2"/>
        <v>1</v>
      </c>
      <c r="P48" s="19"/>
      <c r="Q48" s="19"/>
      <c r="R48" s="26" t="s">
        <v>261</v>
      </c>
    </row>
    <row r="49">
      <c r="A49" s="21">
        <f>'1.7'!A:A</f>
        <v>46220.4255</v>
      </c>
      <c r="B49" s="17" t="str">
        <f>'1.7'!B:B</f>
        <v>bnco1043@signalschool.ac.th</v>
      </c>
      <c r="C49" s="17" t="str">
        <f>'1.7'!C:C</f>
        <v>พ.ต.ประทีป  คุ้มยิ้ม</v>
      </c>
      <c r="D49" s="22">
        <v>1.0</v>
      </c>
      <c r="E49" s="23">
        <f>IFERROR(vlookup('1.7'!D:D,lookup!$A$2:$B$4,2,false),0)</f>
        <v>5</v>
      </c>
      <c r="F49" s="23">
        <f>IFERROR(vlookup('1.7'!E:E,lookup!$A$6:$B$8,2,false),0)</f>
        <v>5</v>
      </c>
      <c r="G49" s="23">
        <f>IFERROR(vlookup('1.7'!F:F,lookup!$A$10:$B$12,2,false),0)</f>
        <v>5</v>
      </c>
      <c r="H49" s="23">
        <f>IFERROR(vlookup('1.7'!G:G,lookup!$A$14:$B$16,2,false),0)</f>
        <v>5</v>
      </c>
      <c r="I49" s="23">
        <f>IFERROR(vlookup('1.7'!H:H,lookup!$A$18:$B$20,2,false),0)</f>
        <v>5</v>
      </c>
      <c r="J49" s="23">
        <f>IFERROR(vlookup('1.7'!I:I,lookup!$A$22:$B$24,2,false),0)</f>
        <v>5</v>
      </c>
      <c r="K49" s="23">
        <f>IFERROR(vlookup('1.7'!J:J,lookup!$A$26:$B$28,2,false),0)</f>
        <v>5</v>
      </c>
      <c r="L49" s="19"/>
      <c r="M49" s="23">
        <v>48.0</v>
      </c>
      <c r="N49" s="24" t="str">
        <f t="shared" si="1"/>
        <v>bnco1048@signalschool.ac.th</v>
      </c>
      <c r="O49" s="25">
        <f t="shared" si="2"/>
        <v>0</v>
      </c>
      <c r="P49" s="19"/>
      <c r="Q49" s="19"/>
      <c r="R49" s="26" t="s">
        <v>262</v>
      </c>
    </row>
    <row r="50">
      <c r="A50" s="21">
        <f>'1.7'!A:A</f>
        <v>46220.42565</v>
      </c>
      <c r="B50" s="17" t="str">
        <f>'1.7'!B:B</f>
        <v>bnco1071@signalschool.ac.th</v>
      </c>
      <c r="C50" s="17" t="str">
        <f>'1.7'!C:C</f>
        <v>พ.ต.ประทีป  คุ้มยิ้ม</v>
      </c>
      <c r="D50" s="22">
        <v>1.0</v>
      </c>
      <c r="E50" s="23">
        <f>IFERROR(vlookup('1.7'!D:D,lookup!$A$2:$B$4,2,false),0)</f>
        <v>5</v>
      </c>
      <c r="F50" s="23">
        <f>IFERROR(vlookup('1.7'!E:E,lookup!$A$6:$B$8,2,false),0)</f>
        <v>5</v>
      </c>
      <c r="G50" s="23">
        <f>IFERROR(vlookup('1.7'!F:F,lookup!$A$10:$B$12,2,false),0)</f>
        <v>5</v>
      </c>
      <c r="H50" s="23">
        <f>IFERROR(vlookup('1.7'!G:G,lookup!$A$14:$B$16,2,false),0)</f>
        <v>5</v>
      </c>
      <c r="I50" s="23">
        <f>IFERROR(vlookup('1.7'!H:H,lookup!$A$18:$B$20,2,false),0)</f>
        <v>5</v>
      </c>
      <c r="J50" s="23">
        <f>IFERROR(vlookup('1.7'!I:I,lookup!$A$22:$B$24,2,false),0)</f>
        <v>5</v>
      </c>
      <c r="K50" s="23">
        <f>IFERROR(vlookup('1.7'!J:J,lookup!$A$26:$B$28,2,false),0)</f>
        <v>5</v>
      </c>
      <c r="L50" s="19"/>
      <c r="M50" s="23">
        <v>49.0</v>
      </c>
      <c r="N50" s="24" t="str">
        <f t="shared" si="1"/>
        <v>bnco1049@signalschool.ac.th</v>
      </c>
      <c r="O50" s="25">
        <f t="shared" si="2"/>
        <v>1</v>
      </c>
      <c r="P50" s="19"/>
      <c r="Q50" s="19"/>
      <c r="R50" s="26" t="s">
        <v>263</v>
      </c>
    </row>
    <row r="51">
      <c r="A51" s="27">
        <f>'1.7'!A:A</f>
        <v>46220.42571</v>
      </c>
      <c r="B51" s="19" t="str">
        <f>'1.7'!B:B</f>
        <v>bnco1068@signalschool.ac.th</v>
      </c>
      <c r="C51" s="19" t="str">
        <f>'1.7'!C:C</f>
        <v>พ.ต.ประทีป  คุ้มยิ้ม</v>
      </c>
      <c r="D51" s="22">
        <v>1.0</v>
      </c>
      <c r="E51" s="23">
        <f>IFERROR(vlookup('1.7'!D:D,lookup!$A$2:$B$4,2,false),0)</f>
        <v>5</v>
      </c>
      <c r="F51" s="23">
        <f>IFERROR(vlookup('1.7'!E:E,lookup!$A$6:$B$8,2,false),0)</f>
        <v>5</v>
      </c>
      <c r="G51" s="23">
        <f>IFERROR(vlookup('1.7'!F:F,lookup!$A$10:$B$12,2,false),0)</f>
        <v>5</v>
      </c>
      <c r="H51" s="23">
        <f>IFERROR(vlookup('1.7'!G:G,lookup!$A$14:$B$16,2,false),0)</f>
        <v>5</v>
      </c>
      <c r="I51" s="23">
        <f>IFERROR(vlookup('1.7'!H:H,lookup!$A$18:$B$20,2,false),0)</f>
        <v>5</v>
      </c>
      <c r="J51" s="23">
        <f>IFERROR(vlookup('1.7'!I:I,lookup!$A$22:$B$24,2,false),0)</f>
        <v>5</v>
      </c>
      <c r="K51" s="23">
        <f>IFERROR(vlookup('1.7'!J:J,lookup!$A$26:$B$28,2,false),0)</f>
        <v>3</v>
      </c>
      <c r="L51" s="19"/>
      <c r="M51" s="23">
        <v>50.0</v>
      </c>
      <c r="N51" s="24" t="str">
        <f t="shared" si="1"/>
        <v>bnco1050@signalschool.ac.th</v>
      </c>
      <c r="O51" s="25">
        <f t="shared" si="2"/>
        <v>1</v>
      </c>
      <c r="P51" s="19"/>
      <c r="Q51" s="19"/>
      <c r="R51" s="26" t="s">
        <v>264</v>
      </c>
    </row>
    <row r="52">
      <c r="A52" s="27">
        <f>'1.7'!A:A</f>
        <v>46220.4261</v>
      </c>
      <c r="B52" s="19" t="str">
        <f>'1.7'!B:B</f>
        <v>bnco1012@signalschool.ac.th</v>
      </c>
      <c r="C52" s="19" t="str">
        <f>'1.7'!C:C</f>
        <v>พ.ต.ประทีป  คุ้มยิ้ม</v>
      </c>
      <c r="D52" s="22">
        <v>1.0</v>
      </c>
      <c r="E52" s="23">
        <f>IFERROR(vlookup('1.7'!D:D,lookup!$A$2:$B$4,2,false),0)</f>
        <v>3</v>
      </c>
      <c r="F52" s="23">
        <f>IFERROR(vlookup('1.7'!E:E,lookup!$A$6:$B$8,2,false),0)</f>
        <v>5</v>
      </c>
      <c r="G52" s="23">
        <f>IFERROR(vlookup('1.7'!F:F,lookup!$A$10:$B$12,2,false),0)</f>
        <v>5</v>
      </c>
      <c r="H52" s="23">
        <f>IFERROR(vlookup('1.7'!G:G,lookup!$A$14:$B$16,2,false),0)</f>
        <v>5</v>
      </c>
      <c r="I52" s="23">
        <f>IFERROR(vlookup('1.7'!H:H,lookup!$A$18:$B$20,2,false),0)</f>
        <v>5</v>
      </c>
      <c r="J52" s="23">
        <f>IFERROR(vlookup('1.7'!I:I,lookup!$A$22:$B$24,2,false),0)</f>
        <v>5</v>
      </c>
      <c r="K52" s="23">
        <f>IFERROR(vlookup('1.7'!J:J,lookup!$A$26:$B$28,2,false),0)</f>
        <v>5</v>
      </c>
      <c r="L52" s="19"/>
      <c r="M52" s="23">
        <v>51.0</v>
      </c>
      <c r="N52" s="24" t="str">
        <f t="shared" si="1"/>
        <v>bnco1051@signalschool.ac.th</v>
      </c>
      <c r="O52" s="25">
        <f t="shared" si="2"/>
        <v>1</v>
      </c>
      <c r="P52" s="19"/>
      <c r="Q52" s="19"/>
      <c r="R52" s="26" t="s">
        <v>265</v>
      </c>
    </row>
    <row r="53">
      <c r="A53" s="27">
        <f>'1.7'!A:A</f>
        <v>46220.42629</v>
      </c>
      <c r="B53" s="19" t="str">
        <f>'1.7'!B:B</f>
        <v>bnco1066@signalschool.ac.th</v>
      </c>
      <c r="C53" s="19" t="str">
        <f>'1.7'!C:C</f>
        <v>พ.ต.ประทีป คุ้มยิ้ม</v>
      </c>
      <c r="D53" s="22">
        <v>1.0</v>
      </c>
      <c r="E53" s="23">
        <f>IFERROR(vlookup('1.7'!D:D,lookup!$A$2:$B$4,2,false),0)</f>
        <v>5</v>
      </c>
      <c r="F53" s="23">
        <f>IFERROR(vlookup('1.7'!E:E,lookup!$A$6:$B$8,2,false),0)</f>
        <v>5</v>
      </c>
      <c r="G53" s="23">
        <f>IFERROR(vlookup('1.7'!F:F,lookup!$A$10:$B$12,2,false),0)</f>
        <v>5</v>
      </c>
      <c r="H53" s="23">
        <f>IFERROR(vlookup('1.7'!G:G,lookup!$A$14:$B$16,2,false),0)</f>
        <v>5</v>
      </c>
      <c r="I53" s="23">
        <f>IFERROR(vlookup('1.7'!H:H,lookup!$A$18:$B$20,2,false),0)</f>
        <v>5</v>
      </c>
      <c r="J53" s="23">
        <f>IFERROR(vlookup('1.7'!I:I,lookup!$A$22:$B$24,2,false),0)</f>
        <v>5</v>
      </c>
      <c r="K53" s="23">
        <f>IFERROR(vlookup('1.7'!J:J,lookup!$A$26:$B$28,2,false),0)</f>
        <v>5</v>
      </c>
      <c r="L53" s="19"/>
      <c r="M53" s="23">
        <v>52.0</v>
      </c>
      <c r="N53" s="24" t="str">
        <f t="shared" si="1"/>
        <v>bnco1052@signalschool.ac.th</v>
      </c>
      <c r="O53" s="25">
        <f t="shared" si="2"/>
        <v>1</v>
      </c>
      <c r="P53" s="19"/>
      <c r="Q53" s="19"/>
      <c r="R53" s="26" t="s">
        <v>266</v>
      </c>
    </row>
    <row r="54">
      <c r="A54" s="27">
        <f>'1.7'!A:A</f>
        <v>46220.42757</v>
      </c>
      <c r="B54" s="19" t="str">
        <f>'1.7'!B:B</f>
        <v>bnco1063@signalschool.ac.th</v>
      </c>
      <c r="C54" s="19" t="str">
        <f>'1.7'!C:C</f>
        <v>พ.ต.ประทีป คุ้มยิ้ม</v>
      </c>
      <c r="D54" s="22">
        <v>1.0</v>
      </c>
      <c r="E54" s="23">
        <f>IFERROR(vlookup('1.7'!D:D,lookup!$A$2:$B$4,2,false),0)</f>
        <v>5</v>
      </c>
      <c r="F54" s="23">
        <f>IFERROR(vlookup('1.7'!E:E,lookup!$A$6:$B$8,2,false),0)</f>
        <v>5</v>
      </c>
      <c r="G54" s="23">
        <f>IFERROR(vlookup('1.7'!F:F,lookup!$A$10:$B$12,2,false),0)</f>
        <v>5</v>
      </c>
      <c r="H54" s="23">
        <f>IFERROR(vlookup('1.7'!G:G,lookup!$A$14:$B$16,2,false),0)</f>
        <v>5</v>
      </c>
      <c r="I54" s="23">
        <f>IFERROR(vlookup('1.7'!H:H,lookup!$A$18:$B$20,2,false),0)</f>
        <v>5</v>
      </c>
      <c r="J54" s="23">
        <f>IFERROR(vlookup('1.7'!I:I,lookup!$A$22:$B$24,2,false),0)</f>
        <v>5</v>
      </c>
      <c r="K54" s="23">
        <f>IFERROR(vlookup('1.7'!J:J,lookup!$A$26:$B$28,2,false),0)</f>
        <v>5</v>
      </c>
      <c r="L54" s="19"/>
      <c r="M54" s="23">
        <v>53.0</v>
      </c>
      <c r="N54" s="24" t="str">
        <f t="shared" si="1"/>
        <v>bnco1053@signalschool.ac.th</v>
      </c>
      <c r="O54" s="25">
        <f t="shared" si="2"/>
        <v>1</v>
      </c>
      <c r="P54" s="19"/>
      <c r="Q54" s="19"/>
      <c r="R54" s="26" t="s">
        <v>267</v>
      </c>
    </row>
    <row r="55">
      <c r="A55" s="27">
        <f>'1.7'!A:A</f>
        <v>46220.4324</v>
      </c>
      <c r="B55" s="19" t="str">
        <f>'1.7'!B:B</f>
        <v>ronnakon979@gmail.com</v>
      </c>
      <c r="C55" s="19" t="str">
        <f>'1.7'!C:C</f>
        <v>พ.ต.ประทีป  คุ้มยิ้ม</v>
      </c>
      <c r="D55" s="22">
        <v>1.0</v>
      </c>
      <c r="E55" s="23">
        <f>IFERROR(vlookup('1.7'!D:D,lookup!$A$2:$B$4,2,false),0)</f>
        <v>5</v>
      </c>
      <c r="F55" s="23">
        <f>IFERROR(vlookup('1.7'!E:E,lookup!$A$6:$B$8,2,false),0)</f>
        <v>5</v>
      </c>
      <c r="G55" s="23">
        <f>IFERROR(vlookup('1.7'!F:F,lookup!$A$10:$B$12,2,false),0)</f>
        <v>5</v>
      </c>
      <c r="H55" s="23">
        <f>IFERROR(vlookup('1.7'!G:G,lookup!$A$14:$B$16,2,false),0)</f>
        <v>3</v>
      </c>
      <c r="I55" s="23">
        <f>IFERROR(vlookup('1.7'!H:H,lookup!$A$18:$B$20,2,false),0)</f>
        <v>5</v>
      </c>
      <c r="J55" s="23">
        <f>IFERROR(vlookup('1.7'!I:I,lookup!$A$22:$B$24,2,false),0)</f>
        <v>3</v>
      </c>
      <c r="K55" s="23">
        <f>IFERROR(vlookup('1.7'!J:J,lookup!$A$26:$B$28,2,false),0)</f>
        <v>5</v>
      </c>
      <c r="L55" s="19"/>
      <c r="M55" s="23">
        <v>54.0</v>
      </c>
      <c r="N55" s="24" t="str">
        <f t="shared" si="1"/>
        <v>bnco1054@signalschool.ac.th</v>
      </c>
      <c r="O55" s="25">
        <f t="shared" si="2"/>
        <v>1</v>
      </c>
      <c r="P55" s="19"/>
      <c r="Q55" s="19"/>
      <c r="R55" s="26" t="s">
        <v>268</v>
      </c>
    </row>
    <row r="56">
      <c r="A56" s="27">
        <f>'1.7'!A:A</f>
        <v>46220.43288</v>
      </c>
      <c r="B56" s="19" t="str">
        <f>'1.7'!B:B</f>
        <v>bnco1036@signalschool.ac.th</v>
      </c>
      <c r="C56" s="19" t="str">
        <f>'1.7'!C:C</f>
        <v>พ.ต.ประทีป คุ้มยิ้ม</v>
      </c>
      <c r="D56" s="22">
        <v>1.0</v>
      </c>
      <c r="E56" s="23">
        <f>IFERROR(vlookup('1.7'!D:D,lookup!$A$2:$B$4,2,false),0)</f>
        <v>5</v>
      </c>
      <c r="F56" s="23">
        <f>IFERROR(vlookup('1.7'!E:E,lookup!$A$6:$B$8,2,false),0)</f>
        <v>5</v>
      </c>
      <c r="G56" s="23">
        <f>IFERROR(vlookup('1.7'!F:F,lookup!$A$10:$B$12,2,false),0)</f>
        <v>5</v>
      </c>
      <c r="H56" s="23">
        <f>IFERROR(vlookup('1.7'!G:G,lookup!$A$14:$B$16,2,false),0)</f>
        <v>5</v>
      </c>
      <c r="I56" s="23">
        <f>IFERROR(vlookup('1.7'!H:H,lookup!$A$18:$B$20,2,false),0)</f>
        <v>5</v>
      </c>
      <c r="J56" s="23">
        <f>IFERROR(vlookup('1.7'!I:I,lookup!$A$22:$B$24,2,false),0)</f>
        <v>5</v>
      </c>
      <c r="K56" s="23">
        <f>IFERROR(vlookup('1.7'!J:J,lookup!$A$26:$B$28,2,false),0)</f>
        <v>5</v>
      </c>
      <c r="L56" s="28"/>
      <c r="M56" s="23">
        <v>55.0</v>
      </c>
      <c r="N56" s="24" t="str">
        <f t="shared" si="1"/>
        <v>bnco1055@signalschool.ac.th</v>
      </c>
      <c r="O56" s="25">
        <f t="shared" si="2"/>
        <v>1</v>
      </c>
      <c r="P56" s="19"/>
      <c r="Q56" s="19"/>
      <c r="R56" s="26" t="s">
        <v>269</v>
      </c>
    </row>
    <row r="57">
      <c r="A57" s="27">
        <f>'1.7'!A:A</f>
        <v>46220.43315</v>
      </c>
      <c r="B57" s="19" t="str">
        <f>'1.7'!B:B</f>
        <v>bnco1050@signalschool.ac.th</v>
      </c>
      <c r="C57" s="19" t="str">
        <f>'1.7'!C:C</f>
        <v>พ.ต.ประทีป คุ้มยิ้ม</v>
      </c>
      <c r="D57" s="22">
        <v>1.0</v>
      </c>
      <c r="E57" s="23">
        <f>IFERROR(vlookup('1.7'!D:D,lookup!$A$2:$B$4,2,false),0)</f>
        <v>5</v>
      </c>
      <c r="F57" s="23">
        <f>IFERROR(vlookup('1.7'!E:E,lookup!$A$6:$B$8,2,false),0)</f>
        <v>5</v>
      </c>
      <c r="G57" s="23">
        <f>IFERROR(vlookup('1.7'!F:F,lookup!$A$10:$B$12,2,false),0)</f>
        <v>5</v>
      </c>
      <c r="H57" s="23">
        <f>IFERROR(vlookup('1.7'!G:G,lookup!$A$14:$B$16,2,false),0)</f>
        <v>5</v>
      </c>
      <c r="I57" s="23">
        <f>IFERROR(vlookup('1.7'!H:H,lookup!$A$18:$B$20,2,false),0)</f>
        <v>5</v>
      </c>
      <c r="J57" s="23">
        <f>IFERROR(vlookup('1.7'!I:I,lookup!$A$22:$B$24,2,false),0)</f>
        <v>5</v>
      </c>
      <c r="K57" s="23">
        <f>IFERROR(vlookup('1.7'!J:J,lookup!$A$26:$B$28,2,false),0)</f>
        <v>5</v>
      </c>
      <c r="L57" s="28"/>
      <c r="M57" s="23">
        <v>56.0</v>
      </c>
      <c r="N57" s="24" t="str">
        <f t="shared" si="1"/>
        <v>bnco1056@signalschool.ac.th</v>
      </c>
      <c r="O57" s="25">
        <f t="shared" si="2"/>
        <v>1</v>
      </c>
      <c r="P57" s="19"/>
      <c r="Q57" s="19"/>
      <c r="R57" s="26" t="s">
        <v>270</v>
      </c>
    </row>
    <row r="58">
      <c r="A58" s="27">
        <f>'1.7'!A:A</f>
        <v>46220.4335</v>
      </c>
      <c r="B58" s="19" t="str">
        <f>'1.7'!B:B</f>
        <v>bnco1070@signalschool.ac.th</v>
      </c>
      <c r="C58" s="19" t="str">
        <f>'1.7'!C:C</f>
        <v>พ.ต.ประทีป  คุ้มยิ้ม</v>
      </c>
      <c r="D58" s="22">
        <v>1.0</v>
      </c>
      <c r="E58" s="23">
        <f>IFERROR(vlookup('1.7'!D:D,lookup!$A$2:$B$4,2,false),0)</f>
        <v>5</v>
      </c>
      <c r="F58" s="23">
        <f>IFERROR(vlookup('1.7'!E:E,lookup!$A$6:$B$8,2,false),0)</f>
        <v>5</v>
      </c>
      <c r="G58" s="23">
        <f>IFERROR(vlookup('1.7'!F:F,lookup!$A$10:$B$12,2,false),0)</f>
        <v>3</v>
      </c>
      <c r="H58" s="23">
        <f>IFERROR(vlookup('1.7'!G:G,lookup!$A$14:$B$16,2,false),0)</f>
        <v>3</v>
      </c>
      <c r="I58" s="23">
        <f>IFERROR(vlookup('1.7'!H:H,lookup!$A$18:$B$20,2,false),0)</f>
        <v>5</v>
      </c>
      <c r="J58" s="23">
        <f>IFERROR(vlookup('1.7'!I:I,lookup!$A$22:$B$24,2,false),0)</f>
        <v>5</v>
      </c>
      <c r="K58" s="23">
        <f>IFERROR(vlookup('1.7'!J:J,lookup!$A$26:$B$28,2,false),0)</f>
        <v>5</v>
      </c>
      <c r="L58" s="28"/>
      <c r="M58" s="23">
        <v>57.0</v>
      </c>
      <c r="N58" s="24" t="str">
        <f t="shared" si="1"/>
        <v>bnco1057@signalschool.ac.th</v>
      </c>
      <c r="O58" s="25">
        <f t="shared" si="2"/>
        <v>1</v>
      </c>
      <c r="P58" s="19"/>
      <c r="Q58" s="19"/>
      <c r="R58" s="26" t="s">
        <v>271</v>
      </c>
    </row>
    <row r="59">
      <c r="A59" s="27">
        <f>'1.7'!A:A</f>
        <v>46220.43751</v>
      </c>
      <c r="B59" s="19" t="str">
        <f>'1.7'!B:B</f>
        <v>bnco1027@signalschool.ac.th</v>
      </c>
      <c r="C59" s="19" t="str">
        <f>'1.7'!C:C</f>
        <v>พ.ต.ประทีป คุ้มยิ้ม</v>
      </c>
      <c r="D59" s="22">
        <v>1.0</v>
      </c>
      <c r="E59" s="23">
        <f>IFERROR(vlookup('1.7'!D:D,lookup!$A$2:$B$4,2,false),0)</f>
        <v>5</v>
      </c>
      <c r="F59" s="23">
        <f>IFERROR(vlookup('1.7'!E:E,lookup!$A$6:$B$8,2,false),0)</f>
        <v>5</v>
      </c>
      <c r="G59" s="23">
        <f>IFERROR(vlookup('1.7'!F:F,lookup!$A$10:$B$12,2,false),0)</f>
        <v>5</v>
      </c>
      <c r="H59" s="23">
        <f>IFERROR(vlookup('1.7'!G:G,lookup!$A$14:$B$16,2,false),0)</f>
        <v>5</v>
      </c>
      <c r="I59" s="23">
        <f>IFERROR(vlookup('1.7'!H:H,lookup!$A$18:$B$20,2,false),0)</f>
        <v>5</v>
      </c>
      <c r="J59" s="23">
        <f>IFERROR(vlookup('1.7'!I:I,lookup!$A$22:$B$24,2,false),0)</f>
        <v>5</v>
      </c>
      <c r="K59" s="23">
        <f>IFERROR(vlookup('1.7'!J:J,lookup!$A$26:$B$28,2,false),0)</f>
        <v>5</v>
      </c>
      <c r="L59" s="28"/>
      <c r="M59" s="23">
        <v>58.0</v>
      </c>
      <c r="N59" s="24" t="str">
        <f t="shared" si="1"/>
        <v>bnco1058@signalschool.ac.th</v>
      </c>
      <c r="O59" s="25">
        <f t="shared" si="2"/>
        <v>1</v>
      </c>
      <c r="P59" s="19"/>
      <c r="Q59" s="19"/>
      <c r="R59" s="26" t="s">
        <v>272</v>
      </c>
    </row>
    <row r="60">
      <c r="A60" s="27">
        <f>'1.7'!A:A</f>
        <v>46220.43917</v>
      </c>
      <c r="B60" s="19" t="str">
        <f>'1.7'!B:B</f>
        <v>bnco1024@signalschool.ac.th</v>
      </c>
      <c r="C60" s="19" t="str">
        <f>'1.7'!C:C</f>
        <v>พ.ต.ประทีป  คุ้มยิ้ม</v>
      </c>
      <c r="D60" s="22">
        <v>1.0</v>
      </c>
      <c r="E60" s="23">
        <f>IFERROR(vlookup('1.7'!D:D,lookup!$A$2:$B$4,2,false),0)</f>
        <v>5</v>
      </c>
      <c r="F60" s="23">
        <f>IFERROR(vlookup('1.7'!E:E,lookup!$A$6:$B$8,2,false),0)</f>
        <v>5</v>
      </c>
      <c r="G60" s="23">
        <f>IFERROR(vlookup('1.7'!F:F,lookup!$A$10:$B$12,2,false),0)</f>
        <v>5</v>
      </c>
      <c r="H60" s="23">
        <f>IFERROR(vlookup('1.7'!G:G,lookup!$A$14:$B$16,2,false),0)</f>
        <v>5</v>
      </c>
      <c r="I60" s="23">
        <f>IFERROR(vlookup('1.7'!H:H,lookup!$A$18:$B$20,2,false),0)</f>
        <v>5</v>
      </c>
      <c r="J60" s="23">
        <f>IFERROR(vlookup('1.7'!I:I,lookup!$A$22:$B$24,2,false),0)</f>
        <v>5</v>
      </c>
      <c r="K60" s="23">
        <f>IFERROR(vlookup('1.7'!J:J,lookup!$A$26:$B$28,2,false),0)</f>
        <v>5</v>
      </c>
      <c r="L60" s="19"/>
      <c r="M60" s="23">
        <v>59.0</v>
      </c>
      <c r="N60" s="24" t="str">
        <f t="shared" si="1"/>
        <v>bnco1059@signalschool.ac.th</v>
      </c>
      <c r="O60" s="25">
        <f t="shared" si="2"/>
        <v>1</v>
      </c>
      <c r="P60" s="19"/>
      <c r="Q60" s="19"/>
      <c r="R60" s="26" t="s">
        <v>273</v>
      </c>
    </row>
    <row r="61">
      <c r="A61" s="27">
        <f>'1.7'!A:A</f>
        <v>46220.44022</v>
      </c>
      <c r="B61" s="19" t="str">
        <f>'1.7'!B:B</f>
        <v>bnco1073@signalschool.ac.th</v>
      </c>
      <c r="C61" s="19" t="str">
        <f>'1.7'!C:C</f>
        <v>พ.ต.ประทีป คุ้มยิ้ม</v>
      </c>
      <c r="D61" s="22">
        <v>1.0</v>
      </c>
      <c r="E61" s="23">
        <f>IFERROR(vlookup('1.7'!D:D,lookup!$A$2:$B$4,2,false),0)</f>
        <v>5</v>
      </c>
      <c r="F61" s="23">
        <f>IFERROR(vlookup('1.7'!E:E,lookup!$A$6:$B$8,2,false),0)</f>
        <v>5</v>
      </c>
      <c r="G61" s="23">
        <f>IFERROR(vlookup('1.7'!F:F,lookup!$A$10:$B$12,2,false),0)</f>
        <v>5</v>
      </c>
      <c r="H61" s="23">
        <f>IFERROR(vlookup('1.7'!G:G,lookup!$A$14:$B$16,2,false),0)</f>
        <v>5</v>
      </c>
      <c r="I61" s="23">
        <f>IFERROR(vlookup('1.7'!H:H,lookup!$A$18:$B$20,2,false),0)</f>
        <v>5</v>
      </c>
      <c r="J61" s="23">
        <f>IFERROR(vlookup('1.7'!I:I,lookup!$A$22:$B$24,2,false),0)</f>
        <v>5</v>
      </c>
      <c r="K61" s="23">
        <f>IFERROR(vlookup('1.7'!J:J,lookup!$A$26:$B$28,2,false),0)</f>
        <v>5</v>
      </c>
      <c r="L61" s="19"/>
      <c r="M61" s="23">
        <v>60.0</v>
      </c>
      <c r="N61" s="24" t="str">
        <f t="shared" si="1"/>
        <v>bnco1060@signalschool.ac.th</v>
      </c>
      <c r="O61" s="25">
        <f t="shared" si="2"/>
        <v>1</v>
      </c>
      <c r="P61" s="19"/>
      <c r="Q61" s="19"/>
      <c r="R61" s="26" t="s">
        <v>274</v>
      </c>
    </row>
    <row r="62">
      <c r="A62" s="27">
        <f>'1.7'!A:A</f>
        <v>46220.44995</v>
      </c>
      <c r="B62" s="19" t="str">
        <f>'1.7'!B:B</f>
        <v>bnco1023@signalschool.ac.th</v>
      </c>
      <c r="C62" s="19" t="str">
        <f>'1.7'!C:C</f>
        <v>พ.ต.ประทีป  คุ้มยิ้ม</v>
      </c>
      <c r="D62" s="22">
        <v>1.0</v>
      </c>
      <c r="E62" s="23">
        <f>IFERROR(vlookup('1.7'!D:D,lookup!$A$2:$B$4,2,false),0)</f>
        <v>5</v>
      </c>
      <c r="F62" s="23">
        <f>IFERROR(vlookup('1.7'!E:E,lookup!$A$6:$B$8,2,false),0)</f>
        <v>5</v>
      </c>
      <c r="G62" s="23">
        <f>IFERROR(vlookup('1.7'!F:F,lookup!$A$10:$B$12,2,false),0)</f>
        <v>5</v>
      </c>
      <c r="H62" s="23">
        <f>IFERROR(vlookup('1.7'!G:G,lookup!$A$14:$B$16,2,false),0)</f>
        <v>5</v>
      </c>
      <c r="I62" s="23">
        <f>IFERROR(vlookup('1.7'!H:H,lookup!$A$18:$B$20,2,false),0)</f>
        <v>5</v>
      </c>
      <c r="J62" s="23">
        <f>IFERROR(vlookup('1.7'!I:I,lookup!$A$22:$B$24,2,false),0)</f>
        <v>5</v>
      </c>
      <c r="K62" s="23">
        <f>IFERROR(vlookup('1.7'!J:J,lookup!$A$26:$B$28,2,false),0)</f>
        <v>5</v>
      </c>
      <c r="L62" s="19"/>
      <c r="M62" s="23">
        <v>61.0</v>
      </c>
      <c r="N62" s="24" t="str">
        <f t="shared" si="1"/>
        <v>bnco1061@signalschool.ac.th</v>
      </c>
      <c r="O62" s="25">
        <f t="shared" si="2"/>
        <v>1</v>
      </c>
      <c r="P62" s="19"/>
      <c r="Q62" s="19"/>
      <c r="R62" s="26" t="s">
        <v>275</v>
      </c>
    </row>
    <row r="63">
      <c r="A63" s="27">
        <f>'1.7'!A:A</f>
        <v>46220.45229</v>
      </c>
      <c r="B63" s="19" t="str">
        <f>'1.7'!B:B</f>
        <v>bnco1020@signalschool.ac.th</v>
      </c>
      <c r="C63" s="19" t="str">
        <f>'1.7'!C:C</f>
        <v>พ.ต. สุธิพงษ์ ขำดี</v>
      </c>
      <c r="D63" s="22">
        <v>1.0</v>
      </c>
      <c r="E63" s="23">
        <f>IFERROR(vlookup('1.7'!D:D,lookup!$A$2:$B$4,2,false),0)</f>
        <v>5</v>
      </c>
      <c r="F63" s="23">
        <f>IFERROR(vlookup('1.7'!E:E,lookup!$A$6:$B$8,2,false),0)</f>
        <v>5</v>
      </c>
      <c r="G63" s="23">
        <f>IFERROR(vlookup('1.7'!F:F,lookup!$A$10:$B$12,2,false),0)</f>
        <v>5</v>
      </c>
      <c r="H63" s="23">
        <f>IFERROR(vlookup('1.7'!G:G,lookup!$A$14:$B$16,2,false),0)</f>
        <v>5</v>
      </c>
      <c r="I63" s="23">
        <f>IFERROR(vlookup('1.7'!H:H,lookup!$A$18:$B$20,2,false),0)</f>
        <v>5</v>
      </c>
      <c r="J63" s="23">
        <f>IFERROR(vlookup('1.7'!I:I,lookup!$A$22:$B$24,2,false),0)</f>
        <v>5</v>
      </c>
      <c r="K63" s="23">
        <f>IFERROR(vlookup('1.7'!J:J,lookup!$A$26:$B$28,2,false),0)</f>
        <v>5</v>
      </c>
      <c r="L63" s="19"/>
      <c r="M63" s="23">
        <v>62.0</v>
      </c>
      <c r="N63" s="24" t="str">
        <f t="shared" si="1"/>
        <v>bnco1062@signalschool.ac.th</v>
      </c>
      <c r="O63" s="25">
        <f t="shared" si="2"/>
        <v>1</v>
      </c>
      <c r="P63" s="19"/>
      <c r="Q63" s="19"/>
      <c r="R63" s="26" t="s">
        <v>276</v>
      </c>
    </row>
    <row r="64">
      <c r="A64" s="27">
        <f>'1.7'!A:A</f>
        <v>46221.01387</v>
      </c>
      <c r="B64" s="19" t="str">
        <f>'1.7'!B:B</f>
        <v>bnco1031@signalschool.ac.th</v>
      </c>
      <c r="C64" s="19" t="str">
        <f>'1.7'!C:C</f>
        <v>พ.ต.ประทีป คุ้มยิ้ม</v>
      </c>
      <c r="D64" s="22">
        <v>1.0</v>
      </c>
      <c r="E64" s="23">
        <f>IFERROR(vlookup('1.7'!D:D,lookup!$A$2:$B$4,2,false),0)</f>
        <v>5</v>
      </c>
      <c r="F64" s="23">
        <f>IFERROR(vlookup('1.7'!E:E,lookup!$A$6:$B$8,2,false),0)</f>
        <v>5</v>
      </c>
      <c r="G64" s="23">
        <f>IFERROR(vlookup('1.7'!F:F,lookup!$A$10:$B$12,2,false),0)</f>
        <v>5</v>
      </c>
      <c r="H64" s="23">
        <f>IFERROR(vlookup('1.7'!G:G,lookup!$A$14:$B$16,2,false),0)</f>
        <v>5</v>
      </c>
      <c r="I64" s="23">
        <f>IFERROR(vlookup('1.7'!H:H,lookup!$A$18:$B$20,2,false),0)</f>
        <v>5</v>
      </c>
      <c r="J64" s="23">
        <f>IFERROR(vlookup('1.7'!I:I,lookup!$A$22:$B$24,2,false),0)</f>
        <v>5</v>
      </c>
      <c r="K64" s="23">
        <f>IFERROR(vlookup('1.7'!J:J,lookup!$A$26:$B$28,2,false),0)</f>
        <v>5</v>
      </c>
      <c r="L64" s="19"/>
      <c r="M64" s="23">
        <v>63.0</v>
      </c>
      <c r="N64" s="24" t="str">
        <f t="shared" si="1"/>
        <v>bnco1063@signalschool.ac.th</v>
      </c>
      <c r="O64" s="25">
        <f t="shared" si="2"/>
        <v>1</v>
      </c>
      <c r="P64" s="19"/>
      <c r="Q64" s="19"/>
      <c r="R64" s="26" t="s">
        <v>277</v>
      </c>
    </row>
    <row r="65">
      <c r="A65" s="27">
        <f>'1.7'!A:A</f>
        <v>46221.63662</v>
      </c>
      <c r="B65" s="19" t="str">
        <f>'1.7'!B:B</f>
        <v>bnco1022@signalschool.ac.th</v>
      </c>
      <c r="C65" s="19" t="str">
        <f>'1.7'!C:C</f>
        <v>พ.ต.ประทีป คุ้มยิ้ม</v>
      </c>
      <c r="D65" s="22">
        <v>1.0</v>
      </c>
      <c r="E65" s="23">
        <f>IFERROR(vlookup('1.7'!D:D,lookup!$A$2:$B$4,2,false),0)</f>
        <v>5</v>
      </c>
      <c r="F65" s="23">
        <f>IFERROR(vlookup('1.7'!E:E,lookup!$A$6:$B$8,2,false),0)</f>
        <v>5</v>
      </c>
      <c r="G65" s="23">
        <f>IFERROR(vlookup('1.7'!F:F,lookup!$A$10:$B$12,2,false),0)</f>
        <v>5</v>
      </c>
      <c r="H65" s="23">
        <f>IFERROR(vlookup('1.7'!G:G,lookup!$A$14:$B$16,2,false),0)</f>
        <v>5</v>
      </c>
      <c r="I65" s="23">
        <f>IFERROR(vlookup('1.7'!H:H,lookup!$A$18:$B$20,2,false),0)</f>
        <v>5</v>
      </c>
      <c r="J65" s="23">
        <f>IFERROR(vlookup('1.7'!I:I,lookup!$A$22:$B$24,2,false),0)</f>
        <v>5</v>
      </c>
      <c r="K65" s="23">
        <f>IFERROR(vlookup('1.7'!J:J,lookup!$A$26:$B$28,2,false),0)</f>
        <v>5</v>
      </c>
      <c r="L65" s="19"/>
      <c r="M65" s="23">
        <v>64.0</v>
      </c>
      <c r="N65" s="24" t="str">
        <f t="shared" si="1"/>
        <v>bnco1064@signalschool.ac.th</v>
      </c>
      <c r="O65" s="25">
        <f t="shared" si="2"/>
        <v>1</v>
      </c>
      <c r="P65" s="19"/>
      <c r="Q65" s="19"/>
      <c r="R65" s="26" t="s">
        <v>278</v>
      </c>
    </row>
    <row r="66">
      <c r="A66" s="27">
        <f>'1.7'!A:A</f>
        <v>46221.78389</v>
      </c>
      <c r="B66" s="19" t="str">
        <f>'1.7'!B:B</f>
        <v>bnco1065@signalschool.ac.th</v>
      </c>
      <c r="C66" s="19" t="str">
        <f>'1.7'!C:C</f>
        <v>พ.ต.ประทีบ คุ้มยิ้ม</v>
      </c>
      <c r="D66" s="22">
        <v>1.0</v>
      </c>
      <c r="E66" s="23">
        <f>IFERROR(vlookup('1.7'!D:D,lookup!$A$2:$B$4,2,false),0)</f>
        <v>5</v>
      </c>
      <c r="F66" s="23">
        <f>IFERROR(vlookup('1.7'!E:E,lookup!$A$6:$B$8,2,false),0)</f>
        <v>5</v>
      </c>
      <c r="G66" s="23">
        <f>IFERROR(vlookup('1.7'!F:F,lookup!$A$10:$B$12,2,false),0)</f>
        <v>5</v>
      </c>
      <c r="H66" s="23">
        <f>IFERROR(vlookup('1.7'!G:G,lookup!$A$14:$B$16,2,false),0)</f>
        <v>5</v>
      </c>
      <c r="I66" s="23">
        <f>IFERROR(vlookup('1.7'!H:H,lookup!$A$18:$B$20,2,false),0)</f>
        <v>5</v>
      </c>
      <c r="J66" s="23">
        <f>IFERROR(vlookup('1.7'!I:I,lookup!$A$22:$B$24,2,false),0)</f>
        <v>3</v>
      </c>
      <c r="K66" s="23">
        <f>IFERROR(vlookup('1.7'!J:J,lookup!$A$26:$B$28,2,false),0)</f>
        <v>3</v>
      </c>
      <c r="L66" s="19"/>
      <c r="M66" s="23">
        <v>65.0</v>
      </c>
      <c r="N66" s="24" t="str">
        <f t="shared" si="1"/>
        <v>bnco1065@signalschool.ac.th</v>
      </c>
      <c r="O66" s="25">
        <f t="shared" si="2"/>
        <v>1</v>
      </c>
      <c r="P66" s="19"/>
      <c r="Q66" s="19"/>
      <c r="R66" s="26" t="s">
        <v>279</v>
      </c>
    </row>
    <row r="67">
      <c r="A67" s="27">
        <f>'1.7'!A:A</f>
        <v>46222.51106</v>
      </c>
      <c r="B67" s="19" t="str">
        <f>'1.7'!B:B</f>
        <v>bnco1054@signalschool.ac.th</v>
      </c>
      <c r="C67" s="19" t="str">
        <f>'1.7'!C:C</f>
        <v>พ.ต.ประทีบ คุ้มยิ้ม</v>
      </c>
      <c r="D67" s="22">
        <v>1.0</v>
      </c>
      <c r="E67" s="23">
        <f>IFERROR(vlookup('1.7'!D:D,lookup!$A$2:$B$4,2,false),0)</f>
        <v>5</v>
      </c>
      <c r="F67" s="23">
        <f>IFERROR(vlookup('1.7'!E:E,lookup!$A$6:$B$8,2,false),0)</f>
        <v>5</v>
      </c>
      <c r="G67" s="23">
        <f>IFERROR(vlookup('1.7'!F:F,lookup!$A$10:$B$12,2,false),0)</f>
        <v>5</v>
      </c>
      <c r="H67" s="23">
        <f>IFERROR(vlookup('1.7'!G:G,lookup!$A$14:$B$16,2,false),0)</f>
        <v>5</v>
      </c>
      <c r="I67" s="23">
        <f>IFERROR(vlookup('1.7'!H:H,lookup!$A$18:$B$20,2,false),0)</f>
        <v>5</v>
      </c>
      <c r="J67" s="23">
        <f>IFERROR(vlookup('1.7'!I:I,lookup!$A$22:$B$24,2,false),0)</f>
        <v>5</v>
      </c>
      <c r="K67" s="23">
        <f>IFERROR(vlookup('1.7'!J:J,lookup!$A$26:$B$28,2,false),0)</f>
        <v>5</v>
      </c>
      <c r="L67" s="19"/>
      <c r="M67" s="23">
        <v>66.0</v>
      </c>
      <c r="N67" s="24" t="str">
        <f t="shared" si="1"/>
        <v>bnco1066@signalschool.ac.th</v>
      </c>
      <c r="O67" s="25">
        <f t="shared" si="2"/>
        <v>1</v>
      </c>
      <c r="P67" s="19"/>
      <c r="Q67" s="19"/>
      <c r="R67" s="26" t="s">
        <v>280</v>
      </c>
    </row>
    <row r="68">
      <c r="A68" s="27">
        <f>'1.7'!A:A</f>
        <v>46223.35188</v>
      </c>
      <c r="B68" s="19" t="str">
        <f>'1.7'!B:B</f>
        <v>bnco1060@signalschool.ac.th</v>
      </c>
      <c r="C68" s="19" t="str">
        <f>'1.7'!C:C</f>
        <v>พ.ต.ประทีป คุ้มยิ้ม</v>
      </c>
      <c r="D68" s="22">
        <v>1.0</v>
      </c>
      <c r="E68" s="23">
        <f>IFERROR(vlookup('1.7'!D:D,lookup!$A$2:$B$4,2,false),0)</f>
        <v>5</v>
      </c>
      <c r="F68" s="23">
        <f>IFERROR(vlookup('1.7'!E:E,lookup!$A$6:$B$8,2,false),0)</f>
        <v>5</v>
      </c>
      <c r="G68" s="23">
        <f>IFERROR(vlookup('1.7'!F:F,lookup!$A$10:$B$12,2,false),0)</f>
        <v>5</v>
      </c>
      <c r="H68" s="23">
        <f>IFERROR(vlookup('1.7'!G:G,lookup!$A$14:$B$16,2,false),0)</f>
        <v>5</v>
      </c>
      <c r="I68" s="23">
        <f>IFERROR(vlookup('1.7'!H:H,lookup!$A$18:$B$20,2,false),0)</f>
        <v>5</v>
      </c>
      <c r="J68" s="23">
        <f>IFERROR(vlookup('1.7'!I:I,lookup!$A$22:$B$24,2,false),0)</f>
        <v>5</v>
      </c>
      <c r="K68" s="23">
        <f>IFERROR(vlookup('1.7'!J:J,lookup!$A$26:$B$28,2,false),0)</f>
        <v>5</v>
      </c>
      <c r="L68" s="19"/>
      <c r="M68" s="23">
        <v>67.0</v>
      </c>
      <c r="N68" s="24" t="str">
        <f t="shared" si="1"/>
        <v>bnco1067@signalschool.ac.th</v>
      </c>
      <c r="O68" s="25">
        <f t="shared" si="2"/>
        <v>1</v>
      </c>
      <c r="P68" s="19"/>
      <c r="Q68" s="19"/>
      <c r="R68" s="26" t="s">
        <v>281</v>
      </c>
    </row>
    <row r="69">
      <c r="A69" s="27">
        <f>'1.7'!A:A</f>
        <v>46223.49609</v>
      </c>
      <c r="B69" s="19" t="str">
        <f>'1.7'!B:B</f>
        <v>bnco1008@signalschool.ac.th</v>
      </c>
      <c r="C69" s="19" t="str">
        <f>'1.7'!C:C</f>
        <v>พ.ต.ประทีป คุ้มยิ้ม</v>
      </c>
      <c r="D69" s="22">
        <v>1.0</v>
      </c>
      <c r="E69" s="23">
        <f>IFERROR(vlookup('1.7'!D:D,lookup!$A$2:$B$4,2,false),0)</f>
        <v>5</v>
      </c>
      <c r="F69" s="23">
        <f>IFERROR(vlookup('1.7'!E:E,lookup!$A$6:$B$8,2,false),0)</f>
        <v>5</v>
      </c>
      <c r="G69" s="23">
        <f>IFERROR(vlookup('1.7'!F:F,lookup!$A$10:$B$12,2,false),0)</f>
        <v>5</v>
      </c>
      <c r="H69" s="23">
        <f>IFERROR(vlookup('1.7'!G:G,lookup!$A$14:$B$16,2,false),0)</f>
        <v>5</v>
      </c>
      <c r="I69" s="23">
        <f>IFERROR(vlookup('1.7'!H:H,lookup!$A$18:$B$20,2,false),0)</f>
        <v>5</v>
      </c>
      <c r="J69" s="23">
        <f>IFERROR(vlookup('1.7'!I:I,lookup!$A$22:$B$24,2,false),0)</f>
        <v>5</v>
      </c>
      <c r="K69" s="23">
        <f>IFERROR(vlookup('1.7'!J:J,lookup!$A$26:$B$28,2,false),0)</f>
        <v>5</v>
      </c>
      <c r="L69" s="19"/>
      <c r="M69" s="23">
        <v>68.0</v>
      </c>
      <c r="N69" s="24" t="str">
        <f t="shared" si="1"/>
        <v>bnco1068@signalschool.ac.th</v>
      </c>
      <c r="O69" s="25">
        <f t="shared" si="2"/>
        <v>1</v>
      </c>
      <c r="P69" s="19"/>
      <c r="Q69" s="19"/>
      <c r="R69" s="26" t="s">
        <v>282</v>
      </c>
    </row>
    <row r="70">
      <c r="A70" s="27">
        <f>'1.7'!A:A</f>
        <v>46262.48428</v>
      </c>
      <c r="B70" s="19" t="str">
        <f>'1.7'!B:B</f>
        <v>bnco1032@signalschool.ac.th</v>
      </c>
      <c r="C70" s="19" t="str">
        <f>'1.7'!C:C</f>
        <v>พ.ท.สุธิพงษ์ ขำดี</v>
      </c>
      <c r="D70" s="22">
        <v>1.0</v>
      </c>
      <c r="E70" s="23">
        <f>IFERROR(vlookup('1.7'!D:D,lookup!$A$2:$B$4,2,false),0)</f>
        <v>5</v>
      </c>
      <c r="F70" s="23">
        <f>IFERROR(vlookup('1.7'!E:E,lookup!$A$6:$B$8,2,false),0)</f>
        <v>5</v>
      </c>
      <c r="G70" s="23">
        <f>IFERROR(vlookup('1.7'!F:F,lookup!$A$10:$B$12,2,false),0)</f>
        <v>5</v>
      </c>
      <c r="H70" s="23">
        <f>IFERROR(vlookup('1.7'!G:G,lookup!$A$14:$B$16,2,false),0)</f>
        <v>5</v>
      </c>
      <c r="I70" s="23">
        <f>IFERROR(vlookup('1.7'!H:H,lookup!$A$18:$B$20,2,false),0)</f>
        <v>5</v>
      </c>
      <c r="J70" s="23">
        <f>IFERROR(vlookup('1.7'!I:I,lookup!$A$22:$B$24,2,false),0)</f>
        <v>5</v>
      </c>
      <c r="K70" s="23">
        <f>IFERROR(vlookup('1.7'!J:J,lookup!$A$26:$B$28,2,false),0)</f>
        <v>5</v>
      </c>
      <c r="L70" s="19"/>
      <c r="M70" s="23">
        <v>69.0</v>
      </c>
      <c r="N70" s="24" t="str">
        <f t="shared" si="1"/>
        <v>bnco1069@signalschool.ac.th</v>
      </c>
      <c r="O70" s="25">
        <f t="shared" si="2"/>
        <v>1</v>
      </c>
      <c r="P70" s="19"/>
      <c r="Q70" s="19"/>
      <c r="R70" s="26" t="s">
        <v>283</v>
      </c>
    </row>
    <row r="71">
      <c r="A71" s="27">
        <f>'1.7'!A:A</f>
        <v>46262.59723</v>
      </c>
      <c r="B71" s="19" t="str">
        <f>'1.7'!B:B</f>
        <v>bnco1045@signalschool.ac.th</v>
      </c>
      <c r="C71" s="19" t="str">
        <f>'1.7'!C:C</f>
        <v>พ.ท.สุธิพงษ์  ขำดี</v>
      </c>
      <c r="D71" s="22">
        <v>1.0</v>
      </c>
      <c r="E71" s="23">
        <f>IFERROR(vlookup('1.7'!D:D,lookup!$A$2:$B$4,2,false),0)</f>
        <v>5</v>
      </c>
      <c r="F71" s="23">
        <f>IFERROR(vlookup('1.7'!E:E,lookup!$A$6:$B$8,2,false),0)</f>
        <v>5</v>
      </c>
      <c r="G71" s="23">
        <f>IFERROR(vlookup('1.7'!F:F,lookup!$A$10:$B$12,2,false),0)</f>
        <v>5</v>
      </c>
      <c r="H71" s="23">
        <f>IFERROR(vlookup('1.7'!G:G,lookup!$A$14:$B$16,2,false),0)</f>
        <v>5</v>
      </c>
      <c r="I71" s="23">
        <f>IFERROR(vlookup('1.7'!H:H,lookup!$A$18:$B$20,2,false),0)</f>
        <v>5</v>
      </c>
      <c r="J71" s="23">
        <f>IFERROR(vlookup('1.7'!I:I,lookup!$A$22:$B$24,2,false),0)</f>
        <v>5</v>
      </c>
      <c r="K71" s="23">
        <f>IFERROR(vlookup('1.7'!J:J,lookup!$A$26:$B$28,2,false),0)</f>
        <v>5</v>
      </c>
      <c r="L71" s="19"/>
      <c r="M71" s="23">
        <v>70.0</v>
      </c>
      <c r="N71" s="24" t="str">
        <f t="shared" si="1"/>
        <v>bnco1070@signalschool.ac.th</v>
      </c>
      <c r="O71" s="25">
        <f t="shared" si="2"/>
        <v>1</v>
      </c>
      <c r="P71" s="19"/>
      <c r="Q71" s="19"/>
      <c r="R71" s="26" t="s">
        <v>284</v>
      </c>
    </row>
    <row r="72">
      <c r="A72" s="27">
        <f>'1.7'!A:A</f>
        <v>46262.80137</v>
      </c>
      <c r="B72" s="19" t="str">
        <f>'1.7'!B:B</f>
        <v>bnco1021@signalschool.ac.th</v>
      </c>
      <c r="C72" s="19" t="str">
        <f>'1.7'!C:C</f>
        <v>พ.ท.สุธิพงษ์ ขำดี</v>
      </c>
      <c r="D72" s="22">
        <v>1.0</v>
      </c>
      <c r="E72" s="23">
        <f>IFERROR(vlookup('1.7'!D:D,lookup!$A$2:$B$4,2,false),0)</f>
        <v>5</v>
      </c>
      <c r="F72" s="23">
        <f>IFERROR(vlookup('1.7'!E:E,lookup!$A$6:$B$8,2,false),0)</f>
        <v>5</v>
      </c>
      <c r="G72" s="23">
        <f>IFERROR(vlookup('1.7'!F:F,lookup!$A$10:$B$12,2,false),0)</f>
        <v>5</v>
      </c>
      <c r="H72" s="23">
        <f>IFERROR(vlookup('1.7'!G:G,lookup!$A$14:$B$16,2,false),0)</f>
        <v>5</v>
      </c>
      <c r="I72" s="23">
        <f>IFERROR(vlookup('1.7'!H:H,lookup!$A$18:$B$20,2,false),0)</f>
        <v>5</v>
      </c>
      <c r="J72" s="23">
        <f>IFERROR(vlookup('1.7'!I:I,lookup!$A$22:$B$24,2,false),0)</f>
        <v>5</v>
      </c>
      <c r="K72" s="23">
        <f>IFERROR(vlookup('1.7'!J:J,lookup!$A$26:$B$28,2,false),0)</f>
        <v>5</v>
      </c>
      <c r="L72" s="19"/>
      <c r="M72" s="23">
        <v>71.0</v>
      </c>
      <c r="N72" s="24" t="str">
        <f t="shared" si="1"/>
        <v>bnco1071@signalschool.ac.th</v>
      </c>
      <c r="O72" s="25">
        <f t="shared" si="2"/>
        <v>1</v>
      </c>
      <c r="P72" s="19"/>
      <c r="Q72" s="19"/>
      <c r="R72" s="26" t="s">
        <v>285</v>
      </c>
    </row>
    <row r="73">
      <c r="A73" s="27">
        <f>'1.7'!A:A</f>
        <v>46264.53345</v>
      </c>
      <c r="B73" s="19" t="str">
        <f>'1.7'!B:B</f>
        <v>bnco1015@signalschool.ac.th</v>
      </c>
      <c r="C73" s="19" t="str">
        <f>'1.7'!C:C</f>
        <v>ร.ท.ศุภชัย ป้องเศร้า , จ.ส.อ.พงศภัค อุ่นอนันต์ ,พ.ท.สุธิพงษ์ ขำดี</v>
      </c>
      <c r="D73" s="22">
        <v>1.0</v>
      </c>
      <c r="E73" s="23">
        <f>IFERROR(vlookup('1.7'!D:D,lookup!$A$2:$B$4,2,false),0)</f>
        <v>5</v>
      </c>
      <c r="F73" s="23">
        <f>IFERROR(vlookup('1.7'!E:E,lookup!$A$6:$B$8,2,false),0)</f>
        <v>5</v>
      </c>
      <c r="G73" s="23">
        <f>IFERROR(vlookup('1.7'!F:F,lookup!$A$10:$B$12,2,false),0)</f>
        <v>5</v>
      </c>
      <c r="H73" s="23">
        <f>IFERROR(vlookup('1.7'!G:G,lookup!$A$14:$B$16,2,false),0)</f>
        <v>5</v>
      </c>
      <c r="I73" s="23">
        <f>IFERROR(vlookup('1.7'!H:H,lookup!$A$18:$B$20,2,false),0)</f>
        <v>5</v>
      </c>
      <c r="J73" s="23">
        <f>IFERROR(vlookup('1.7'!I:I,lookup!$A$22:$B$24,2,false),0)</f>
        <v>5</v>
      </c>
      <c r="K73" s="23">
        <f>IFERROR(vlookup('1.7'!J:J,lookup!$A$26:$B$28,2,false),0)</f>
        <v>5</v>
      </c>
      <c r="L73" s="19"/>
      <c r="M73" s="23">
        <v>72.0</v>
      </c>
      <c r="N73" s="24" t="str">
        <f t="shared" si="1"/>
        <v>bnco1072@signalschool.ac.th</v>
      </c>
      <c r="O73" s="25">
        <f t="shared" si="2"/>
        <v>1</v>
      </c>
      <c r="P73" s="19"/>
      <c r="Q73" s="19"/>
      <c r="R73" s="26" t="s">
        <v>286</v>
      </c>
    </row>
    <row r="74">
      <c r="A74" s="27">
        <f>'1.7'!A:A</f>
        <v>46264.88016</v>
      </c>
      <c r="B74" s="19" t="str">
        <f>'1.7'!B:B</f>
        <v>edu.rad@signalschool.ac.th</v>
      </c>
      <c r="C74" s="19" t="str">
        <f>'1.7'!C:C</f>
        <v>ครูอาจารย์ รร.ส.สส.</v>
      </c>
      <c r="D74" s="22">
        <v>1.0</v>
      </c>
      <c r="E74" s="23">
        <f>IFERROR(vlookup('1.7'!D:D,lookup!$A$2:$B$4,2,false),0)</f>
        <v>5</v>
      </c>
      <c r="F74" s="23">
        <f>IFERROR(vlookup('1.7'!E:E,lookup!$A$6:$B$8,2,false),0)</f>
        <v>5</v>
      </c>
      <c r="G74" s="23">
        <f>IFERROR(vlookup('1.7'!F:F,lookup!$A$10:$B$12,2,false),0)</f>
        <v>5</v>
      </c>
      <c r="H74" s="23">
        <f>IFERROR(vlookup('1.7'!G:G,lookup!$A$14:$B$16,2,false),0)</f>
        <v>5</v>
      </c>
      <c r="I74" s="23">
        <f>IFERROR(vlookup('1.7'!H:H,lookup!$A$18:$B$20,2,false),0)</f>
        <v>5</v>
      </c>
      <c r="J74" s="23">
        <f>IFERROR(vlookup('1.7'!I:I,lookup!$A$22:$B$24,2,false),0)</f>
        <v>5</v>
      </c>
      <c r="K74" s="23">
        <f>IFERROR(vlookup('1.7'!J:J,lookup!$A$26:$B$28,2,false),0)</f>
        <v>5</v>
      </c>
      <c r="L74" s="19"/>
      <c r="M74" s="23">
        <v>73.0</v>
      </c>
      <c r="N74" s="24" t="str">
        <f t="shared" si="1"/>
        <v>bnco1073@signalschool.ac.th</v>
      </c>
      <c r="O74" s="25">
        <f t="shared" si="2"/>
        <v>1</v>
      </c>
      <c r="P74" s="19"/>
      <c r="Q74" s="19"/>
      <c r="R74" s="26" t="s">
        <v>287</v>
      </c>
    </row>
    <row r="75">
      <c r="A75" s="27">
        <f>'1.7'!A:A</f>
        <v>46265.68096</v>
      </c>
      <c r="B75" s="19" t="str">
        <f>'1.7'!B:B</f>
        <v>bnco1046@signalschool.ac.th</v>
      </c>
      <c r="C75" s="19" t="str">
        <f>'1.7'!C:C</f>
        <v>พ.ท.สุธิพงษ์ ขำดี</v>
      </c>
      <c r="D75" s="22">
        <v>1.0</v>
      </c>
      <c r="E75" s="23">
        <f>IFERROR(vlookup('1.7'!D:D,lookup!$A$2:$B$4,2,false),0)</f>
        <v>5</v>
      </c>
      <c r="F75" s="23">
        <f>IFERROR(vlookup('1.7'!E:E,lookup!$A$6:$B$8,2,false),0)</f>
        <v>5</v>
      </c>
      <c r="G75" s="23">
        <f>IFERROR(vlookup('1.7'!F:F,lookup!$A$10:$B$12,2,false),0)</f>
        <v>5</v>
      </c>
      <c r="H75" s="23">
        <f>IFERROR(vlookup('1.7'!G:G,lookup!$A$14:$B$16,2,false),0)</f>
        <v>5</v>
      </c>
      <c r="I75" s="23">
        <f>IFERROR(vlookup('1.7'!H:H,lookup!$A$18:$B$20,2,false),0)</f>
        <v>5</v>
      </c>
      <c r="J75" s="23">
        <f>IFERROR(vlookup('1.7'!I:I,lookup!$A$22:$B$24,2,false),0)</f>
        <v>5</v>
      </c>
      <c r="K75" s="23">
        <f>IFERROR(vlookup('1.7'!J:J,lookup!$A$26:$B$28,2,false),0)</f>
        <v>5</v>
      </c>
      <c r="L75" s="19"/>
      <c r="M75" s="23">
        <v>74.0</v>
      </c>
      <c r="N75" s="24" t="str">
        <f t="shared" si="1"/>
        <v>bnco1074@signalschool.ac.th</v>
      </c>
      <c r="O75" s="25">
        <f t="shared" si="2"/>
        <v>1</v>
      </c>
      <c r="P75" s="19"/>
      <c r="Q75" s="19"/>
      <c r="R75" s="26" t="s">
        <v>288</v>
      </c>
    </row>
    <row r="76">
      <c r="A76" s="27">
        <f>'1.7'!A:A</f>
        <v>46265.70574</v>
      </c>
      <c r="B76" s="19" t="str">
        <f>'1.7'!B:B</f>
        <v>bnco1078@signalschool.ac.th</v>
      </c>
      <c r="C76" s="19" t="str">
        <f>'1.7'!C:C</f>
        <v>พ.ท.สุธิพงษ์ ขำดี</v>
      </c>
      <c r="D76" s="22">
        <v>1.0</v>
      </c>
      <c r="E76" s="23">
        <f>IFERROR(vlookup('1.7'!D:D,lookup!$A$2:$B$4,2,false),0)</f>
        <v>5</v>
      </c>
      <c r="F76" s="23">
        <f>IFERROR(vlookup('1.7'!E:E,lookup!$A$6:$B$8,2,false),0)</f>
        <v>5</v>
      </c>
      <c r="G76" s="23">
        <f>IFERROR(vlookup('1.7'!F:F,lookup!$A$10:$B$12,2,false),0)</f>
        <v>5</v>
      </c>
      <c r="H76" s="23">
        <f>IFERROR(vlookup('1.7'!G:G,lookup!$A$14:$B$16,2,false),0)</f>
        <v>5</v>
      </c>
      <c r="I76" s="23">
        <f>IFERROR(vlookup('1.7'!H:H,lookup!$A$18:$B$20,2,false),0)</f>
        <v>5</v>
      </c>
      <c r="J76" s="23">
        <f>IFERROR(vlookup('1.7'!I:I,lookup!$A$22:$B$24,2,false),0)</f>
        <v>5</v>
      </c>
      <c r="K76" s="23">
        <f>IFERROR(vlookup('1.7'!J:J,lookup!$A$26:$B$28,2,false),0)</f>
        <v>5</v>
      </c>
      <c r="L76" s="19"/>
      <c r="M76" s="23">
        <v>75.0</v>
      </c>
      <c r="N76" s="24" t="str">
        <f t="shared" si="1"/>
        <v>bnco1075@signalschool.ac.th</v>
      </c>
      <c r="O76" s="25">
        <f t="shared" si="2"/>
        <v>1</v>
      </c>
      <c r="P76" s="19"/>
      <c r="Q76" s="19"/>
      <c r="R76" s="26" t="s">
        <v>289</v>
      </c>
    </row>
    <row r="77">
      <c r="A77" s="27">
        <f>'1.7'!A:A</f>
        <v>46267.30859</v>
      </c>
      <c r="B77" s="19" t="str">
        <f>'1.7'!B:B</f>
        <v>bnco1016@signalschool.ac.th</v>
      </c>
      <c r="C77" s="19" t="str">
        <f>'1.7'!C:C</f>
        <v>ร.ท.ศุภชัย ป้องเศร้า</v>
      </c>
      <c r="D77" s="22">
        <v>1.0</v>
      </c>
      <c r="E77" s="23">
        <f>IFERROR(vlookup('1.7'!D:D,lookup!$A$2:$B$4,2,false),0)</f>
        <v>5</v>
      </c>
      <c r="F77" s="23">
        <f>IFERROR(vlookup('1.7'!E:E,lookup!$A$6:$B$8,2,false),0)</f>
        <v>5</v>
      </c>
      <c r="G77" s="23">
        <f>IFERROR(vlookup('1.7'!F:F,lookup!$A$10:$B$12,2,false),0)</f>
        <v>5</v>
      </c>
      <c r="H77" s="23">
        <f>IFERROR(vlookup('1.7'!G:G,lookup!$A$14:$B$16,2,false),0)</f>
        <v>5</v>
      </c>
      <c r="I77" s="23">
        <f>IFERROR(vlookup('1.7'!H:H,lookup!$A$18:$B$20,2,false),0)</f>
        <v>5</v>
      </c>
      <c r="J77" s="23">
        <f>IFERROR(vlookup('1.7'!I:I,lookup!$A$22:$B$24,2,false),0)</f>
        <v>5</v>
      </c>
      <c r="K77" s="23">
        <f>IFERROR(vlookup('1.7'!J:J,lookup!$A$26:$B$28,2,false),0)</f>
        <v>5</v>
      </c>
      <c r="L77" s="19"/>
      <c r="M77" s="23">
        <v>76.0</v>
      </c>
      <c r="N77" s="24" t="str">
        <f t="shared" si="1"/>
        <v>bnco1076@signalschool.ac.th</v>
      </c>
      <c r="O77" s="25">
        <f t="shared" si="2"/>
        <v>1</v>
      </c>
      <c r="P77" s="19"/>
      <c r="Q77" s="19"/>
      <c r="R77" s="26" t="s">
        <v>290</v>
      </c>
    </row>
    <row r="78">
      <c r="A78" s="27">
        <f>'1.7'!A:A</f>
        <v>46267.3095</v>
      </c>
      <c r="B78" s="19" t="str">
        <f>'1.7'!B:B</f>
        <v>bnco1019@signalschool.ac.th</v>
      </c>
      <c r="C78" s="19" t="str">
        <f>'1.7'!C:C</f>
        <v>พ.ท.สุธิพงษ์  ขำดี</v>
      </c>
      <c r="D78" s="22">
        <v>1.0</v>
      </c>
      <c r="E78" s="23">
        <f>IFERROR(vlookup('1.7'!D:D,lookup!$A$2:$B$4,2,false),0)</f>
        <v>5</v>
      </c>
      <c r="F78" s="23">
        <f>IFERROR(vlookup('1.7'!E:E,lookup!$A$6:$B$8,2,false),0)</f>
        <v>5</v>
      </c>
      <c r="G78" s="23">
        <f>IFERROR(vlookup('1.7'!F:F,lookup!$A$10:$B$12,2,false),0)</f>
        <v>5</v>
      </c>
      <c r="H78" s="23">
        <f>IFERROR(vlookup('1.7'!G:G,lookup!$A$14:$B$16,2,false),0)</f>
        <v>5</v>
      </c>
      <c r="I78" s="23">
        <f>IFERROR(vlookup('1.7'!H:H,lookup!$A$18:$B$20,2,false),0)</f>
        <v>5</v>
      </c>
      <c r="J78" s="23">
        <f>IFERROR(vlookup('1.7'!I:I,lookup!$A$22:$B$24,2,false),0)</f>
        <v>5</v>
      </c>
      <c r="K78" s="23">
        <f>IFERROR(vlookup('1.7'!J:J,lookup!$A$26:$B$28,2,false),0)</f>
        <v>5</v>
      </c>
      <c r="L78" s="19"/>
      <c r="M78" s="23">
        <v>77.0</v>
      </c>
      <c r="N78" s="24" t="str">
        <f t="shared" si="1"/>
        <v>bnco1077@signalschool.ac.th</v>
      </c>
      <c r="O78" s="25">
        <f t="shared" si="2"/>
        <v>1</v>
      </c>
      <c r="P78" s="19"/>
      <c r="Q78" s="19"/>
      <c r="R78" s="26" t="s">
        <v>291</v>
      </c>
    </row>
    <row r="79">
      <c r="A79" s="27">
        <f>'1.7'!A:A</f>
        <v>46267.60694</v>
      </c>
      <c r="B79" s="19" t="str">
        <f>'1.7'!B:B</f>
        <v>bnco1011@signalschool.ac.th</v>
      </c>
      <c r="C79" s="19" t="str">
        <f>'1.7'!C:C</f>
        <v>พ.ท.สุทธิพงศ์ ขำดี</v>
      </c>
      <c r="D79" s="22">
        <v>1.0</v>
      </c>
      <c r="E79" s="23">
        <f>IFERROR(vlookup('1.7'!D:D,lookup!$A$2:$B$4,2,false),0)</f>
        <v>5</v>
      </c>
      <c r="F79" s="23">
        <f>IFERROR(vlookup('1.7'!E:E,lookup!$A$6:$B$8,2,false),0)</f>
        <v>5</v>
      </c>
      <c r="G79" s="23">
        <f>IFERROR(vlookup('1.7'!F:F,lookup!$A$10:$B$12,2,false),0)</f>
        <v>5</v>
      </c>
      <c r="H79" s="23">
        <f>IFERROR(vlookup('1.7'!G:G,lookup!$A$14:$B$16,2,false),0)</f>
        <v>5</v>
      </c>
      <c r="I79" s="23">
        <f>IFERROR(vlookup('1.7'!H:H,lookup!$A$18:$B$20,2,false),0)</f>
        <v>5</v>
      </c>
      <c r="J79" s="23">
        <f>IFERROR(vlookup('1.7'!I:I,lookup!$A$22:$B$24,2,false),0)</f>
        <v>5</v>
      </c>
      <c r="K79" s="23">
        <f>IFERROR(vlookup('1.7'!J:J,lookup!$A$26:$B$28,2,false),0)</f>
        <v>5</v>
      </c>
      <c r="L79" s="19"/>
      <c r="M79" s="23">
        <v>78.0</v>
      </c>
      <c r="N79" s="24" t="str">
        <f t="shared" si="1"/>
        <v>bnco1078@signalschool.ac.th</v>
      </c>
      <c r="O79" s="25">
        <f t="shared" si="2"/>
        <v>1</v>
      </c>
      <c r="P79" s="19"/>
      <c r="Q79" s="19"/>
      <c r="R79" s="26" t="s">
        <v>292</v>
      </c>
    </row>
    <row r="80">
      <c r="A80" s="27" t="str">
        <f>'1.7'!A:A</f>
        <v/>
      </c>
      <c r="B80" s="19" t="str">
        <f>'1.7'!B:B</f>
        <v/>
      </c>
      <c r="C80" s="19" t="str">
        <f>'1.7'!C:C</f>
        <v/>
      </c>
      <c r="D80" s="22">
        <v>1.0</v>
      </c>
      <c r="E80" s="23">
        <f>IFERROR(vlookup('1.7'!D:D,lookup!$A$2:$B$4,2,false),0)</f>
        <v>0</v>
      </c>
      <c r="F80" s="23">
        <f>IFERROR(vlookup('1.7'!E:E,lookup!$A$6:$B$8,2,false),0)</f>
        <v>0</v>
      </c>
      <c r="G80" s="23">
        <f>IFERROR(vlookup('1.7'!F:F,lookup!$A$10:$B$12,2,false),0)</f>
        <v>0</v>
      </c>
      <c r="H80" s="23">
        <f>IFERROR(vlookup('1.7'!G:G,lookup!$A$14:$B$16,2,false),0)</f>
        <v>0</v>
      </c>
      <c r="I80" s="23">
        <f>IFERROR(vlookup('1.7'!H:H,lookup!$A$18:$B$20,2,false),0)</f>
        <v>0</v>
      </c>
      <c r="J80" s="23">
        <f>IFERROR(vlookup('1.7'!I:I,lookup!$A$22:$B$24,2,false),0)</f>
        <v>0</v>
      </c>
      <c r="K80" s="23">
        <f>IFERROR(vlookup('1.7'!J:J,lookup!$A$26:$B$28,2,false),0)</f>
        <v>0</v>
      </c>
      <c r="L80" s="19"/>
      <c r="M80" s="23">
        <v>79.0</v>
      </c>
      <c r="N80" s="24" t="str">
        <f t="shared" si="1"/>
        <v>bnco1079@signalschool.ac.th</v>
      </c>
      <c r="O80" s="25">
        <f t="shared" si="2"/>
        <v>1</v>
      </c>
      <c r="P80" s="19"/>
      <c r="Q80" s="19"/>
      <c r="R80" s="26" t="s">
        <v>293</v>
      </c>
    </row>
    <row r="81">
      <c r="A81" s="27" t="str">
        <f>'1.7'!A:A</f>
        <v/>
      </c>
      <c r="B81" s="19" t="str">
        <f>'1.7'!B:B</f>
        <v/>
      </c>
      <c r="C81" s="19" t="str">
        <f>'1.7'!C:C</f>
        <v/>
      </c>
      <c r="D81" s="22">
        <v>1.0</v>
      </c>
      <c r="E81" s="23">
        <f>IFERROR(vlookup('1.7'!D:D,lookup!$A$2:$B$4,2,false),0)</f>
        <v>0</v>
      </c>
      <c r="F81" s="23">
        <f>IFERROR(vlookup('1.7'!E:E,lookup!$A$6:$B$8,2,false),0)</f>
        <v>0</v>
      </c>
      <c r="G81" s="23">
        <f>IFERROR(vlookup('1.7'!F:F,lookup!$A$10:$B$12,2,false),0)</f>
        <v>0</v>
      </c>
      <c r="H81" s="23">
        <f>IFERROR(vlookup('1.7'!G:G,lookup!$A$14:$B$16,2,false),0)</f>
        <v>0</v>
      </c>
      <c r="I81" s="23">
        <f>IFERROR(vlookup('1.7'!H:H,lookup!$A$18:$B$20,2,false),0)</f>
        <v>0</v>
      </c>
      <c r="J81" s="23">
        <f>IFERROR(vlookup('1.7'!I:I,lookup!$A$22:$B$24,2,false),0)</f>
        <v>0</v>
      </c>
      <c r="K81" s="23">
        <f>IFERROR(vlookup('1.7'!J:J,lookup!$A$26:$B$28,2,false),0)</f>
        <v>0</v>
      </c>
      <c r="L81" s="19"/>
      <c r="M81" s="23">
        <v>80.0</v>
      </c>
      <c r="N81" s="24" t="str">
        <f t="shared" si="1"/>
        <v>bnco1080@signalschool.ac.th</v>
      </c>
      <c r="O81" s="25">
        <f t="shared" si="2"/>
        <v>1</v>
      </c>
      <c r="P81" s="19"/>
      <c r="Q81" s="19"/>
      <c r="R81" s="26" t="s">
        <v>294</v>
      </c>
    </row>
    <row r="82">
      <c r="A82" s="27" t="str">
        <f>'1.7'!A:A</f>
        <v/>
      </c>
      <c r="B82" s="19" t="str">
        <f>'1.7'!B:B</f>
        <v/>
      </c>
      <c r="C82" s="19" t="str">
        <f>'1.7'!C:C</f>
        <v/>
      </c>
      <c r="D82" s="29"/>
      <c r="E82" s="30"/>
      <c r="F82" s="30"/>
      <c r="G82" s="30"/>
      <c r="H82" s="30"/>
      <c r="I82" s="30"/>
      <c r="J82" s="30"/>
      <c r="K82" s="30"/>
      <c r="L82" s="19"/>
      <c r="M82" s="19"/>
      <c r="N82" s="19"/>
      <c r="O82" s="19"/>
      <c r="P82" s="19"/>
      <c r="Q82" s="19"/>
      <c r="R82" s="19"/>
    </row>
    <row r="83">
      <c r="A83" s="27" t="str">
        <f>'1.7'!A:A</f>
        <v/>
      </c>
      <c r="B83" s="19" t="str">
        <f>'1.7'!B:B</f>
        <v/>
      </c>
      <c r="C83" s="19" t="str">
        <f>'1.7'!C:C</f>
        <v/>
      </c>
      <c r="D83" s="29"/>
      <c r="E83" s="31"/>
      <c r="F83" s="31"/>
      <c r="G83" s="31"/>
      <c r="H83" s="31"/>
      <c r="I83" s="31"/>
      <c r="J83" s="31"/>
      <c r="K83" s="31"/>
      <c r="L83" s="19"/>
      <c r="M83" s="19"/>
      <c r="N83" s="19"/>
      <c r="O83" s="19"/>
      <c r="P83" s="19"/>
      <c r="Q83" s="19"/>
      <c r="R83" s="19"/>
    </row>
    <row r="84">
      <c r="A84" s="27" t="str">
        <f>'1.7'!A:A</f>
        <v/>
      </c>
      <c r="B84" s="19" t="str">
        <f>'1.7'!B:B</f>
        <v/>
      </c>
      <c r="C84" s="19" t="str">
        <f>'1.7'!C:C</f>
        <v/>
      </c>
      <c r="D84" s="29"/>
      <c r="E84" s="31"/>
      <c r="F84" s="31"/>
      <c r="G84" s="31"/>
      <c r="H84" s="31"/>
      <c r="I84" s="31"/>
      <c r="J84" s="31"/>
      <c r="K84" s="31"/>
      <c r="L84" s="19"/>
      <c r="M84" s="19"/>
      <c r="N84" s="19"/>
      <c r="O84" s="19"/>
      <c r="P84" s="19"/>
      <c r="Q84" s="19"/>
      <c r="R84" s="19"/>
    </row>
    <row r="85">
      <c r="A85" s="27" t="str">
        <f>'1.7'!A:A</f>
        <v/>
      </c>
      <c r="B85" s="19" t="str">
        <f>'1.7'!B:B</f>
        <v/>
      </c>
      <c r="C85" s="19" t="str">
        <f>'1.7'!C:C</f>
        <v/>
      </c>
      <c r="D85" s="29"/>
      <c r="E85" s="31"/>
      <c r="F85" s="31"/>
      <c r="G85" s="31"/>
      <c r="H85" s="31"/>
      <c r="I85" s="31"/>
      <c r="J85" s="31"/>
      <c r="K85" s="31"/>
      <c r="L85" s="19"/>
      <c r="M85" s="19"/>
      <c r="N85" s="19"/>
      <c r="O85" s="19"/>
      <c r="P85" s="19"/>
      <c r="Q85" s="19"/>
      <c r="R85" s="19"/>
    </row>
    <row r="86">
      <c r="A86" s="27" t="str">
        <f>'1.7'!A:A</f>
        <v/>
      </c>
      <c r="B86" s="19" t="str">
        <f>'1.7'!B:B</f>
        <v/>
      </c>
      <c r="C86" s="19" t="str">
        <f>'1.7'!C:C</f>
        <v/>
      </c>
      <c r="D86" s="29"/>
      <c r="E86" s="31"/>
      <c r="F86" s="31"/>
      <c r="G86" s="31"/>
      <c r="H86" s="31"/>
      <c r="I86" s="31"/>
      <c r="J86" s="31"/>
      <c r="K86" s="31"/>
      <c r="L86" s="19"/>
      <c r="M86" s="19"/>
      <c r="N86" s="19"/>
      <c r="O86" s="19"/>
      <c r="P86" s="19"/>
      <c r="Q86" s="19"/>
      <c r="R86" s="19"/>
    </row>
    <row r="87">
      <c r="A87" s="27" t="str">
        <f>'1.7'!A:A</f>
        <v/>
      </c>
      <c r="B87" s="19" t="str">
        <f>'1.7'!B:B</f>
        <v/>
      </c>
      <c r="C87" s="19" t="str">
        <f>'1.7'!C:C</f>
        <v/>
      </c>
      <c r="D87" s="29"/>
      <c r="E87" s="31"/>
      <c r="F87" s="31"/>
      <c r="G87" s="31"/>
      <c r="H87" s="31"/>
      <c r="I87" s="31"/>
      <c r="J87" s="31"/>
      <c r="K87" s="31"/>
      <c r="L87" s="19"/>
      <c r="M87" s="19"/>
      <c r="N87" s="19"/>
      <c r="O87" s="19"/>
      <c r="P87" s="19"/>
      <c r="Q87" s="19"/>
      <c r="R87" s="19"/>
    </row>
    <row r="88">
      <c r="A88" s="27" t="str">
        <f>'1.7'!A:A</f>
        <v/>
      </c>
      <c r="B88" s="19" t="str">
        <f>'1.7'!B:B</f>
        <v/>
      </c>
      <c r="C88" s="19" t="str">
        <f>'1.7'!C:C</f>
        <v/>
      </c>
      <c r="D88" s="29"/>
      <c r="E88" s="31"/>
      <c r="F88" s="31"/>
      <c r="G88" s="31"/>
      <c r="H88" s="31"/>
      <c r="I88" s="31"/>
      <c r="J88" s="31"/>
      <c r="K88" s="31"/>
      <c r="L88" s="19"/>
      <c r="M88" s="19"/>
      <c r="N88" s="19"/>
      <c r="O88" s="19"/>
      <c r="P88" s="19"/>
      <c r="Q88" s="19"/>
      <c r="R88" s="19"/>
    </row>
    <row r="89">
      <c r="A89" s="27" t="str">
        <f>'1.7'!A:A</f>
        <v/>
      </c>
      <c r="B89" s="19" t="str">
        <f>'1.7'!B:B</f>
        <v/>
      </c>
      <c r="C89" s="19" t="str">
        <f>'1.7'!C:C</f>
        <v/>
      </c>
      <c r="D89" s="29"/>
      <c r="E89" s="31"/>
      <c r="F89" s="31"/>
      <c r="G89" s="31"/>
      <c r="H89" s="31"/>
      <c r="I89" s="31"/>
      <c r="J89" s="31"/>
      <c r="K89" s="31"/>
      <c r="L89" s="19"/>
      <c r="M89" s="19"/>
      <c r="N89" s="19"/>
      <c r="O89" s="19"/>
      <c r="P89" s="19"/>
      <c r="Q89" s="19"/>
      <c r="R89" s="19"/>
    </row>
    <row r="90">
      <c r="A90" s="27" t="str">
        <f>'1.7'!A:A</f>
        <v/>
      </c>
      <c r="B90" s="19" t="str">
        <f>'1.7'!B:B</f>
        <v/>
      </c>
      <c r="C90" s="19" t="str">
        <f>'1.7'!C:C</f>
        <v/>
      </c>
      <c r="D90" s="29"/>
      <c r="E90" s="31"/>
      <c r="F90" s="31"/>
      <c r="G90" s="31"/>
      <c r="H90" s="31"/>
      <c r="I90" s="31"/>
      <c r="J90" s="31"/>
      <c r="K90" s="31"/>
      <c r="L90" s="19"/>
      <c r="M90" s="19"/>
      <c r="N90" s="19"/>
      <c r="O90" s="19"/>
      <c r="P90" s="19"/>
      <c r="Q90" s="19"/>
      <c r="R90" s="19"/>
    </row>
    <row r="91">
      <c r="A91" s="27" t="str">
        <f>'1.7'!A:A</f>
        <v/>
      </c>
      <c r="B91" s="19" t="str">
        <f>'1.7'!B:B</f>
        <v/>
      </c>
      <c r="C91" s="19" t="str">
        <f>'1.7'!C:C</f>
        <v/>
      </c>
      <c r="D91" s="29"/>
      <c r="E91" s="31"/>
      <c r="F91" s="31"/>
      <c r="G91" s="31"/>
      <c r="H91" s="31"/>
      <c r="I91" s="31"/>
      <c r="J91" s="31"/>
      <c r="K91" s="31"/>
      <c r="L91" s="19"/>
      <c r="M91" s="19"/>
      <c r="N91" s="19"/>
      <c r="O91" s="19"/>
      <c r="P91" s="19"/>
      <c r="Q91" s="19"/>
      <c r="R91" s="19"/>
    </row>
    <row r="92">
      <c r="A92" s="27" t="str">
        <f>'1.7'!A:A</f>
        <v/>
      </c>
      <c r="B92" s="19" t="str">
        <f>'1.7'!B:B</f>
        <v/>
      </c>
      <c r="C92" s="19" t="str">
        <f>'1.7'!C:C</f>
        <v/>
      </c>
      <c r="D92" s="29"/>
      <c r="E92" s="31"/>
      <c r="F92" s="31"/>
      <c r="G92" s="31"/>
      <c r="H92" s="31"/>
      <c r="I92" s="31"/>
      <c r="J92" s="31"/>
      <c r="K92" s="31"/>
      <c r="L92" s="19"/>
      <c r="M92" s="19"/>
      <c r="N92" s="19"/>
      <c r="O92" s="19"/>
      <c r="P92" s="19"/>
      <c r="Q92" s="19"/>
      <c r="R92" s="19"/>
    </row>
    <row r="93">
      <c r="A93" s="27" t="str">
        <f>'1.7'!A:A</f>
        <v/>
      </c>
      <c r="B93" s="19" t="str">
        <f>'1.7'!B:B</f>
        <v/>
      </c>
      <c r="C93" s="19" t="str">
        <f>'1.7'!C:C</f>
        <v/>
      </c>
      <c r="D93" s="29"/>
      <c r="E93" s="31"/>
      <c r="F93" s="31"/>
      <c r="G93" s="31"/>
      <c r="H93" s="31"/>
      <c r="I93" s="31"/>
      <c r="J93" s="31"/>
      <c r="K93" s="31"/>
      <c r="L93" s="19"/>
      <c r="M93" s="19"/>
      <c r="N93" s="19"/>
      <c r="O93" s="19"/>
      <c r="P93" s="19"/>
      <c r="Q93" s="19"/>
      <c r="R93" s="19"/>
    </row>
    <row r="94">
      <c r="A94" s="27" t="str">
        <f>'1.7'!A:A</f>
        <v/>
      </c>
      <c r="B94" s="19" t="str">
        <f>'1.7'!B:B</f>
        <v/>
      </c>
      <c r="C94" s="19" t="str">
        <f>'1.7'!C:C</f>
        <v/>
      </c>
      <c r="D94" s="29"/>
      <c r="E94" s="31"/>
      <c r="F94" s="31"/>
      <c r="G94" s="31"/>
      <c r="H94" s="31"/>
      <c r="I94" s="31"/>
      <c r="J94" s="31"/>
      <c r="K94" s="31"/>
      <c r="L94" s="19"/>
      <c r="M94" s="19"/>
      <c r="N94" s="19"/>
      <c r="O94" s="19"/>
      <c r="P94" s="19"/>
      <c r="Q94" s="19"/>
      <c r="R94" s="19"/>
    </row>
    <row r="95">
      <c r="A95" s="27" t="str">
        <f>'1.7'!A:A</f>
        <v/>
      </c>
      <c r="B95" s="19" t="str">
        <f>'1.7'!B:B</f>
        <v/>
      </c>
      <c r="C95" s="19" t="str">
        <f>'1.7'!C:C</f>
        <v/>
      </c>
      <c r="D95" s="29"/>
      <c r="E95" s="31"/>
      <c r="F95" s="31"/>
      <c r="G95" s="31"/>
      <c r="H95" s="31"/>
      <c r="I95" s="31"/>
      <c r="J95" s="31"/>
      <c r="K95" s="31"/>
      <c r="L95" s="19"/>
      <c r="M95" s="19"/>
      <c r="N95" s="19"/>
      <c r="O95" s="19"/>
      <c r="P95" s="19"/>
      <c r="Q95" s="19"/>
      <c r="R95" s="19"/>
    </row>
    <row r="96">
      <c r="A96" s="27" t="str">
        <f>'1.7'!A:A</f>
        <v/>
      </c>
      <c r="B96" s="19" t="str">
        <f>'1.7'!B:B</f>
        <v/>
      </c>
      <c r="C96" s="19" t="str">
        <f>'1.7'!C:C</f>
        <v/>
      </c>
      <c r="D96" s="29"/>
      <c r="E96" s="31"/>
      <c r="F96" s="31"/>
      <c r="G96" s="31"/>
      <c r="H96" s="31"/>
      <c r="I96" s="31"/>
      <c r="J96" s="31"/>
      <c r="K96" s="31"/>
      <c r="L96" s="19"/>
      <c r="M96" s="19"/>
      <c r="N96" s="19"/>
      <c r="O96" s="19"/>
      <c r="P96" s="19"/>
      <c r="Q96" s="19"/>
      <c r="R96" s="19"/>
    </row>
    <row r="97">
      <c r="A97" s="27" t="str">
        <f>'1.7'!A:A</f>
        <v/>
      </c>
      <c r="B97" s="19" t="str">
        <f>'1.7'!B:B</f>
        <v/>
      </c>
      <c r="C97" s="19" t="str">
        <f>'1.7'!C:C</f>
        <v/>
      </c>
      <c r="D97" s="29"/>
      <c r="E97" s="31"/>
      <c r="F97" s="31"/>
      <c r="G97" s="31"/>
      <c r="H97" s="31"/>
      <c r="I97" s="31"/>
      <c r="J97" s="31"/>
      <c r="K97" s="31"/>
      <c r="L97" s="19"/>
      <c r="M97" s="19"/>
      <c r="N97" s="19"/>
      <c r="O97" s="19"/>
      <c r="P97" s="19"/>
      <c r="Q97" s="19"/>
      <c r="R97" s="19"/>
    </row>
    <row r="98">
      <c r="A98" s="27" t="str">
        <f>'1.7'!A:A</f>
        <v/>
      </c>
      <c r="B98" s="19" t="str">
        <f>'1.7'!B:B</f>
        <v/>
      </c>
      <c r="C98" s="19" t="str">
        <f>'1.7'!C:C</f>
        <v/>
      </c>
      <c r="D98" s="29"/>
      <c r="E98" s="31"/>
      <c r="F98" s="31"/>
      <c r="G98" s="31"/>
      <c r="H98" s="31"/>
      <c r="I98" s="31"/>
      <c r="J98" s="31"/>
      <c r="K98" s="31"/>
      <c r="L98" s="19"/>
      <c r="M98" s="19"/>
      <c r="N98" s="19"/>
      <c r="O98" s="19"/>
      <c r="P98" s="19"/>
      <c r="Q98" s="19"/>
      <c r="R98" s="19"/>
    </row>
    <row r="99">
      <c r="A99" s="27" t="str">
        <f>'1.7'!A:A</f>
        <v/>
      </c>
      <c r="B99" s="19" t="str">
        <f>'1.7'!B:B</f>
        <v/>
      </c>
      <c r="C99" s="19" t="str">
        <f>'1.7'!C:C</f>
        <v/>
      </c>
      <c r="D99" s="29"/>
      <c r="E99" s="31"/>
      <c r="F99" s="31"/>
      <c r="G99" s="31"/>
      <c r="H99" s="31"/>
      <c r="I99" s="31"/>
      <c r="J99" s="31"/>
      <c r="K99" s="31"/>
      <c r="L99" s="19"/>
      <c r="M99" s="19"/>
      <c r="N99" s="19"/>
      <c r="O99" s="19"/>
      <c r="P99" s="19"/>
      <c r="Q99" s="19"/>
      <c r="R99" s="19"/>
    </row>
    <row r="100">
      <c r="A100" s="27" t="str">
        <f>'1.7'!A:A</f>
        <v/>
      </c>
      <c r="B100" s="19" t="str">
        <f>'1.7'!B:B</f>
        <v/>
      </c>
      <c r="C100" s="19" t="str">
        <f>'1.7'!C:C</f>
        <v/>
      </c>
      <c r="D100" s="29"/>
      <c r="E100" s="31"/>
      <c r="F100" s="31"/>
      <c r="G100" s="31"/>
      <c r="H100" s="31"/>
      <c r="I100" s="31"/>
      <c r="J100" s="31"/>
      <c r="K100" s="31"/>
      <c r="L100" s="19"/>
      <c r="M100" s="19"/>
      <c r="N100" s="19"/>
      <c r="O100" s="19"/>
      <c r="P100" s="19"/>
      <c r="Q100" s="19"/>
      <c r="R100" s="19"/>
    </row>
    <row r="101">
      <c r="A101" s="27" t="str">
        <f>'1.7'!A:A</f>
        <v/>
      </c>
      <c r="B101" s="19" t="str">
        <f>'1.7'!B:B</f>
        <v/>
      </c>
      <c r="C101" s="19" t="str">
        <f>'1.7'!C:C</f>
        <v/>
      </c>
      <c r="D101" s="29"/>
      <c r="E101" s="31"/>
      <c r="F101" s="31"/>
      <c r="G101" s="31"/>
      <c r="H101" s="31"/>
      <c r="I101" s="31"/>
      <c r="J101" s="31"/>
      <c r="K101" s="31"/>
      <c r="L101" s="19"/>
      <c r="M101" s="19"/>
      <c r="N101" s="17" t="s">
        <v>295</v>
      </c>
      <c r="O101" s="25">
        <f>SUM(O2:O81)</f>
        <v>76</v>
      </c>
      <c r="P101" s="19"/>
      <c r="Q101" s="19"/>
      <c r="R101" s="19"/>
    </row>
    <row r="102">
      <c r="A102" s="27"/>
      <c r="B102" s="19"/>
      <c r="C102" s="19"/>
      <c r="D102" s="19"/>
      <c r="E102" s="32">
        <f t="shared" ref="E102:K102" si="3">AVERAGE(E2:E81)</f>
        <v>4.8</v>
      </c>
      <c r="F102" s="32">
        <f t="shared" si="3"/>
        <v>4.875</v>
      </c>
      <c r="G102" s="32">
        <f t="shared" si="3"/>
        <v>4.825</v>
      </c>
      <c r="H102" s="32">
        <f t="shared" si="3"/>
        <v>4.8</v>
      </c>
      <c r="I102" s="32">
        <f t="shared" si="3"/>
        <v>4.85</v>
      </c>
      <c r="J102" s="32">
        <f t="shared" si="3"/>
        <v>4.75</v>
      </c>
      <c r="K102" s="32">
        <f t="shared" si="3"/>
        <v>4.7</v>
      </c>
      <c r="L102" s="33">
        <f>AVERAGE(E102:K102)</f>
        <v>4.8</v>
      </c>
      <c r="M102" s="19"/>
      <c r="N102" s="17" t="s">
        <v>296</v>
      </c>
      <c r="O102" s="25">
        <f>(O101*100)/80</f>
        <v>95</v>
      </c>
      <c r="P102" s="19"/>
      <c r="Q102" s="19"/>
      <c r="R102" s="19"/>
    </row>
    <row r="103">
      <c r="A103" s="8"/>
      <c r="C103" s="1"/>
    </row>
    <row r="104">
      <c r="A104" s="8"/>
      <c r="C104" s="1"/>
    </row>
    <row r="105">
      <c r="A105" s="8"/>
      <c r="C105" s="1"/>
    </row>
    <row r="106">
      <c r="A106" s="8"/>
      <c r="C106" s="1"/>
    </row>
    <row r="107">
      <c r="A107" s="8"/>
      <c r="C107" s="1"/>
    </row>
    <row r="108">
      <c r="A108" s="8"/>
      <c r="C108" s="1"/>
    </row>
    <row r="109">
      <c r="A109" s="8"/>
      <c r="C109" s="1"/>
    </row>
    <row r="110">
      <c r="A110" s="8"/>
      <c r="C110" s="1"/>
    </row>
    <row r="111">
      <c r="A111" s="8"/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</sheetData>
  <mergeCells count="1">
    <mergeCell ref="M1:O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5">
        <v>46262.41584674768</v>
      </c>
      <c r="B2" s="6" t="s">
        <v>11</v>
      </c>
      <c r="C2" s="6" t="s">
        <v>396</v>
      </c>
      <c r="D2" s="6" t="s">
        <v>13</v>
      </c>
      <c r="E2" s="6" t="s">
        <v>14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</row>
    <row r="3">
      <c r="A3" s="5">
        <v>46262.41673430556</v>
      </c>
      <c r="B3" s="6" t="s">
        <v>24</v>
      </c>
      <c r="C3" s="6" t="s">
        <v>31</v>
      </c>
      <c r="D3" s="6" t="s">
        <v>13</v>
      </c>
      <c r="E3" s="6" t="s">
        <v>14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</row>
    <row r="4">
      <c r="A4" s="5">
        <v>46262.42228597222</v>
      </c>
      <c r="B4" s="6" t="s">
        <v>25</v>
      </c>
      <c r="C4" s="6" t="s">
        <v>397</v>
      </c>
      <c r="D4" s="6" t="s">
        <v>13</v>
      </c>
      <c r="E4" s="6" t="s">
        <v>14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</row>
    <row r="5">
      <c r="A5" s="5">
        <v>46262.4293271875</v>
      </c>
      <c r="B5" s="6" t="s">
        <v>30</v>
      </c>
      <c r="C5" s="6" t="s">
        <v>398</v>
      </c>
      <c r="D5" s="6" t="s">
        <v>13</v>
      </c>
      <c r="E5" s="6" t="s">
        <v>14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</row>
    <row r="6">
      <c r="A6" s="5">
        <v>46262.43103548611</v>
      </c>
      <c r="B6" s="6" t="s">
        <v>28</v>
      </c>
      <c r="C6" s="6" t="s">
        <v>399</v>
      </c>
      <c r="D6" s="6" t="s">
        <v>13</v>
      </c>
      <c r="E6" s="6" t="s">
        <v>14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20</v>
      </c>
    </row>
    <row r="7">
      <c r="A7" s="5">
        <v>46262.43416943287</v>
      </c>
      <c r="B7" s="6" t="s">
        <v>21</v>
      </c>
      <c r="C7" s="6" t="s">
        <v>400</v>
      </c>
      <c r="D7" s="6" t="s">
        <v>13</v>
      </c>
      <c r="E7" s="6" t="s">
        <v>14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</row>
    <row r="8">
      <c r="A8" s="5">
        <v>46262.43749920139</v>
      </c>
      <c r="B8" s="6" t="s">
        <v>33</v>
      </c>
      <c r="C8" s="6" t="s">
        <v>401</v>
      </c>
      <c r="D8" s="6" t="s">
        <v>13</v>
      </c>
      <c r="E8" s="6" t="s">
        <v>14</v>
      </c>
      <c r="F8" s="6" t="s">
        <v>16</v>
      </c>
      <c r="G8" s="6" t="s">
        <v>17</v>
      </c>
      <c r="H8" s="6" t="s">
        <v>18</v>
      </c>
      <c r="I8" s="6" t="s">
        <v>19</v>
      </c>
      <c r="J8" s="6" t="s">
        <v>20</v>
      </c>
      <c r="K8" s="6" t="s">
        <v>402</v>
      </c>
    </row>
    <row r="9">
      <c r="A9" s="5">
        <v>46262.443016770834</v>
      </c>
      <c r="B9" s="6" t="s">
        <v>37</v>
      </c>
      <c r="C9" s="6" t="s">
        <v>401</v>
      </c>
      <c r="D9" s="6" t="s">
        <v>13</v>
      </c>
      <c r="E9" s="6" t="s">
        <v>14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>
      <c r="A10" s="5">
        <v>46262.44720725695</v>
      </c>
      <c r="B10" s="6" t="s">
        <v>46</v>
      </c>
      <c r="C10" s="6" t="s">
        <v>401</v>
      </c>
      <c r="D10" s="6" t="s">
        <v>13</v>
      </c>
      <c r="E10" s="6" t="s">
        <v>14</v>
      </c>
      <c r="F10" s="6" t="s">
        <v>16</v>
      </c>
      <c r="G10" s="6" t="s">
        <v>17</v>
      </c>
      <c r="H10" s="6" t="s">
        <v>18</v>
      </c>
      <c r="I10" s="6" t="s">
        <v>19</v>
      </c>
      <c r="J10" s="6" t="s">
        <v>20</v>
      </c>
      <c r="K10" s="6" t="s">
        <v>48</v>
      </c>
    </row>
    <row r="11">
      <c r="A11" s="5">
        <v>46262.44723675926</v>
      </c>
      <c r="B11" s="6" t="s">
        <v>40</v>
      </c>
      <c r="C11" s="6" t="s">
        <v>401</v>
      </c>
      <c r="D11" s="6" t="s">
        <v>13</v>
      </c>
      <c r="E11" s="6" t="s">
        <v>14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20</v>
      </c>
    </row>
    <row r="12">
      <c r="A12" s="5">
        <v>46262.4472637037</v>
      </c>
      <c r="B12" s="6" t="s">
        <v>42</v>
      </c>
      <c r="C12" s="6" t="s">
        <v>401</v>
      </c>
      <c r="D12" s="6" t="s">
        <v>13</v>
      </c>
      <c r="E12" s="6" t="s">
        <v>14</v>
      </c>
      <c r="F12" s="6" t="s">
        <v>16</v>
      </c>
      <c r="G12" s="6" t="s">
        <v>17</v>
      </c>
      <c r="H12" s="6" t="s">
        <v>18</v>
      </c>
      <c r="I12" s="6" t="s">
        <v>19</v>
      </c>
      <c r="J12" s="6" t="s">
        <v>20</v>
      </c>
    </row>
    <row r="13">
      <c r="A13" s="5">
        <v>46262.44769122685</v>
      </c>
      <c r="B13" s="6" t="s">
        <v>44</v>
      </c>
      <c r="C13" s="6" t="s">
        <v>398</v>
      </c>
      <c r="D13" s="6" t="s">
        <v>13</v>
      </c>
      <c r="E13" s="6" t="s">
        <v>14</v>
      </c>
      <c r="F13" s="6" t="s">
        <v>16</v>
      </c>
      <c r="G13" s="6" t="s">
        <v>17</v>
      </c>
      <c r="H13" s="6" t="s">
        <v>18</v>
      </c>
      <c r="I13" s="6" t="s">
        <v>19</v>
      </c>
      <c r="J13" s="6" t="s">
        <v>20</v>
      </c>
    </row>
    <row r="14">
      <c r="A14" s="5">
        <v>46262.453094247685</v>
      </c>
      <c r="B14" s="6" t="s">
        <v>49</v>
      </c>
      <c r="C14" s="6" t="s">
        <v>396</v>
      </c>
      <c r="D14" s="6" t="s">
        <v>13</v>
      </c>
      <c r="E14" s="6" t="s">
        <v>14</v>
      </c>
      <c r="F14" s="6" t="s">
        <v>16</v>
      </c>
      <c r="G14" s="6" t="s">
        <v>17</v>
      </c>
      <c r="H14" s="6" t="s">
        <v>18</v>
      </c>
      <c r="I14" s="6" t="s">
        <v>19</v>
      </c>
      <c r="J14" s="6" t="s">
        <v>20</v>
      </c>
      <c r="K14" s="6" t="s">
        <v>403</v>
      </c>
    </row>
    <row r="15">
      <c r="A15" s="5">
        <v>46262.45327913194</v>
      </c>
      <c r="B15" s="6" t="s">
        <v>51</v>
      </c>
      <c r="C15" s="6" t="s">
        <v>404</v>
      </c>
      <c r="D15" s="6" t="s">
        <v>13</v>
      </c>
      <c r="E15" s="6" t="s">
        <v>14</v>
      </c>
      <c r="F15" s="6" t="s">
        <v>16</v>
      </c>
      <c r="G15" s="6" t="s">
        <v>17</v>
      </c>
      <c r="H15" s="6" t="s">
        <v>18</v>
      </c>
      <c r="I15" s="6" t="s">
        <v>19</v>
      </c>
      <c r="J15" s="6" t="s">
        <v>20</v>
      </c>
    </row>
    <row r="16">
      <c r="A16" s="5">
        <v>46262.45760854166</v>
      </c>
      <c r="B16" s="6" t="s">
        <v>52</v>
      </c>
      <c r="C16" s="6" t="s">
        <v>405</v>
      </c>
      <c r="D16" s="6" t="s">
        <v>13</v>
      </c>
      <c r="E16" s="6" t="s">
        <v>14</v>
      </c>
      <c r="F16" s="6" t="s">
        <v>16</v>
      </c>
      <c r="G16" s="6" t="s">
        <v>17</v>
      </c>
      <c r="H16" s="6" t="s">
        <v>87</v>
      </c>
      <c r="I16" s="6" t="s">
        <v>19</v>
      </c>
      <c r="J16" s="6" t="s">
        <v>56</v>
      </c>
    </row>
    <row r="17">
      <c r="A17" s="5">
        <v>46262.461793043985</v>
      </c>
      <c r="B17" s="6" t="s">
        <v>57</v>
      </c>
      <c r="C17" s="6" t="s">
        <v>406</v>
      </c>
      <c r="D17" s="6" t="s">
        <v>13</v>
      </c>
      <c r="E17" s="6" t="s">
        <v>14</v>
      </c>
      <c r="F17" s="6" t="s">
        <v>16</v>
      </c>
      <c r="G17" s="6" t="s">
        <v>17</v>
      </c>
      <c r="H17" s="6" t="s">
        <v>18</v>
      </c>
      <c r="I17" s="6" t="s">
        <v>19</v>
      </c>
      <c r="J17" s="6" t="s">
        <v>20</v>
      </c>
    </row>
    <row r="18">
      <c r="A18" s="5">
        <v>46262.46368717593</v>
      </c>
      <c r="B18" s="6" t="s">
        <v>59</v>
      </c>
      <c r="C18" s="6" t="s">
        <v>407</v>
      </c>
      <c r="D18" s="6" t="s">
        <v>13</v>
      </c>
      <c r="E18" s="6" t="s">
        <v>14</v>
      </c>
      <c r="F18" s="6" t="s">
        <v>16</v>
      </c>
      <c r="G18" s="6" t="s">
        <v>17</v>
      </c>
      <c r="H18" s="6" t="s">
        <v>18</v>
      </c>
      <c r="I18" s="6" t="s">
        <v>19</v>
      </c>
      <c r="J18" s="6" t="s">
        <v>20</v>
      </c>
    </row>
    <row r="19">
      <c r="A19" s="5">
        <v>46262.46764148148</v>
      </c>
      <c r="B19" s="6" t="s">
        <v>60</v>
      </c>
      <c r="C19" s="6" t="s">
        <v>407</v>
      </c>
      <c r="D19" s="6" t="s">
        <v>13</v>
      </c>
      <c r="E19" s="6" t="s">
        <v>14</v>
      </c>
      <c r="F19" s="6" t="s">
        <v>16</v>
      </c>
      <c r="G19" s="6" t="s">
        <v>17</v>
      </c>
      <c r="H19" s="6" t="s">
        <v>18</v>
      </c>
      <c r="I19" s="6" t="s">
        <v>19</v>
      </c>
      <c r="J19" s="6" t="s">
        <v>20</v>
      </c>
    </row>
    <row r="20">
      <c r="A20" s="5">
        <v>46262.48347171296</v>
      </c>
      <c r="B20" s="6" t="s">
        <v>61</v>
      </c>
      <c r="C20" s="6" t="s">
        <v>408</v>
      </c>
      <c r="D20" s="6" t="s">
        <v>13</v>
      </c>
      <c r="E20" s="6" t="s">
        <v>14</v>
      </c>
      <c r="F20" s="6" t="s">
        <v>16</v>
      </c>
      <c r="G20" s="6" t="s">
        <v>17</v>
      </c>
      <c r="H20" s="6" t="s">
        <v>18</v>
      </c>
      <c r="I20" s="6" t="s">
        <v>19</v>
      </c>
      <c r="J20" s="6" t="s">
        <v>20</v>
      </c>
    </row>
    <row r="21">
      <c r="A21" s="5">
        <v>46262.48520925926</v>
      </c>
      <c r="B21" s="6" t="s">
        <v>63</v>
      </c>
      <c r="C21" s="6" t="s">
        <v>396</v>
      </c>
      <c r="D21" s="6" t="s">
        <v>13</v>
      </c>
      <c r="E21" s="6" t="s">
        <v>14</v>
      </c>
      <c r="F21" s="6" t="s">
        <v>16</v>
      </c>
      <c r="G21" s="6" t="s">
        <v>17</v>
      </c>
      <c r="H21" s="6" t="s">
        <v>18</v>
      </c>
      <c r="I21" s="6" t="s">
        <v>19</v>
      </c>
      <c r="J21" s="6" t="s">
        <v>20</v>
      </c>
      <c r="K21" s="6" t="s">
        <v>64</v>
      </c>
    </row>
    <row r="22">
      <c r="A22" s="5">
        <v>46262.48890597222</v>
      </c>
      <c r="B22" s="6" t="s">
        <v>66</v>
      </c>
      <c r="C22" s="6" t="s">
        <v>401</v>
      </c>
      <c r="D22" s="6" t="s">
        <v>13</v>
      </c>
      <c r="E22" s="6" t="s">
        <v>14</v>
      </c>
      <c r="F22" s="6" t="s">
        <v>16</v>
      </c>
      <c r="G22" s="6" t="s">
        <v>17</v>
      </c>
      <c r="H22" s="6" t="s">
        <v>18</v>
      </c>
      <c r="I22" s="6" t="s">
        <v>19</v>
      </c>
      <c r="J22" s="6" t="s">
        <v>20</v>
      </c>
      <c r="K22" s="6" t="s">
        <v>68</v>
      </c>
    </row>
    <row r="23">
      <c r="A23" s="5">
        <v>46262.506065486115</v>
      </c>
      <c r="B23" s="6" t="s">
        <v>71</v>
      </c>
      <c r="C23" s="6" t="s">
        <v>409</v>
      </c>
      <c r="D23" s="6" t="s">
        <v>13</v>
      </c>
      <c r="E23" s="6" t="s">
        <v>14</v>
      </c>
      <c r="F23" s="6" t="s">
        <v>16</v>
      </c>
      <c r="G23" s="6" t="s">
        <v>17</v>
      </c>
      <c r="H23" s="6" t="s">
        <v>18</v>
      </c>
      <c r="I23" s="6" t="s">
        <v>19</v>
      </c>
      <c r="J23" s="6" t="s">
        <v>20</v>
      </c>
    </row>
    <row r="24">
      <c r="A24" s="5">
        <v>46262.52008796296</v>
      </c>
      <c r="B24" s="6" t="s">
        <v>69</v>
      </c>
      <c r="C24" s="6" t="s">
        <v>410</v>
      </c>
      <c r="D24" s="6" t="s">
        <v>13</v>
      </c>
      <c r="E24" s="6" t="s">
        <v>14</v>
      </c>
      <c r="F24" s="6" t="s">
        <v>16</v>
      </c>
      <c r="G24" s="6" t="s">
        <v>17</v>
      </c>
      <c r="H24" s="6" t="s">
        <v>18</v>
      </c>
      <c r="I24" s="6" t="s">
        <v>19</v>
      </c>
      <c r="J24" s="6" t="s">
        <v>20</v>
      </c>
    </row>
    <row r="25">
      <c r="A25" s="5">
        <v>46262.53216241898</v>
      </c>
      <c r="B25" s="6" t="s">
        <v>74</v>
      </c>
      <c r="C25" s="6" t="s">
        <v>407</v>
      </c>
      <c r="D25" s="6" t="s">
        <v>13</v>
      </c>
      <c r="E25" s="6" t="s">
        <v>14</v>
      </c>
      <c r="F25" s="6" t="s">
        <v>16</v>
      </c>
      <c r="G25" s="6" t="s">
        <v>17</v>
      </c>
      <c r="H25" s="6" t="s">
        <v>18</v>
      </c>
      <c r="I25" s="6" t="s">
        <v>19</v>
      </c>
      <c r="J25" s="6" t="s">
        <v>20</v>
      </c>
    </row>
    <row r="26">
      <c r="A26" s="5">
        <v>46262.54044957176</v>
      </c>
      <c r="B26" s="6" t="s">
        <v>72</v>
      </c>
      <c r="C26" s="6" t="s">
        <v>411</v>
      </c>
      <c r="D26" s="6" t="s">
        <v>13</v>
      </c>
      <c r="E26" s="6" t="s">
        <v>14</v>
      </c>
      <c r="F26" s="6" t="s">
        <v>16</v>
      </c>
      <c r="G26" s="6" t="s">
        <v>17</v>
      </c>
      <c r="H26" s="6" t="s">
        <v>18</v>
      </c>
      <c r="I26" s="6" t="s">
        <v>19</v>
      </c>
      <c r="J26" s="6" t="s">
        <v>20</v>
      </c>
    </row>
    <row r="27">
      <c r="A27" s="5">
        <v>46262.55560248843</v>
      </c>
      <c r="B27" s="6" t="s">
        <v>77</v>
      </c>
      <c r="C27" s="6" t="s">
        <v>412</v>
      </c>
      <c r="D27" s="6" t="s">
        <v>13</v>
      </c>
      <c r="E27" s="6" t="s">
        <v>14</v>
      </c>
      <c r="F27" s="6" t="s">
        <v>16</v>
      </c>
      <c r="G27" s="6" t="s">
        <v>17</v>
      </c>
      <c r="H27" s="6" t="s">
        <v>18</v>
      </c>
      <c r="I27" s="6" t="s">
        <v>19</v>
      </c>
      <c r="J27" s="6" t="s">
        <v>20</v>
      </c>
    </row>
    <row r="28">
      <c r="A28" s="5">
        <v>46262.55623583333</v>
      </c>
      <c r="B28" s="6" t="s">
        <v>75</v>
      </c>
      <c r="C28" s="6" t="s">
        <v>413</v>
      </c>
      <c r="D28" s="6" t="s">
        <v>13</v>
      </c>
      <c r="E28" s="6" t="s">
        <v>14</v>
      </c>
      <c r="F28" s="6" t="s">
        <v>16</v>
      </c>
      <c r="G28" s="6" t="s">
        <v>17</v>
      </c>
      <c r="H28" s="6" t="s">
        <v>18</v>
      </c>
      <c r="I28" s="6" t="s">
        <v>19</v>
      </c>
      <c r="J28" s="6" t="s">
        <v>20</v>
      </c>
    </row>
    <row r="29">
      <c r="A29" s="5">
        <v>46262.56649758102</v>
      </c>
      <c r="B29" s="6" t="s">
        <v>79</v>
      </c>
      <c r="C29" s="6" t="s">
        <v>414</v>
      </c>
      <c r="D29" s="6" t="s">
        <v>13</v>
      </c>
      <c r="E29" s="6" t="s">
        <v>14</v>
      </c>
      <c r="F29" s="6" t="s">
        <v>16</v>
      </c>
      <c r="G29" s="6" t="s">
        <v>17</v>
      </c>
      <c r="H29" s="6" t="s">
        <v>18</v>
      </c>
      <c r="I29" s="6" t="s">
        <v>19</v>
      </c>
      <c r="J29" s="6" t="s">
        <v>20</v>
      </c>
    </row>
    <row r="30">
      <c r="A30" s="5">
        <v>46262.56679168982</v>
      </c>
      <c r="B30" s="6" t="s">
        <v>78</v>
      </c>
      <c r="C30" s="6" t="s">
        <v>411</v>
      </c>
      <c r="D30" s="6" t="s">
        <v>13</v>
      </c>
      <c r="E30" s="6" t="s">
        <v>14</v>
      </c>
      <c r="F30" s="6" t="s">
        <v>16</v>
      </c>
      <c r="G30" s="6" t="s">
        <v>17</v>
      </c>
      <c r="H30" s="6" t="s">
        <v>18</v>
      </c>
      <c r="I30" s="6" t="s">
        <v>19</v>
      </c>
      <c r="J30" s="6" t="s">
        <v>20</v>
      </c>
    </row>
    <row r="31">
      <c r="A31" s="5">
        <v>46262.57403366898</v>
      </c>
      <c r="B31" s="6" t="s">
        <v>80</v>
      </c>
      <c r="C31" s="6" t="s">
        <v>401</v>
      </c>
      <c r="D31" s="6" t="s">
        <v>13</v>
      </c>
      <c r="E31" s="6" t="s">
        <v>14</v>
      </c>
      <c r="F31" s="6" t="s">
        <v>16</v>
      </c>
      <c r="G31" s="6" t="s">
        <v>17</v>
      </c>
      <c r="H31" s="6" t="s">
        <v>18</v>
      </c>
      <c r="I31" s="6" t="s">
        <v>19</v>
      </c>
      <c r="J31" s="6" t="s">
        <v>20</v>
      </c>
      <c r="K31" s="6" t="s">
        <v>81</v>
      </c>
    </row>
    <row r="32">
      <c r="A32" s="5">
        <v>46262.58585175926</v>
      </c>
      <c r="B32" s="6" t="s">
        <v>82</v>
      </c>
      <c r="C32" s="6" t="s">
        <v>401</v>
      </c>
      <c r="D32" s="6" t="s">
        <v>13</v>
      </c>
      <c r="E32" s="6" t="s">
        <v>14</v>
      </c>
      <c r="F32" s="6" t="s">
        <v>16</v>
      </c>
      <c r="G32" s="6" t="s">
        <v>17</v>
      </c>
      <c r="H32" s="6" t="s">
        <v>18</v>
      </c>
      <c r="I32" s="6" t="s">
        <v>19</v>
      </c>
      <c r="J32" s="6" t="s">
        <v>20</v>
      </c>
    </row>
    <row r="33">
      <c r="A33" s="5">
        <v>46262.586042546296</v>
      </c>
      <c r="B33" s="6" t="s">
        <v>83</v>
      </c>
      <c r="C33" s="6" t="s">
        <v>401</v>
      </c>
      <c r="D33" s="6" t="s">
        <v>13</v>
      </c>
      <c r="E33" s="6" t="s">
        <v>14</v>
      </c>
      <c r="F33" s="6" t="s">
        <v>16</v>
      </c>
      <c r="G33" s="6" t="s">
        <v>17</v>
      </c>
      <c r="H33" s="6" t="s">
        <v>18</v>
      </c>
      <c r="I33" s="6" t="s">
        <v>19</v>
      </c>
      <c r="J33" s="6" t="s">
        <v>20</v>
      </c>
    </row>
    <row r="34">
      <c r="A34" s="5">
        <v>46262.5880928125</v>
      </c>
      <c r="B34" s="6" t="s">
        <v>85</v>
      </c>
      <c r="C34" s="6" t="s">
        <v>401</v>
      </c>
      <c r="D34" s="6" t="s">
        <v>13</v>
      </c>
      <c r="E34" s="6" t="s">
        <v>14</v>
      </c>
      <c r="F34" s="6" t="s">
        <v>16</v>
      </c>
      <c r="G34" s="6" t="s">
        <v>17</v>
      </c>
      <c r="H34" s="6" t="s">
        <v>18</v>
      </c>
      <c r="I34" s="6" t="s">
        <v>55</v>
      </c>
      <c r="J34" s="6" t="s">
        <v>20</v>
      </c>
    </row>
    <row r="35">
      <c r="A35" s="5">
        <v>46262.598160787034</v>
      </c>
      <c r="B35" s="6" t="s">
        <v>86</v>
      </c>
      <c r="C35" s="6" t="s">
        <v>407</v>
      </c>
      <c r="D35" s="6" t="s">
        <v>13</v>
      </c>
      <c r="E35" s="6" t="s">
        <v>14</v>
      </c>
      <c r="F35" s="6" t="s">
        <v>16</v>
      </c>
      <c r="G35" s="6" t="s">
        <v>17</v>
      </c>
      <c r="H35" s="6" t="s">
        <v>18</v>
      </c>
      <c r="I35" s="6" t="s">
        <v>19</v>
      </c>
      <c r="J35" s="6" t="s">
        <v>20</v>
      </c>
    </row>
    <row r="36">
      <c r="A36" s="5">
        <v>46262.61436043981</v>
      </c>
      <c r="B36" s="6" t="s">
        <v>88</v>
      </c>
      <c r="C36" s="6" t="s">
        <v>415</v>
      </c>
      <c r="D36" s="6" t="s">
        <v>13</v>
      </c>
      <c r="E36" s="6" t="s">
        <v>14</v>
      </c>
      <c r="F36" s="6" t="s">
        <v>16</v>
      </c>
      <c r="G36" s="6" t="s">
        <v>17</v>
      </c>
      <c r="H36" s="6" t="s">
        <v>18</v>
      </c>
      <c r="I36" s="6" t="s">
        <v>19</v>
      </c>
      <c r="J36" s="6" t="s">
        <v>20</v>
      </c>
    </row>
    <row r="37">
      <c r="A37" s="5">
        <v>46262.63615142361</v>
      </c>
      <c r="B37" s="6" t="s">
        <v>90</v>
      </c>
      <c r="C37" s="6" t="s">
        <v>416</v>
      </c>
      <c r="D37" s="6" t="s">
        <v>13</v>
      </c>
      <c r="E37" s="6" t="s">
        <v>14</v>
      </c>
      <c r="F37" s="6" t="s">
        <v>16</v>
      </c>
      <c r="G37" s="6" t="s">
        <v>17</v>
      </c>
      <c r="H37" s="6" t="s">
        <v>18</v>
      </c>
      <c r="I37" s="6" t="s">
        <v>19</v>
      </c>
      <c r="J37" s="6" t="s">
        <v>20</v>
      </c>
      <c r="K37" s="6" t="s">
        <v>92</v>
      </c>
    </row>
    <row r="38">
      <c r="A38" s="5">
        <v>46262.64606458333</v>
      </c>
      <c r="B38" s="6" t="s">
        <v>95</v>
      </c>
      <c r="C38" s="6" t="s">
        <v>417</v>
      </c>
      <c r="D38" s="6" t="s">
        <v>13</v>
      </c>
      <c r="E38" s="6" t="s">
        <v>14</v>
      </c>
      <c r="F38" s="6" t="s">
        <v>16</v>
      </c>
      <c r="G38" s="6" t="s">
        <v>17</v>
      </c>
      <c r="H38" s="6" t="s">
        <v>18</v>
      </c>
      <c r="I38" s="6" t="s">
        <v>19</v>
      </c>
      <c r="J38" s="6" t="s">
        <v>20</v>
      </c>
      <c r="K38" s="6" t="s">
        <v>92</v>
      </c>
    </row>
    <row r="39">
      <c r="A39" s="5">
        <v>46262.646497430556</v>
      </c>
      <c r="B39" s="6" t="s">
        <v>93</v>
      </c>
      <c r="C39" s="6" t="s">
        <v>413</v>
      </c>
      <c r="D39" s="6" t="s">
        <v>13</v>
      </c>
      <c r="E39" s="6" t="s">
        <v>14</v>
      </c>
      <c r="F39" s="6" t="s">
        <v>16</v>
      </c>
      <c r="G39" s="6" t="s">
        <v>17</v>
      </c>
      <c r="H39" s="6" t="s">
        <v>18</v>
      </c>
      <c r="I39" s="6" t="s">
        <v>19</v>
      </c>
      <c r="J39" s="6" t="s">
        <v>20</v>
      </c>
    </row>
    <row r="40">
      <c r="A40" s="5">
        <v>46262.74919454861</v>
      </c>
      <c r="B40" s="6" t="s">
        <v>97</v>
      </c>
      <c r="C40" s="6" t="s">
        <v>418</v>
      </c>
      <c r="D40" s="6" t="s">
        <v>13</v>
      </c>
      <c r="E40" s="6" t="s">
        <v>14</v>
      </c>
      <c r="F40" s="6" t="s">
        <v>16</v>
      </c>
      <c r="G40" s="6" t="s">
        <v>17</v>
      </c>
      <c r="H40" s="6" t="s">
        <v>18</v>
      </c>
      <c r="I40" s="6" t="s">
        <v>19</v>
      </c>
      <c r="J40" s="6" t="s">
        <v>20</v>
      </c>
    </row>
    <row r="41">
      <c r="A41" s="5">
        <v>46262.79733085648</v>
      </c>
      <c r="B41" s="6" t="s">
        <v>98</v>
      </c>
      <c r="C41" s="6" t="s">
        <v>396</v>
      </c>
      <c r="D41" s="6" t="s">
        <v>13</v>
      </c>
      <c r="E41" s="6" t="s">
        <v>14</v>
      </c>
      <c r="F41" s="6" t="s">
        <v>16</v>
      </c>
      <c r="G41" s="6" t="s">
        <v>17</v>
      </c>
      <c r="H41" s="6" t="s">
        <v>18</v>
      </c>
      <c r="I41" s="6" t="s">
        <v>19</v>
      </c>
      <c r="J41" s="6" t="s">
        <v>20</v>
      </c>
    </row>
    <row r="42">
      <c r="A42" s="5">
        <v>46262.87706565972</v>
      </c>
      <c r="B42" s="6" t="s">
        <v>99</v>
      </c>
      <c r="C42" s="6" t="s">
        <v>419</v>
      </c>
      <c r="D42" s="6" t="s">
        <v>13</v>
      </c>
      <c r="E42" s="6" t="s">
        <v>14</v>
      </c>
      <c r="F42" s="6" t="s">
        <v>16</v>
      </c>
      <c r="G42" s="6" t="s">
        <v>17</v>
      </c>
      <c r="H42" s="6" t="s">
        <v>18</v>
      </c>
      <c r="I42" s="6" t="s">
        <v>19</v>
      </c>
      <c r="J42" s="6" t="s">
        <v>20</v>
      </c>
    </row>
    <row r="43">
      <c r="A43" s="5">
        <v>46262.96157619213</v>
      </c>
      <c r="B43" s="6" t="s">
        <v>101</v>
      </c>
      <c r="C43" s="6" t="s">
        <v>396</v>
      </c>
      <c r="D43" s="6" t="s">
        <v>13</v>
      </c>
      <c r="E43" s="6" t="s">
        <v>14</v>
      </c>
      <c r="F43" s="6" t="s">
        <v>16</v>
      </c>
      <c r="G43" s="6" t="s">
        <v>17</v>
      </c>
      <c r="H43" s="6" t="s">
        <v>18</v>
      </c>
      <c r="I43" s="6" t="s">
        <v>19</v>
      </c>
      <c r="J43" s="6" t="s">
        <v>20</v>
      </c>
    </row>
    <row r="44">
      <c r="A44" s="5">
        <v>46262.96326405092</v>
      </c>
      <c r="B44" s="6" t="s">
        <v>100</v>
      </c>
      <c r="C44" s="6" t="s">
        <v>420</v>
      </c>
      <c r="D44" s="6" t="s">
        <v>13</v>
      </c>
      <c r="E44" s="6" t="s">
        <v>14</v>
      </c>
      <c r="F44" s="6" t="s">
        <v>16</v>
      </c>
      <c r="G44" s="6" t="s">
        <v>17</v>
      </c>
      <c r="H44" s="6" t="s">
        <v>18</v>
      </c>
      <c r="I44" s="6" t="s">
        <v>19</v>
      </c>
      <c r="J44" s="6" t="s">
        <v>20</v>
      </c>
    </row>
    <row r="45">
      <c r="A45" s="5">
        <v>46263.60726350694</v>
      </c>
      <c r="B45" s="6" t="s">
        <v>103</v>
      </c>
      <c r="C45" s="6" t="s">
        <v>421</v>
      </c>
      <c r="D45" s="6" t="s">
        <v>13</v>
      </c>
      <c r="E45" s="6" t="s">
        <v>14</v>
      </c>
      <c r="F45" s="6" t="s">
        <v>16</v>
      </c>
      <c r="G45" s="6" t="s">
        <v>17</v>
      </c>
      <c r="H45" s="6" t="s">
        <v>18</v>
      </c>
      <c r="I45" s="6" t="s">
        <v>19</v>
      </c>
      <c r="J45" s="6" t="s">
        <v>20</v>
      </c>
    </row>
    <row r="46">
      <c r="A46" s="5">
        <v>46263.71783684028</v>
      </c>
      <c r="B46" s="6" t="s">
        <v>104</v>
      </c>
      <c r="C46" s="6" t="s">
        <v>422</v>
      </c>
      <c r="D46" s="6" t="s">
        <v>13</v>
      </c>
      <c r="E46" s="6" t="s">
        <v>14</v>
      </c>
      <c r="F46" s="6" t="s">
        <v>16</v>
      </c>
      <c r="G46" s="6" t="s">
        <v>17</v>
      </c>
      <c r="H46" s="6" t="s">
        <v>18</v>
      </c>
      <c r="I46" s="6" t="s">
        <v>19</v>
      </c>
      <c r="J46" s="6" t="s">
        <v>20</v>
      </c>
    </row>
    <row r="47">
      <c r="A47" s="5">
        <v>46264.53511604166</v>
      </c>
      <c r="B47" s="6" t="s">
        <v>105</v>
      </c>
      <c r="C47" s="6" t="s">
        <v>423</v>
      </c>
      <c r="D47" s="6" t="s">
        <v>13</v>
      </c>
      <c r="E47" s="6" t="s">
        <v>14</v>
      </c>
      <c r="F47" s="6" t="s">
        <v>16</v>
      </c>
      <c r="G47" s="6" t="s">
        <v>17</v>
      </c>
      <c r="H47" s="6" t="s">
        <v>18</v>
      </c>
      <c r="I47" s="6" t="s">
        <v>19</v>
      </c>
      <c r="J47" s="6" t="s">
        <v>20</v>
      </c>
    </row>
    <row r="48">
      <c r="A48" s="5">
        <v>46264.65331335648</v>
      </c>
      <c r="B48" s="6" t="s">
        <v>106</v>
      </c>
      <c r="C48" s="6" t="s">
        <v>413</v>
      </c>
      <c r="D48" s="6" t="s">
        <v>13</v>
      </c>
      <c r="E48" s="6" t="s">
        <v>14</v>
      </c>
      <c r="F48" s="6" t="s">
        <v>16</v>
      </c>
      <c r="G48" s="6" t="s">
        <v>17</v>
      </c>
      <c r="H48" s="6" t="s">
        <v>18</v>
      </c>
      <c r="I48" s="6" t="s">
        <v>19</v>
      </c>
      <c r="J48" s="6" t="s">
        <v>20</v>
      </c>
    </row>
    <row r="49">
      <c r="A49" s="5">
        <v>46264.88037309027</v>
      </c>
      <c r="B49" s="6" t="s">
        <v>108</v>
      </c>
      <c r="C49" s="6" t="s">
        <v>109</v>
      </c>
      <c r="D49" s="6" t="s">
        <v>13</v>
      </c>
      <c r="E49" s="6" t="s">
        <v>14</v>
      </c>
      <c r="F49" s="6" t="s">
        <v>16</v>
      </c>
      <c r="G49" s="6" t="s">
        <v>17</v>
      </c>
      <c r="H49" s="6" t="s">
        <v>18</v>
      </c>
      <c r="I49" s="6" t="s">
        <v>19</v>
      </c>
      <c r="J49" s="6" t="s">
        <v>20</v>
      </c>
    </row>
    <row r="50">
      <c r="A50" s="5">
        <v>46265.32742339121</v>
      </c>
      <c r="B50" s="6" t="s">
        <v>111</v>
      </c>
      <c r="C50" s="6" t="s">
        <v>401</v>
      </c>
      <c r="D50" s="6" t="s">
        <v>13</v>
      </c>
      <c r="E50" s="6" t="s">
        <v>14</v>
      </c>
      <c r="F50" s="6" t="s">
        <v>16</v>
      </c>
      <c r="G50" s="6" t="s">
        <v>17</v>
      </c>
      <c r="H50" s="6" t="s">
        <v>18</v>
      </c>
      <c r="I50" s="6" t="s">
        <v>19</v>
      </c>
      <c r="J50" s="6" t="s">
        <v>20</v>
      </c>
    </row>
    <row r="51">
      <c r="A51" s="5">
        <v>46265.694799571764</v>
      </c>
      <c r="B51" s="6" t="s">
        <v>113</v>
      </c>
      <c r="C51" s="6" t="s">
        <v>411</v>
      </c>
      <c r="D51" s="6" t="s">
        <v>13</v>
      </c>
      <c r="E51" s="6" t="s">
        <v>14</v>
      </c>
      <c r="F51" s="6" t="s">
        <v>16</v>
      </c>
      <c r="G51" s="6" t="s">
        <v>17</v>
      </c>
      <c r="H51" s="6" t="s">
        <v>18</v>
      </c>
      <c r="I51" s="6" t="s">
        <v>19</v>
      </c>
      <c r="J51" s="6" t="s">
        <v>20</v>
      </c>
    </row>
    <row r="52">
      <c r="A52" s="5">
        <v>46265.70571060185</v>
      </c>
      <c r="B52" s="6" t="s">
        <v>114</v>
      </c>
      <c r="C52" s="6" t="s">
        <v>407</v>
      </c>
      <c r="D52" s="6" t="s">
        <v>13</v>
      </c>
      <c r="E52" s="6" t="s">
        <v>14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>
      <c r="A53" s="5">
        <v>46265.70639694444</v>
      </c>
      <c r="B53" s="6" t="s">
        <v>115</v>
      </c>
      <c r="C53" s="6" t="s">
        <v>401</v>
      </c>
      <c r="D53" s="6" t="s">
        <v>13</v>
      </c>
      <c r="E53" s="6" t="s">
        <v>14</v>
      </c>
      <c r="F53" s="6" t="s">
        <v>16</v>
      </c>
      <c r="G53" s="6" t="s">
        <v>17</v>
      </c>
      <c r="H53" s="6" t="s">
        <v>18</v>
      </c>
      <c r="I53" s="6" t="s">
        <v>19</v>
      </c>
      <c r="J53" s="6" t="s">
        <v>20</v>
      </c>
    </row>
    <row r="54">
      <c r="A54" s="5">
        <v>46265.736623634264</v>
      </c>
      <c r="B54" s="6" t="s">
        <v>116</v>
      </c>
      <c r="C54" s="6" t="s">
        <v>407</v>
      </c>
      <c r="D54" s="6" t="s">
        <v>13</v>
      </c>
      <c r="E54" s="6" t="s">
        <v>14</v>
      </c>
      <c r="F54" s="6" t="s">
        <v>16</v>
      </c>
      <c r="G54" s="6" t="s">
        <v>17</v>
      </c>
      <c r="H54" s="6" t="s">
        <v>18</v>
      </c>
      <c r="I54" s="6" t="s">
        <v>19</v>
      </c>
      <c r="J54" s="6" t="s">
        <v>20</v>
      </c>
    </row>
    <row r="55">
      <c r="A55" s="5">
        <v>46266.551571331016</v>
      </c>
      <c r="B55" s="6" t="s">
        <v>118</v>
      </c>
      <c r="C55" s="6" t="s">
        <v>119</v>
      </c>
      <c r="D55" s="6" t="s">
        <v>73</v>
      </c>
      <c r="E55" s="6" t="s">
        <v>120</v>
      </c>
      <c r="F55" s="6" t="s">
        <v>54</v>
      </c>
      <c r="G55" s="6" t="s">
        <v>39</v>
      </c>
      <c r="H55" s="6" t="s">
        <v>87</v>
      </c>
      <c r="I55" s="6" t="s">
        <v>55</v>
      </c>
      <c r="J55" s="6" t="s">
        <v>56</v>
      </c>
    </row>
    <row r="56">
      <c r="A56" s="5">
        <v>46266.68211638889</v>
      </c>
      <c r="B56" s="6" t="s">
        <v>121</v>
      </c>
      <c r="C56" s="6" t="s">
        <v>407</v>
      </c>
      <c r="D56" s="6" t="s">
        <v>13</v>
      </c>
      <c r="E56" s="6" t="s">
        <v>14</v>
      </c>
      <c r="F56" s="6" t="s">
        <v>16</v>
      </c>
      <c r="G56" s="6" t="s">
        <v>17</v>
      </c>
      <c r="H56" s="6" t="s">
        <v>18</v>
      </c>
      <c r="I56" s="6" t="s">
        <v>19</v>
      </c>
      <c r="J56" s="6" t="s">
        <v>20</v>
      </c>
    </row>
    <row r="57">
      <c r="A57" s="5">
        <v>46266.686727569446</v>
      </c>
      <c r="B57" s="6" t="s">
        <v>124</v>
      </c>
      <c r="C57" s="6" t="s">
        <v>424</v>
      </c>
      <c r="D57" s="6" t="s">
        <v>13</v>
      </c>
      <c r="E57" s="6" t="s">
        <v>14</v>
      </c>
      <c r="F57" s="6" t="s">
        <v>16</v>
      </c>
      <c r="G57" s="6" t="s">
        <v>17</v>
      </c>
      <c r="H57" s="6" t="s">
        <v>18</v>
      </c>
      <c r="I57" s="6" t="s">
        <v>19</v>
      </c>
      <c r="J57" s="6" t="s">
        <v>20</v>
      </c>
    </row>
    <row r="58">
      <c r="A58" s="5">
        <v>46266.698331631946</v>
      </c>
      <c r="B58" s="6" t="s">
        <v>125</v>
      </c>
      <c r="C58" s="6" t="s">
        <v>425</v>
      </c>
      <c r="D58" s="6" t="s">
        <v>13</v>
      </c>
      <c r="E58" s="6" t="s">
        <v>14</v>
      </c>
      <c r="F58" s="6" t="s">
        <v>16</v>
      </c>
      <c r="G58" s="6" t="s">
        <v>17</v>
      </c>
      <c r="H58" s="6" t="s">
        <v>18</v>
      </c>
      <c r="I58" s="6" t="s">
        <v>19</v>
      </c>
      <c r="J58" s="6" t="s">
        <v>20</v>
      </c>
    </row>
    <row r="59">
      <c r="A59" s="5">
        <v>46266.79849119213</v>
      </c>
      <c r="B59" s="6" t="s">
        <v>126</v>
      </c>
      <c r="C59" s="6" t="s">
        <v>396</v>
      </c>
      <c r="D59" s="6" t="s">
        <v>13</v>
      </c>
      <c r="E59" s="6" t="s">
        <v>14</v>
      </c>
      <c r="F59" s="6" t="s">
        <v>16</v>
      </c>
      <c r="G59" s="6" t="s">
        <v>17</v>
      </c>
      <c r="H59" s="6" t="s">
        <v>18</v>
      </c>
      <c r="I59" s="6" t="s">
        <v>19</v>
      </c>
      <c r="J59" s="6" t="s">
        <v>20</v>
      </c>
    </row>
    <row r="60">
      <c r="A60" s="5">
        <v>46267.309467349536</v>
      </c>
      <c r="B60" s="6" t="s">
        <v>129</v>
      </c>
      <c r="C60" s="6" t="s">
        <v>396</v>
      </c>
      <c r="D60" s="6" t="s">
        <v>13</v>
      </c>
      <c r="E60" s="6" t="s">
        <v>14</v>
      </c>
      <c r="F60" s="6" t="s">
        <v>16</v>
      </c>
      <c r="G60" s="6" t="s">
        <v>17</v>
      </c>
      <c r="H60" s="6" t="s">
        <v>18</v>
      </c>
      <c r="I60" s="6" t="s">
        <v>19</v>
      </c>
      <c r="J60" s="6" t="s">
        <v>20</v>
      </c>
    </row>
    <row r="61">
      <c r="A61" s="5">
        <v>46267.31029252315</v>
      </c>
      <c r="B61" s="6" t="s">
        <v>127</v>
      </c>
      <c r="C61" s="6" t="s">
        <v>418</v>
      </c>
      <c r="D61" s="6" t="s">
        <v>13</v>
      </c>
      <c r="E61" s="6" t="s">
        <v>14</v>
      </c>
      <c r="F61" s="6" t="s">
        <v>16</v>
      </c>
      <c r="G61" s="6" t="s">
        <v>17</v>
      </c>
      <c r="H61" s="6" t="s">
        <v>18</v>
      </c>
      <c r="I61" s="6" t="s">
        <v>19</v>
      </c>
      <c r="J61" s="6" t="s">
        <v>20</v>
      </c>
    </row>
    <row r="62">
      <c r="A62" s="5">
        <v>46267.56568103009</v>
      </c>
      <c r="B62" s="6" t="s">
        <v>132</v>
      </c>
      <c r="C62" s="6" t="s">
        <v>424</v>
      </c>
      <c r="D62" s="6" t="s">
        <v>13</v>
      </c>
      <c r="E62" s="6" t="s">
        <v>14</v>
      </c>
      <c r="F62" s="6" t="s">
        <v>16</v>
      </c>
      <c r="G62" s="6" t="s">
        <v>17</v>
      </c>
      <c r="H62" s="6" t="s">
        <v>18</v>
      </c>
      <c r="I62" s="6" t="s">
        <v>19</v>
      </c>
      <c r="J62" s="6" t="s">
        <v>20</v>
      </c>
    </row>
    <row r="63">
      <c r="A63" s="5">
        <v>46267.60758899305</v>
      </c>
      <c r="B63" s="6" t="s">
        <v>135</v>
      </c>
      <c r="C63" s="6" t="s">
        <v>398</v>
      </c>
      <c r="D63" s="6" t="s">
        <v>13</v>
      </c>
      <c r="E63" s="6" t="s">
        <v>14</v>
      </c>
      <c r="F63" s="6" t="s">
        <v>16</v>
      </c>
      <c r="G63" s="6" t="s">
        <v>17</v>
      </c>
      <c r="H63" s="6" t="s">
        <v>18</v>
      </c>
      <c r="I63" s="6" t="s">
        <v>19</v>
      </c>
      <c r="J63" s="6" t="s">
        <v>20</v>
      </c>
    </row>
    <row r="64">
      <c r="A64" s="5">
        <v>46267.60964928241</v>
      </c>
      <c r="B64" s="6" t="s">
        <v>136</v>
      </c>
      <c r="C64" s="6" t="s">
        <v>426</v>
      </c>
      <c r="D64" s="6" t="s">
        <v>13</v>
      </c>
      <c r="E64" s="6" t="s">
        <v>14</v>
      </c>
      <c r="F64" s="6" t="s">
        <v>16</v>
      </c>
      <c r="G64" s="6" t="s">
        <v>17</v>
      </c>
      <c r="H64" s="6" t="s">
        <v>18</v>
      </c>
      <c r="I64" s="6" t="s">
        <v>19</v>
      </c>
      <c r="J64" s="6" t="s">
        <v>20</v>
      </c>
    </row>
    <row r="65">
      <c r="A65" s="5">
        <v>46267.60982331018</v>
      </c>
      <c r="B65" s="6" t="s">
        <v>133</v>
      </c>
      <c r="C65" s="6" t="s">
        <v>134</v>
      </c>
      <c r="D65" s="6" t="s">
        <v>13</v>
      </c>
      <c r="E65" s="6" t="s">
        <v>14</v>
      </c>
      <c r="F65" s="6" t="s">
        <v>16</v>
      </c>
      <c r="G65" s="6" t="s">
        <v>17</v>
      </c>
      <c r="H65" s="6" t="s">
        <v>18</v>
      </c>
      <c r="I65" s="6" t="s">
        <v>19</v>
      </c>
      <c r="J65" s="6" t="s">
        <v>20</v>
      </c>
    </row>
    <row r="66">
      <c r="A66" s="5">
        <v>46267.85219763889</v>
      </c>
      <c r="B66" s="6" t="s">
        <v>138</v>
      </c>
      <c r="C66" s="6" t="s">
        <v>139</v>
      </c>
      <c r="D66" s="6" t="s">
        <v>13</v>
      </c>
      <c r="E66" s="6" t="s">
        <v>14</v>
      </c>
      <c r="F66" s="6" t="s">
        <v>16</v>
      </c>
      <c r="G66" s="6" t="s">
        <v>17</v>
      </c>
      <c r="H66" s="6" t="s">
        <v>18</v>
      </c>
      <c r="I66" s="6" t="s">
        <v>55</v>
      </c>
      <c r="J66" s="6" t="s">
        <v>20</v>
      </c>
      <c r="K66" s="6" t="s">
        <v>326</v>
      </c>
    </row>
    <row r="67">
      <c r="A67" s="5">
        <v>46268.34572315973</v>
      </c>
      <c r="B67" s="6" t="s">
        <v>140</v>
      </c>
      <c r="C67" s="6" t="s">
        <v>401</v>
      </c>
      <c r="D67" s="6" t="s">
        <v>13</v>
      </c>
      <c r="E67" s="6" t="s">
        <v>14</v>
      </c>
      <c r="F67" s="6" t="s">
        <v>16</v>
      </c>
      <c r="G67" s="6" t="s">
        <v>17</v>
      </c>
      <c r="H67" s="6" t="s">
        <v>18</v>
      </c>
      <c r="I67" s="6" t="s">
        <v>19</v>
      </c>
      <c r="J67" s="6" t="s">
        <v>20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1" t="s">
        <v>0</v>
      </c>
      <c r="B1" s="1" t="s">
        <v>1</v>
      </c>
      <c r="C1" s="3" t="s">
        <v>2</v>
      </c>
      <c r="D1" s="4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1"/>
      <c r="M1" s="7" t="s">
        <v>15</v>
      </c>
    </row>
    <row r="2">
      <c r="A2" s="8">
        <f>'1.8'!A:A</f>
        <v>46262.41585</v>
      </c>
      <c r="B2" s="1" t="str">
        <f>'1.8'!B:B</f>
        <v>bnco1013@signalschool.ac.th</v>
      </c>
      <c r="C2" s="1" t="str">
        <f>'1.8'!C:C</f>
        <v>ส.อ.มงคล บุญญะถิติ</v>
      </c>
      <c r="D2" s="9">
        <v>1.0</v>
      </c>
      <c r="E2" s="10">
        <f>IFERROR(vlookup('1.8'!D:D,lookup!$A$2:$B$4,2,false),0)</f>
        <v>5</v>
      </c>
      <c r="F2" s="10">
        <f>IFERROR(vlookup('1.8'!E:E,lookup!$A$6:$B$8,2,false),0)</f>
        <v>5</v>
      </c>
      <c r="G2" s="10">
        <f>IFERROR(vlookup('1.8'!F:F,lookup!$A$10:$B$12,2,false),0)</f>
        <v>5</v>
      </c>
      <c r="H2" s="10">
        <f>IFERROR(vlookup('1.8'!G:G,lookup!$A$14:$B$16,2,false),0)</f>
        <v>5</v>
      </c>
      <c r="I2" s="10">
        <f>IFERROR(vlookup('1.8'!H:H,lookup!$A$18:$B$20,2,false),0)</f>
        <v>5</v>
      </c>
      <c r="J2" s="10">
        <f>IFERROR(vlookup('1.8'!I:I,lookup!$A$22:$B$24,2,false),0)</f>
        <v>5</v>
      </c>
      <c r="K2" s="10">
        <f>IFERROR(vlookup('1.8'!J:J,lookup!$A$26:$B$28,2,false),0)</f>
        <v>5</v>
      </c>
      <c r="L2" s="1"/>
      <c r="M2" s="10">
        <v>1.0</v>
      </c>
      <c r="N2" s="11" t="str">
        <f t="shared" ref="N2:N81" si="1">CONCAT(R2,"@signalschool.ac.th")</f>
        <v>bnco1001@signalschool.ac.th</v>
      </c>
      <c r="O2" s="12">
        <f t="shared" ref="O2:O81" si="2">IFERROR(VLOOKUP(N2,B$2:D$81,3,FALSE),0)</f>
        <v>1</v>
      </c>
      <c r="R2" s="6" t="s">
        <v>91</v>
      </c>
    </row>
    <row r="3">
      <c r="A3" s="8">
        <f>'1.8'!A:A</f>
        <v>46262.41673</v>
      </c>
      <c r="B3" s="1" t="str">
        <f>'1.8'!B:B</f>
        <v>bnco1009@signalschool.ac.th</v>
      </c>
      <c r="C3" s="1" t="str">
        <f>'1.8'!C:C</f>
        <v>พ.ต.ไมตรี บุญเหลื่อม</v>
      </c>
      <c r="D3" s="9">
        <v>1.0</v>
      </c>
      <c r="E3" s="10">
        <f>IFERROR(vlookup('1.8'!D:D,lookup!$A$2:$B$4,2,false),0)</f>
        <v>5</v>
      </c>
      <c r="F3" s="10">
        <f>IFERROR(vlookup('1.8'!E:E,lookup!$A$6:$B$8,2,false),0)</f>
        <v>5</v>
      </c>
      <c r="G3" s="10">
        <f>IFERROR(vlookup('1.8'!F:F,lookup!$A$10:$B$12,2,false),0)</f>
        <v>5</v>
      </c>
      <c r="H3" s="10">
        <f>IFERROR(vlookup('1.8'!G:G,lookup!$A$14:$B$16,2,false),0)</f>
        <v>5</v>
      </c>
      <c r="I3" s="10">
        <f>IFERROR(vlookup('1.8'!H:H,lookup!$A$18:$B$20,2,false),0)</f>
        <v>5</v>
      </c>
      <c r="J3" s="10">
        <f>IFERROR(vlookup('1.8'!I:I,lookup!$A$22:$B$24,2,false),0)</f>
        <v>5</v>
      </c>
      <c r="K3" s="10">
        <f>IFERROR(vlookup('1.8'!J:J,lookup!$A$26:$B$28,2,false),0)</f>
        <v>5</v>
      </c>
      <c r="L3" s="1"/>
      <c r="M3" s="10">
        <v>2.0</v>
      </c>
      <c r="N3" s="11" t="str">
        <f t="shared" si="1"/>
        <v>bnco1002@signalschool.ac.th</v>
      </c>
      <c r="O3" s="12">
        <f t="shared" si="2"/>
        <v>1</v>
      </c>
      <c r="R3" s="6" t="s">
        <v>123</v>
      </c>
    </row>
    <row r="4">
      <c r="A4" s="8">
        <f>'1.8'!A:A</f>
        <v>46262.42229</v>
      </c>
      <c r="B4" s="1" t="str">
        <f>'1.8'!B:B</f>
        <v>bnco1056@signalschool.ac.th</v>
      </c>
      <c r="C4" s="1" t="str">
        <f>'1.8'!C:C</f>
        <v>ส.อ.วิริทธิ์พล/จ.ส.ต.พรสุพพัต/ ส.อ.มงคล</v>
      </c>
      <c r="D4" s="9">
        <v>1.0</v>
      </c>
      <c r="E4" s="10">
        <f>IFERROR(vlookup('1.8'!D:D,lookup!$A$2:$B$4,2,false),0)</f>
        <v>5</v>
      </c>
      <c r="F4" s="10">
        <f>IFERROR(vlookup('1.8'!E:E,lookup!$A$6:$B$8,2,false),0)</f>
        <v>5</v>
      </c>
      <c r="G4" s="10">
        <f>IFERROR(vlookup('1.8'!F:F,lookup!$A$10:$B$12,2,false),0)</f>
        <v>5</v>
      </c>
      <c r="H4" s="10">
        <f>IFERROR(vlookup('1.8'!G:G,lookup!$A$14:$B$16,2,false),0)</f>
        <v>5</v>
      </c>
      <c r="I4" s="10">
        <f>IFERROR(vlookup('1.8'!H:H,lookup!$A$18:$B$20,2,false),0)</f>
        <v>5</v>
      </c>
      <c r="J4" s="10">
        <f>IFERROR(vlookup('1.8'!I:I,lookup!$A$22:$B$24,2,false),0)</f>
        <v>5</v>
      </c>
      <c r="K4" s="10">
        <f>IFERROR(vlookup('1.8'!J:J,lookup!$A$26:$B$28,2,false),0)</f>
        <v>5</v>
      </c>
      <c r="L4" s="1"/>
      <c r="M4" s="10">
        <v>3.0</v>
      </c>
      <c r="N4" s="11" t="str">
        <f t="shared" si="1"/>
        <v>bnco1003@signalschool.ac.th</v>
      </c>
      <c r="O4" s="12">
        <f t="shared" si="2"/>
        <v>1</v>
      </c>
      <c r="R4" s="6" t="s">
        <v>141</v>
      </c>
    </row>
    <row r="5">
      <c r="A5" s="8">
        <f>'1.8'!A:A</f>
        <v>46262.42933</v>
      </c>
      <c r="B5" s="1" t="str">
        <f>'1.8'!B:B</f>
        <v>bnco1041@signalschool.ac.th</v>
      </c>
      <c r="C5" s="1" t="str">
        <f>'1.8'!C:C</f>
        <v>ส.อ.มงคล</v>
      </c>
      <c r="D5" s="9">
        <v>1.0</v>
      </c>
      <c r="E5" s="10">
        <f>IFERROR(vlookup('1.8'!D:D,lookup!$A$2:$B$4,2,false),0)</f>
        <v>5</v>
      </c>
      <c r="F5" s="10">
        <f>IFERROR(vlookup('1.8'!E:E,lookup!$A$6:$B$8,2,false),0)</f>
        <v>5</v>
      </c>
      <c r="G5" s="10">
        <f>IFERROR(vlookup('1.8'!F:F,lookup!$A$10:$B$12,2,false),0)</f>
        <v>5</v>
      </c>
      <c r="H5" s="10">
        <f>IFERROR(vlookup('1.8'!G:G,lookup!$A$14:$B$16,2,false),0)</f>
        <v>5</v>
      </c>
      <c r="I5" s="10">
        <f>IFERROR(vlookup('1.8'!H:H,lookup!$A$18:$B$20,2,false),0)</f>
        <v>5</v>
      </c>
      <c r="J5" s="10">
        <f>IFERROR(vlookup('1.8'!I:I,lookup!$A$22:$B$24,2,false),0)</f>
        <v>5</v>
      </c>
      <c r="K5" s="10">
        <f>IFERROR(vlookup('1.8'!J:J,lookup!$A$26:$B$28,2,false),0)</f>
        <v>5</v>
      </c>
      <c r="L5" s="1"/>
      <c r="M5" s="10">
        <v>4.0</v>
      </c>
      <c r="N5" s="11" t="str">
        <f t="shared" si="1"/>
        <v>bnco1004@signalschool.ac.th</v>
      </c>
      <c r="O5" s="12">
        <f t="shared" si="2"/>
        <v>1</v>
      </c>
      <c r="R5" s="6" t="s">
        <v>143</v>
      </c>
    </row>
    <row r="6">
      <c r="A6" s="8">
        <f>'1.8'!A:A</f>
        <v>46262.43104</v>
      </c>
      <c r="B6" s="1" t="str">
        <f>'1.8'!B:B</f>
        <v>bnco1062@signalschool.ac.th</v>
      </c>
      <c r="C6" s="1" t="str">
        <f>'1.8'!C:C</f>
        <v>ส.อ.มงคล บุญญะถิติ </v>
      </c>
      <c r="D6" s="9">
        <v>1.0</v>
      </c>
      <c r="E6" s="10">
        <f>IFERROR(vlookup('1.8'!D:D,lookup!$A$2:$B$4,2,false),0)</f>
        <v>5</v>
      </c>
      <c r="F6" s="10">
        <f>IFERROR(vlookup('1.8'!E:E,lookup!$A$6:$B$8,2,false),0)</f>
        <v>5</v>
      </c>
      <c r="G6" s="10">
        <f>IFERROR(vlookup('1.8'!F:F,lookup!$A$10:$B$12,2,false),0)</f>
        <v>5</v>
      </c>
      <c r="H6" s="10">
        <f>IFERROR(vlookup('1.8'!G:G,lookup!$A$14:$B$16,2,false),0)</f>
        <v>5</v>
      </c>
      <c r="I6" s="10">
        <f>IFERROR(vlookup('1.8'!H:H,lookup!$A$18:$B$20,2,false),0)</f>
        <v>5</v>
      </c>
      <c r="J6" s="10">
        <f>IFERROR(vlookup('1.8'!I:I,lookup!$A$22:$B$24,2,false),0)</f>
        <v>5</v>
      </c>
      <c r="K6" s="10">
        <f>IFERROR(vlookup('1.8'!J:J,lookup!$A$26:$B$28,2,false),0)</f>
        <v>5</v>
      </c>
      <c r="L6" s="1"/>
      <c r="M6" s="10">
        <v>5.0</v>
      </c>
      <c r="N6" s="11" t="str">
        <f t="shared" si="1"/>
        <v>bnco1005@signalschool.ac.th</v>
      </c>
      <c r="O6" s="12">
        <f t="shared" si="2"/>
        <v>1</v>
      </c>
      <c r="R6" s="6" t="s">
        <v>144</v>
      </c>
    </row>
    <row r="7">
      <c r="A7" s="8">
        <f>'1.8'!A:A</f>
        <v>46262.43417</v>
      </c>
      <c r="B7" s="1" t="str">
        <f>'1.8'!B:B</f>
        <v>bnco1058@signalschool.ac.th</v>
      </c>
      <c r="C7" s="1" t="str">
        <f>'1.8'!C:C</f>
        <v>จ.ส.ต.พรสุพต  วุฒิสุวรรณ, ส.อ.มงคล  บุญญะถิติ</v>
      </c>
      <c r="D7" s="9">
        <v>1.0</v>
      </c>
      <c r="E7" s="10">
        <f>IFERROR(vlookup('1.8'!D:D,lookup!$A$2:$B$4,2,false),0)</f>
        <v>5</v>
      </c>
      <c r="F7" s="10">
        <f>IFERROR(vlookup('1.8'!E:E,lookup!$A$6:$B$8,2,false),0)</f>
        <v>5</v>
      </c>
      <c r="G7" s="10">
        <f>IFERROR(vlookup('1.8'!F:F,lookup!$A$10:$B$12,2,false),0)</f>
        <v>5</v>
      </c>
      <c r="H7" s="10">
        <f>IFERROR(vlookup('1.8'!G:G,lookup!$A$14:$B$16,2,false),0)</f>
        <v>5</v>
      </c>
      <c r="I7" s="10">
        <f>IFERROR(vlookup('1.8'!H:H,lookup!$A$18:$B$20,2,false),0)</f>
        <v>5</v>
      </c>
      <c r="J7" s="10">
        <f>IFERROR(vlookup('1.8'!I:I,lookup!$A$22:$B$24,2,false),0)</f>
        <v>5</v>
      </c>
      <c r="K7" s="10">
        <f>IFERROR(vlookup('1.8'!J:J,lookup!$A$26:$B$28,2,false),0)</f>
        <v>5</v>
      </c>
      <c r="L7" s="1"/>
      <c r="M7" s="10">
        <v>6.0</v>
      </c>
      <c r="N7" s="11" t="str">
        <f t="shared" si="1"/>
        <v>bnco1006@signalschool.ac.th</v>
      </c>
      <c r="O7" s="12">
        <f t="shared" si="2"/>
        <v>1</v>
      </c>
      <c r="R7" s="6" t="s">
        <v>145</v>
      </c>
    </row>
    <row r="8">
      <c r="A8" s="8">
        <f>'1.8'!A:A</f>
        <v>46262.4375</v>
      </c>
      <c r="B8" s="1" t="str">
        <f>'1.8'!B:B</f>
        <v>bnco1012@signalschool.ac.th</v>
      </c>
      <c r="C8" s="1" t="str">
        <f>'1.8'!C:C</f>
        <v>จ.ส.ต.พรสุพพัต วุฒิสุวรรณ</v>
      </c>
      <c r="D8" s="9">
        <v>1.0</v>
      </c>
      <c r="E8" s="10">
        <f>IFERROR(vlookup('1.8'!D:D,lookup!$A$2:$B$4,2,false),0)</f>
        <v>5</v>
      </c>
      <c r="F8" s="10">
        <f>IFERROR(vlookup('1.8'!E:E,lookup!$A$6:$B$8,2,false),0)</f>
        <v>5</v>
      </c>
      <c r="G8" s="10">
        <f>IFERROR(vlookup('1.8'!F:F,lookup!$A$10:$B$12,2,false),0)</f>
        <v>5</v>
      </c>
      <c r="H8" s="10">
        <f>IFERROR(vlookup('1.8'!G:G,lookup!$A$14:$B$16,2,false),0)</f>
        <v>5</v>
      </c>
      <c r="I8" s="10">
        <f>IFERROR(vlookup('1.8'!H:H,lookup!$A$18:$B$20,2,false),0)</f>
        <v>5</v>
      </c>
      <c r="J8" s="10">
        <f>IFERROR(vlookup('1.8'!I:I,lookup!$A$22:$B$24,2,false),0)</f>
        <v>5</v>
      </c>
      <c r="K8" s="10">
        <f>IFERROR(vlookup('1.8'!J:J,lookup!$A$26:$B$28,2,false),0)</f>
        <v>5</v>
      </c>
      <c r="L8" s="1"/>
      <c r="M8" s="10">
        <v>7.0</v>
      </c>
      <c r="N8" s="11" t="str">
        <f t="shared" si="1"/>
        <v>bnco1007@signalschool.ac.th</v>
      </c>
      <c r="O8" s="12">
        <f t="shared" si="2"/>
        <v>0</v>
      </c>
      <c r="R8" s="6" t="s">
        <v>155</v>
      </c>
    </row>
    <row r="9">
      <c r="A9" s="8">
        <f>'1.8'!A:A</f>
        <v>46262.44302</v>
      </c>
      <c r="B9" s="1" t="str">
        <f>'1.8'!B:B</f>
        <v>bnco1006@signalschool.ac.th</v>
      </c>
      <c r="C9" s="1" t="str">
        <f>'1.8'!C:C</f>
        <v>จ.ส.ต.พรสุพพัต วุฒิสุวรรณ</v>
      </c>
      <c r="D9" s="9">
        <v>1.0</v>
      </c>
      <c r="E9" s="10">
        <f>IFERROR(vlookup('1.8'!D:D,lookup!$A$2:$B$4,2,false),0)</f>
        <v>5</v>
      </c>
      <c r="F9" s="10">
        <f>IFERROR(vlookup('1.8'!E:E,lookup!$A$6:$B$8,2,false),0)</f>
        <v>5</v>
      </c>
      <c r="G9" s="10">
        <f>IFERROR(vlookup('1.8'!F:F,lookup!$A$10:$B$12,2,false),0)</f>
        <v>5</v>
      </c>
      <c r="H9" s="10">
        <f>IFERROR(vlookup('1.8'!G:G,lookup!$A$14:$B$16,2,false),0)</f>
        <v>5</v>
      </c>
      <c r="I9" s="10">
        <f>IFERROR(vlookup('1.8'!H:H,lookup!$A$18:$B$20,2,false),0)</f>
        <v>5</v>
      </c>
      <c r="J9" s="10">
        <f>IFERROR(vlookup('1.8'!I:I,lookup!$A$22:$B$24,2,false),0)</f>
        <v>5</v>
      </c>
      <c r="K9" s="10">
        <f>IFERROR(vlookup('1.8'!J:J,lookup!$A$26:$B$28,2,false),0)</f>
        <v>5</v>
      </c>
      <c r="L9" s="1"/>
      <c r="M9" s="10">
        <v>8.0</v>
      </c>
      <c r="N9" s="11" t="str">
        <f t="shared" si="1"/>
        <v>bnco1008@signalschool.ac.th</v>
      </c>
      <c r="O9" s="12">
        <f t="shared" si="2"/>
        <v>1</v>
      </c>
      <c r="R9" s="6" t="s">
        <v>166</v>
      </c>
    </row>
    <row r="10">
      <c r="A10" s="8">
        <f>'1.8'!A:A</f>
        <v>46262.44721</v>
      </c>
      <c r="B10" s="1" t="str">
        <f>'1.8'!B:B</f>
        <v>bnco1018@signalschool.ac.th</v>
      </c>
      <c r="C10" s="1" t="str">
        <f>'1.8'!C:C</f>
        <v>จ.ส.ต.พรสุพพัต วุฒิสุวรรณ</v>
      </c>
      <c r="D10" s="9">
        <v>1.0</v>
      </c>
      <c r="E10" s="10">
        <f>IFERROR(vlookup('1.8'!D:D,lookup!$A$2:$B$4,2,false),0)</f>
        <v>5</v>
      </c>
      <c r="F10" s="10">
        <f>IFERROR(vlookup('1.8'!E:E,lookup!$A$6:$B$8,2,false),0)</f>
        <v>5</v>
      </c>
      <c r="G10" s="10">
        <f>IFERROR(vlookup('1.8'!F:F,lookup!$A$10:$B$12,2,false),0)</f>
        <v>5</v>
      </c>
      <c r="H10" s="10">
        <f>IFERROR(vlookup('1.8'!G:G,lookup!$A$14:$B$16,2,false),0)</f>
        <v>5</v>
      </c>
      <c r="I10" s="10">
        <f>IFERROR(vlookup('1.8'!H:H,lookup!$A$18:$B$20,2,false),0)</f>
        <v>5</v>
      </c>
      <c r="J10" s="10">
        <f>IFERROR(vlookup('1.8'!I:I,lookup!$A$22:$B$24,2,false),0)</f>
        <v>5</v>
      </c>
      <c r="K10" s="10">
        <f>IFERROR(vlookup('1.8'!J:J,lookup!$A$26:$B$28,2,false),0)</f>
        <v>5</v>
      </c>
      <c r="L10" s="1"/>
      <c r="M10" s="10">
        <v>9.0</v>
      </c>
      <c r="N10" s="11" t="str">
        <f t="shared" si="1"/>
        <v>bnco1009@signalschool.ac.th</v>
      </c>
      <c r="O10" s="12">
        <f t="shared" si="2"/>
        <v>1</v>
      </c>
      <c r="R10" s="6" t="s">
        <v>175</v>
      </c>
    </row>
    <row r="11">
      <c r="A11" s="8">
        <f>'1.8'!A:A</f>
        <v>46262.44724</v>
      </c>
      <c r="B11" s="1" t="str">
        <f>'1.8'!B:B</f>
        <v>bnco1051@signalschool.ac.th</v>
      </c>
      <c r="C11" s="1" t="str">
        <f>'1.8'!C:C</f>
        <v>จ.ส.ต.พรสุพพัต วุฒิสุวรรณ</v>
      </c>
      <c r="D11" s="9">
        <v>1.0</v>
      </c>
      <c r="E11" s="10">
        <f>IFERROR(vlookup('1.8'!D:D,lookup!$A$2:$B$4,2,false),0)</f>
        <v>5</v>
      </c>
      <c r="F11" s="10">
        <f>IFERROR(vlookup('1.8'!E:E,lookup!$A$6:$B$8,2,false),0)</f>
        <v>5</v>
      </c>
      <c r="G11" s="10">
        <f>IFERROR(vlookup('1.8'!F:F,lookup!$A$10:$B$12,2,false),0)</f>
        <v>5</v>
      </c>
      <c r="H11" s="10">
        <f>IFERROR(vlookup('1.8'!G:G,lookup!$A$14:$B$16,2,false),0)</f>
        <v>5</v>
      </c>
      <c r="I11" s="10">
        <f>IFERROR(vlookup('1.8'!H:H,lookup!$A$18:$B$20,2,false),0)</f>
        <v>5</v>
      </c>
      <c r="J11" s="10">
        <f>IFERROR(vlookup('1.8'!I:I,lookup!$A$22:$B$24,2,false),0)</f>
        <v>5</v>
      </c>
      <c r="K11" s="10">
        <f>IFERROR(vlookup('1.8'!J:J,lookup!$A$26:$B$28,2,false),0)</f>
        <v>5</v>
      </c>
      <c r="L11" s="1"/>
      <c r="M11" s="10">
        <v>10.0</v>
      </c>
      <c r="N11" s="11" t="str">
        <f t="shared" si="1"/>
        <v>bnco1010@signalschool.ac.th</v>
      </c>
      <c r="O11" s="12">
        <f t="shared" si="2"/>
        <v>0</v>
      </c>
      <c r="R11" s="6" t="s">
        <v>192</v>
      </c>
    </row>
    <row r="12">
      <c r="A12" s="8">
        <f>'1.8'!A:A</f>
        <v>46262.44726</v>
      </c>
      <c r="B12" s="1" t="str">
        <f>'1.8'!B:B</f>
        <v>bnco1050@signalschool.ac.th</v>
      </c>
      <c r="C12" s="1" t="str">
        <f>'1.8'!C:C</f>
        <v>จ.ส.ต.พรสุพพัต วุฒิสุวรรณ</v>
      </c>
      <c r="D12" s="9">
        <v>1.0</v>
      </c>
      <c r="E12" s="10">
        <f>IFERROR(vlookup('1.8'!D:D,lookup!$A$2:$B$4,2,false),0)</f>
        <v>5</v>
      </c>
      <c r="F12" s="10">
        <f>IFERROR(vlookup('1.8'!E:E,lookup!$A$6:$B$8,2,false),0)</f>
        <v>5</v>
      </c>
      <c r="G12" s="10">
        <f>IFERROR(vlookup('1.8'!F:F,lookup!$A$10:$B$12,2,false),0)</f>
        <v>5</v>
      </c>
      <c r="H12" s="10">
        <f>IFERROR(vlookup('1.8'!G:G,lookup!$A$14:$B$16,2,false),0)</f>
        <v>5</v>
      </c>
      <c r="I12" s="10">
        <f>IFERROR(vlookup('1.8'!H:H,lookup!$A$18:$B$20,2,false),0)</f>
        <v>5</v>
      </c>
      <c r="J12" s="10">
        <f>IFERROR(vlookup('1.8'!I:I,lookup!$A$22:$B$24,2,false),0)</f>
        <v>5</v>
      </c>
      <c r="K12" s="10">
        <f>IFERROR(vlookup('1.8'!J:J,lookup!$A$26:$B$28,2,false),0)</f>
        <v>5</v>
      </c>
      <c r="L12" s="1"/>
      <c r="M12" s="10">
        <v>11.0</v>
      </c>
      <c r="N12" s="11" t="str">
        <f t="shared" si="1"/>
        <v>bnco1011@signalschool.ac.th</v>
      </c>
      <c r="O12" s="12">
        <f t="shared" si="2"/>
        <v>1</v>
      </c>
      <c r="R12" s="6" t="s">
        <v>209</v>
      </c>
    </row>
    <row r="13">
      <c r="A13" s="8">
        <f>'1.8'!A:A</f>
        <v>46262.44769</v>
      </c>
      <c r="B13" s="1" t="str">
        <f>'1.8'!B:B</f>
        <v>bnco1052@signalschool.ac.th</v>
      </c>
      <c r="C13" s="1" t="str">
        <f>'1.8'!C:C</f>
        <v>ส.อ.มงคล</v>
      </c>
      <c r="D13" s="9">
        <v>1.0</v>
      </c>
      <c r="E13" s="10">
        <f>IFERROR(vlookup('1.8'!D:D,lookup!$A$2:$B$4,2,false),0)</f>
        <v>5</v>
      </c>
      <c r="F13" s="10">
        <f>IFERROR(vlookup('1.8'!E:E,lookup!$A$6:$B$8,2,false),0)</f>
        <v>5</v>
      </c>
      <c r="G13" s="10">
        <f>IFERROR(vlookup('1.8'!F:F,lookup!$A$10:$B$12,2,false),0)</f>
        <v>5</v>
      </c>
      <c r="H13" s="10">
        <f>IFERROR(vlookup('1.8'!G:G,lookup!$A$14:$B$16,2,false),0)</f>
        <v>5</v>
      </c>
      <c r="I13" s="10">
        <f>IFERROR(vlookup('1.8'!H:H,lookup!$A$18:$B$20,2,false),0)</f>
        <v>5</v>
      </c>
      <c r="J13" s="10">
        <f>IFERROR(vlookup('1.8'!I:I,lookup!$A$22:$B$24,2,false),0)</f>
        <v>5</v>
      </c>
      <c r="K13" s="10">
        <f>IFERROR(vlookup('1.8'!J:J,lookup!$A$26:$B$28,2,false),0)</f>
        <v>5</v>
      </c>
      <c r="L13" s="1"/>
      <c r="M13" s="10">
        <v>12.0</v>
      </c>
      <c r="N13" s="11" t="str">
        <f t="shared" si="1"/>
        <v>bnco1012@signalschool.ac.th</v>
      </c>
      <c r="O13" s="12">
        <f t="shared" si="2"/>
        <v>1</v>
      </c>
      <c r="R13" s="6" t="s">
        <v>213</v>
      </c>
    </row>
    <row r="14">
      <c r="A14" s="8">
        <f>'1.8'!A:A</f>
        <v>46262.45309</v>
      </c>
      <c r="B14" s="1" t="str">
        <f>'1.8'!B:B</f>
        <v>bnco1038@signalschool.ac.th</v>
      </c>
      <c r="C14" s="1" t="str">
        <f>'1.8'!C:C</f>
        <v>ส.อ.มงคล บุญญะถิติ</v>
      </c>
      <c r="D14" s="9">
        <v>1.0</v>
      </c>
      <c r="E14" s="10">
        <f>IFERROR(vlookup('1.8'!D:D,lookup!$A$2:$B$4,2,false),0)</f>
        <v>5</v>
      </c>
      <c r="F14" s="10">
        <f>IFERROR(vlookup('1.8'!E:E,lookup!$A$6:$B$8,2,false),0)</f>
        <v>5</v>
      </c>
      <c r="G14" s="10">
        <f>IFERROR(vlookup('1.8'!F:F,lookup!$A$10:$B$12,2,false),0)</f>
        <v>5</v>
      </c>
      <c r="H14" s="10">
        <f>IFERROR(vlookup('1.8'!G:G,lookup!$A$14:$B$16,2,false),0)</f>
        <v>5</v>
      </c>
      <c r="I14" s="10">
        <f>IFERROR(vlookup('1.8'!H:H,lookup!$A$18:$B$20,2,false),0)</f>
        <v>5</v>
      </c>
      <c r="J14" s="10">
        <f>IFERROR(vlookup('1.8'!I:I,lookup!$A$22:$B$24,2,false),0)</f>
        <v>5</v>
      </c>
      <c r="K14" s="10">
        <f>IFERROR(vlookup('1.8'!J:J,lookup!$A$26:$B$28,2,false),0)</f>
        <v>5</v>
      </c>
      <c r="L14" s="1"/>
      <c r="M14" s="10">
        <v>13.0</v>
      </c>
      <c r="N14" s="11" t="str">
        <f t="shared" si="1"/>
        <v>bnco1013@signalschool.ac.th</v>
      </c>
      <c r="O14" s="12">
        <f t="shared" si="2"/>
        <v>1</v>
      </c>
      <c r="R14" s="6" t="s">
        <v>214</v>
      </c>
    </row>
    <row r="15">
      <c r="A15" s="8">
        <f>'1.8'!A:A</f>
        <v>46262.45328</v>
      </c>
      <c r="B15" s="1" t="str">
        <f>'1.8'!B:B</f>
        <v>bnco1035@signalschool.ac.th</v>
      </c>
      <c r="C15" s="1" t="str">
        <f>'1.8'!C:C</f>
        <v>ส.อ. วิริทธิ์พล แข็งธัญญะกรณ์</v>
      </c>
      <c r="D15" s="9">
        <v>1.0</v>
      </c>
      <c r="E15" s="10">
        <f>IFERROR(vlookup('1.8'!D:D,lookup!$A$2:$B$4,2,false),0)</f>
        <v>5</v>
      </c>
      <c r="F15" s="10">
        <f>IFERROR(vlookup('1.8'!E:E,lookup!$A$6:$B$8,2,false),0)</f>
        <v>5</v>
      </c>
      <c r="G15" s="10">
        <f>IFERROR(vlookup('1.8'!F:F,lookup!$A$10:$B$12,2,false),0)</f>
        <v>5</v>
      </c>
      <c r="H15" s="10">
        <f>IFERROR(vlookup('1.8'!G:G,lookup!$A$14:$B$16,2,false),0)</f>
        <v>5</v>
      </c>
      <c r="I15" s="10">
        <f>IFERROR(vlookup('1.8'!H:H,lookup!$A$18:$B$20,2,false),0)</f>
        <v>5</v>
      </c>
      <c r="J15" s="10">
        <f>IFERROR(vlookup('1.8'!I:I,lookup!$A$22:$B$24,2,false),0)</f>
        <v>5</v>
      </c>
      <c r="K15" s="10">
        <f>IFERROR(vlookup('1.8'!J:J,lookup!$A$26:$B$28,2,false),0)</f>
        <v>5</v>
      </c>
      <c r="L15" s="1"/>
      <c r="M15" s="10">
        <v>14.0</v>
      </c>
      <c r="N15" s="11" t="str">
        <f t="shared" si="1"/>
        <v>bnco1014@signalschool.ac.th</v>
      </c>
      <c r="O15" s="12">
        <f t="shared" si="2"/>
        <v>1</v>
      </c>
      <c r="R15" s="6" t="s">
        <v>215</v>
      </c>
    </row>
    <row r="16">
      <c r="A16" s="8">
        <f>'1.8'!A:A</f>
        <v>46262.45761</v>
      </c>
      <c r="B16" s="1" t="str">
        <f>'1.8'!B:B</f>
        <v>bnco1070@signalschool.ac.th</v>
      </c>
      <c r="C16" s="1" t="str">
        <f>'1.8'!C:C</f>
        <v>จ.ส.ต.พรสุพัต วุฒิสุวรรณ</v>
      </c>
      <c r="D16" s="9">
        <v>1.0</v>
      </c>
      <c r="E16" s="10">
        <f>IFERROR(vlookup('1.8'!D:D,lookup!$A$2:$B$4,2,false),0)</f>
        <v>5</v>
      </c>
      <c r="F16" s="10">
        <f>IFERROR(vlookup('1.8'!E:E,lookup!$A$6:$B$8,2,false),0)</f>
        <v>5</v>
      </c>
      <c r="G16" s="10">
        <f>IFERROR(vlookup('1.8'!F:F,lookup!$A$10:$B$12,2,false),0)</f>
        <v>5</v>
      </c>
      <c r="H16" s="10">
        <f>IFERROR(vlookup('1.8'!G:G,lookup!$A$14:$B$16,2,false),0)</f>
        <v>5</v>
      </c>
      <c r="I16" s="10">
        <f>IFERROR(vlookup('1.8'!H:H,lookup!$A$18:$B$20,2,false),0)</f>
        <v>3</v>
      </c>
      <c r="J16" s="10">
        <f>IFERROR(vlookup('1.8'!I:I,lookup!$A$22:$B$24,2,false),0)</f>
        <v>5</v>
      </c>
      <c r="K16" s="10">
        <f>IFERROR(vlookup('1.8'!J:J,lookup!$A$26:$B$28,2,false),0)</f>
        <v>3</v>
      </c>
      <c r="L16" s="1"/>
      <c r="M16" s="10">
        <v>15.0</v>
      </c>
      <c r="N16" s="11" t="str">
        <f t="shared" si="1"/>
        <v>bnco1015@signalschool.ac.th</v>
      </c>
      <c r="O16" s="12">
        <f t="shared" si="2"/>
        <v>1</v>
      </c>
      <c r="R16" s="6" t="s">
        <v>221</v>
      </c>
    </row>
    <row r="17">
      <c r="A17" s="8">
        <f>'1.8'!A:A</f>
        <v>46262.46179</v>
      </c>
      <c r="B17" s="1" t="str">
        <f>'1.8'!B:B</f>
        <v>bnco1036@signalschool.ac.th</v>
      </c>
      <c r="C17" s="1" t="str">
        <f>'1.8'!C:C</f>
        <v>จ.ส.ต.พรสุพพัต วุฒิสุวรรณ ส.อ.วิริทธิ์พล แข็งธัญญะกรณ์ ส.อ.มงคล บุญญะถิติ</v>
      </c>
      <c r="D17" s="9">
        <v>1.0</v>
      </c>
      <c r="E17" s="10">
        <f>IFERROR(vlookup('1.8'!D:D,lookup!$A$2:$B$4,2,false),0)</f>
        <v>5</v>
      </c>
      <c r="F17" s="10">
        <f>IFERROR(vlookup('1.8'!E:E,lookup!$A$6:$B$8,2,false),0)</f>
        <v>5</v>
      </c>
      <c r="G17" s="10">
        <f>IFERROR(vlookup('1.8'!F:F,lookup!$A$10:$B$12,2,false),0)</f>
        <v>5</v>
      </c>
      <c r="H17" s="10">
        <f>IFERROR(vlookup('1.8'!G:G,lookup!$A$14:$B$16,2,false),0)</f>
        <v>5</v>
      </c>
      <c r="I17" s="10">
        <f>IFERROR(vlookup('1.8'!H:H,lookup!$A$18:$B$20,2,false),0)</f>
        <v>5</v>
      </c>
      <c r="J17" s="10">
        <f>IFERROR(vlookup('1.8'!I:I,lookup!$A$22:$B$24,2,false),0)</f>
        <v>5</v>
      </c>
      <c r="K17" s="10">
        <f>IFERROR(vlookup('1.8'!J:J,lookup!$A$26:$B$28,2,false),0)</f>
        <v>5</v>
      </c>
      <c r="L17" s="1"/>
      <c r="M17" s="10">
        <v>16.0</v>
      </c>
      <c r="N17" s="11" t="str">
        <f t="shared" si="1"/>
        <v>bnco1016@signalschool.ac.th</v>
      </c>
      <c r="O17" s="12">
        <f t="shared" si="2"/>
        <v>1</v>
      </c>
      <c r="R17" s="6" t="s">
        <v>223</v>
      </c>
    </row>
    <row r="18">
      <c r="A18" s="8">
        <f>'1.8'!A:A</f>
        <v>46262.46369</v>
      </c>
      <c r="B18" s="1" t="str">
        <f>'1.8'!B:B</f>
        <v>bnco1042@signalschool.ac.th</v>
      </c>
      <c r="C18" s="1" t="str">
        <f>'1.8'!C:C</f>
        <v>จ.ส.ต.พรสุพพัต  วุฒิสุวรรณ</v>
      </c>
      <c r="D18" s="9">
        <v>1.0</v>
      </c>
      <c r="E18" s="10">
        <f>IFERROR(vlookup('1.8'!D:D,lookup!$A$2:$B$4,2,false),0)</f>
        <v>5</v>
      </c>
      <c r="F18" s="10">
        <f>IFERROR(vlookup('1.8'!E:E,lookup!$A$6:$B$8,2,false),0)</f>
        <v>5</v>
      </c>
      <c r="G18" s="10">
        <f>IFERROR(vlookup('1.8'!F:F,lookup!$A$10:$B$12,2,false),0)</f>
        <v>5</v>
      </c>
      <c r="H18" s="10">
        <f>IFERROR(vlookup('1.8'!G:G,lookup!$A$14:$B$16,2,false),0)</f>
        <v>5</v>
      </c>
      <c r="I18" s="10">
        <f>IFERROR(vlookup('1.8'!H:H,lookup!$A$18:$B$20,2,false),0)</f>
        <v>5</v>
      </c>
      <c r="J18" s="10">
        <f>IFERROR(vlookup('1.8'!I:I,lookup!$A$22:$B$24,2,false),0)</f>
        <v>5</v>
      </c>
      <c r="K18" s="10">
        <f>IFERROR(vlookup('1.8'!J:J,lookup!$A$26:$B$28,2,false),0)</f>
        <v>5</v>
      </c>
      <c r="L18" s="1"/>
      <c r="M18" s="10">
        <v>17.0</v>
      </c>
      <c r="N18" s="11" t="str">
        <f t="shared" si="1"/>
        <v>bnco1017@signalschool.ac.th</v>
      </c>
      <c r="O18" s="12">
        <f t="shared" si="2"/>
        <v>1</v>
      </c>
      <c r="R18" s="6" t="s">
        <v>229</v>
      </c>
    </row>
    <row r="19">
      <c r="A19" s="8">
        <f>'1.8'!A:A</f>
        <v>46262.46764</v>
      </c>
      <c r="B19" s="1" t="str">
        <f>'1.8'!B:B</f>
        <v>bnco1003@signalschool.ac.th</v>
      </c>
      <c r="C19" s="1" t="str">
        <f>'1.8'!C:C</f>
        <v>จ.ส.ต.พรสุพพัต  วุฒิสุวรรณ</v>
      </c>
      <c r="D19" s="9">
        <v>1.0</v>
      </c>
      <c r="E19" s="10">
        <f>IFERROR(vlookup('1.8'!D:D,lookup!$A$2:$B$4,2,false),0)</f>
        <v>5</v>
      </c>
      <c r="F19" s="10">
        <f>IFERROR(vlookup('1.8'!E:E,lookup!$A$6:$B$8,2,false),0)</f>
        <v>5</v>
      </c>
      <c r="G19" s="10">
        <f>IFERROR(vlookup('1.8'!F:F,lookup!$A$10:$B$12,2,false),0)</f>
        <v>5</v>
      </c>
      <c r="H19" s="10">
        <f>IFERROR(vlookup('1.8'!G:G,lookup!$A$14:$B$16,2,false),0)</f>
        <v>5</v>
      </c>
      <c r="I19" s="10">
        <f>IFERROR(vlookup('1.8'!H:H,lookup!$A$18:$B$20,2,false),0)</f>
        <v>5</v>
      </c>
      <c r="J19" s="10">
        <f>IFERROR(vlookup('1.8'!I:I,lookup!$A$22:$B$24,2,false),0)</f>
        <v>5</v>
      </c>
      <c r="K19" s="10">
        <f>IFERROR(vlookup('1.8'!J:J,lookup!$A$26:$B$28,2,false),0)</f>
        <v>5</v>
      </c>
      <c r="L19" s="1"/>
      <c r="M19" s="10">
        <v>18.0</v>
      </c>
      <c r="N19" s="11" t="str">
        <f t="shared" si="1"/>
        <v>bnco1018@signalschool.ac.th</v>
      </c>
      <c r="O19" s="12">
        <f t="shared" si="2"/>
        <v>1</v>
      </c>
      <c r="R19" s="6" t="s">
        <v>232</v>
      </c>
    </row>
    <row r="20">
      <c r="A20" s="8">
        <f>'1.8'!A:A</f>
        <v>46262.48347</v>
      </c>
      <c r="B20" s="1" t="str">
        <f>'1.8'!B:B</f>
        <v>bnco1079@signalschool.ac.th</v>
      </c>
      <c r="C20" s="1" t="str">
        <f>'1.8'!C:C</f>
        <v>ส.อ.วิริทธิ์พล แข็งธัญญะกรณ์ จ.ส.ต.พรสุพพัต วุฒิสุวรรณ ส.อ.มงคล บุญญะถิติ</v>
      </c>
      <c r="D20" s="9">
        <v>1.0</v>
      </c>
      <c r="E20" s="10">
        <f>IFERROR(vlookup('1.8'!D:D,lookup!$A$2:$B$4,2,false),0)</f>
        <v>5</v>
      </c>
      <c r="F20" s="10">
        <f>IFERROR(vlookup('1.8'!E:E,lookup!$A$6:$B$8,2,false),0)</f>
        <v>5</v>
      </c>
      <c r="G20" s="10">
        <f>IFERROR(vlookup('1.8'!F:F,lookup!$A$10:$B$12,2,false),0)</f>
        <v>5</v>
      </c>
      <c r="H20" s="10">
        <f>IFERROR(vlookup('1.8'!G:G,lookup!$A$14:$B$16,2,false),0)</f>
        <v>5</v>
      </c>
      <c r="I20" s="10">
        <f>IFERROR(vlookup('1.8'!H:H,lookup!$A$18:$B$20,2,false),0)</f>
        <v>5</v>
      </c>
      <c r="J20" s="10">
        <f>IFERROR(vlookup('1.8'!I:I,lookup!$A$22:$B$24,2,false),0)</f>
        <v>5</v>
      </c>
      <c r="K20" s="10">
        <f>IFERROR(vlookup('1.8'!J:J,lookup!$A$26:$B$28,2,false),0)</f>
        <v>5</v>
      </c>
      <c r="L20" s="1"/>
      <c r="M20" s="10">
        <v>19.0</v>
      </c>
      <c r="N20" s="11" t="str">
        <f t="shared" si="1"/>
        <v>bnco1019@signalschool.ac.th</v>
      </c>
      <c r="O20" s="12">
        <f t="shared" si="2"/>
        <v>1</v>
      </c>
      <c r="R20" s="6" t="s">
        <v>233</v>
      </c>
    </row>
    <row r="21">
      <c r="A21" s="8">
        <f>'1.8'!A:A</f>
        <v>46262.48521</v>
      </c>
      <c r="B21" s="1" t="str">
        <f>'1.8'!B:B</f>
        <v>bnco1032@signalschool.ac.th</v>
      </c>
      <c r="C21" s="1" t="str">
        <f>'1.8'!C:C</f>
        <v>ส.อ.มงคล บุญญะถิติ</v>
      </c>
      <c r="D21" s="9">
        <v>1.0</v>
      </c>
      <c r="E21" s="10">
        <f>IFERROR(vlookup('1.8'!D:D,lookup!$A$2:$B$4,2,false),0)</f>
        <v>5</v>
      </c>
      <c r="F21" s="10">
        <f>IFERROR(vlookup('1.8'!E:E,lookup!$A$6:$B$8,2,false),0)</f>
        <v>5</v>
      </c>
      <c r="G21" s="10">
        <f>IFERROR(vlookup('1.8'!F:F,lookup!$A$10:$B$12,2,false),0)</f>
        <v>5</v>
      </c>
      <c r="H21" s="10">
        <f>IFERROR(vlookup('1.8'!G:G,lookup!$A$14:$B$16,2,false),0)</f>
        <v>5</v>
      </c>
      <c r="I21" s="10">
        <f>IFERROR(vlookup('1.8'!H:H,lookup!$A$18:$B$20,2,false),0)</f>
        <v>5</v>
      </c>
      <c r="J21" s="10">
        <f>IFERROR(vlookup('1.8'!I:I,lookup!$A$22:$B$24,2,false),0)</f>
        <v>5</v>
      </c>
      <c r="K21" s="10">
        <f>IFERROR(vlookup('1.8'!J:J,lookup!$A$26:$B$28,2,false),0)</f>
        <v>5</v>
      </c>
      <c r="L21" s="1"/>
      <c r="M21" s="10">
        <v>20.0</v>
      </c>
      <c r="N21" s="11" t="str">
        <f t="shared" si="1"/>
        <v>bnco1020@signalschool.ac.th</v>
      </c>
      <c r="O21" s="12">
        <f t="shared" si="2"/>
        <v>0</v>
      </c>
      <c r="R21" s="6" t="s">
        <v>234</v>
      </c>
    </row>
    <row r="22">
      <c r="A22" s="8">
        <f>'1.8'!A:A</f>
        <v>46262.48891</v>
      </c>
      <c r="B22" s="1" t="str">
        <f>'1.8'!B:B</f>
        <v>bnco1060@signalschool.ac.th</v>
      </c>
      <c r="C22" s="1" t="str">
        <f>'1.8'!C:C</f>
        <v>จ.ส.ต.พรสุพพัต วุฒิสุวรรณ</v>
      </c>
      <c r="D22" s="9">
        <v>1.0</v>
      </c>
      <c r="E22" s="10">
        <f>IFERROR(vlookup('1.8'!D:D,lookup!$A$2:$B$4,2,false),0)</f>
        <v>5</v>
      </c>
      <c r="F22" s="10">
        <f>IFERROR(vlookup('1.8'!E:E,lookup!$A$6:$B$8,2,false),0)</f>
        <v>5</v>
      </c>
      <c r="G22" s="10">
        <f>IFERROR(vlookup('1.8'!F:F,lookup!$A$10:$B$12,2,false),0)</f>
        <v>5</v>
      </c>
      <c r="H22" s="10">
        <f>IFERROR(vlookup('1.8'!G:G,lookup!$A$14:$B$16,2,false),0)</f>
        <v>5</v>
      </c>
      <c r="I22" s="10">
        <f>IFERROR(vlookup('1.8'!H:H,lookup!$A$18:$B$20,2,false),0)</f>
        <v>5</v>
      </c>
      <c r="J22" s="10">
        <f>IFERROR(vlookup('1.8'!I:I,lookup!$A$22:$B$24,2,false),0)</f>
        <v>5</v>
      </c>
      <c r="K22" s="10">
        <f>IFERROR(vlookup('1.8'!J:J,lookup!$A$26:$B$28,2,false),0)</f>
        <v>5</v>
      </c>
      <c r="L22" s="1"/>
      <c r="M22" s="10">
        <v>21.0</v>
      </c>
      <c r="N22" s="11" t="str">
        <f t="shared" si="1"/>
        <v>bnco1021@signalschool.ac.th</v>
      </c>
      <c r="O22" s="12">
        <f t="shared" si="2"/>
        <v>1</v>
      </c>
      <c r="R22" s="6" t="s">
        <v>235</v>
      </c>
    </row>
    <row r="23">
      <c r="A23" s="8">
        <f>'1.8'!A:A</f>
        <v>46262.50607</v>
      </c>
      <c r="B23" s="1" t="str">
        <f>'1.8'!B:B</f>
        <v>bnco1063@signalschool.ac.th</v>
      </c>
      <c r="C23" s="1" t="str">
        <f>'1.8'!C:C</f>
        <v>จ.ส.ต.พรสุพพัต วุฒิสุวรรณ ส.อ.วิวิทธิ์พล แข็งธัญญะกรณ์ ส.อ.มงคล บุญญะถิติ</v>
      </c>
      <c r="D23" s="9">
        <v>1.0</v>
      </c>
      <c r="E23" s="10">
        <f>IFERROR(vlookup('1.8'!D:D,lookup!$A$2:$B$4,2,false),0)</f>
        <v>5</v>
      </c>
      <c r="F23" s="10">
        <f>IFERROR(vlookup('1.8'!E:E,lookup!$A$6:$B$8,2,false),0)</f>
        <v>5</v>
      </c>
      <c r="G23" s="10">
        <f>IFERROR(vlookup('1.8'!F:F,lookup!$A$10:$B$12,2,false),0)</f>
        <v>5</v>
      </c>
      <c r="H23" s="10">
        <f>IFERROR(vlookup('1.8'!G:G,lookup!$A$14:$B$16,2,false),0)</f>
        <v>5</v>
      </c>
      <c r="I23" s="10">
        <f>IFERROR(vlookup('1.8'!H:H,lookup!$A$18:$B$20,2,false),0)</f>
        <v>5</v>
      </c>
      <c r="J23" s="10">
        <f>IFERROR(vlookup('1.8'!I:I,lookup!$A$22:$B$24,2,false),0)</f>
        <v>5</v>
      </c>
      <c r="K23" s="10">
        <f>IFERROR(vlookup('1.8'!J:J,lookup!$A$26:$B$28,2,false),0)</f>
        <v>5</v>
      </c>
      <c r="L23" s="1"/>
      <c r="M23" s="10">
        <v>22.0</v>
      </c>
      <c r="N23" s="11" t="str">
        <f t="shared" si="1"/>
        <v>bnco1022@signalschool.ac.th</v>
      </c>
      <c r="O23" s="12">
        <f t="shared" si="2"/>
        <v>1</v>
      </c>
      <c r="R23" s="6" t="s">
        <v>236</v>
      </c>
    </row>
    <row r="24">
      <c r="A24" s="8">
        <f>'1.8'!A:A</f>
        <v>46262.52009</v>
      </c>
      <c r="B24" s="1" t="str">
        <f>'1.8'!B:B</f>
        <v>bnco1031@signalschool.ac.th</v>
      </c>
      <c r="C24" s="1" t="str">
        <f>'1.8'!C:C</f>
        <v>จ.ส.ต. พรสุพพัต วุฒิสุวรรณ ,ส.อ. วิริทธิ์พล แข็งธัญญะกรณ์ ,ส.อ. มงคล บุญญะถิติ</v>
      </c>
      <c r="D24" s="9">
        <v>1.0</v>
      </c>
      <c r="E24" s="10">
        <f>IFERROR(vlookup('1.8'!D:D,lookup!$A$2:$B$4,2,false),0)</f>
        <v>5</v>
      </c>
      <c r="F24" s="10">
        <f>IFERROR(vlookup('1.8'!E:E,lookup!$A$6:$B$8,2,false),0)</f>
        <v>5</v>
      </c>
      <c r="G24" s="10">
        <f>IFERROR(vlookup('1.8'!F:F,lookup!$A$10:$B$12,2,false),0)</f>
        <v>5</v>
      </c>
      <c r="H24" s="10">
        <f>IFERROR(vlookup('1.8'!G:G,lookup!$A$14:$B$16,2,false),0)</f>
        <v>5</v>
      </c>
      <c r="I24" s="10">
        <f>IFERROR(vlookup('1.8'!H:H,lookup!$A$18:$B$20,2,false),0)</f>
        <v>5</v>
      </c>
      <c r="J24" s="10">
        <f>IFERROR(vlookup('1.8'!I:I,lookup!$A$22:$B$24,2,false),0)</f>
        <v>5</v>
      </c>
      <c r="K24" s="10">
        <f>IFERROR(vlookup('1.8'!J:J,lookup!$A$26:$B$28,2,false),0)</f>
        <v>5</v>
      </c>
      <c r="L24" s="1"/>
      <c r="M24" s="10">
        <v>23.0</v>
      </c>
      <c r="N24" s="11" t="str">
        <f t="shared" si="1"/>
        <v>bnco1023@signalschool.ac.th</v>
      </c>
      <c r="O24" s="12">
        <f t="shared" si="2"/>
        <v>1</v>
      </c>
      <c r="R24" s="6" t="s">
        <v>237</v>
      </c>
    </row>
    <row r="25">
      <c r="A25" s="8">
        <f>'1.8'!A:A</f>
        <v>46262.53216</v>
      </c>
      <c r="B25" s="1" t="str">
        <f>'1.8'!B:B</f>
        <v>bnco1069@signalschool.ac.th</v>
      </c>
      <c r="C25" s="1" t="str">
        <f>'1.8'!C:C</f>
        <v>จ.ส.ต.พรสุพพัต  วุฒิสุวรรณ</v>
      </c>
      <c r="D25" s="9">
        <v>1.0</v>
      </c>
      <c r="E25" s="10">
        <f>IFERROR(vlookup('1.8'!D:D,lookup!$A$2:$B$4,2,false),0)</f>
        <v>5</v>
      </c>
      <c r="F25" s="10">
        <f>IFERROR(vlookup('1.8'!E:E,lookup!$A$6:$B$8,2,false),0)</f>
        <v>5</v>
      </c>
      <c r="G25" s="10">
        <f>IFERROR(vlookup('1.8'!F:F,lookup!$A$10:$B$12,2,false),0)</f>
        <v>5</v>
      </c>
      <c r="H25" s="10">
        <f>IFERROR(vlookup('1.8'!G:G,lookup!$A$14:$B$16,2,false),0)</f>
        <v>5</v>
      </c>
      <c r="I25" s="10">
        <f>IFERROR(vlookup('1.8'!H:H,lookup!$A$18:$B$20,2,false),0)</f>
        <v>5</v>
      </c>
      <c r="J25" s="10">
        <f>IFERROR(vlookup('1.8'!I:I,lookup!$A$22:$B$24,2,false),0)</f>
        <v>5</v>
      </c>
      <c r="K25" s="10">
        <f>IFERROR(vlookup('1.8'!J:J,lookup!$A$26:$B$28,2,false),0)</f>
        <v>5</v>
      </c>
      <c r="L25" s="1"/>
      <c r="M25" s="10">
        <v>24.0</v>
      </c>
      <c r="N25" s="11" t="str">
        <f t="shared" si="1"/>
        <v>bnco1024@signalschool.ac.th</v>
      </c>
      <c r="O25" s="12">
        <f t="shared" si="2"/>
        <v>1</v>
      </c>
      <c r="R25" s="6" t="s">
        <v>238</v>
      </c>
    </row>
    <row r="26">
      <c r="A26" s="8">
        <f>'1.8'!A:A</f>
        <v>46262.54045</v>
      </c>
      <c r="B26" s="1" t="str">
        <f>'1.8'!B:B</f>
        <v>bnco1066@signalschool.ac.th</v>
      </c>
      <c r="C26" s="1" t="str">
        <f>'1.8'!C:C</f>
        <v>จ.ส.ต.พรสุพพัต วุฒิสุวรรณ, ส.อ.วิริทธิ์พล แข็งธัญญะกรณ์, ส.อ.มงคล บุญญะถิติ</v>
      </c>
      <c r="D26" s="9">
        <v>1.0</v>
      </c>
      <c r="E26" s="10">
        <f>IFERROR(vlookup('1.8'!D:D,lookup!$A$2:$B$4,2,false),0)</f>
        <v>5</v>
      </c>
      <c r="F26" s="10">
        <f>IFERROR(vlookup('1.8'!E:E,lookup!$A$6:$B$8,2,false),0)</f>
        <v>5</v>
      </c>
      <c r="G26" s="10">
        <f>IFERROR(vlookup('1.8'!F:F,lookup!$A$10:$B$12,2,false),0)</f>
        <v>5</v>
      </c>
      <c r="H26" s="10">
        <f>IFERROR(vlookup('1.8'!G:G,lookup!$A$14:$B$16,2,false),0)</f>
        <v>5</v>
      </c>
      <c r="I26" s="10">
        <f>IFERROR(vlookup('1.8'!H:H,lookup!$A$18:$B$20,2,false),0)</f>
        <v>5</v>
      </c>
      <c r="J26" s="10">
        <f>IFERROR(vlookup('1.8'!I:I,lookup!$A$22:$B$24,2,false),0)</f>
        <v>5</v>
      </c>
      <c r="K26" s="10">
        <f>IFERROR(vlookup('1.8'!J:J,lookup!$A$26:$B$28,2,false),0)</f>
        <v>5</v>
      </c>
      <c r="L26" s="1"/>
      <c r="M26" s="10">
        <v>25.0</v>
      </c>
      <c r="N26" s="11" t="str">
        <f t="shared" si="1"/>
        <v>bnco1025@signalschool.ac.th</v>
      </c>
      <c r="O26" s="12">
        <f t="shared" si="2"/>
        <v>0</v>
      </c>
      <c r="R26" s="6" t="s">
        <v>239</v>
      </c>
    </row>
    <row r="27">
      <c r="A27" s="8">
        <f>'1.8'!A:A</f>
        <v>46262.5556</v>
      </c>
      <c r="B27" s="1" t="str">
        <f>'1.8'!B:B</f>
        <v>bnco1068@signalschool.ac.th</v>
      </c>
      <c r="C27" s="1" t="str">
        <f>'1.8'!C:C</f>
        <v>จ.ส.ต. พรสุพพัต  วุฒิสุวรรณ</v>
      </c>
      <c r="D27" s="9">
        <v>1.0</v>
      </c>
      <c r="E27" s="10">
        <f>IFERROR(vlookup('1.8'!D:D,lookup!$A$2:$B$4,2,false),0)</f>
        <v>5</v>
      </c>
      <c r="F27" s="10">
        <f>IFERROR(vlookup('1.8'!E:E,lookup!$A$6:$B$8,2,false),0)</f>
        <v>5</v>
      </c>
      <c r="G27" s="10">
        <f>IFERROR(vlookup('1.8'!F:F,lookup!$A$10:$B$12,2,false),0)</f>
        <v>5</v>
      </c>
      <c r="H27" s="10">
        <f>IFERROR(vlookup('1.8'!G:G,lookup!$A$14:$B$16,2,false),0)</f>
        <v>5</v>
      </c>
      <c r="I27" s="10">
        <f>IFERROR(vlookup('1.8'!H:H,lookup!$A$18:$B$20,2,false),0)</f>
        <v>5</v>
      </c>
      <c r="J27" s="10">
        <f>IFERROR(vlookup('1.8'!I:I,lookup!$A$22:$B$24,2,false),0)</f>
        <v>5</v>
      </c>
      <c r="K27" s="10">
        <f>IFERROR(vlookup('1.8'!J:J,lookup!$A$26:$B$28,2,false),0)</f>
        <v>5</v>
      </c>
      <c r="L27" s="1"/>
      <c r="M27" s="10">
        <v>26.0</v>
      </c>
      <c r="N27" s="11" t="str">
        <f t="shared" si="1"/>
        <v>bnco1026@signalschool.ac.th</v>
      </c>
      <c r="O27" s="12">
        <f t="shared" si="2"/>
        <v>1</v>
      </c>
      <c r="R27" s="6" t="s">
        <v>240</v>
      </c>
    </row>
    <row r="28">
      <c r="A28" s="8">
        <f>'1.8'!A:A</f>
        <v>46262.55624</v>
      </c>
      <c r="B28" s="1" t="str">
        <f>'1.8'!B:B</f>
        <v>bnco1044@signalschool.ac.th</v>
      </c>
      <c r="C28" s="1" t="str">
        <f>'1.8'!C:C</f>
        <v>จ.ส.ต. พรสุพพัต วุฒิสุวรรณ</v>
      </c>
      <c r="D28" s="9">
        <v>1.0</v>
      </c>
      <c r="E28" s="10">
        <f>IFERROR(vlookup('1.8'!D:D,lookup!$A$2:$B$4,2,false),0)</f>
        <v>5</v>
      </c>
      <c r="F28" s="10">
        <f>IFERROR(vlookup('1.8'!E:E,lookup!$A$6:$B$8,2,false),0)</f>
        <v>5</v>
      </c>
      <c r="G28" s="10">
        <f>IFERROR(vlookup('1.8'!F:F,lookup!$A$10:$B$12,2,false),0)</f>
        <v>5</v>
      </c>
      <c r="H28" s="10">
        <f>IFERROR(vlookup('1.8'!G:G,lookup!$A$14:$B$16,2,false),0)</f>
        <v>5</v>
      </c>
      <c r="I28" s="10">
        <f>IFERROR(vlookup('1.8'!H:H,lookup!$A$18:$B$20,2,false),0)</f>
        <v>5</v>
      </c>
      <c r="J28" s="10">
        <f>IFERROR(vlookup('1.8'!I:I,lookup!$A$22:$B$24,2,false),0)</f>
        <v>5</v>
      </c>
      <c r="K28" s="10">
        <f>IFERROR(vlookup('1.8'!J:J,lookup!$A$26:$B$28,2,false),0)</f>
        <v>5</v>
      </c>
      <c r="L28" s="1"/>
      <c r="M28" s="10">
        <v>27.0</v>
      </c>
      <c r="N28" s="11" t="str">
        <f t="shared" si="1"/>
        <v>bnco1027@signalschool.ac.th</v>
      </c>
      <c r="O28" s="12">
        <f t="shared" si="2"/>
        <v>1</v>
      </c>
      <c r="R28" s="6" t="s">
        <v>241</v>
      </c>
    </row>
    <row r="29">
      <c r="A29" s="8">
        <f>'1.8'!A:A</f>
        <v>46262.5665</v>
      </c>
      <c r="B29" s="1" t="str">
        <f>'1.8'!B:B</f>
        <v>bnco1008@signalschool.ac.th</v>
      </c>
      <c r="C29" s="1" t="str">
        <f>'1.8'!C:C</f>
        <v>จ.ส.ต.พรสุพพัต วุฒิสุวรรณ,ส.อ.วิริทธิ์พล แข็งธัญญะกรณ์,ส.อ.มงคล บุญญะถิติ</v>
      </c>
      <c r="D29" s="9">
        <v>1.0</v>
      </c>
      <c r="E29" s="10">
        <f>IFERROR(vlookup('1.8'!D:D,lookup!$A$2:$B$4,2,false),0)</f>
        <v>5</v>
      </c>
      <c r="F29" s="10">
        <f>IFERROR(vlookup('1.8'!E:E,lookup!$A$6:$B$8,2,false),0)</f>
        <v>5</v>
      </c>
      <c r="G29" s="10">
        <f>IFERROR(vlookup('1.8'!F:F,lookup!$A$10:$B$12,2,false),0)</f>
        <v>5</v>
      </c>
      <c r="H29" s="10">
        <f>IFERROR(vlookup('1.8'!G:G,lookup!$A$14:$B$16,2,false),0)</f>
        <v>5</v>
      </c>
      <c r="I29" s="10">
        <f>IFERROR(vlookup('1.8'!H:H,lookup!$A$18:$B$20,2,false),0)</f>
        <v>5</v>
      </c>
      <c r="J29" s="10">
        <f>IFERROR(vlookup('1.8'!I:I,lookup!$A$22:$B$24,2,false),0)</f>
        <v>5</v>
      </c>
      <c r="K29" s="10">
        <f>IFERROR(vlookup('1.8'!J:J,lookup!$A$26:$B$28,2,false),0)</f>
        <v>5</v>
      </c>
      <c r="L29" s="1"/>
      <c r="M29" s="10">
        <v>28.0</v>
      </c>
      <c r="N29" s="11" t="str">
        <f t="shared" si="1"/>
        <v>bnco1028@signalschool.ac.th</v>
      </c>
      <c r="O29" s="12">
        <f t="shared" si="2"/>
        <v>0</v>
      </c>
      <c r="R29" s="6" t="s">
        <v>242</v>
      </c>
    </row>
    <row r="30">
      <c r="A30" s="8">
        <f>'1.8'!A:A</f>
        <v>46262.56679</v>
      </c>
      <c r="B30" s="1" t="str">
        <f>'1.8'!B:B</f>
        <v>bnco1049@signalschool.ac.th</v>
      </c>
      <c r="C30" s="1" t="str">
        <f>'1.8'!C:C</f>
        <v>จ.ส.ต.พรสุพพัต วุฒิสุวรรณ, ส.อ.วิริทธิ์พล แข็งธัญญะกรณ์, ส.อ.มงคล บุญญะถิติ</v>
      </c>
      <c r="D30" s="9">
        <v>1.0</v>
      </c>
      <c r="E30" s="10">
        <f>IFERROR(vlookup('1.8'!D:D,lookup!$A$2:$B$4,2,false),0)</f>
        <v>5</v>
      </c>
      <c r="F30" s="10">
        <f>IFERROR(vlookup('1.8'!E:E,lookup!$A$6:$B$8,2,false),0)</f>
        <v>5</v>
      </c>
      <c r="G30" s="10">
        <f>IFERROR(vlookup('1.8'!F:F,lookup!$A$10:$B$12,2,false),0)</f>
        <v>5</v>
      </c>
      <c r="H30" s="10">
        <f>IFERROR(vlookup('1.8'!G:G,lookup!$A$14:$B$16,2,false),0)</f>
        <v>5</v>
      </c>
      <c r="I30" s="10">
        <f>IFERROR(vlookup('1.8'!H:H,lookup!$A$18:$B$20,2,false),0)</f>
        <v>5</v>
      </c>
      <c r="J30" s="10">
        <f>IFERROR(vlookup('1.8'!I:I,lookup!$A$22:$B$24,2,false),0)</f>
        <v>5</v>
      </c>
      <c r="K30" s="10">
        <f>IFERROR(vlookup('1.8'!J:J,lookup!$A$26:$B$28,2,false),0)</f>
        <v>5</v>
      </c>
      <c r="L30" s="1"/>
      <c r="M30" s="10">
        <v>29.0</v>
      </c>
      <c r="N30" s="11" t="str">
        <f t="shared" si="1"/>
        <v>bnco1029@signalschool.ac.th</v>
      </c>
      <c r="O30" s="12">
        <f t="shared" si="2"/>
        <v>0</v>
      </c>
      <c r="R30" s="6" t="s">
        <v>243</v>
      </c>
    </row>
    <row r="31">
      <c r="A31" s="8">
        <f>'1.8'!A:A</f>
        <v>46262.57403</v>
      </c>
      <c r="B31" s="1" t="str">
        <f>'1.8'!B:B</f>
        <v>bnco1022@signalschool.ac.th</v>
      </c>
      <c r="C31" s="1" t="str">
        <f>'1.8'!C:C</f>
        <v>จ.ส.ต.พรสุพพัต วุฒิสุวรรณ</v>
      </c>
      <c r="D31" s="9">
        <v>1.0</v>
      </c>
      <c r="E31" s="10">
        <f>IFERROR(vlookup('1.8'!D:D,lookup!$A$2:$B$4,2,false),0)</f>
        <v>5</v>
      </c>
      <c r="F31" s="10">
        <f>IFERROR(vlookup('1.8'!E:E,lookup!$A$6:$B$8,2,false),0)</f>
        <v>5</v>
      </c>
      <c r="G31" s="10">
        <f>IFERROR(vlookup('1.8'!F:F,lookup!$A$10:$B$12,2,false),0)</f>
        <v>5</v>
      </c>
      <c r="H31" s="10">
        <f>IFERROR(vlookup('1.8'!G:G,lookup!$A$14:$B$16,2,false),0)</f>
        <v>5</v>
      </c>
      <c r="I31" s="10">
        <f>IFERROR(vlookup('1.8'!H:H,lookup!$A$18:$B$20,2,false),0)</f>
        <v>5</v>
      </c>
      <c r="J31" s="10">
        <f>IFERROR(vlookup('1.8'!I:I,lookup!$A$22:$B$24,2,false),0)</f>
        <v>5</v>
      </c>
      <c r="K31" s="10">
        <f>IFERROR(vlookup('1.8'!J:J,lookup!$A$26:$B$28,2,false),0)</f>
        <v>5</v>
      </c>
      <c r="L31" s="1"/>
      <c r="M31" s="10">
        <v>30.0</v>
      </c>
      <c r="N31" s="11" t="str">
        <f t="shared" si="1"/>
        <v>bnco1030@signalschool.ac.th</v>
      </c>
      <c r="O31" s="12">
        <f t="shared" si="2"/>
        <v>0</v>
      </c>
      <c r="R31" s="6" t="s">
        <v>244</v>
      </c>
    </row>
    <row r="32">
      <c r="A32" s="8">
        <f>'1.8'!A:A</f>
        <v>46262.58585</v>
      </c>
      <c r="B32" s="1" t="str">
        <f>'1.8'!B:B</f>
        <v>bnco1005@signalschool.ac.th</v>
      </c>
      <c r="C32" s="1" t="str">
        <f>'1.8'!C:C</f>
        <v>จ.ส.ต.พรสุพพัต วุฒิสุวรรณ</v>
      </c>
      <c r="D32" s="9">
        <v>1.0</v>
      </c>
      <c r="E32" s="10">
        <f>IFERROR(vlookup('1.8'!D:D,lookup!$A$2:$B$4,2,false),0)</f>
        <v>5</v>
      </c>
      <c r="F32" s="10">
        <f>IFERROR(vlookup('1.8'!E:E,lookup!$A$6:$B$8,2,false),0)</f>
        <v>5</v>
      </c>
      <c r="G32" s="10">
        <f>IFERROR(vlookup('1.8'!F:F,lookup!$A$10:$B$12,2,false),0)</f>
        <v>5</v>
      </c>
      <c r="H32" s="10">
        <f>IFERROR(vlookup('1.8'!G:G,lookup!$A$14:$B$16,2,false),0)</f>
        <v>5</v>
      </c>
      <c r="I32" s="10">
        <f>IFERROR(vlookup('1.8'!H:H,lookup!$A$18:$B$20,2,false),0)</f>
        <v>5</v>
      </c>
      <c r="J32" s="10">
        <f>IFERROR(vlookup('1.8'!I:I,lookup!$A$22:$B$24,2,false),0)</f>
        <v>5</v>
      </c>
      <c r="K32" s="10">
        <f>IFERROR(vlookup('1.8'!J:J,lookup!$A$26:$B$28,2,false),0)</f>
        <v>5</v>
      </c>
      <c r="L32" s="1"/>
      <c r="M32" s="10">
        <v>31.0</v>
      </c>
      <c r="N32" s="11" t="str">
        <f t="shared" si="1"/>
        <v>bnco1031@signalschool.ac.th</v>
      </c>
      <c r="O32" s="12">
        <f t="shared" si="2"/>
        <v>1</v>
      </c>
      <c r="R32" s="6" t="s">
        <v>245</v>
      </c>
    </row>
    <row r="33">
      <c r="A33" s="8">
        <f>'1.8'!A:A</f>
        <v>46262.58604</v>
      </c>
      <c r="B33" s="1" t="str">
        <f>'1.8'!B:B</f>
        <v>bnco1067@signalschool.ac.th</v>
      </c>
      <c r="C33" s="1" t="str">
        <f>'1.8'!C:C</f>
        <v>จ.ส.ต.พรสุพพัต วุฒิสุวรรณ</v>
      </c>
      <c r="D33" s="9">
        <v>1.0</v>
      </c>
      <c r="E33" s="10">
        <f>IFERROR(vlookup('1.8'!D:D,lookup!$A$2:$B$4,2,false),0)</f>
        <v>5</v>
      </c>
      <c r="F33" s="10">
        <f>IFERROR(vlookup('1.8'!E:E,lookup!$A$6:$B$8,2,false),0)</f>
        <v>5</v>
      </c>
      <c r="G33" s="10">
        <f>IFERROR(vlookup('1.8'!F:F,lookup!$A$10:$B$12,2,false),0)</f>
        <v>5</v>
      </c>
      <c r="H33" s="10">
        <f>IFERROR(vlookup('1.8'!G:G,lookup!$A$14:$B$16,2,false),0)</f>
        <v>5</v>
      </c>
      <c r="I33" s="10">
        <f>IFERROR(vlookup('1.8'!H:H,lookup!$A$18:$B$20,2,false),0)</f>
        <v>5</v>
      </c>
      <c r="J33" s="10">
        <f>IFERROR(vlookup('1.8'!I:I,lookup!$A$22:$B$24,2,false),0)</f>
        <v>5</v>
      </c>
      <c r="K33" s="10">
        <f>IFERROR(vlookup('1.8'!J:J,lookup!$A$26:$B$28,2,false),0)</f>
        <v>5</v>
      </c>
      <c r="L33" s="1"/>
      <c r="M33" s="10">
        <v>32.0</v>
      </c>
      <c r="N33" s="11" t="str">
        <f t="shared" si="1"/>
        <v>bnco1032@signalschool.ac.th</v>
      </c>
      <c r="O33" s="12">
        <f t="shared" si="2"/>
        <v>1</v>
      </c>
      <c r="R33" s="6" t="s">
        <v>246</v>
      </c>
    </row>
    <row r="34">
      <c r="A34" s="8">
        <f>'1.8'!A:A</f>
        <v>46262.58809</v>
      </c>
      <c r="B34" s="1" t="str">
        <f>'1.8'!B:B</f>
        <v>bnco1039@signalschool.ac.th</v>
      </c>
      <c r="C34" s="1" t="str">
        <f>'1.8'!C:C</f>
        <v>จ.ส.ต.พรสุพพัต วุฒิสุวรรณ</v>
      </c>
      <c r="D34" s="9">
        <v>1.0</v>
      </c>
      <c r="E34" s="10">
        <f>IFERROR(vlookup('1.8'!D:D,lookup!$A$2:$B$4,2,false),0)</f>
        <v>5</v>
      </c>
      <c r="F34" s="10">
        <f>IFERROR(vlookup('1.8'!E:E,lookup!$A$6:$B$8,2,false),0)</f>
        <v>5</v>
      </c>
      <c r="G34" s="10">
        <f>IFERROR(vlookup('1.8'!F:F,lookup!$A$10:$B$12,2,false),0)</f>
        <v>5</v>
      </c>
      <c r="H34" s="10">
        <f>IFERROR(vlookup('1.8'!G:G,lookup!$A$14:$B$16,2,false),0)</f>
        <v>5</v>
      </c>
      <c r="I34" s="10">
        <f>IFERROR(vlookup('1.8'!H:H,lookup!$A$18:$B$20,2,false),0)</f>
        <v>5</v>
      </c>
      <c r="J34" s="10">
        <f>IFERROR(vlookup('1.8'!I:I,lookup!$A$22:$B$24,2,false),0)</f>
        <v>3</v>
      </c>
      <c r="K34" s="10">
        <f>IFERROR(vlookup('1.8'!J:J,lookup!$A$26:$B$28,2,false),0)</f>
        <v>5</v>
      </c>
      <c r="L34" s="1"/>
      <c r="M34" s="10">
        <v>33.0</v>
      </c>
      <c r="N34" s="11" t="str">
        <f t="shared" si="1"/>
        <v>bnco1033@signalschool.ac.th</v>
      </c>
      <c r="O34" s="12">
        <f t="shared" si="2"/>
        <v>0</v>
      </c>
      <c r="R34" s="6" t="s">
        <v>247</v>
      </c>
    </row>
    <row r="35">
      <c r="A35" s="8">
        <f>'1.8'!A:A</f>
        <v>46262.59816</v>
      </c>
      <c r="B35" s="1" t="str">
        <f>'1.8'!B:B</f>
        <v>bnco1045@signalschool.ac.th</v>
      </c>
      <c r="C35" s="1" t="str">
        <f>'1.8'!C:C</f>
        <v>จ.ส.ต.พรสุพพัต  วุฒิสุวรรณ</v>
      </c>
      <c r="D35" s="9">
        <v>1.0</v>
      </c>
      <c r="E35" s="10">
        <f>IFERROR(vlookup('1.8'!D:D,lookup!$A$2:$B$4,2,false),0)</f>
        <v>5</v>
      </c>
      <c r="F35" s="10">
        <f>IFERROR(vlookup('1.8'!E:E,lookup!$A$6:$B$8,2,false),0)</f>
        <v>5</v>
      </c>
      <c r="G35" s="10">
        <f>IFERROR(vlookup('1.8'!F:F,lookup!$A$10:$B$12,2,false),0)</f>
        <v>5</v>
      </c>
      <c r="H35" s="10">
        <f>IFERROR(vlookup('1.8'!G:G,lookup!$A$14:$B$16,2,false),0)</f>
        <v>5</v>
      </c>
      <c r="I35" s="10">
        <f>IFERROR(vlookup('1.8'!H:H,lookup!$A$18:$B$20,2,false),0)</f>
        <v>5</v>
      </c>
      <c r="J35" s="10">
        <f>IFERROR(vlookup('1.8'!I:I,lookup!$A$22:$B$24,2,false),0)</f>
        <v>5</v>
      </c>
      <c r="K35" s="10">
        <f>IFERROR(vlookup('1.8'!J:J,lookup!$A$26:$B$28,2,false),0)</f>
        <v>5</v>
      </c>
      <c r="L35" s="1"/>
      <c r="M35" s="10">
        <v>34.0</v>
      </c>
      <c r="N35" s="11" t="str">
        <f t="shared" si="1"/>
        <v>bnco1034@signalschool.ac.th</v>
      </c>
      <c r="O35" s="12">
        <f t="shared" si="2"/>
        <v>1</v>
      </c>
      <c r="R35" s="6" t="s">
        <v>248</v>
      </c>
    </row>
    <row r="36">
      <c r="A36" s="8">
        <f>'1.8'!A:A</f>
        <v>46262.61436</v>
      </c>
      <c r="B36" s="1" t="str">
        <f>'1.8'!B:B</f>
        <v>bnco1080@signalschool.ac.th</v>
      </c>
      <c r="C36" s="1" t="str">
        <f>'1.8'!C:C</f>
        <v>จ.ส.ต.พรสุพพัด  วุฒิสุวรรณ</v>
      </c>
      <c r="D36" s="9">
        <v>1.0</v>
      </c>
      <c r="E36" s="10">
        <f>IFERROR(vlookup('1.8'!D:D,lookup!$A$2:$B$4,2,false),0)</f>
        <v>5</v>
      </c>
      <c r="F36" s="10">
        <f>IFERROR(vlookup('1.8'!E:E,lookup!$A$6:$B$8,2,false),0)</f>
        <v>5</v>
      </c>
      <c r="G36" s="10">
        <f>IFERROR(vlookup('1.8'!F:F,lookup!$A$10:$B$12,2,false),0)</f>
        <v>5</v>
      </c>
      <c r="H36" s="10">
        <f>IFERROR(vlookup('1.8'!G:G,lookup!$A$14:$B$16,2,false),0)</f>
        <v>5</v>
      </c>
      <c r="I36" s="10">
        <f>IFERROR(vlookup('1.8'!H:H,lookup!$A$18:$B$20,2,false),0)</f>
        <v>5</v>
      </c>
      <c r="J36" s="10">
        <f>IFERROR(vlookup('1.8'!I:I,lookup!$A$22:$B$24,2,false),0)</f>
        <v>5</v>
      </c>
      <c r="K36" s="10">
        <f>IFERROR(vlookup('1.8'!J:J,lookup!$A$26:$B$28,2,false),0)</f>
        <v>5</v>
      </c>
      <c r="L36" s="1"/>
      <c r="M36" s="10">
        <v>35.0</v>
      </c>
      <c r="N36" s="11" t="str">
        <f t="shared" si="1"/>
        <v>bnco1035@signalschool.ac.th</v>
      </c>
      <c r="O36" s="12">
        <f t="shared" si="2"/>
        <v>1</v>
      </c>
      <c r="R36" s="6" t="s">
        <v>249</v>
      </c>
    </row>
    <row r="37">
      <c r="A37" s="8">
        <f>'1.8'!A:A</f>
        <v>46262.63615</v>
      </c>
      <c r="B37" s="1" t="str">
        <f>'1.8'!B:B</f>
        <v>bnco1064@signalschool.ac.th</v>
      </c>
      <c r="C37" s="1" t="str">
        <f>'1.8'!C:C</f>
        <v>จ.ส.ต.พรสุพพัต วุฒิสุวรรณ ส.อ.วิริทธิ์พล แข็งธัญะกรณ์  ส.อ.มงคล บุญญะถิติ</v>
      </c>
      <c r="D37" s="9">
        <v>1.0</v>
      </c>
      <c r="E37" s="10">
        <f>IFERROR(vlookup('1.8'!D:D,lookup!$A$2:$B$4,2,false),0)</f>
        <v>5</v>
      </c>
      <c r="F37" s="10">
        <f>IFERROR(vlookup('1.8'!E:E,lookup!$A$6:$B$8,2,false),0)</f>
        <v>5</v>
      </c>
      <c r="G37" s="10">
        <f>IFERROR(vlookup('1.8'!F:F,lookup!$A$10:$B$12,2,false),0)</f>
        <v>5</v>
      </c>
      <c r="H37" s="10">
        <f>IFERROR(vlookup('1.8'!G:G,lookup!$A$14:$B$16,2,false),0)</f>
        <v>5</v>
      </c>
      <c r="I37" s="10">
        <f>IFERROR(vlookup('1.8'!H:H,lookup!$A$18:$B$20,2,false),0)</f>
        <v>5</v>
      </c>
      <c r="J37" s="10">
        <f>IFERROR(vlookup('1.8'!I:I,lookup!$A$22:$B$24,2,false),0)</f>
        <v>5</v>
      </c>
      <c r="K37" s="10">
        <f>IFERROR(vlookup('1.8'!J:J,lookup!$A$26:$B$28,2,false),0)</f>
        <v>5</v>
      </c>
      <c r="L37" s="1"/>
      <c r="M37" s="10">
        <v>36.0</v>
      </c>
      <c r="N37" s="11" t="str">
        <f t="shared" si="1"/>
        <v>bnco1036@signalschool.ac.th</v>
      </c>
      <c r="O37" s="12">
        <f t="shared" si="2"/>
        <v>1</v>
      </c>
      <c r="R37" s="6" t="s">
        <v>250</v>
      </c>
    </row>
    <row r="38">
      <c r="A38" s="8">
        <f>'1.8'!A:A</f>
        <v>46262.64606</v>
      </c>
      <c r="B38" s="1" t="str">
        <f>'1.8'!B:B</f>
        <v>bnco1027@signalschool.ac.th</v>
      </c>
      <c r="C38" s="1" t="str">
        <f>'1.8'!C:C</f>
        <v>ส.อ.มงคล บัญญะถิติ</v>
      </c>
      <c r="D38" s="9">
        <v>1.0</v>
      </c>
      <c r="E38" s="10">
        <f>IFERROR(vlookup('1.8'!D:D,lookup!$A$2:$B$4,2,false),0)</f>
        <v>5</v>
      </c>
      <c r="F38" s="10">
        <f>IFERROR(vlookup('1.8'!E:E,lookup!$A$6:$B$8,2,false),0)</f>
        <v>5</v>
      </c>
      <c r="G38" s="10">
        <f>IFERROR(vlookup('1.8'!F:F,lookup!$A$10:$B$12,2,false),0)</f>
        <v>5</v>
      </c>
      <c r="H38" s="10">
        <f>IFERROR(vlookup('1.8'!G:G,lookup!$A$14:$B$16,2,false),0)</f>
        <v>5</v>
      </c>
      <c r="I38" s="10">
        <f>IFERROR(vlookup('1.8'!H:H,lookup!$A$18:$B$20,2,false),0)</f>
        <v>5</v>
      </c>
      <c r="J38" s="10">
        <f>IFERROR(vlookup('1.8'!I:I,lookup!$A$22:$B$24,2,false),0)</f>
        <v>5</v>
      </c>
      <c r="K38" s="10">
        <f>IFERROR(vlookup('1.8'!J:J,lookup!$A$26:$B$28,2,false),0)</f>
        <v>5</v>
      </c>
      <c r="L38" s="1"/>
      <c r="M38" s="10">
        <v>37.0</v>
      </c>
      <c r="N38" s="11" t="str">
        <f t="shared" si="1"/>
        <v>bnco1037@signalschool.ac.th</v>
      </c>
      <c r="O38" s="12">
        <f t="shared" si="2"/>
        <v>0</v>
      </c>
      <c r="R38" s="6" t="s">
        <v>251</v>
      </c>
    </row>
    <row r="39">
      <c r="A39" s="8">
        <f>'1.8'!A:A</f>
        <v>46262.6465</v>
      </c>
      <c r="B39" s="1" t="str">
        <f>'1.8'!B:B</f>
        <v>bnco1021@signalschool.ac.th</v>
      </c>
      <c r="C39" s="1" t="str">
        <f>'1.8'!C:C</f>
        <v>จ.ส.ต. พรสุพพัต วุฒิสุวรรณ</v>
      </c>
      <c r="D39" s="9">
        <v>1.0</v>
      </c>
      <c r="E39" s="10">
        <f>IFERROR(vlookup('1.8'!D:D,lookup!$A$2:$B$4,2,false),0)</f>
        <v>5</v>
      </c>
      <c r="F39" s="10">
        <f>IFERROR(vlookup('1.8'!E:E,lookup!$A$6:$B$8,2,false),0)</f>
        <v>5</v>
      </c>
      <c r="G39" s="10">
        <f>IFERROR(vlookup('1.8'!F:F,lookup!$A$10:$B$12,2,false),0)</f>
        <v>5</v>
      </c>
      <c r="H39" s="10">
        <f>IFERROR(vlookup('1.8'!G:G,lookup!$A$14:$B$16,2,false),0)</f>
        <v>5</v>
      </c>
      <c r="I39" s="10">
        <f>IFERROR(vlookup('1.8'!H:H,lookup!$A$18:$B$20,2,false),0)</f>
        <v>5</v>
      </c>
      <c r="J39" s="10">
        <f>IFERROR(vlookup('1.8'!I:I,lookup!$A$22:$B$24,2,false),0)</f>
        <v>5</v>
      </c>
      <c r="K39" s="10">
        <f>IFERROR(vlookup('1.8'!J:J,lookup!$A$26:$B$28,2,false),0)</f>
        <v>5</v>
      </c>
      <c r="L39" s="1"/>
      <c r="M39" s="10">
        <v>38.0</v>
      </c>
      <c r="N39" s="11" t="str">
        <f t="shared" si="1"/>
        <v>bnco1038@signalschool.ac.th</v>
      </c>
      <c r="O39" s="12">
        <f t="shared" si="2"/>
        <v>1</v>
      </c>
      <c r="R39" s="6" t="s">
        <v>252</v>
      </c>
    </row>
    <row r="40">
      <c r="A40" s="8">
        <f>'1.8'!A:A</f>
        <v>46262.74919</v>
      </c>
      <c r="B40" s="1" t="str">
        <f>'1.8'!B:B</f>
        <v>bnco1072@signalschool.ac.th</v>
      </c>
      <c r="C40" s="1" t="str">
        <f>'1.8'!C:C</f>
        <v>ส.อ.มงคล  บุญญะถิติ</v>
      </c>
      <c r="D40" s="9">
        <v>1.0</v>
      </c>
      <c r="E40" s="10">
        <f>IFERROR(vlookup('1.8'!D:D,lookup!$A$2:$B$4,2,false),0)</f>
        <v>5</v>
      </c>
      <c r="F40" s="10">
        <f>IFERROR(vlookup('1.8'!E:E,lookup!$A$6:$B$8,2,false),0)</f>
        <v>5</v>
      </c>
      <c r="G40" s="10">
        <f>IFERROR(vlookup('1.8'!F:F,lookup!$A$10:$B$12,2,false),0)</f>
        <v>5</v>
      </c>
      <c r="H40" s="10">
        <f>IFERROR(vlookup('1.8'!G:G,lookup!$A$14:$B$16,2,false),0)</f>
        <v>5</v>
      </c>
      <c r="I40" s="10">
        <f>IFERROR(vlookup('1.8'!H:H,lookup!$A$18:$B$20,2,false),0)</f>
        <v>5</v>
      </c>
      <c r="J40" s="10">
        <f>IFERROR(vlookup('1.8'!I:I,lookup!$A$22:$B$24,2,false),0)</f>
        <v>5</v>
      </c>
      <c r="K40" s="10">
        <f>IFERROR(vlookup('1.8'!J:J,lookup!$A$26:$B$28,2,false),0)</f>
        <v>5</v>
      </c>
      <c r="L40" s="1"/>
      <c r="M40" s="10">
        <v>39.0</v>
      </c>
      <c r="N40" s="11" t="str">
        <f t="shared" si="1"/>
        <v>bnco1039@signalschool.ac.th</v>
      </c>
      <c r="O40" s="12">
        <f t="shared" si="2"/>
        <v>1</v>
      </c>
      <c r="R40" s="6" t="s">
        <v>253</v>
      </c>
    </row>
    <row r="41">
      <c r="A41" s="8">
        <f>'1.8'!A:A</f>
        <v>46262.79733</v>
      </c>
      <c r="B41" s="1" t="str">
        <f>'1.8'!B:B</f>
        <v>bnco1014@signalschool.ac.th</v>
      </c>
      <c r="C41" s="1" t="str">
        <f>'1.8'!C:C</f>
        <v>ส.อ.มงคล บุญญะถิติ</v>
      </c>
      <c r="D41" s="9">
        <v>1.0</v>
      </c>
      <c r="E41" s="10">
        <f>IFERROR(vlookup('1.8'!D:D,lookup!$A$2:$B$4,2,false),0)</f>
        <v>5</v>
      </c>
      <c r="F41" s="10">
        <f>IFERROR(vlookup('1.8'!E:E,lookup!$A$6:$B$8,2,false),0)</f>
        <v>5</v>
      </c>
      <c r="G41" s="10">
        <f>IFERROR(vlookup('1.8'!F:F,lookup!$A$10:$B$12,2,false),0)</f>
        <v>5</v>
      </c>
      <c r="H41" s="10">
        <f>IFERROR(vlookup('1.8'!G:G,lookup!$A$14:$B$16,2,false),0)</f>
        <v>5</v>
      </c>
      <c r="I41" s="10">
        <f>IFERROR(vlookup('1.8'!H:H,lookup!$A$18:$B$20,2,false),0)</f>
        <v>5</v>
      </c>
      <c r="J41" s="10">
        <f>IFERROR(vlookup('1.8'!I:I,lookup!$A$22:$B$24,2,false),0)</f>
        <v>5</v>
      </c>
      <c r="K41" s="10">
        <f>IFERROR(vlookup('1.8'!J:J,lookup!$A$26:$B$28,2,false),0)</f>
        <v>5</v>
      </c>
      <c r="L41" s="1"/>
      <c r="M41" s="10">
        <v>40.0</v>
      </c>
      <c r="N41" s="11" t="str">
        <f t="shared" si="1"/>
        <v>bnco1040@signalschool.ac.th</v>
      </c>
      <c r="O41" s="12">
        <f t="shared" si="2"/>
        <v>1</v>
      </c>
      <c r="R41" s="6" t="s">
        <v>254</v>
      </c>
    </row>
    <row r="42">
      <c r="A42" s="8">
        <f>'1.8'!A:A</f>
        <v>46262.87707</v>
      </c>
      <c r="B42" s="1" t="str">
        <f>'1.8'!B:B</f>
        <v>bnco1076@signalschool.ac.th</v>
      </c>
      <c r="C42" s="1" t="str">
        <f>'1.8'!C:C</f>
        <v>จ.ส.ต. พรสุพพัต วุฒิสุวรรณ, ส.อ. วิริทธิ์พล แข็งธัญญะกรณ์, ส.อ. มงคล บุญญะถิติ</v>
      </c>
      <c r="D42" s="9">
        <v>1.0</v>
      </c>
      <c r="E42" s="10">
        <f>IFERROR(vlookup('1.8'!D:D,lookup!$A$2:$B$4,2,false),0)</f>
        <v>5</v>
      </c>
      <c r="F42" s="10">
        <f>IFERROR(vlookup('1.8'!E:E,lookup!$A$6:$B$8,2,false),0)</f>
        <v>5</v>
      </c>
      <c r="G42" s="10">
        <f>IFERROR(vlookup('1.8'!F:F,lookup!$A$10:$B$12,2,false),0)</f>
        <v>5</v>
      </c>
      <c r="H42" s="10">
        <f>IFERROR(vlookup('1.8'!G:G,lookup!$A$14:$B$16,2,false),0)</f>
        <v>5</v>
      </c>
      <c r="I42" s="10">
        <f>IFERROR(vlookup('1.8'!H:H,lookup!$A$18:$B$20,2,false),0)</f>
        <v>5</v>
      </c>
      <c r="J42" s="10">
        <f>IFERROR(vlookup('1.8'!I:I,lookup!$A$22:$B$24,2,false),0)</f>
        <v>5</v>
      </c>
      <c r="K42" s="10">
        <f>IFERROR(vlookup('1.8'!J:J,lookup!$A$26:$B$28,2,false),0)</f>
        <v>5</v>
      </c>
      <c r="L42" s="1"/>
      <c r="M42" s="10">
        <v>41.0</v>
      </c>
      <c r="N42" s="11" t="str">
        <f t="shared" si="1"/>
        <v>bnco1041@signalschool.ac.th</v>
      </c>
      <c r="O42" s="12">
        <f t="shared" si="2"/>
        <v>1</v>
      </c>
      <c r="R42" s="6" t="s">
        <v>255</v>
      </c>
    </row>
    <row r="43">
      <c r="A43" s="8">
        <f>'1.8'!A:A</f>
        <v>46262.96158</v>
      </c>
      <c r="B43" s="1" t="str">
        <f>'1.8'!B:B</f>
        <v>bnco1061@signalschool.ac.th</v>
      </c>
      <c r="C43" s="1" t="str">
        <f>'1.8'!C:C</f>
        <v>ส.อ.มงคล บุญญะถิติ</v>
      </c>
      <c r="D43" s="9">
        <v>1.0</v>
      </c>
      <c r="E43" s="10">
        <f>IFERROR(vlookup('1.8'!D:D,lookup!$A$2:$B$4,2,false),0)</f>
        <v>5</v>
      </c>
      <c r="F43" s="10">
        <f>IFERROR(vlookup('1.8'!E:E,lookup!$A$6:$B$8,2,false),0)</f>
        <v>5</v>
      </c>
      <c r="G43" s="10">
        <f>IFERROR(vlookup('1.8'!F:F,lookup!$A$10:$B$12,2,false),0)</f>
        <v>5</v>
      </c>
      <c r="H43" s="10">
        <f>IFERROR(vlookup('1.8'!G:G,lookup!$A$14:$B$16,2,false),0)</f>
        <v>5</v>
      </c>
      <c r="I43" s="10">
        <f>IFERROR(vlookup('1.8'!H:H,lookup!$A$18:$B$20,2,false),0)</f>
        <v>5</v>
      </c>
      <c r="J43" s="10">
        <f>IFERROR(vlookup('1.8'!I:I,lookup!$A$22:$B$24,2,false),0)</f>
        <v>5</v>
      </c>
      <c r="K43" s="10">
        <f>IFERROR(vlookup('1.8'!J:J,lookup!$A$26:$B$28,2,false),0)</f>
        <v>5</v>
      </c>
      <c r="L43" s="1"/>
      <c r="M43" s="10">
        <v>42.0</v>
      </c>
      <c r="N43" s="11" t="str">
        <f t="shared" si="1"/>
        <v>bnco1042@signalschool.ac.th</v>
      </c>
      <c r="O43" s="12">
        <f t="shared" si="2"/>
        <v>1</v>
      </c>
      <c r="R43" s="6" t="s">
        <v>256</v>
      </c>
    </row>
    <row r="44">
      <c r="A44" s="8">
        <f>'1.8'!A:A</f>
        <v>46262.96326</v>
      </c>
      <c r="B44" s="1" t="str">
        <f>'1.8'!B:B</f>
        <v>bnco1071@signalschool.ac.th</v>
      </c>
      <c r="C44" s="1" t="str">
        <f>'1.8'!C:C</f>
        <v>จ.ส.ต.พรสุพพัต วุฒิสุวรรณ ส.อ.วิริทธิ์พล แข็งธัญญะกรณ์  ส.อ.มงคล  บุญญะถิติ</v>
      </c>
      <c r="D44" s="9">
        <v>1.0</v>
      </c>
      <c r="E44" s="10">
        <f>IFERROR(vlookup('1.8'!D:D,lookup!$A$2:$B$4,2,false),0)</f>
        <v>5</v>
      </c>
      <c r="F44" s="10">
        <f>IFERROR(vlookup('1.8'!E:E,lookup!$A$6:$B$8,2,false),0)</f>
        <v>5</v>
      </c>
      <c r="G44" s="10">
        <f>IFERROR(vlookup('1.8'!F:F,lookup!$A$10:$B$12,2,false),0)</f>
        <v>5</v>
      </c>
      <c r="H44" s="10">
        <f>IFERROR(vlookup('1.8'!G:G,lookup!$A$14:$B$16,2,false),0)</f>
        <v>5</v>
      </c>
      <c r="I44" s="10">
        <f>IFERROR(vlookup('1.8'!H:H,lookup!$A$18:$B$20,2,false),0)</f>
        <v>5</v>
      </c>
      <c r="J44" s="10">
        <f>IFERROR(vlookup('1.8'!I:I,lookup!$A$22:$B$24,2,false),0)</f>
        <v>5</v>
      </c>
      <c r="K44" s="10">
        <f>IFERROR(vlookup('1.8'!J:J,lookup!$A$26:$B$28,2,false),0)</f>
        <v>5</v>
      </c>
      <c r="L44" s="1"/>
      <c r="M44" s="10">
        <v>43.0</v>
      </c>
      <c r="N44" s="11" t="str">
        <f t="shared" si="1"/>
        <v>bnco1043@signalschool.ac.th</v>
      </c>
      <c r="O44" s="12">
        <f t="shared" si="2"/>
        <v>1</v>
      </c>
      <c r="R44" s="6" t="s">
        <v>257</v>
      </c>
    </row>
    <row r="45">
      <c r="A45" s="8">
        <f>'1.8'!A:A</f>
        <v>46263.60726</v>
      </c>
      <c r="B45" s="1" t="str">
        <f>'1.8'!B:B</f>
        <v>bnco1054@signalschool.ac.th</v>
      </c>
      <c r="C45" s="1" t="str">
        <f>'1.8'!C:C</f>
        <v>จ.ส.ต.พรสุพพัต วุฒิสุวรรณ ส.อ.วิริทธิ์พล แข็งธัญญะกรณ์ ส.อ.มงคล  บุญญะถิติ</v>
      </c>
      <c r="D45" s="9">
        <v>1.0</v>
      </c>
      <c r="E45" s="10">
        <f>IFERROR(vlookup('1.8'!D:D,lookup!$A$2:$B$4,2,false),0)</f>
        <v>5</v>
      </c>
      <c r="F45" s="10">
        <f>IFERROR(vlookup('1.8'!E:E,lookup!$A$6:$B$8,2,false),0)</f>
        <v>5</v>
      </c>
      <c r="G45" s="10">
        <f>IFERROR(vlookup('1.8'!F:F,lookup!$A$10:$B$12,2,false),0)</f>
        <v>5</v>
      </c>
      <c r="H45" s="10">
        <f>IFERROR(vlookup('1.8'!G:G,lookup!$A$14:$B$16,2,false),0)</f>
        <v>5</v>
      </c>
      <c r="I45" s="10">
        <f>IFERROR(vlookup('1.8'!H:H,lookup!$A$18:$B$20,2,false),0)</f>
        <v>5</v>
      </c>
      <c r="J45" s="10">
        <f>IFERROR(vlookup('1.8'!I:I,lookup!$A$22:$B$24,2,false),0)</f>
        <v>5</v>
      </c>
      <c r="K45" s="10">
        <f>IFERROR(vlookup('1.8'!J:J,lookup!$A$26:$B$28,2,false),0)</f>
        <v>5</v>
      </c>
      <c r="L45" s="1"/>
      <c r="M45" s="10">
        <v>44.0</v>
      </c>
      <c r="N45" s="11" t="str">
        <f t="shared" si="1"/>
        <v>bnco1044@signalschool.ac.th</v>
      </c>
      <c r="O45" s="12">
        <f t="shared" si="2"/>
        <v>1</v>
      </c>
      <c r="R45" s="6" t="s">
        <v>258</v>
      </c>
    </row>
    <row r="46">
      <c r="A46" s="8">
        <f>'1.8'!A:A</f>
        <v>46263.71784</v>
      </c>
      <c r="B46" s="1" t="str">
        <f>'1.8'!B:B</f>
        <v>bnco1023@signalschool.ac.th</v>
      </c>
      <c r="C46" s="1" t="str">
        <f>'1.8'!C:C</f>
        <v>จ.ส.ต. พรสุพพัต,ส.อ.วิริทธิ์พล,ส.อ.มงคล</v>
      </c>
      <c r="D46" s="9">
        <v>1.0</v>
      </c>
      <c r="E46" s="10">
        <f>IFERROR(vlookup('1.8'!D:D,lookup!$A$2:$B$4,2,false),0)</f>
        <v>5</v>
      </c>
      <c r="F46" s="10">
        <f>IFERROR(vlookup('1.8'!E:E,lookup!$A$6:$B$8,2,false),0)</f>
        <v>5</v>
      </c>
      <c r="G46" s="10">
        <f>IFERROR(vlookup('1.8'!F:F,lookup!$A$10:$B$12,2,false),0)</f>
        <v>5</v>
      </c>
      <c r="H46" s="10">
        <f>IFERROR(vlookup('1.8'!G:G,lookup!$A$14:$B$16,2,false),0)</f>
        <v>5</v>
      </c>
      <c r="I46" s="10">
        <f>IFERROR(vlookup('1.8'!H:H,lookup!$A$18:$B$20,2,false),0)</f>
        <v>5</v>
      </c>
      <c r="J46" s="10">
        <f>IFERROR(vlookup('1.8'!I:I,lookup!$A$22:$B$24,2,false),0)</f>
        <v>5</v>
      </c>
      <c r="K46" s="10">
        <f>IFERROR(vlookup('1.8'!J:J,lookup!$A$26:$B$28,2,false),0)</f>
        <v>5</v>
      </c>
      <c r="L46" s="1"/>
      <c r="M46" s="10">
        <v>45.0</v>
      </c>
      <c r="N46" s="11" t="str">
        <f t="shared" si="1"/>
        <v>bnco1045@signalschool.ac.th</v>
      </c>
      <c r="O46" s="12">
        <f t="shared" si="2"/>
        <v>1</v>
      </c>
      <c r="R46" s="6" t="s">
        <v>259</v>
      </c>
    </row>
    <row r="47">
      <c r="A47" s="8">
        <f>'1.8'!A:A</f>
        <v>46264.53512</v>
      </c>
      <c r="B47" s="1" t="str">
        <f>'1.8'!B:B</f>
        <v>bnco1015@signalschool.ac.th</v>
      </c>
      <c r="C47" s="1" t="str">
        <f>'1.8'!C:C</f>
        <v>จ.ส.ต.พรสุพพัต วุฒิสุวรรณ ,ส.อ.วิริทธิ์พล แข็งธัญญะกรณ์ ส.อ.มงคล บุญญะถิติ</v>
      </c>
      <c r="D47" s="9">
        <v>1.0</v>
      </c>
      <c r="E47" s="10">
        <f>IFERROR(vlookup('1.8'!D:D,lookup!$A$2:$B$4,2,false),0)</f>
        <v>5</v>
      </c>
      <c r="F47" s="10">
        <f>IFERROR(vlookup('1.8'!E:E,lookup!$A$6:$B$8,2,false),0)</f>
        <v>5</v>
      </c>
      <c r="G47" s="10">
        <f>IFERROR(vlookup('1.8'!F:F,lookup!$A$10:$B$12,2,false),0)</f>
        <v>5</v>
      </c>
      <c r="H47" s="10">
        <f>IFERROR(vlookup('1.8'!G:G,lookup!$A$14:$B$16,2,false),0)</f>
        <v>5</v>
      </c>
      <c r="I47" s="10">
        <f>IFERROR(vlookup('1.8'!H:H,lookup!$A$18:$B$20,2,false),0)</f>
        <v>5</v>
      </c>
      <c r="J47" s="10">
        <f>IFERROR(vlookup('1.8'!I:I,lookup!$A$22:$B$24,2,false),0)</f>
        <v>5</v>
      </c>
      <c r="K47" s="10">
        <f>IFERROR(vlookup('1.8'!J:J,lookup!$A$26:$B$28,2,false),0)</f>
        <v>5</v>
      </c>
      <c r="L47" s="1"/>
      <c r="M47" s="10">
        <v>46.0</v>
      </c>
      <c r="N47" s="11" t="str">
        <f t="shared" si="1"/>
        <v>bnco1046@signalschool.ac.th</v>
      </c>
      <c r="O47" s="12">
        <f t="shared" si="2"/>
        <v>0</v>
      </c>
      <c r="R47" s="6" t="s">
        <v>260</v>
      </c>
    </row>
    <row r="48">
      <c r="A48" s="8">
        <f>'1.8'!A:A</f>
        <v>46264.65331</v>
      </c>
      <c r="B48" s="1" t="str">
        <f>'1.8'!B:B</f>
        <v>bnco1002@signalschool.ac.th</v>
      </c>
      <c r="C48" s="1" t="str">
        <f>'1.8'!C:C</f>
        <v>จ.ส.ต. พรสุพพัต วุฒิสุวรรณ</v>
      </c>
      <c r="D48" s="9">
        <v>1.0</v>
      </c>
      <c r="E48" s="10">
        <f>IFERROR(vlookup('1.8'!D:D,lookup!$A$2:$B$4,2,false),0)</f>
        <v>5</v>
      </c>
      <c r="F48" s="10">
        <f>IFERROR(vlookup('1.8'!E:E,lookup!$A$6:$B$8,2,false),0)</f>
        <v>5</v>
      </c>
      <c r="G48" s="10">
        <f>IFERROR(vlookup('1.8'!F:F,lookup!$A$10:$B$12,2,false),0)</f>
        <v>5</v>
      </c>
      <c r="H48" s="10">
        <f>IFERROR(vlookup('1.8'!G:G,lookup!$A$14:$B$16,2,false),0)</f>
        <v>5</v>
      </c>
      <c r="I48" s="10">
        <f>IFERROR(vlookup('1.8'!H:H,lookup!$A$18:$B$20,2,false),0)</f>
        <v>5</v>
      </c>
      <c r="J48" s="10">
        <f>IFERROR(vlookup('1.8'!I:I,lookup!$A$22:$B$24,2,false),0)</f>
        <v>5</v>
      </c>
      <c r="K48" s="10">
        <f>IFERROR(vlookup('1.8'!J:J,lookup!$A$26:$B$28,2,false),0)</f>
        <v>5</v>
      </c>
      <c r="L48" s="1"/>
      <c r="M48" s="10">
        <v>47.0</v>
      </c>
      <c r="N48" s="11" t="str">
        <f t="shared" si="1"/>
        <v>bnco1047@signalschool.ac.th</v>
      </c>
      <c r="O48" s="12">
        <f t="shared" si="2"/>
        <v>1</v>
      </c>
      <c r="R48" s="6" t="s">
        <v>261</v>
      </c>
    </row>
    <row r="49">
      <c r="A49" s="8">
        <f>'1.8'!A:A</f>
        <v>46264.88037</v>
      </c>
      <c r="B49" s="1" t="str">
        <f>'1.8'!B:B</f>
        <v>edu.rad@signalschool.ac.th</v>
      </c>
      <c r="C49" s="1" t="str">
        <f>'1.8'!C:C</f>
        <v>ครูอาจารย์ รร.ส.สส.</v>
      </c>
      <c r="D49" s="9">
        <v>1.0</v>
      </c>
      <c r="E49" s="10">
        <f>IFERROR(vlookup('1.8'!D:D,lookup!$A$2:$B$4,2,false),0)</f>
        <v>5</v>
      </c>
      <c r="F49" s="10">
        <f>IFERROR(vlookup('1.8'!E:E,lookup!$A$6:$B$8,2,false),0)</f>
        <v>5</v>
      </c>
      <c r="G49" s="10">
        <f>IFERROR(vlookup('1.8'!F:F,lookup!$A$10:$B$12,2,false),0)</f>
        <v>5</v>
      </c>
      <c r="H49" s="10">
        <f>IFERROR(vlookup('1.8'!G:G,lookup!$A$14:$B$16,2,false),0)</f>
        <v>5</v>
      </c>
      <c r="I49" s="10">
        <f>IFERROR(vlookup('1.8'!H:H,lookup!$A$18:$B$20,2,false),0)</f>
        <v>5</v>
      </c>
      <c r="J49" s="10">
        <f>IFERROR(vlookup('1.8'!I:I,lookup!$A$22:$B$24,2,false),0)</f>
        <v>5</v>
      </c>
      <c r="K49" s="10">
        <f>IFERROR(vlookup('1.8'!J:J,lookup!$A$26:$B$28,2,false),0)</f>
        <v>5</v>
      </c>
      <c r="L49" s="1"/>
      <c r="M49" s="10">
        <v>48.0</v>
      </c>
      <c r="N49" s="11" t="str">
        <f t="shared" si="1"/>
        <v>bnco1048@signalschool.ac.th</v>
      </c>
      <c r="O49" s="12">
        <f t="shared" si="2"/>
        <v>0</v>
      </c>
      <c r="R49" s="6" t="s">
        <v>262</v>
      </c>
    </row>
    <row r="50">
      <c r="A50" s="8">
        <f>'1.8'!A:A</f>
        <v>46265.32742</v>
      </c>
      <c r="B50" s="1" t="str">
        <f>'1.8'!B:B</f>
        <v>bnco1059@signalschool.ac.th</v>
      </c>
      <c r="C50" s="1" t="str">
        <f>'1.8'!C:C</f>
        <v>จ.ส.ต.พรสุพพัต วุฒิสุวรรณ</v>
      </c>
      <c r="D50" s="9">
        <v>1.0</v>
      </c>
      <c r="E50" s="10">
        <f>IFERROR(vlookup('1.8'!D:D,lookup!$A$2:$B$4,2,false),0)</f>
        <v>5</v>
      </c>
      <c r="F50" s="10">
        <f>IFERROR(vlookup('1.8'!E:E,lookup!$A$6:$B$8,2,false),0)</f>
        <v>5</v>
      </c>
      <c r="G50" s="10">
        <f>IFERROR(vlookup('1.8'!F:F,lookup!$A$10:$B$12,2,false),0)</f>
        <v>5</v>
      </c>
      <c r="H50" s="10">
        <f>IFERROR(vlookup('1.8'!G:G,lookup!$A$14:$B$16,2,false),0)</f>
        <v>5</v>
      </c>
      <c r="I50" s="10">
        <f>IFERROR(vlookup('1.8'!H:H,lookup!$A$18:$B$20,2,false),0)</f>
        <v>5</v>
      </c>
      <c r="J50" s="10">
        <f>IFERROR(vlookup('1.8'!I:I,lookup!$A$22:$B$24,2,false),0)</f>
        <v>5</v>
      </c>
      <c r="K50" s="10">
        <f>IFERROR(vlookup('1.8'!J:J,lookup!$A$26:$B$28,2,false),0)</f>
        <v>5</v>
      </c>
      <c r="L50" s="1"/>
      <c r="M50" s="10">
        <v>49.0</v>
      </c>
      <c r="N50" s="11" t="str">
        <f t="shared" si="1"/>
        <v>bnco1049@signalschool.ac.th</v>
      </c>
      <c r="O50" s="12">
        <f t="shared" si="2"/>
        <v>1</v>
      </c>
      <c r="R50" s="6" t="s">
        <v>263</v>
      </c>
    </row>
    <row r="51">
      <c r="A51" s="8">
        <f>'1.8'!A:A</f>
        <v>46265.6948</v>
      </c>
      <c r="B51" s="1" t="str">
        <f>'1.8'!B:B</f>
        <v>bnco1024@signalschool.ac.th</v>
      </c>
      <c r="C51" s="1" t="str">
        <f>'1.8'!C:C</f>
        <v>จ.ส.ต.พรสุพพัต วุฒิสุวรรณ, ส.อ.วิริทธิ์พล แข็งธัญญะกรณ์, ส.อ.มงคล บุญญะถิติ</v>
      </c>
      <c r="D51" s="9">
        <v>1.0</v>
      </c>
      <c r="E51" s="10">
        <f>IFERROR(vlookup('1.8'!D:D,lookup!$A$2:$B$4,2,false),0)</f>
        <v>5</v>
      </c>
      <c r="F51" s="10">
        <f>IFERROR(vlookup('1.8'!E:E,lookup!$A$6:$B$8,2,false),0)</f>
        <v>5</v>
      </c>
      <c r="G51" s="10">
        <f>IFERROR(vlookup('1.8'!F:F,lookup!$A$10:$B$12,2,false),0)</f>
        <v>5</v>
      </c>
      <c r="H51" s="10">
        <f>IFERROR(vlookup('1.8'!G:G,lookup!$A$14:$B$16,2,false),0)</f>
        <v>5</v>
      </c>
      <c r="I51" s="10">
        <f>IFERROR(vlookup('1.8'!H:H,lookup!$A$18:$B$20,2,false),0)</f>
        <v>5</v>
      </c>
      <c r="J51" s="10">
        <f>IFERROR(vlookup('1.8'!I:I,lookup!$A$22:$B$24,2,false),0)</f>
        <v>5</v>
      </c>
      <c r="K51" s="10">
        <f>IFERROR(vlookup('1.8'!J:J,lookup!$A$26:$B$28,2,false),0)</f>
        <v>5</v>
      </c>
      <c r="L51" s="1"/>
      <c r="M51" s="10">
        <v>50.0</v>
      </c>
      <c r="N51" s="11" t="str">
        <f t="shared" si="1"/>
        <v>bnco1050@signalschool.ac.th</v>
      </c>
      <c r="O51" s="12">
        <f t="shared" si="2"/>
        <v>1</v>
      </c>
      <c r="R51" s="6" t="s">
        <v>264</v>
      </c>
    </row>
    <row r="52">
      <c r="A52" s="8">
        <f>'1.8'!A:A</f>
        <v>46265.70571</v>
      </c>
      <c r="B52" s="1" t="str">
        <f>'1.8'!B:B</f>
        <v>bnco1073@signalschool.ac.th</v>
      </c>
      <c r="C52" s="1" t="str">
        <f>'1.8'!C:C</f>
        <v>จ.ส.ต.พรสุพพัต  วุฒิสุวรรณ</v>
      </c>
      <c r="D52" s="9">
        <v>1.0</v>
      </c>
      <c r="E52" s="10">
        <f>IFERROR(vlookup('1.8'!D:D,lookup!$A$2:$B$4,2,false),0)</f>
        <v>5</v>
      </c>
      <c r="F52" s="10">
        <f>IFERROR(vlookup('1.8'!E:E,lookup!$A$6:$B$8,2,false),0)</f>
        <v>5</v>
      </c>
      <c r="G52" s="10">
        <f>IFERROR(vlookup('1.8'!F:F,lookup!$A$10:$B$12,2,false),0)</f>
        <v>5</v>
      </c>
      <c r="H52" s="10">
        <f>IFERROR(vlookup('1.8'!G:G,lookup!$A$14:$B$16,2,false),0)</f>
        <v>5</v>
      </c>
      <c r="I52" s="10">
        <f>IFERROR(vlookup('1.8'!H:H,lookup!$A$18:$B$20,2,false),0)</f>
        <v>5</v>
      </c>
      <c r="J52" s="10">
        <f>IFERROR(vlookup('1.8'!I:I,lookup!$A$22:$B$24,2,false),0)</f>
        <v>5</v>
      </c>
      <c r="K52" s="10">
        <f>IFERROR(vlookup('1.8'!J:J,lookup!$A$26:$B$28,2,false),0)</f>
        <v>5</v>
      </c>
      <c r="L52" s="1"/>
      <c r="M52" s="10">
        <v>51.0</v>
      </c>
      <c r="N52" s="11" t="str">
        <f t="shared" si="1"/>
        <v>bnco1051@signalschool.ac.th</v>
      </c>
      <c r="O52" s="12">
        <f t="shared" si="2"/>
        <v>1</v>
      </c>
      <c r="R52" s="6" t="s">
        <v>265</v>
      </c>
    </row>
    <row r="53">
      <c r="A53" s="8">
        <f>'1.8'!A:A</f>
        <v>46265.7064</v>
      </c>
      <c r="B53" s="1" t="str">
        <f>'1.8'!B:B</f>
        <v>bnco1078@signalschool.ac.th</v>
      </c>
      <c r="C53" s="1" t="str">
        <f>'1.8'!C:C</f>
        <v>จ.ส.ต.พรสุพพัต วุฒิสุวรรณ</v>
      </c>
      <c r="D53" s="9">
        <v>1.0</v>
      </c>
      <c r="E53" s="10">
        <f>IFERROR(vlookup('1.8'!D:D,lookup!$A$2:$B$4,2,false),0)</f>
        <v>5</v>
      </c>
      <c r="F53" s="10">
        <f>IFERROR(vlookup('1.8'!E:E,lookup!$A$6:$B$8,2,false),0)</f>
        <v>5</v>
      </c>
      <c r="G53" s="10">
        <f>IFERROR(vlookup('1.8'!F:F,lookup!$A$10:$B$12,2,false),0)</f>
        <v>5</v>
      </c>
      <c r="H53" s="10">
        <f>IFERROR(vlookup('1.8'!G:G,lookup!$A$14:$B$16,2,false),0)</f>
        <v>5</v>
      </c>
      <c r="I53" s="10">
        <f>IFERROR(vlookup('1.8'!H:H,lookup!$A$18:$B$20,2,false),0)</f>
        <v>5</v>
      </c>
      <c r="J53" s="10">
        <f>IFERROR(vlookup('1.8'!I:I,lookup!$A$22:$B$24,2,false),0)</f>
        <v>5</v>
      </c>
      <c r="K53" s="10">
        <f>IFERROR(vlookup('1.8'!J:J,lookup!$A$26:$B$28,2,false),0)</f>
        <v>5</v>
      </c>
      <c r="L53" s="1"/>
      <c r="M53" s="10">
        <v>52.0</v>
      </c>
      <c r="N53" s="11" t="str">
        <f t="shared" si="1"/>
        <v>bnco1052@signalschool.ac.th</v>
      </c>
      <c r="O53" s="12">
        <f t="shared" si="2"/>
        <v>1</v>
      </c>
      <c r="R53" s="6" t="s">
        <v>266</v>
      </c>
    </row>
    <row r="54">
      <c r="A54" s="8">
        <f>'1.8'!A:A</f>
        <v>46265.73662</v>
      </c>
      <c r="B54" s="1" t="str">
        <f>'1.8'!B:B</f>
        <v>bnco1057@signalschool.ac.th</v>
      </c>
      <c r="C54" s="1" t="str">
        <f>'1.8'!C:C</f>
        <v>จ.ส.ต.พรสุพพัต  วุฒิสุวรรณ</v>
      </c>
      <c r="D54" s="9">
        <v>1.0</v>
      </c>
      <c r="E54" s="10">
        <f>IFERROR(vlookup('1.8'!D:D,lookup!$A$2:$B$4,2,false),0)</f>
        <v>5</v>
      </c>
      <c r="F54" s="10">
        <f>IFERROR(vlookup('1.8'!E:E,lookup!$A$6:$B$8,2,false),0)</f>
        <v>5</v>
      </c>
      <c r="G54" s="10">
        <f>IFERROR(vlookup('1.8'!F:F,lookup!$A$10:$B$12,2,false),0)</f>
        <v>5</v>
      </c>
      <c r="H54" s="10">
        <f>IFERROR(vlookup('1.8'!G:G,lookup!$A$14:$B$16,2,false),0)</f>
        <v>5</v>
      </c>
      <c r="I54" s="10">
        <f>IFERROR(vlookup('1.8'!H:H,lookup!$A$18:$B$20,2,false),0)</f>
        <v>5</v>
      </c>
      <c r="J54" s="10">
        <f>IFERROR(vlookup('1.8'!I:I,lookup!$A$22:$B$24,2,false),0)</f>
        <v>5</v>
      </c>
      <c r="K54" s="10">
        <f>IFERROR(vlookup('1.8'!J:J,lookup!$A$26:$B$28,2,false),0)</f>
        <v>5</v>
      </c>
      <c r="L54" s="1"/>
      <c r="M54" s="10">
        <v>53.0</v>
      </c>
      <c r="N54" s="11" t="str">
        <f t="shared" si="1"/>
        <v>bnco1053@signalschool.ac.th</v>
      </c>
      <c r="O54" s="12">
        <f t="shared" si="2"/>
        <v>1</v>
      </c>
      <c r="R54" s="6" t="s">
        <v>267</v>
      </c>
    </row>
    <row r="55">
      <c r="A55" s="8">
        <f>'1.8'!A:A</f>
        <v>46266.55157</v>
      </c>
      <c r="B55" s="1" t="str">
        <f>'1.8'!B:B</f>
        <v>bnco1004@signalschool.ac.th</v>
      </c>
      <c r="C55" s="1" t="str">
        <f>'1.8'!C:C</f>
        <v>จ่าสิบเอก อนิชิท ธิบมนทรา</v>
      </c>
      <c r="D55" s="9">
        <v>1.0</v>
      </c>
      <c r="E55" s="10">
        <f>IFERROR(vlookup('1.8'!D:D,lookup!$A$2:$B$4,2,false),0)</f>
        <v>3</v>
      </c>
      <c r="F55" s="10">
        <f>IFERROR(vlookup('1.8'!E:E,lookup!$A$6:$B$8,2,false),0)</f>
        <v>3</v>
      </c>
      <c r="G55" s="10">
        <f>IFERROR(vlookup('1.8'!F:F,lookup!$A$10:$B$12,2,false),0)</f>
        <v>3</v>
      </c>
      <c r="H55" s="10">
        <f>IFERROR(vlookup('1.8'!G:G,lookup!$A$14:$B$16,2,false),0)</f>
        <v>3</v>
      </c>
      <c r="I55" s="10">
        <f>IFERROR(vlookup('1.8'!H:H,lookup!$A$18:$B$20,2,false),0)</f>
        <v>3</v>
      </c>
      <c r="J55" s="10">
        <f>IFERROR(vlookup('1.8'!I:I,lookup!$A$22:$B$24,2,false),0)</f>
        <v>3</v>
      </c>
      <c r="K55" s="10">
        <f>IFERROR(vlookup('1.8'!J:J,lookup!$A$26:$B$28,2,false),0)</f>
        <v>3</v>
      </c>
      <c r="L55" s="1"/>
      <c r="M55" s="10">
        <v>54.0</v>
      </c>
      <c r="N55" s="11" t="str">
        <f t="shared" si="1"/>
        <v>bnco1054@signalschool.ac.th</v>
      </c>
      <c r="O55" s="12">
        <f t="shared" si="2"/>
        <v>1</v>
      </c>
      <c r="R55" s="6" t="s">
        <v>268</v>
      </c>
    </row>
    <row r="56">
      <c r="A56" s="8">
        <f>'1.8'!A:A</f>
        <v>46266.68212</v>
      </c>
      <c r="B56" s="1" t="str">
        <f>'1.8'!B:B</f>
        <v>bnco1053@signalschool.ac.th</v>
      </c>
      <c r="C56" s="1" t="str">
        <f>'1.8'!C:C</f>
        <v>จ.ส.ต.พรสุพพัต  วุฒิสุวรรณ</v>
      </c>
      <c r="D56" s="9">
        <v>1.0</v>
      </c>
      <c r="E56" s="10">
        <f>IFERROR(vlookup('1.8'!D:D,lookup!$A$2:$B$4,2,false),0)</f>
        <v>5</v>
      </c>
      <c r="F56" s="10">
        <f>IFERROR(vlookup('1.8'!E:E,lookup!$A$6:$B$8,2,false),0)</f>
        <v>5</v>
      </c>
      <c r="G56" s="10">
        <f>IFERROR(vlookup('1.8'!F:F,lookup!$A$10:$B$12,2,false),0)</f>
        <v>5</v>
      </c>
      <c r="H56" s="10">
        <f>IFERROR(vlookup('1.8'!G:G,lookup!$A$14:$B$16,2,false),0)</f>
        <v>5</v>
      </c>
      <c r="I56" s="10">
        <f>IFERROR(vlookup('1.8'!H:H,lookup!$A$18:$B$20,2,false),0)</f>
        <v>5</v>
      </c>
      <c r="J56" s="10">
        <f>IFERROR(vlookup('1.8'!I:I,lookup!$A$22:$B$24,2,false),0)</f>
        <v>5</v>
      </c>
      <c r="K56" s="10">
        <f>IFERROR(vlookup('1.8'!J:J,lookup!$A$26:$B$28,2,false),0)</f>
        <v>5</v>
      </c>
      <c r="L56" s="13"/>
      <c r="M56" s="10">
        <v>55.0</v>
      </c>
      <c r="N56" s="11" t="str">
        <f t="shared" si="1"/>
        <v>bnco1055@signalschool.ac.th</v>
      </c>
      <c r="O56" s="12">
        <f t="shared" si="2"/>
        <v>1</v>
      </c>
      <c r="R56" s="6" t="s">
        <v>269</v>
      </c>
    </row>
    <row r="57">
      <c r="A57" s="8">
        <f>'1.8'!A:A</f>
        <v>46266.68673</v>
      </c>
      <c r="B57" s="1" t="str">
        <f>'1.8'!B:B</f>
        <v>bnco1047@signalschool.ac.th</v>
      </c>
      <c r="C57" s="1" t="str">
        <f>'1.8'!C:C</f>
        <v>จ.ส.ต.พรสุพพัต วุฒิสุวรรณ </v>
      </c>
      <c r="D57" s="9">
        <v>1.0</v>
      </c>
      <c r="E57" s="10">
        <f>IFERROR(vlookup('1.8'!D:D,lookup!$A$2:$B$4,2,false),0)</f>
        <v>5</v>
      </c>
      <c r="F57" s="10">
        <f>IFERROR(vlookup('1.8'!E:E,lookup!$A$6:$B$8,2,false),0)</f>
        <v>5</v>
      </c>
      <c r="G57" s="10">
        <f>IFERROR(vlookup('1.8'!F:F,lookup!$A$10:$B$12,2,false),0)</f>
        <v>5</v>
      </c>
      <c r="H57" s="10">
        <f>IFERROR(vlookup('1.8'!G:G,lookup!$A$14:$B$16,2,false),0)</f>
        <v>5</v>
      </c>
      <c r="I57" s="10">
        <f>IFERROR(vlookup('1.8'!H:H,lookup!$A$18:$B$20,2,false),0)</f>
        <v>5</v>
      </c>
      <c r="J57" s="10">
        <f>IFERROR(vlookup('1.8'!I:I,lookup!$A$22:$B$24,2,false),0)</f>
        <v>5</v>
      </c>
      <c r="K57" s="10">
        <f>IFERROR(vlookup('1.8'!J:J,lookup!$A$26:$B$28,2,false),0)</f>
        <v>5</v>
      </c>
      <c r="L57" s="13"/>
      <c r="M57" s="10">
        <v>56.0</v>
      </c>
      <c r="N57" s="11" t="str">
        <f t="shared" si="1"/>
        <v>bnco1056@signalschool.ac.th</v>
      </c>
      <c r="O57" s="12">
        <f t="shared" si="2"/>
        <v>1</v>
      </c>
      <c r="R57" s="6" t="s">
        <v>270</v>
      </c>
    </row>
    <row r="58">
      <c r="A58" s="8">
        <f>'1.8'!A:A</f>
        <v>46266.69833</v>
      </c>
      <c r="B58" s="1" t="str">
        <f>'1.8'!B:B</f>
        <v>bnco1055@signalschool.ac.th</v>
      </c>
      <c r="C58" s="1" t="str">
        <f>'1.8'!C:C</f>
        <v>จ.ส.ต.พรสุพพัต วุฒิสุวรรณ ส.อ.วิริทธิ์พล แข็งธัญญะกรณ์ ส.อ. มงคล บุญญะกิตติ์</v>
      </c>
      <c r="D58" s="9">
        <v>1.0</v>
      </c>
      <c r="E58" s="10">
        <f>IFERROR(vlookup('1.8'!D:D,lookup!$A$2:$B$4,2,false),0)</f>
        <v>5</v>
      </c>
      <c r="F58" s="10">
        <f>IFERROR(vlookup('1.8'!E:E,lookup!$A$6:$B$8,2,false),0)</f>
        <v>5</v>
      </c>
      <c r="G58" s="10">
        <f>IFERROR(vlookup('1.8'!F:F,lookup!$A$10:$B$12,2,false),0)</f>
        <v>5</v>
      </c>
      <c r="H58" s="10">
        <f>IFERROR(vlookup('1.8'!G:G,lookup!$A$14:$B$16,2,false),0)</f>
        <v>5</v>
      </c>
      <c r="I58" s="10">
        <f>IFERROR(vlookup('1.8'!H:H,lookup!$A$18:$B$20,2,false),0)</f>
        <v>5</v>
      </c>
      <c r="J58" s="10">
        <f>IFERROR(vlookup('1.8'!I:I,lookup!$A$22:$B$24,2,false),0)</f>
        <v>5</v>
      </c>
      <c r="K58" s="10">
        <f>IFERROR(vlookup('1.8'!J:J,lookup!$A$26:$B$28,2,false),0)</f>
        <v>5</v>
      </c>
      <c r="L58" s="13"/>
      <c r="M58" s="10">
        <v>57.0</v>
      </c>
      <c r="N58" s="11" t="str">
        <f t="shared" si="1"/>
        <v>bnco1057@signalschool.ac.th</v>
      </c>
      <c r="O58" s="12">
        <f t="shared" si="2"/>
        <v>1</v>
      </c>
      <c r="R58" s="6" t="s">
        <v>271</v>
      </c>
    </row>
    <row r="59">
      <c r="A59" s="8">
        <f>'1.8'!A:A</f>
        <v>46266.79849</v>
      </c>
      <c r="B59" s="1" t="str">
        <f>'1.8'!B:B</f>
        <v>bnco1017@signalschool.ac.th</v>
      </c>
      <c r="C59" s="1" t="str">
        <f>'1.8'!C:C</f>
        <v>ส.อ.มงคล บุญญะถิติ</v>
      </c>
      <c r="D59" s="9">
        <v>1.0</v>
      </c>
      <c r="E59" s="10">
        <f>IFERROR(vlookup('1.8'!D:D,lookup!$A$2:$B$4,2,false),0)</f>
        <v>5</v>
      </c>
      <c r="F59" s="10">
        <f>IFERROR(vlookup('1.8'!E:E,lookup!$A$6:$B$8,2,false),0)</f>
        <v>5</v>
      </c>
      <c r="G59" s="10">
        <f>IFERROR(vlookup('1.8'!F:F,lookup!$A$10:$B$12,2,false),0)</f>
        <v>5</v>
      </c>
      <c r="H59" s="10">
        <f>IFERROR(vlookup('1.8'!G:G,lookup!$A$14:$B$16,2,false),0)</f>
        <v>5</v>
      </c>
      <c r="I59" s="10">
        <f>IFERROR(vlookup('1.8'!H:H,lookup!$A$18:$B$20,2,false),0)</f>
        <v>5</v>
      </c>
      <c r="J59" s="10">
        <f>IFERROR(vlookup('1.8'!I:I,lookup!$A$22:$B$24,2,false),0)</f>
        <v>5</v>
      </c>
      <c r="K59" s="10">
        <f>IFERROR(vlookup('1.8'!J:J,lookup!$A$26:$B$28,2,false),0)</f>
        <v>5</v>
      </c>
      <c r="L59" s="14"/>
      <c r="M59" s="10">
        <v>58.0</v>
      </c>
      <c r="N59" s="11" t="str">
        <f t="shared" si="1"/>
        <v>bnco1058@signalschool.ac.th</v>
      </c>
      <c r="O59" s="12">
        <f t="shared" si="2"/>
        <v>1</v>
      </c>
      <c r="R59" s="6" t="s">
        <v>272</v>
      </c>
    </row>
    <row r="60">
      <c r="A60" s="8">
        <f>'1.8'!A:A</f>
        <v>46267.30947</v>
      </c>
      <c r="B60" s="1" t="str">
        <f>'1.8'!B:B</f>
        <v>bnco1016@signalschool.ac.th</v>
      </c>
      <c r="C60" s="1" t="str">
        <f>'1.8'!C:C</f>
        <v>ส.อ.มงคล บุญญะถิติ</v>
      </c>
      <c r="D60" s="9">
        <v>1.0</v>
      </c>
      <c r="E60" s="10">
        <f>IFERROR(vlookup('1.8'!D:D,lookup!$A$2:$B$4,2,false),0)</f>
        <v>5</v>
      </c>
      <c r="F60" s="10">
        <f>IFERROR(vlookup('1.8'!E:E,lookup!$A$6:$B$8,2,false),0)</f>
        <v>5</v>
      </c>
      <c r="G60" s="10">
        <f>IFERROR(vlookup('1.8'!F:F,lookup!$A$10:$B$12,2,false),0)</f>
        <v>5</v>
      </c>
      <c r="H60" s="10">
        <f>IFERROR(vlookup('1.8'!G:G,lookup!$A$14:$B$16,2,false),0)</f>
        <v>5</v>
      </c>
      <c r="I60" s="10">
        <f>IFERROR(vlookup('1.8'!H:H,lookup!$A$18:$B$20,2,false),0)</f>
        <v>5</v>
      </c>
      <c r="J60" s="10">
        <f>IFERROR(vlookup('1.8'!I:I,lookup!$A$22:$B$24,2,false),0)</f>
        <v>5</v>
      </c>
      <c r="K60" s="10">
        <f>IFERROR(vlookup('1.8'!J:J,lookup!$A$26:$B$28,2,false),0)</f>
        <v>5</v>
      </c>
      <c r="L60" s="10"/>
      <c r="M60" s="10">
        <v>59.0</v>
      </c>
      <c r="N60" s="11" t="str">
        <f t="shared" si="1"/>
        <v>bnco1059@signalschool.ac.th</v>
      </c>
      <c r="O60" s="12">
        <f t="shared" si="2"/>
        <v>1</v>
      </c>
      <c r="R60" s="6" t="s">
        <v>273</v>
      </c>
    </row>
    <row r="61">
      <c r="A61" s="8">
        <f>'1.8'!A:A</f>
        <v>46267.31029</v>
      </c>
      <c r="B61" s="1" t="str">
        <f>'1.8'!B:B</f>
        <v>bnco1019@signalschool.ac.th</v>
      </c>
      <c r="C61" s="1" t="str">
        <f>'1.8'!C:C</f>
        <v>ส.อ.มงคล  บุญญะถิติ</v>
      </c>
      <c r="D61" s="9">
        <v>1.0</v>
      </c>
      <c r="E61" s="10">
        <f>IFERROR(vlookup('1.8'!D:D,lookup!$A$2:$B$4,2,false),0)</f>
        <v>5</v>
      </c>
      <c r="F61" s="10">
        <f>IFERROR(vlookup('1.8'!E:E,lookup!$A$6:$B$8,2,false),0)</f>
        <v>5</v>
      </c>
      <c r="G61" s="10">
        <f>IFERROR(vlookup('1.8'!F:F,lookup!$A$10:$B$12,2,false),0)</f>
        <v>5</v>
      </c>
      <c r="H61" s="10">
        <f>IFERROR(vlookup('1.8'!G:G,lookup!$A$14:$B$16,2,false),0)</f>
        <v>5</v>
      </c>
      <c r="I61" s="10">
        <f>IFERROR(vlookup('1.8'!H:H,lookup!$A$18:$B$20,2,false),0)</f>
        <v>5</v>
      </c>
      <c r="J61" s="10">
        <f>IFERROR(vlookup('1.8'!I:I,lookup!$A$22:$B$24,2,false),0)</f>
        <v>5</v>
      </c>
      <c r="K61" s="10">
        <f>IFERROR(vlookup('1.8'!J:J,lookup!$A$26:$B$28,2,false),0)</f>
        <v>5</v>
      </c>
      <c r="M61" s="10">
        <v>60.0</v>
      </c>
      <c r="N61" s="11" t="str">
        <f t="shared" si="1"/>
        <v>bnco1060@signalschool.ac.th</v>
      </c>
      <c r="O61" s="12">
        <f t="shared" si="2"/>
        <v>1</v>
      </c>
      <c r="R61" s="6" t="s">
        <v>274</v>
      </c>
    </row>
    <row r="62">
      <c r="A62" s="8">
        <f>'1.8'!A:A</f>
        <v>46267.56568</v>
      </c>
      <c r="B62" s="1" t="str">
        <f>'1.8'!B:B</f>
        <v>bnco1034@signalschool.ac.th</v>
      </c>
      <c r="C62" s="1" t="str">
        <f>'1.8'!C:C</f>
        <v>จ.ส.ต.พรสุพพัต วุฒิสุวรรณ </v>
      </c>
      <c r="D62" s="9">
        <v>1.0</v>
      </c>
      <c r="E62" s="10">
        <f>IFERROR(vlookup('1.8'!D:D,lookup!$A$2:$B$4,2,false),0)</f>
        <v>5</v>
      </c>
      <c r="F62" s="10">
        <f>IFERROR(vlookup('1.8'!E:E,lookup!$A$6:$B$8,2,false),0)</f>
        <v>5</v>
      </c>
      <c r="G62" s="10">
        <f>IFERROR(vlookup('1.8'!F:F,lookup!$A$10:$B$12,2,false),0)</f>
        <v>5</v>
      </c>
      <c r="H62" s="10">
        <f>IFERROR(vlookup('1.8'!G:G,lookup!$A$14:$B$16,2,false),0)</f>
        <v>5</v>
      </c>
      <c r="I62" s="10">
        <f>IFERROR(vlookup('1.8'!H:H,lookup!$A$18:$B$20,2,false),0)</f>
        <v>5</v>
      </c>
      <c r="J62" s="10">
        <f>IFERROR(vlookup('1.8'!I:I,lookup!$A$22:$B$24,2,false),0)</f>
        <v>5</v>
      </c>
      <c r="K62" s="10">
        <f>IFERROR(vlookup('1.8'!J:J,lookup!$A$26:$B$28,2,false),0)</f>
        <v>5</v>
      </c>
      <c r="M62" s="10">
        <v>61.0</v>
      </c>
      <c r="N62" s="11" t="str">
        <f t="shared" si="1"/>
        <v>bnco1061@signalschool.ac.th</v>
      </c>
      <c r="O62" s="12">
        <f t="shared" si="2"/>
        <v>1</v>
      </c>
      <c r="R62" s="6" t="s">
        <v>275</v>
      </c>
    </row>
    <row r="63">
      <c r="A63" s="8">
        <f>'1.8'!A:A</f>
        <v>46267.60759</v>
      </c>
      <c r="B63" s="1" t="str">
        <f>'1.8'!B:B</f>
        <v>bnco1011@signalschool.ac.th</v>
      </c>
      <c r="C63" s="1" t="str">
        <f>'1.8'!C:C</f>
        <v>ส.อ.มงคล</v>
      </c>
      <c r="D63" s="9">
        <v>1.0</v>
      </c>
      <c r="E63" s="10">
        <f>IFERROR(vlookup('1.8'!D:D,lookup!$A$2:$B$4,2,false),0)</f>
        <v>5</v>
      </c>
      <c r="F63" s="10">
        <f>IFERROR(vlookup('1.8'!E:E,lookup!$A$6:$B$8,2,false),0)</f>
        <v>5</v>
      </c>
      <c r="G63" s="10">
        <f>IFERROR(vlookup('1.8'!F:F,lookup!$A$10:$B$12,2,false),0)</f>
        <v>5</v>
      </c>
      <c r="H63" s="10">
        <f>IFERROR(vlookup('1.8'!G:G,lookup!$A$14:$B$16,2,false),0)</f>
        <v>5</v>
      </c>
      <c r="I63" s="10">
        <f>IFERROR(vlookup('1.8'!H:H,lookup!$A$18:$B$20,2,false),0)</f>
        <v>5</v>
      </c>
      <c r="J63" s="10">
        <f>IFERROR(vlookup('1.8'!I:I,lookup!$A$22:$B$24,2,false),0)</f>
        <v>5</v>
      </c>
      <c r="K63" s="10">
        <f>IFERROR(vlookup('1.8'!J:J,lookup!$A$26:$B$28,2,false),0)</f>
        <v>5</v>
      </c>
      <c r="M63" s="10">
        <v>62.0</v>
      </c>
      <c r="N63" s="11" t="str">
        <f t="shared" si="1"/>
        <v>bnco1062@signalschool.ac.th</v>
      </c>
      <c r="O63" s="12">
        <f t="shared" si="2"/>
        <v>1</v>
      </c>
      <c r="R63" s="6" t="s">
        <v>276</v>
      </c>
    </row>
    <row r="64">
      <c r="A64" s="8">
        <f>'1.8'!A:A</f>
        <v>46267.60965</v>
      </c>
      <c r="B64" s="1" t="str">
        <f>'1.8'!B:B</f>
        <v>bnco1043@signalschool.ac.th</v>
      </c>
      <c r="C64" s="1" t="str">
        <f>'1.8'!C:C</f>
        <v>จ.ส.ต.พรสุพัต วุฒิสุวรรณ ส.อ.วริทธิ์พล แข็งธัญญะกรณ์ ส.อ.มงคล บุญญะถิติ</v>
      </c>
      <c r="D64" s="9">
        <v>1.0</v>
      </c>
      <c r="E64" s="10">
        <f>IFERROR(vlookup('1.8'!D:D,lookup!$A$2:$B$4,2,false),0)</f>
        <v>5</v>
      </c>
      <c r="F64" s="10">
        <f>IFERROR(vlookup('1.8'!E:E,lookup!$A$6:$B$8,2,false),0)</f>
        <v>5</v>
      </c>
      <c r="G64" s="10">
        <f>IFERROR(vlookup('1.8'!F:F,lookup!$A$10:$B$12,2,false),0)</f>
        <v>5</v>
      </c>
      <c r="H64" s="10">
        <f>IFERROR(vlookup('1.8'!G:G,lookup!$A$14:$B$16,2,false),0)</f>
        <v>5</v>
      </c>
      <c r="I64" s="10">
        <f>IFERROR(vlookup('1.8'!H:H,lookup!$A$18:$B$20,2,false),0)</f>
        <v>5</v>
      </c>
      <c r="J64" s="10">
        <f>IFERROR(vlookup('1.8'!I:I,lookup!$A$22:$B$24,2,false),0)</f>
        <v>5</v>
      </c>
      <c r="K64" s="10">
        <f>IFERROR(vlookup('1.8'!J:J,lookup!$A$26:$B$28,2,false),0)</f>
        <v>5</v>
      </c>
      <c r="M64" s="10">
        <v>63.0</v>
      </c>
      <c r="N64" s="11" t="str">
        <f t="shared" si="1"/>
        <v>bnco1063@signalschool.ac.th</v>
      </c>
      <c r="O64" s="12">
        <f t="shared" si="2"/>
        <v>1</v>
      </c>
      <c r="R64" s="6" t="s">
        <v>277</v>
      </c>
    </row>
    <row r="65">
      <c r="A65" s="8">
        <f>'1.8'!A:A</f>
        <v>46267.60982</v>
      </c>
      <c r="B65" s="1" t="str">
        <f>'1.8'!B:B</f>
        <v>bnco1001@signalschool.ac.th</v>
      </c>
      <c r="C65" s="1" t="str">
        <f>'1.8'!C:C</f>
        <v>ครู/อาจารย์</v>
      </c>
      <c r="D65" s="9">
        <v>1.0</v>
      </c>
      <c r="E65" s="10">
        <f>IFERROR(vlookup('1.8'!D:D,lookup!$A$2:$B$4,2,false),0)</f>
        <v>5</v>
      </c>
      <c r="F65" s="10">
        <f>IFERROR(vlookup('1.8'!E:E,lookup!$A$6:$B$8,2,false),0)</f>
        <v>5</v>
      </c>
      <c r="G65" s="10">
        <f>IFERROR(vlookup('1.8'!F:F,lookup!$A$10:$B$12,2,false),0)</f>
        <v>5</v>
      </c>
      <c r="H65" s="10">
        <f>IFERROR(vlookup('1.8'!G:G,lookup!$A$14:$B$16,2,false),0)</f>
        <v>5</v>
      </c>
      <c r="I65" s="10">
        <f>IFERROR(vlookup('1.8'!H:H,lookup!$A$18:$B$20,2,false),0)</f>
        <v>5</v>
      </c>
      <c r="J65" s="10">
        <f>IFERROR(vlookup('1.8'!I:I,lookup!$A$22:$B$24,2,false),0)</f>
        <v>5</v>
      </c>
      <c r="K65" s="10">
        <f>IFERROR(vlookup('1.8'!J:J,lookup!$A$26:$B$28,2,false),0)</f>
        <v>5</v>
      </c>
      <c r="M65" s="10">
        <v>64.0</v>
      </c>
      <c r="N65" s="11" t="str">
        <f t="shared" si="1"/>
        <v>bnco1064@signalschool.ac.th</v>
      </c>
      <c r="O65" s="12">
        <f t="shared" si="2"/>
        <v>1</v>
      </c>
      <c r="R65" s="6" t="s">
        <v>278</v>
      </c>
    </row>
    <row r="66">
      <c r="A66" s="8">
        <f>'1.8'!A:A</f>
        <v>46267.8522</v>
      </c>
      <c r="B66" s="1" t="str">
        <f>'1.8'!B:B</f>
        <v>bnco1026@signalschool.ac.th</v>
      </c>
      <c r="C66" s="1" t="str">
        <f>'1.8'!C:C</f>
        <v>อาจารย์ผู้สอน</v>
      </c>
      <c r="D66" s="9">
        <v>1.0</v>
      </c>
      <c r="E66" s="10">
        <f>IFERROR(vlookup('1.8'!D:D,lookup!$A$2:$B$4,2,false),0)</f>
        <v>5</v>
      </c>
      <c r="F66" s="10">
        <f>IFERROR(vlookup('1.8'!E:E,lookup!$A$6:$B$8,2,false),0)</f>
        <v>5</v>
      </c>
      <c r="G66" s="10">
        <f>IFERROR(vlookup('1.8'!F:F,lookup!$A$10:$B$12,2,false),0)</f>
        <v>5</v>
      </c>
      <c r="H66" s="10">
        <f>IFERROR(vlookup('1.8'!G:G,lookup!$A$14:$B$16,2,false),0)</f>
        <v>5</v>
      </c>
      <c r="I66" s="10">
        <f>IFERROR(vlookup('1.8'!H:H,lookup!$A$18:$B$20,2,false),0)</f>
        <v>5</v>
      </c>
      <c r="J66" s="10">
        <f>IFERROR(vlookup('1.8'!I:I,lookup!$A$22:$B$24,2,false),0)</f>
        <v>3</v>
      </c>
      <c r="K66" s="10">
        <f>IFERROR(vlookup('1.8'!J:J,lookup!$A$26:$B$28,2,false),0)</f>
        <v>5</v>
      </c>
      <c r="M66" s="10">
        <v>65.0</v>
      </c>
      <c r="N66" s="11" t="str">
        <f t="shared" si="1"/>
        <v>bnco1065@signalschool.ac.th</v>
      </c>
      <c r="O66" s="12">
        <f t="shared" si="2"/>
        <v>0</v>
      </c>
      <c r="R66" s="6" t="s">
        <v>279</v>
      </c>
    </row>
    <row r="67">
      <c r="A67" s="8">
        <f>'1.8'!A:A</f>
        <v>46268.34572</v>
      </c>
      <c r="B67" s="1" t="str">
        <f>'1.8'!B:B</f>
        <v>bnco1040@signalschool.ac.th</v>
      </c>
      <c r="C67" s="1" t="str">
        <f>'1.8'!C:C</f>
        <v>จ.ส.ต.พรสุพพัต วุฒิสุวรรณ</v>
      </c>
      <c r="D67" s="9">
        <v>1.0</v>
      </c>
      <c r="E67" s="10">
        <f>IFERROR(vlookup('1.8'!D:D,lookup!$A$2:$B$4,2,false),0)</f>
        <v>5</v>
      </c>
      <c r="F67" s="10">
        <f>IFERROR(vlookup('1.8'!E:E,lookup!$A$6:$B$8,2,false),0)</f>
        <v>5</v>
      </c>
      <c r="G67" s="10">
        <f>IFERROR(vlookup('1.8'!F:F,lookup!$A$10:$B$12,2,false),0)</f>
        <v>5</v>
      </c>
      <c r="H67" s="10">
        <f>IFERROR(vlookup('1.8'!G:G,lookup!$A$14:$B$16,2,false),0)</f>
        <v>5</v>
      </c>
      <c r="I67" s="10">
        <f>IFERROR(vlookup('1.8'!H:H,lookup!$A$18:$B$20,2,false),0)</f>
        <v>5</v>
      </c>
      <c r="J67" s="10">
        <f>IFERROR(vlookup('1.8'!I:I,lookup!$A$22:$B$24,2,false),0)</f>
        <v>5</v>
      </c>
      <c r="K67" s="10">
        <f>IFERROR(vlookup('1.8'!J:J,lookup!$A$26:$B$28,2,false),0)</f>
        <v>5</v>
      </c>
      <c r="M67" s="10">
        <v>66.0</v>
      </c>
      <c r="N67" s="11" t="str">
        <f t="shared" si="1"/>
        <v>bnco1066@signalschool.ac.th</v>
      </c>
      <c r="O67" s="12">
        <f t="shared" si="2"/>
        <v>1</v>
      </c>
      <c r="R67" s="6" t="s">
        <v>280</v>
      </c>
    </row>
    <row r="68">
      <c r="A68" s="8" t="str">
        <f>'1.8'!A:A</f>
        <v/>
      </c>
      <c r="B68" s="1" t="str">
        <f>'1.8'!B:B</f>
        <v/>
      </c>
      <c r="C68" s="1" t="str">
        <f>'1.8'!C:C</f>
        <v/>
      </c>
      <c r="D68" s="9">
        <v>1.0</v>
      </c>
      <c r="E68" s="10">
        <f>IFERROR(vlookup('1.8'!D:D,lookup!$A$2:$B$4,2,false),0)</f>
        <v>0</v>
      </c>
      <c r="F68" s="10">
        <f>IFERROR(vlookup('1.8'!E:E,lookup!$A$6:$B$8,2,false),0)</f>
        <v>0</v>
      </c>
      <c r="G68" s="10">
        <f>IFERROR(vlookup('1.8'!F:F,lookup!$A$10:$B$12,2,false),0)</f>
        <v>0</v>
      </c>
      <c r="H68" s="10">
        <f>IFERROR(vlookup('1.8'!G:G,lookup!$A$14:$B$16,2,false),0)</f>
        <v>0</v>
      </c>
      <c r="I68" s="10">
        <f>IFERROR(vlookup('1.8'!H:H,lookup!$A$18:$B$20,2,false),0)</f>
        <v>0</v>
      </c>
      <c r="J68" s="10">
        <f>IFERROR(vlookup('1.8'!I:I,lookup!$A$22:$B$24,2,false),0)</f>
        <v>0</v>
      </c>
      <c r="K68" s="10">
        <f>IFERROR(vlookup('1.8'!J:J,lookup!$A$26:$B$28,2,false),0)</f>
        <v>0</v>
      </c>
      <c r="M68" s="10">
        <v>67.0</v>
      </c>
      <c r="N68" s="11" t="str">
        <f t="shared" si="1"/>
        <v>bnco1067@signalschool.ac.th</v>
      </c>
      <c r="O68" s="12">
        <f t="shared" si="2"/>
        <v>1</v>
      </c>
      <c r="R68" s="6" t="s">
        <v>281</v>
      </c>
    </row>
    <row r="69">
      <c r="A69" s="8" t="str">
        <f>'1.8'!A:A</f>
        <v/>
      </c>
      <c r="B69" s="1" t="str">
        <f>'1.8'!B:B</f>
        <v/>
      </c>
      <c r="C69" s="1" t="str">
        <f>'1.8'!C:C</f>
        <v/>
      </c>
      <c r="D69" s="9">
        <v>1.0</v>
      </c>
      <c r="E69" s="10">
        <f>IFERROR(vlookup('1.8'!D:D,lookup!$A$2:$B$4,2,false),0)</f>
        <v>0</v>
      </c>
      <c r="F69" s="10">
        <f>IFERROR(vlookup('1.8'!E:E,lookup!$A$6:$B$8,2,false),0)</f>
        <v>0</v>
      </c>
      <c r="G69" s="10">
        <f>IFERROR(vlookup('1.8'!F:F,lookup!$A$10:$B$12,2,false),0)</f>
        <v>0</v>
      </c>
      <c r="H69" s="10">
        <f>IFERROR(vlookup('1.8'!G:G,lookup!$A$14:$B$16,2,false),0)</f>
        <v>0</v>
      </c>
      <c r="I69" s="10">
        <f>IFERROR(vlookup('1.8'!H:H,lookup!$A$18:$B$20,2,false),0)</f>
        <v>0</v>
      </c>
      <c r="J69" s="10">
        <f>IFERROR(vlookup('1.8'!I:I,lookup!$A$22:$B$24,2,false),0)</f>
        <v>0</v>
      </c>
      <c r="K69" s="10">
        <f>IFERROR(vlookup('1.8'!J:J,lookup!$A$26:$B$28,2,false),0)</f>
        <v>0</v>
      </c>
      <c r="M69" s="10">
        <v>68.0</v>
      </c>
      <c r="N69" s="11" t="str">
        <f t="shared" si="1"/>
        <v>bnco1068@signalschool.ac.th</v>
      </c>
      <c r="O69" s="12">
        <f t="shared" si="2"/>
        <v>1</v>
      </c>
      <c r="R69" s="6" t="s">
        <v>282</v>
      </c>
    </row>
    <row r="70">
      <c r="A70" s="8" t="str">
        <f>'1.8'!A:A</f>
        <v/>
      </c>
      <c r="B70" s="1" t="str">
        <f>'1.8'!B:B</f>
        <v/>
      </c>
      <c r="C70" s="1" t="str">
        <f>'1.8'!C:C</f>
        <v/>
      </c>
      <c r="D70" s="9">
        <v>1.0</v>
      </c>
      <c r="E70" s="10">
        <f>IFERROR(vlookup('1.8'!D:D,lookup!$A$2:$B$4,2,false),0)</f>
        <v>0</v>
      </c>
      <c r="F70" s="10">
        <f>IFERROR(vlookup('1.8'!E:E,lookup!$A$6:$B$8,2,false),0)</f>
        <v>0</v>
      </c>
      <c r="G70" s="10">
        <f>IFERROR(vlookup('1.8'!F:F,lookup!$A$10:$B$12,2,false),0)</f>
        <v>0</v>
      </c>
      <c r="H70" s="10">
        <f>IFERROR(vlookup('1.8'!G:G,lookup!$A$14:$B$16,2,false),0)</f>
        <v>0</v>
      </c>
      <c r="I70" s="10">
        <f>IFERROR(vlookup('1.8'!H:H,lookup!$A$18:$B$20,2,false),0)</f>
        <v>0</v>
      </c>
      <c r="J70" s="10">
        <f>IFERROR(vlookup('1.8'!I:I,lookup!$A$22:$B$24,2,false),0)</f>
        <v>0</v>
      </c>
      <c r="K70" s="10">
        <f>IFERROR(vlookup('1.8'!J:J,lookup!$A$26:$B$28,2,false),0)</f>
        <v>0</v>
      </c>
      <c r="M70" s="10">
        <v>69.0</v>
      </c>
      <c r="N70" s="11" t="str">
        <f t="shared" si="1"/>
        <v>bnco1069@signalschool.ac.th</v>
      </c>
      <c r="O70" s="12">
        <f t="shared" si="2"/>
        <v>1</v>
      </c>
      <c r="R70" s="6" t="s">
        <v>283</v>
      </c>
    </row>
    <row r="71">
      <c r="A71" s="8" t="str">
        <f>'1.8'!A:A</f>
        <v/>
      </c>
      <c r="B71" s="1" t="str">
        <f>'1.8'!B:B</f>
        <v/>
      </c>
      <c r="C71" s="1" t="str">
        <f>'1.8'!C:C</f>
        <v/>
      </c>
      <c r="D71" s="9">
        <v>1.0</v>
      </c>
      <c r="E71" s="10">
        <f>IFERROR(vlookup('1.8'!D:D,lookup!$A$2:$B$4,2,false),0)</f>
        <v>0</v>
      </c>
      <c r="F71" s="10">
        <f>IFERROR(vlookup('1.8'!E:E,lookup!$A$6:$B$8,2,false),0)</f>
        <v>0</v>
      </c>
      <c r="G71" s="10">
        <f>IFERROR(vlookup('1.8'!F:F,lookup!$A$10:$B$12,2,false),0)</f>
        <v>0</v>
      </c>
      <c r="H71" s="10">
        <f>IFERROR(vlookup('1.8'!G:G,lookup!$A$14:$B$16,2,false),0)</f>
        <v>0</v>
      </c>
      <c r="I71" s="10">
        <f>IFERROR(vlookup('1.8'!H:H,lookup!$A$18:$B$20,2,false),0)</f>
        <v>0</v>
      </c>
      <c r="J71" s="10">
        <f>IFERROR(vlookup('1.8'!I:I,lookup!$A$22:$B$24,2,false),0)</f>
        <v>0</v>
      </c>
      <c r="K71" s="10">
        <f>IFERROR(vlookup('1.8'!J:J,lookup!$A$26:$B$28,2,false),0)</f>
        <v>0</v>
      </c>
      <c r="M71" s="10">
        <v>70.0</v>
      </c>
      <c r="N71" s="11" t="str">
        <f t="shared" si="1"/>
        <v>bnco1070@signalschool.ac.th</v>
      </c>
      <c r="O71" s="12">
        <f t="shared" si="2"/>
        <v>1</v>
      </c>
      <c r="R71" s="6" t="s">
        <v>284</v>
      </c>
    </row>
    <row r="72">
      <c r="A72" s="8" t="str">
        <f>'1.8'!A:A</f>
        <v/>
      </c>
      <c r="B72" s="1" t="str">
        <f>'1.8'!B:B</f>
        <v/>
      </c>
      <c r="C72" s="1" t="str">
        <f>'1.8'!C:C</f>
        <v/>
      </c>
      <c r="D72" s="9">
        <v>1.0</v>
      </c>
      <c r="E72" s="10">
        <f>IFERROR(vlookup('1.8'!D:D,lookup!$A$2:$B$4,2,false),0)</f>
        <v>0</v>
      </c>
      <c r="F72" s="10">
        <f>IFERROR(vlookup('1.8'!E:E,lookup!$A$6:$B$8,2,false),0)</f>
        <v>0</v>
      </c>
      <c r="G72" s="10">
        <f>IFERROR(vlookup('1.8'!F:F,lookup!$A$10:$B$12,2,false),0)</f>
        <v>0</v>
      </c>
      <c r="H72" s="10">
        <f>IFERROR(vlookup('1.8'!G:G,lookup!$A$14:$B$16,2,false),0)</f>
        <v>0</v>
      </c>
      <c r="I72" s="10">
        <f>IFERROR(vlookup('1.8'!H:H,lookup!$A$18:$B$20,2,false),0)</f>
        <v>0</v>
      </c>
      <c r="J72" s="10">
        <f>IFERROR(vlookup('1.8'!I:I,lookup!$A$22:$B$24,2,false),0)</f>
        <v>0</v>
      </c>
      <c r="K72" s="10">
        <f>IFERROR(vlookup('1.8'!J:J,lookup!$A$26:$B$28,2,false),0)</f>
        <v>0</v>
      </c>
      <c r="M72" s="10">
        <v>71.0</v>
      </c>
      <c r="N72" s="11" t="str">
        <f t="shared" si="1"/>
        <v>bnco1071@signalschool.ac.th</v>
      </c>
      <c r="O72" s="12">
        <f t="shared" si="2"/>
        <v>1</v>
      </c>
      <c r="R72" s="6" t="s">
        <v>285</v>
      </c>
    </row>
    <row r="73">
      <c r="A73" s="8" t="str">
        <f>'1.8'!A:A</f>
        <v/>
      </c>
      <c r="B73" s="1" t="str">
        <f>'1.8'!B:B</f>
        <v/>
      </c>
      <c r="C73" s="1" t="str">
        <f>'1.8'!C:C</f>
        <v/>
      </c>
      <c r="D73" s="9">
        <v>1.0</v>
      </c>
      <c r="E73" s="10">
        <f>IFERROR(vlookup('1.8'!D:D,lookup!$A$2:$B$4,2,false),0)</f>
        <v>0</v>
      </c>
      <c r="F73" s="10">
        <f>IFERROR(vlookup('1.8'!E:E,lookup!$A$6:$B$8,2,false),0)</f>
        <v>0</v>
      </c>
      <c r="G73" s="10">
        <f>IFERROR(vlookup('1.8'!F:F,lookup!$A$10:$B$12,2,false),0)</f>
        <v>0</v>
      </c>
      <c r="H73" s="10">
        <f>IFERROR(vlookup('1.8'!G:G,lookup!$A$14:$B$16,2,false),0)</f>
        <v>0</v>
      </c>
      <c r="I73" s="10">
        <f>IFERROR(vlookup('1.8'!H:H,lookup!$A$18:$B$20,2,false),0)</f>
        <v>0</v>
      </c>
      <c r="J73" s="10">
        <f>IFERROR(vlookup('1.8'!I:I,lookup!$A$22:$B$24,2,false),0)</f>
        <v>0</v>
      </c>
      <c r="K73" s="10">
        <f>IFERROR(vlookup('1.8'!J:J,lookup!$A$26:$B$28,2,false),0)</f>
        <v>0</v>
      </c>
      <c r="M73" s="10">
        <v>72.0</v>
      </c>
      <c r="N73" s="11" t="str">
        <f t="shared" si="1"/>
        <v>bnco1072@signalschool.ac.th</v>
      </c>
      <c r="O73" s="12">
        <f t="shared" si="2"/>
        <v>1</v>
      </c>
      <c r="R73" s="6" t="s">
        <v>286</v>
      </c>
    </row>
    <row r="74">
      <c r="A74" s="8" t="str">
        <f>'1.8'!A:A</f>
        <v/>
      </c>
      <c r="B74" s="1" t="str">
        <f>'1.8'!B:B</f>
        <v/>
      </c>
      <c r="C74" s="1" t="str">
        <f>'1.8'!C:C</f>
        <v/>
      </c>
      <c r="D74" s="9">
        <v>1.0</v>
      </c>
      <c r="E74" s="10">
        <f>IFERROR(vlookup('1.8'!D:D,lookup!$A$2:$B$4,2,false),0)</f>
        <v>0</v>
      </c>
      <c r="F74" s="10">
        <f>IFERROR(vlookup('1.8'!E:E,lookup!$A$6:$B$8,2,false),0)</f>
        <v>0</v>
      </c>
      <c r="G74" s="10">
        <f>IFERROR(vlookup('1.8'!F:F,lookup!$A$10:$B$12,2,false),0)</f>
        <v>0</v>
      </c>
      <c r="H74" s="10">
        <f>IFERROR(vlookup('1.8'!G:G,lookup!$A$14:$B$16,2,false),0)</f>
        <v>0</v>
      </c>
      <c r="I74" s="10">
        <f>IFERROR(vlookup('1.8'!H:H,lookup!$A$18:$B$20,2,false),0)</f>
        <v>0</v>
      </c>
      <c r="J74" s="10">
        <f>IFERROR(vlookup('1.8'!I:I,lookup!$A$22:$B$24,2,false),0)</f>
        <v>0</v>
      </c>
      <c r="K74" s="10">
        <f>IFERROR(vlookup('1.8'!J:J,lookup!$A$26:$B$28,2,false),0)</f>
        <v>0</v>
      </c>
      <c r="M74" s="10">
        <v>73.0</v>
      </c>
      <c r="N74" s="11" t="str">
        <f t="shared" si="1"/>
        <v>bnco1073@signalschool.ac.th</v>
      </c>
      <c r="O74" s="12">
        <f t="shared" si="2"/>
        <v>1</v>
      </c>
      <c r="R74" s="6" t="s">
        <v>287</v>
      </c>
    </row>
    <row r="75">
      <c r="A75" s="8" t="str">
        <f>'1.8'!A:A</f>
        <v/>
      </c>
      <c r="B75" s="1" t="str">
        <f>'1.8'!B:B</f>
        <v/>
      </c>
      <c r="C75" s="1" t="str">
        <f>'1.8'!C:C</f>
        <v/>
      </c>
      <c r="D75" s="9">
        <v>1.0</v>
      </c>
      <c r="E75" s="10">
        <f>IFERROR(vlookup('1.8'!D:D,lookup!$A$2:$B$4,2,false),0)</f>
        <v>0</v>
      </c>
      <c r="F75" s="10">
        <f>IFERROR(vlookup('1.8'!E:E,lookup!$A$6:$B$8,2,false),0)</f>
        <v>0</v>
      </c>
      <c r="G75" s="10">
        <f>IFERROR(vlookup('1.8'!F:F,lookup!$A$10:$B$12,2,false),0)</f>
        <v>0</v>
      </c>
      <c r="H75" s="10">
        <f>IFERROR(vlookup('1.8'!G:G,lookup!$A$14:$B$16,2,false),0)</f>
        <v>0</v>
      </c>
      <c r="I75" s="10">
        <f>IFERROR(vlookup('1.8'!H:H,lookup!$A$18:$B$20,2,false),0)</f>
        <v>0</v>
      </c>
      <c r="J75" s="10">
        <f>IFERROR(vlookup('1.8'!I:I,lookup!$A$22:$B$24,2,false),0)</f>
        <v>0</v>
      </c>
      <c r="K75" s="10">
        <f>IFERROR(vlookup('1.8'!J:J,lookup!$A$26:$B$28,2,false),0)</f>
        <v>0</v>
      </c>
      <c r="M75" s="10">
        <v>74.0</v>
      </c>
      <c r="N75" s="11" t="str">
        <f t="shared" si="1"/>
        <v>bnco1074@signalschool.ac.th</v>
      </c>
      <c r="O75" s="12">
        <f t="shared" si="2"/>
        <v>0</v>
      </c>
      <c r="R75" s="6" t="s">
        <v>288</v>
      </c>
    </row>
    <row r="76">
      <c r="A76" s="8" t="str">
        <f>'1.8'!A:A</f>
        <v/>
      </c>
      <c r="B76" s="1" t="str">
        <f>'1.8'!B:B</f>
        <v/>
      </c>
      <c r="C76" s="1" t="str">
        <f>'1.8'!C:C</f>
        <v/>
      </c>
      <c r="D76" s="9">
        <v>1.0</v>
      </c>
      <c r="E76" s="10">
        <f>IFERROR(vlookup('1.8'!D:D,lookup!$A$2:$B$4,2,false),0)</f>
        <v>0</v>
      </c>
      <c r="F76" s="10">
        <f>IFERROR(vlookup('1.8'!E:E,lookup!$A$6:$B$8,2,false),0)</f>
        <v>0</v>
      </c>
      <c r="G76" s="10">
        <f>IFERROR(vlookup('1.8'!F:F,lookup!$A$10:$B$12,2,false),0)</f>
        <v>0</v>
      </c>
      <c r="H76" s="10">
        <f>IFERROR(vlookup('1.8'!G:G,lookup!$A$14:$B$16,2,false),0)</f>
        <v>0</v>
      </c>
      <c r="I76" s="10">
        <f>IFERROR(vlookup('1.8'!H:H,lookup!$A$18:$B$20,2,false),0)</f>
        <v>0</v>
      </c>
      <c r="J76" s="10">
        <f>IFERROR(vlookup('1.8'!I:I,lookup!$A$22:$B$24,2,false),0)</f>
        <v>0</v>
      </c>
      <c r="K76" s="10">
        <f>IFERROR(vlookup('1.8'!J:J,lookup!$A$26:$B$28,2,false),0)</f>
        <v>0</v>
      </c>
      <c r="M76" s="10">
        <v>75.0</v>
      </c>
      <c r="N76" s="11" t="str">
        <f t="shared" si="1"/>
        <v>bnco1075@signalschool.ac.th</v>
      </c>
      <c r="O76" s="12">
        <f t="shared" si="2"/>
        <v>0</v>
      </c>
      <c r="R76" s="6" t="s">
        <v>289</v>
      </c>
    </row>
    <row r="77">
      <c r="A77" s="8" t="str">
        <f>'1.8'!A:A</f>
        <v/>
      </c>
      <c r="B77" s="1" t="str">
        <f>'1.8'!B:B</f>
        <v/>
      </c>
      <c r="C77" s="1" t="str">
        <f>'1.8'!C:C</f>
        <v/>
      </c>
      <c r="D77" s="9">
        <v>1.0</v>
      </c>
      <c r="E77" s="10">
        <f>IFERROR(vlookup('1.8'!D:D,lookup!$A$2:$B$4,2,false),0)</f>
        <v>0</v>
      </c>
      <c r="F77" s="10">
        <f>IFERROR(vlookup('1.8'!E:E,lookup!$A$6:$B$8,2,false),0)</f>
        <v>0</v>
      </c>
      <c r="G77" s="10">
        <f>IFERROR(vlookup('1.8'!F:F,lookup!$A$10:$B$12,2,false),0)</f>
        <v>0</v>
      </c>
      <c r="H77" s="10">
        <f>IFERROR(vlookup('1.8'!G:G,lookup!$A$14:$B$16,2,false),0)</f>
        <v>0</v>
      </c>
      <c r="I77" s="10">
        <f>IFERROR(vlookup('1.8'!H:H,lookup!$A$18:$B$20,2,false),0)</f>
        <v>0</v>
      </c>
      <c r="J77" s="10">
        <f>IFERROR(vlookup('1.8'!I:I,lookup!$A$22:$B$24,2,false),0)</f>
        <v>0</v>
      </c>
      <c r="K77" s="10">
        <f>IFERROR(vlookup('1.8'!J:J,lookup!$A$26:$B$28,2,false),0)</f>
        <v>0</v>
      </c>
      <c r="M77" s="10">
        <v>76.0</v>
      </c>
      <c r="N77" s="11" t="str">
        <f t="shared" si="1"/>
        <v>bnco1076@signalschool.ac.th</v>
      </c>
      <c r="O77" s="12">
        <f t="shared" si="2"/>
        <v>1</v>
      </c>
      <c r="R77" s="6" t="s">
        <v>290</v>
      </c>
    </row>
    <row r="78">
      <c r="A78" s="8" t="str">
        <f>'1.8'!A:A</f>
        <v/>
      </c>
      <c r="B78" s="1" t="str">
        <f>'1.8'!B:B</f>
        <v/>
      </c>
      <c r="C78" s="1" t="str">
        <f>'1.8'!C:C</f>
        <v/>
      </c>
      <c r="D78" s="9">
        <v>1.0</v>
      </c>
      <c r="E78" s="10">
        <f>IFERROR(vlookup('1.8'!D:D,lookup!$A$2:$B$4,2,false),0)</f>
        <v>0</v>
      </c>
      <c r="F78" s="10">
        <f>IFERROR(vlookup('1.8'!E:E,lookup!$A$6:$B$8,2,false),0)</f>
        <v>0</v>
      </c>
      <c r="G78" s="10">
        <f>IFERROR(vlookup('1.8'!F:F,lookup!$A$10:$B$12,2,false),0)</f>
        <v>0</v>
      </c>
      <c r="H78" s="10">
        <f>IFERROR(vlookup('1.8'!G:G,lookup!$A$14:$B$16,2,false),0)</f>
        <v>0</v>
      </c>
      <c r="I78" s="10">
        <f>IFERROR(vlookup('1.8'!H:H,lookup!$A$18:$B$20,2,false),0)</f>
        <v>0</v>
      </c>
      <c r="J78" s="10">
        <f>IFERROR(vlookup('1.8'!I:I,lookup!$A$22:$B$24,2,false),0)</f>
        <v>0</v>
      </c>
      <c r="K78" s="10">
        <f>IFERROR(vlookup('1.8'!J:J,lookup!$A$26:$B$28,2,false),0)</f>
        <v>0</v>
      </c>
      <c r="M78" s="10">
        <v>77.0</v>
      </c>
      <c r="N78" s="11" t="str">
        <f t="shared" si="1"/>
        <v>bnco1077@signalschool.ac.th</v>
      </c>
      <c r="O78" s="12">
        <f t="shared" si="2"/>
        <v>0</v>
      </c>
      <c r="R78" s="6" t="s">
        <v>291</v>
      </c>
    </row>
    <row r="79">
      <c r="A79" s="8" t="str">
        <f>'1.8'!A:A</f>
        <v/>
      </c>
      <c r="B79" s="1" t="str">
        <f>'1.8'!B:B</f>
        <v/>
      </c>
      <c r="C79" s="1" t="str">
        <f>'1.8'!C:C</f>
        <v/>
      </c>
      <c r="D79" s="9">
        <v>1.0</v>
      </c>
      <c r="E79" s="10">
        <f>IFERROR(vlookup('1.8'!D:D,lookup!$A$2:$B$4,2,false),0)</f>
        <v>0</v>
      </c>
      <c r="F79" s="10">
        <f>IFERROR(vlookup('1.8'!E:E,lookup!$A$6:$B$8,2,false),0)</f>
        <v>0</v>
      </c>
      <c r="G79" s="10">
        <f>IFERROR(vlookup('1.8'!F:F,lookup!$A$10:$B$12,2,false),0)</f>
        <v>0</v>
      </c>
      <c r="H79" s="10">
        <f>IFERROR(vlookup('1.8'!G:G,lookup!$A$14:$B$16,2,false),0)</f>
        <v>0</v>
      </c>
      <c r="I79" s="10">
        <f>IFERROR(vlookup('1.8'!H:H,lookup!$A$18:$B$20,2,false),0)</f>
        <v>0</v>
      </c>
      <c r="J79" s="10">
        <f>IFERROR(vlookup('1.8'!I:I,lookup!$A$22:$B$24,2,false),0)</f>
        <v>0</v>
      </c>
      <c r="K79" s="10">
        <f>IFERROR(vlookup('1.8'!J:J,lookup!$A$26:$B$28,2,false),0)</f>
        <v>0</v>
      </c>
      <c r="M79" s="10">
        <v>78.0</v>
      </c>
      <c r="N79" s="11" t="str">
        <f t="shared" si="1"/>
        <v>bnco1078@signalschool.ac.th</v>
      </c>
      <c r="O79" s="12">
        <f t="shared" si="2"/>
        <v>1</v>
      </c>
      <c r="R79" s="6" t="s">
        <v>292</v>
      </c>
    </row>
    <row r="80">
      <c r="A80" s="8" t="str">
        <f>'1.8'!A:A</f>
        <v/>
      </c>
      <c r="B80" s="1" t="str">
        <f>'1.8'!B:B</f>
        <v/>
      </c>
      <c r="C80" s="1" t="str">
        <f>'1.8'!C:C</f>
        <v/>
      </c>
      <c r="D80" s="9">
        <v>1.0</v>
      </c>
      <c r="E80" s="10">
        <f>IFERROR(vlookup('1.8'!D:D,lookup!$A$2:$B$4,2,false),0)</f>
        <v>0</v>
      </c>
      <c r="F80" s="10">
        <f>IFERROR(vlookup('1.8'!E:E,lookup!$A$6:$B$8,2,false),0)</f>
        <v>0</v>
      </c>
      <c r="G80" s="10">
        <f>IFERROR(vlookup('1.8'!F:F,lookup!$A$10:$B$12,2,false),0)</f>
        <v>0</v>
      </c>
      <c r="H80" s="10">
        <f>IFERROR(vlookup('1.8'!G:G,lookup!$A$14:$B$16,2,false),0)</f>
        <v>0</v>
      </c>
      <c r="I80" s="10">
        <f>IFERROR(vlookup('1.8'!H:H,lookup!$A$18:$B$20,2,false),0)</f>
        <v>0</v>
      </c>
      <c r="J80" s="10">
        <f>IFERROR(vlookup('1.8'!I:I,lookup!$A$22:$B$24,2,false),0)</f>
        <v>0</v>
      </c>
      <c r="K80" s="10">
        <f>IFERROR(vlookup('1.8'!J:J,lookup!$A$26:$B$28,2,false),0)</f>
        <v>0</v>
      </c>
      <c r="M80" s="10">
        <v>79.0</v>
      </c>
      <c r="N80" s="11" t="str">
        <f t="shared" si="1"/>
        <v>bnco1079@signalschool.ac.th</v>
      </c>
      <c r="O80" s="12">
        <f t="shared" si="2"/>
        <v>1</v>
      </c>
      <c r="R80" s="6" t="s">
        <v>293</v>
      </c>
    </row>
    <row r="81">
      <c r="A81" s="8" t="str">
        <f>'1.8'!A:A</f>
        <v/>
      </c>
      <c r="B81" s="1" t="str">
        <f>'1.8'!B:B</f>
        <v/>
      </c>
      <c r="C81" s="1" t="str">
        <f>'1.8'!C:C</f>
        <v/>
      </c>
      <c r="D81" s="9">
        <v>1.0</v>
      </c>
      <c r="E81" s="10">
        <f>IFERROR(vlookup('1.8'!D:D,lookup!$A$2:$B$4,2,false),0)</f>
        <v>0</v>
      </c>
      <c r="F81" s="10">
        <f>IFERROR(vlookup('1.8'!E:E,lookup!$A$6:$B$8,2,false),0)</f>
        <v>0</v>
      </c>
      <c r="G81" s="10">
        <f>IFERROR(vlookup('1.8'!F:F,lookup!$A$10:$B$12,2,false),0)</f>
        <v>0</v>
      </c>
      <c r="H81" s="10">
        <f>IFERROR(vlookup('1.8'!G:G,lookup!$A$14:$B$16,2,false),0)</f>
        <v>0</v>
      </c>
      <c r="I81" s="10">
        <f>IFERROR(vlookup('1.8'!H:H,lookup!$A$18:$B$20,2,false),0)</f>
        <v>0</v>
      </c>
      <c r="J81" s="10">
        <f>IFERROR(vlookup('1.8'!I:I,lookup!$A$22:$B$24,2,false),0)</f>
        <v>0</v>
      </c>
      <c r="K81" s="10">
        <f>IFERROR(vlookup('1.8'!J:J,lookup!$A$26:$B$28,2,false),0)</f>
        <v>0</v>
      </c>
      <c r="M81" s="10">
        <v>80.0</v>
      </c>
      <c r="N81" s="11" t="str">
        <f t="shared" si="1"/>
        <v>bnco1080@signalschool.ac.th</v>
      </c>
      <c r="O81" s="12">
        <f t="shared" si="2"/>
        <v>1</v>
      </c>
      <c r="R81" s="6" t="s">
        <v>294</v>
      </c>
    </row>
    <row r="82">
      <c r="A82" s="8" t="str">
        <f>'1.8'!A:A</f>
        <v/>
      </c>
      <c r="B82" s="1" t="str">
        <f>'1.8'!B:B</f>
        <v/>
      </c>
      <c r="C82" s="1" t="str">
        <f>'1.8'!C:C</f>
        <v/>
      </c>
      <c r="D82" s="9"/>
      <c r="E82" s="15"/>
      <c r="F82" s="15"/>
      <c r="G82" s="15"/>
      <c r="H82" s="15"/>
      <c r="I82" s="15"/>
      <c r="J82" s="15"/>
      <c r="K82" s="15"/>
    </row>
    <row r="83">
      <c r="A83" s="8" t="str">
        <f>'1.8'!A:A</f>
        <v/>
      </c>
      <c r="B83" s="1" t="str">
        <f>'1.8'!B:B</f>
        <v/>
      </c>
      <c r="C83" s="1" t="str">
        <f>'1.8'!C:C</f>
        <v/>
      </c>
      <c r="D83" s="9"/>
      <c r="E83" s="15"/>
      <c r="F83" s="15"/>
      <c r="G83" s="15"/>
      <c r="H83" s="15"/>
      <c r="I83" s="15"/>
      <c r="J83" s="15"/>
      <c r="K83" s="15"/>
    </row>
    <row r="84">
      <c r="A84" s="8" t="str">
        <f>'1.8'!A:A</f>
        <v/>
      </c>
      <c r="B84" s="1" t="str">
        <f>'1.8'!B:B</f>
        <v/>
      </c>
      <c r="C84" s="1" t="str">
        <f>'1.8'!C:C</f>
        <v/>
      </c>
      <c r="D84" s="9"/>
      <c r="E84" s="15"/>
      <c r="F84" s="15"/>
      <c r="G84" s="15"/>
      <c r="H84" s="15"/>
      <c r="I84" s="15"/>
      <c r="J84" s="15"/>
      <c r="K84" s="15"/>
    </row>
    <row r="85">
      <c r="A85" s="8" t="str">
        <f>'1.8'!A:A</f>
        <v/>
      </c>
      <c r="B85" s="1" t="str">
        <f>'1.8'!B:B</f>
        <v/>
      </c>
      <c r="C85" s="1" t="str">
        <f>'1.8'!C:C</f>
        <v/>
      </c>
      <c r="D85" s="9"/>
      <c r="E85" s="15"/>
      <c r="F85" s="15"/>
      <c r="G85" s="15"/>
      <c r="H85" s="15"/>
      <c r="I85" s="15"/>
      <c r="J85" s="15"/>
      <c r="K85" s="15"/>
    </row>
    <row r="86">
      <c r="A86" s="8" t="str">
        <f>'1.8'!A:A</f>
        <v/>
      </c>
      <c r="B86" s="1" t="str">
        <f>'1.8'!B:B</f>
        <v/>
      </c>
      <c r="C86" s="1" t="str">
        <f>'1.8'!C:C</f>
        <v/>
      </c>
      <c r="D86" s="9"/>
      <c r="E86" s="15"/>
      <c r="F86" s="15"/>
      <c r="G86" s="15"/>
      <c r="H86" s="15"/>
      <c r="I86" s="15"/>
      <c r="J86" s="15"/>
      <c r="K86" s="15"/>
    </row>
    <row r="87">
      <c r="A87" s="8" t="str">
        <f>'1.8'!A:A</f>
        <v/>
      </c>
      <c r="B87" s="1" t="str">
        <f>'1.8'!B:B</f>
        <v/>
      </c>
      <c r="C87" s="1" t="str">
        <f>'1.8'!C:C</f>
        <v/>
      </c>
      <c r="D87" s="9"/>
      <c r="E87" s="15"/>
      <c r="F87" s="15"/>
      <c r="G87" s="15"/>
      <c r="H87" s="15"/>
      <c r="I87" s="15"/>
      <c r="J87" s="15"/>
      <c r="K87" s="15"/>
    </row>
    <row r="88">
      <c r="A88" s="8" t="str">
        <f>'1.8'!A:A</f>
        <v/>
      </c>
      <c r="B88" s="1" t="str">
        <f>'1.8'!B:B</f>
        <v/>
      </c>
      <c r="C88" s="1" t="str">
        <f>'1.8'!C:C</f>
        <v/>
      </c>
      <c r="D88" s="9"/>
      <c r="E88" s="15"/>
      <c r="F88" s="15"/>
      <c r="G88" s="15"/>
      <c r="H88" s="15"/>
      <c r="I88" s="15"/>
      <c r="J88" s="15"/>
      <c r="K88" s="15"/>
    </row>
    <row r="89">
      <c r="A89" s="8" t="str">
        <f>'1.8'!A:A</f>
        <v/>
      </c>
      <c r="B89" s="1" t="str">
        <f>'1.8'!B:B</f>
        <v/>
      </c>
      <c r="C89" s="1" t="str">
        <f>'1.8'!C:C</f>
        <v/>
      </c>
      <c r="D89" s="9"/>
      <c r="E89" s="15"/>
      <c r="F89" s="15"/>
      <c r="G89" s="15"/>
      <c r="H89" s="15"/>
      <c r="I89" s="15"/>
      <c r="J89" s="15"/>
      <c r="K89" s="15"/>
    </row>
    <row r="90">
      <c r="A90" s="8" t="str">
        <f>'1.8'!A:A</f>
        <v/>
      </c>
      <c r="B90" s="1" t="str">
        <f>'1.8'!B:B</f>
        <v/>
      </c>
      <c r="C90" s="1" t="str">
        <f>'1.8'!C:C</f>
        <v/>
      </c>
      <c r="D90" s="9"/>
      <c r="E90" s="15"/>
      <c r="F90" s="15"/>
      <c r="G90" s="15"/>
      <c r="H90" s="15"/>
      <c r="I90" s="15"/>
      <c r="J90" s="15"/>
      <c r="K90" s="15"/>
    </row>
    <row r="91">
      <c r="A91" s="8" t="str">
        <f>'1.8'!A:A</f>
        <v/>
      </c>
      <c r="B91" s="1" t="str">
        <f>'1.8'!B:B</f>
        <v/>
      </c>
      <c r="C91" s="1" t="str">
        <f>'1.8'!C:C</f>
        <v/>
      </c>
      <c r="D91" s="9"/>
      <c r="E91" s="15"/>
      <c r="F91" s="15"/>
      <c r="G91" s="15"/>
      <c r="H91" s="15"/>
      <c r="I91" s="15"/>
      <c r="J91" s="15"/>
      <c r="K91" s="15"/>
    </row>
    <row r="92">
      <c r="A92" s="8" t="str">
        <f>'1.8'!A:A</f>
        <v/>
      </c>
      <c r="B92" s="1" t="str">
        <f>'1.8'!B:B</f>
        <v/>
      </c>
      <c r="C92" s="1" t="str">
        <f>'1.8'!C:C</f>
        <v/>
      </c>
      <c r="D92" s="9"/>
      <c r="E92" s="15"/>
      <c r="F92" s="15"/>
      <c r="G92" s="15"/>
      <c r="H92" s="15"/>
      <c r="I92" s="15"/>
      <c r="J92" s="15"/>
      <c r="K92" s="15"/>
    </row>
    <row r="93">
      <c r="A93" s="8" t="str">
        <f>'1.8'!A:A</f>
        <v/>
      </c>
      <c r="B93" s="1" t="str">
        <f>'1.8'!B:B</f>
        <v/>
      </c>
      <c r="C93" s="1" t="str">
        <f>'1.8'!C:C</f>
        <v/>
      </c>
      <c r="D93" s="9"/>
      <c r="E93" s="15"/>
      <c r="F93" s="15"/>
      <c r="G93" s="15"/>
      <c r="H93" s="15"/>
      <c r="I93" s="15"/>
      <c r="J93" s="15"/>
      <c r="K93" s="15"/>
    </row>
    <row r="94">
      <c r="A94" s="8" t="str">
        <f>'1.8'!A:A</f>
        <v/>
      </c>
      <c r="B94" s="1" t="str">
        <f>'1.8'!B:B</f>
        <v/>
      </c>
      <c r="C94" s="1" t="str">
        <f>'1.8'!C:C</f>
        <v/>
      </c>
      <c r="D94" s="9"/>
      <c r="E94" s="15"/>
      <c r="F94" s="15"/>
      <c r="G94" s="15"/>
      <c r="H94" s="15"/>
      <c r="I94" s="15"/>
      <c r="J94" s="15"/>
      <c r="K94" s="15"/>
    </row>
    <row r="95">
      <c r="A95" s="8" t="str">
        <f>'1.8'!A:A</f>
        <v/>
      </c>
      <c r="B95" s="1" t="str">
        <f>'1.8'!B:B</f>
        <v/>
      </c>
      <c r="C95" s="1" t="str">
        <f>'1.8'!C:C</f>
        <v/>
      </c>
      <c r="D95" s="9"/>
      <c r="E95" s="15"/>
      <c r="F95" s="15"/>
      <c r="G95" s="15"/>
      <c r="H95" s="15"/>
      <c r="I95" s="15"/>
      <c r="J95" s="15"/>
      <c r="K95" s="15"/>
    </row>
    <row r="96">
      <c r="A96" s="8" t="str">
        <f>'1.8'!A:A</f>
        <v/>
      </c>
      <c r="B96" s="1" t="str">
        <f>'1.8'!B:B</f>
        <v/>
      </c>
      <c r="C96" s="1" t="str">
        <f>'1.8'!C:C</f>
        <v/>
      </c>
      <c r="D96" s="9"/>
      <c r="E96" s="15"/>
      <c r="F96" s="15"/>
      <c r="G96" s="15"/>
      <c r="H96" s="15"/>
      <c r="I96" s="15"/>
      <c r="J96" s="15"/>
      <c r="K96" s="15"/>
    </row>
    <row r="97">
      <c r="A97" s="8" t="str">
        <f>'1.8'!A:A</f>
        <v/>
      </c>
      <c r="B97" s="1" t="str">
        <f>'1.8'!B:B</f>
        <v/>
      </c>
      <c r="C97" s="1" t="str">
        <f>'1.8'!C:C</f>
        <v/>
      </c>
      <c r="D97" s="9"/>
      <c r="E97" s="15"/>
      <c r="F97" s="15"/>
      <c r="G97" s="15"/>
      <c r="H97" s="15"/>
      <c r="I97" s="15"/>
      <c r="J97" s="15"/>
      <c r="K97" s="15"/>
    </row>
    <row r="98">
      <c r="A98" s="8" t="str">
        <f>'1.8'!A:A</f>
        <v/>
      </c>
      <c r="B98" s="1" t="str">
        <f>'1.8'!B:B</f>
        <v/>
      </c>
      <c r="C98" s="1" t="str">
        <f>'1.8'!C:C</f>
        <v/>
      </c>
      <c r="D98" s="9"/>
      <c r="E98" s="15"/>
      <c r="F98" s="15"/>
      <c r="G98" s="15"/>
      <c r="H98" s="15"/>
      <c r="I98" s="15"/>
      <c r="J98" s="15"/>
      <c r="K98" s="15"/>
    </row>
    <row r="99">
      <c r="A99" s="8" t="str">
        <f>'1.8'!A:A</f>
        <v/>
      </c>
      <c r="B99" s="1" t="str">
        <f>'1.8'!B:B</f>
        <v/>
      </c>
      <c r="C99" s="1" t="str">
        <f>'1.8'!C:C</f>
        <v/>
      </c>
      <c r="D99" s="9"/>
      <c r="E99" s="15"/>
      <c r="F99" s="15"/>
      <c r="G99" s="15"/>
      <c r="H99" s="15"/>
      <c r="I99" s="15"/>
      <c r="J99" s="15"/>
      <c r="K99" s="15"/>
    </row>
    <row r="100">
      <c r="A100" s="8" t="str">
        <f>'1.8'!A:A</f>
        <v/>
      </c>
      <c r="B100" s="1" t="str">
        <f>'1.8'!B:B</f>
        <v/>
      </c>
      <c r="C100" s="1" t="str">
        <f>'1.8'!C:C</f>
        <v/>
      </c>
      <c r="D100" s="9"/>
      <c r="E100" s="15"/>
      <c r="F100" s="15"/>
      <c r="G100" s="15"/>
      <c r="H100" s="15"/>
      <c r="I100" s="15"/>
      <c r="J100" s="15"/>
      <c r="K100" s="15"/>
    </row>
    <row r="101">
      <c r="A101" s="8" t="str">
        <f>'1.8'!A:A</f>
        <v/>
      </c>
      <c r="B101" s="1" t="str">
        <f>'1.8'!B:B</f>
        <v/>
      </c>
      <c r="C101" s="1" t="str">
        <f>'1.8'!C:C</f>
        <v/>
      </c>
      <c r="D101" s="9"/>
      <c r="E101" s="15"/>
      <c r="F101" s="15"/>
      <c r="G101" s="15"/>
      <c r="H101" s="15"/>
      <c r="I101" s="15"/>
      <c r="J101" s="15"/>
      <c r="K101" s="15"/>
      <c r="N101" s="1" t="s">
        <v>295</v>
      </c>
      <c r="O101" s="12">
        <f>SUM(O2:O81)</f>
        <v>65</v>
      </c>
    </row>
    <row r="102">
      <c r="C102" s="1"/>
      <c r="E102" s="14">
        <f t="shared" ref="E102:K102" si="3">AVERAGE(E2:E81)</f>
        <v>4.1</v>
      </c>
      <c r="F102" s="14">
        <f t="shared" si="3"/>
        <v>4.1</v>
      </c>
      <c r="G102" s="14">
        <f t="shared" si="3"/>
        <v>4.1</v>
      </c>
      <c r="H102" s="14">
        <f t="shared" si="3"/>
        <v>4.1</v>
      </c>
      <c r="I102" s="14">
        <f t="shared" si="3"/>
        <v>4.075</v>
      </c>
      <c r="J102" s="14">
        <f t="shared" si="3"/>
        <v>4.05</v>
      </c>
      <c r="K102" s="14">
        <f t="shared" si="3"/>
        <v>4.075</v>
      </c>
      <c r="L102" s="16">
        <f>AVERAGE(E102:K102)</f>
        <v>4.085714286</v>
      </c>
      <c r="N102" s="1" t="s">
        <v>296</v>
      </c>
      <c r="O102" s="12">
        <f>(O101*100)/80</f>
        <v>81.25</v>
      </c>
    </row>
    <row r="103">
      <c r="A103" s="8"/>
      <c r="C103" s="1"/>
    </row>
    <row r="104">
      <c r="A104" s="8"/>
      <c r="C104" s="1"/>
    </row>
    <row r="105">
      <c r="A105" s="8"/>
      <c r="C105" s="1"/>
    </row>
    <row r="106">
      <c r="A106" s="8"/>
      <c r="C106" s="1"/>
    </row>
    <row r="107">
      <c r="A107" s="8"/>
      <c r="C107" s="1"/>
    </row>
    <row r="108">
      <c r="A108" s="8"/>
      <c r="C108" s="1"/>
    </row>
    <row r="109">
      <c r="A109" s="8"/>
      <c r="C109" s="1"/>
    </row>
    <row r="110">
      <c r="A110" s="8"/>
      <c r="C110" s="1"/>
    </row>
    <row r="111">
      <c r="A111" s="8"/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</sheetData>
  <mergeCells count="1">
    <mergeCell ref="M1:O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5">
        <v>46262.41730826389</v>
      </c>
      <c r="B2" s="6" t="s">
        <v>11</v>
      </c>
      <c r="C2" s="6" t="s">
        <v>427</v>
      </c>
      <c r="D2" s="6" t="s">
        <v>13</v>
      </c>
      <c r="E2" s="6" t="s">
        <v>14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</row>
    <row r="3">
      <c r="A3" s="5">
        <v>46262.41747097222</v>
      </c>
      <c r="B3" s="6" t="s">
        <v>24</v>
      </c>
      <c r="C3" s="6" t="s">
        <v>428</v>
      </c>
      <c r="D3" s="6" t="s">
        <v>13</v>
      </c>
      <c r="E3" s="6" t="s">
        <v>14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</row>
    <row r="4">
      <c r="A4" s="5">
        <v>46262.42722288195</v>
      </c>
      <c r="B4" s="6" t="s">
        <v>25</v>
      </c>
      <c r="C4" s="6" t="s">
        <v>429</v>
      </c>
      <c r="D4" s="6" t="s">
        <v>13</v>
      </c>
      <c r="E4" s="6" t="s">
        <v>14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</row>
    <row r="5">
      <c r="A5" s="5">
        <v>46262.431620821764</v>
      </c>
      <c r="B5" s="6" t="s">
        <v>33</v>
      </c>
      <c r="C5" s="6" t="s">
        <v>430</v>
      </c>
      <c r="D5" s="6" t="s">
        <v>13</v>
      </c>
      <c r="E5" s="6" t="s">
        <v>14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  <c r="K5" s="6" t="s">
        <v>36</v>
      </c>
    </row>
    <row r="6">
      <c r="A6" s="5">
        <v>46262.43179324074</v>
      </c>
      <c r="B6" s="6" t="s">
        <v>30</v>
      </c>
      <c r="C6" s="6" t="s">
        <v>431</v>
      </c>
      <c r="D6" s="6" t="s">
        <v>13</v>
      </c>
      <c r="E6" s="6" t="s">
        <v>14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20</v>
      </c>
    </row>
    <row r="7">
      <c r="A7" s="5">
        <v>46262.43207724537</v>
      </c>
      <c r="B7" s="6" t="s">
        <v>21</v>
      </c>
      <c r="C7" s="6" t="s">
        <v>432</v>
      </c>
      <c r="D7" s="6" t="s">
        <v>13</v>
      </c>
      <c r="E7" s="6" t="s">
        <v>14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</row>
    <row r="8">
      <c r="A8" s="5">
        <v>46262.433173136575</v>
      </c>
      <c r="B8" s="6" t="s">
        <v>28</v>
      </c>
      <c r="C8" s="6" t="s">
        <v>433</v>
      </c>
      <c r="D8" s="6" t="s">
        <v>73</v>
      </c>
      <c r="E8" s="6" t="s">
        <v>120</v>
      </c>
      <c r="F8" s="6" t="s">
        <v>54</v>
      </c>
      <c r="G8" s="6" t="s">
        <v>39</v>
      </c>
      <c r="H8" s="6" t="s">
        <v>87</v>
      </c>
      <c r="I8" s="6" t="s">
        <v>55</v>
      </c>
      <c r="J8" s="6" t="s">
        <v>20</v>
      </c>
    </row>
    <row r="9">
      <c r="A9" s="5">
        <v>46262.44371461806</v>
      </c>
      <c r="B9" s="6" t="s">
        <v>37</v>
      </c>
      <c r="C9" s="6" t="s">
        <v>433</v>
      </c>
      <c r="D9" s="6" t="s">
        <v>13</v>
      </c>
      <c r="E9" s="6" t="s">
        <v>14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>
      <c r="A10" s="5">
        <v>46262.447783634256</v>
      </c>
      <c r="B10" s="6" t="s">
        <v>46</v>
      </c>
      <c r="C10" s="6" t="s">
        <v>432</v>
      </c>
      <c r="D10" s="6" t="s">
        <v>13</v>
      </c>
      <c r="E10" s="6" t="s">
        <v>14</v>
      </c>
      <c r="F10" s="6" t="s">
        <v>16</v>
      </c>
      <c r="G10" s="6" t="s">
        <v>17</v>
      </c>
      <c r="H10" s="6" t="s">
        <v>18</v>
      </c>
      <c r="I10" s="6" t="s">
        <v>19</v>
      </c>
      <c r="J10" s="6" t="s">
        <v>20</v>
      </c>
      <c r="K10" s="6" t="s">
        <v>48</v>
      </c>
    </row>
    <row r="11">
      <c r="A11" s="5">
        <v>46262.44891820602</v>
      </c>
      <c r="B11" s="6" t="s">
        <v>44</v>
      </c>
      <c r="C11" s="6" t="s">
        <v>434</v>
      </c>
      <c r="D11" s="6" t="s">
        <v>73</v>
      </c>
      <c r="E11" s="6" t="s">
        <v>14</v>
      </c>
      <c r="F11" s="6" t="s">
        <v>16</v>
      </c>
      <c r="G11" s="6" t="s">
        <v>17</v>
      </c>
      <c r="H11" s="6" t="s">
        <v>18</v>
      </c>
      <c r="I11" s="6" t="s">
        <v>55</v>
      </c>
      <c r="J11" s="6" t="s">
        <v>56</v>
      </c>
    </row>
    <row r="12">
      <c r="A12" s="5">
        <v>46262.44899428241</v>
      </c>
      <c r="B12" s="6" t="s">
        <v>40</v>
      </c>
      <c r="C12" s="6" t="s">
        <v>433</v>
      </c>
      <c r="D12" s="6" t="s">
        <v>13</v>
      </c>
      <c r="E12" s="6" t="s">
        <v>14</v>
      </c>
      <c r="F12" s="6" t="s">
        <v>16</v>
      </c>
      <c r="G12" s="6" t="s">
        <v>17</v>
      </c>
      <c r="H12" s="6" t="s">
        <v>18</v>
      </c>
      <c r="I12" s="6" t="s">
        <v>19</v>
      </c>
      <c r="J12" s="6" t="s">
        <v>20</v>
      </c>
    </row>
    <row r="13">
      <c r="A13" s="5">
        <v>46262.44907217592</v>
      </c>
      <c r="B13" s="6" t="s">
        <v>42</v>
      </c>
      <c r="C13" s="6" t="s">
        <v>435</v>
      </c>
      <c r="D13" s="6" t="s">
        <v>13</v>
      </c>
      <c r="E13" s="6" t="s">
        <v>14</v>
      </c>
      <c r="F13" s="6" t="s">
        <v>16</v>
      </c>
      <c r="G13" s="6" t="s">
        <v>17</v>
      </c>
      <c r="H13" s="6" t="s">
        <v>18</v>
      </c>
      <c r="I13" s="6" t="s">
        <v>19</v>
      </c>
      <c r="J13" s="6" t="s">
        <v>20</v>
      </c>
    </row>
    <row r="14">
      <c r="A14" s="5">
        <v>46262.454051458335</v>
      </c>
      <c r="B14" s="6" t="s">
        <v>51</v>
      </c>
      <c r="C14" s="6" t="s">
        <v>433</v>
      </c>
      <c r="D14" s="6" t="s">
        <v>13</v>
      </c>
      <c r="E14" s="6" t="s">
        <v>14</v>
      </c>
      <c r="F14" s="6" t="s">
        <v>16</v>
      </c>
      <c r="G14" s="6" t="s">
        <v>17</v>
      </c>
      <c r="H14" s="6" t="s">
        <v>18</v>
      </c>
      <c r="I14" s="6" t="s">
        <v>19</v>
      </c>
      <c r="J14" s="6" t="s">
        <v>20</v>
      </c>
    </row>
    <row r="15">
      <c r="A15" s="5">
        <v>46262.45442355324</v>
      </c>
      <c r="B15" s="6" t="s">
        <v>49</v>
      </c>
      <c r="C15" s="6" t="s">
        <v>433</v>
      </c>
      <c r="D15" s="6" t="s">
        <v>13</v>
      </c>
      <c r="E15" s="6" t="s">
        <v>14</v>
      </c>
      <c r="F15" s="6" t="s">
        <v>16</v>
      </c>
      <c r="G15" s="6" t="s">
        <v>17</v>
      </c>
      <c r="H15" s="6" t="s">
        <v>18</v>
      </c>
      <c r="I15" s="6" t="s">
        <v>19</v>
      </c>
      <c r="J15" s="6" t="s">
        <v>20</v>
      </c>
      <c r="K15" s="6" t="s">
        <v>436</v>
      </c>
    </row>
    <row r="16">
      <c r="A16" s="5">
        <v>46262.45675575231</v>
      </c>
      <c r="B16" s="6" t="s">
        <v>52</v>
      </c>
      <c r="C16" s="6" t="s">
        <v>437</v>
      </c>
      <c r="D16" s="6" t="s">
        <v>13</v>
      </c>
      <c r="E16" s="6" t="s">
        <v>14</v>
      </c>
      <c r="F16" s="6" t="s">
        <v>54</v>
      </c>
      <c r="G16" s="6" t="s">
        <v>39</v>
      </c>
      <c r="H16" s="6" t="s">
        <v>18</v>
      </c>
      <c r="I16" s="6" t="s">
        <v>19</v>
      </c>
      <c r="J16" s="6" t="s">
        <v>20</v>
      </c>
    </row>
    <row r="17">
      <c r="A17" s="5">
        <v>46262.462679351855</v>
      </c>
      <c r="B17" s="6" t="s">
        <v>57</v>
      </c>
      <c r="C17" s="6" t="s">
        <v>432</v>
      </c>
      <c r="D17" s="6" t="s">
        <v>13</v>
      </c>
      <c r="E17" s="6" t="s">
        <v>14</v>
      </c>
      <c r="F17" s="6" t="s">
        <v>16</v>
      </c>
      <c r="G17" s="6" t="s">
        <v>17</v>
      </c>
      <c r="H17" s="6" t="s">
        <v>18</v>
      </c>
      <c r="I17" s="6" t="s">
        <v>19</v>
      </c>
      <c r="J17" s="6" t="s">
        <v>20</v>
      </c>
    </row>
    <row r="18">
      <c r="A18" s="5">
        <v>46262.46467631945</v>
      </c>
      <c r="B18" s="6" t="s">
        <v>59</v>
      </c>
      <c r="C18" s="6" t="s">
        <v>438</v>
      </c>
      <c r="D18" s="6" t="s">
        <v>13</v>
      </c>
      <c r="E18" s="6" t="s">
        <v>14</v>
      </c>
      <c r="F18" s="6" t="s">
        <v>16</v>
      </c>
      <c r="G18" s="6" t="s">
        <v>17</v>
      </c>
      <c r="H18" s="6" t="s">
        <v>18</v>
      </c>
      <c r="I18" s="6" t="s">
        <v>19</v>
      </c>
      <c r="J18" s="6" t="s">
        <v>20</v>
      </c>
    </row>
    <row r="19">
      <c r="A19" s="5">
        <v>46262.468898437495</v>
      </c>
      <c r="B19" s="6" t="s">
        <v>60</v>
      </c>
      <c r="C19" s="6" t="s">
        <v>438</v>
      </c>
      <c r="D19" s="6" t="s">
        <v>13</v>
      </c>
      <c r="E19" s="6" t="s">
        <v>14</v>
      </c>
      <c r="F19" s="6" t="s">
        <v>16</v>
      </c>
      <c r="G19" s="6" t="s">
        <v>17</v>
      </c>
      <c r="H19" s="6" t="s">
        <v>18</v>
      </c>
      <c r="I19" s="6" t="s">
        <v>19</v>
      </c>
      <c r="J19" s="6" t="s">
        <v>20</v>
      </c>
    </row>
    <row r="20">
      <c r="A20" s="5">
        <v>46262.48591636574</v>
      </c>
      <c r="B20" s="6" t="s">
        <v>61</v>
      </c>
      <c r="C20" s="6" t="s">
        <v>432</v>
      </c>
      <c r="D20" s="6" t="s">
        <v>13</v>
      </c>
      <c r="E20" s="6" t="s">
        <v>14</v>
      </c>
      <c r="F20" s="6" t="s">
        <v>16</v>
      </c>
      <c r="G20" s="6" t="s">
        <v>17</v>
      </c>
      <c r="H20" s="6" t="s">
        <v>18</v>
      </c>
      <c r="I20" s="6" t="s">
        <v>19</v>
      </c>
      <c r="J20" s="6" t="s">
        <v>20</v>
      </c>
    </row>
    <row r="21">
      <c r="A21" s="5">
        <v>46262.48647721065</v>
      </c>
      <c r="B21" s="6" t="s">
        <v>63</v>
      </c>
      <c r="C21" s="6" t="s">
        <v>433</v>
      </c>
      <c r="D21" s="6" t="s">
        <v>13</v>
      </c>
      <c r="E21" s="6" t="s">
        <v>14</v>
      </c>
      <c r="F21" s="6" t="s">
        <v>16</v>
      </c>
      <c r="G21" s="6" t="s">
        <v>17</v>
      </c>
      <c r="H21" s="6" t="s">
        <v>18</v>
      </c>
      <c r="I21" s="6" t="s">
        <v>19</v>
      </c>
      <c r="J21" s="6" t="s">
        <v>20</v>
      </c>
      <c r="K21" s="6" t="s">
        <v>64</v>
      </c>
    </row>
    <row r="22">
      <c r="A22" s="5">
        <v>46262.48978350694</v>
      </c>
      <c r="B22" s="6" t="s">
        <v>66</v>
      </c>
      <c r="C22" s="6" t="s">
        <v>439</v>
      </c>
      <c r="D22" s="6" t="s">
        <v>13</v>
      </c>
      <c r="E22" s="6" t="s">
        <v>14</v>
      </c>
      <c r="F22" s="6" t="s">
        <v>16</v>
      </c>
      <c r="G22" s="6" t="s">
        <v>17</v>
      </c>
      <c r="H22" s="6" t="s">
        <v>18</v>
      </c>
      <c r="I22" s="6" t="s">
        <v>19</v>
      </c>
      <c r="J22" s="6" t="s">
        <v>20</v>
      </c>
      <c r="K22" s="6" t="s">
        <v>68</v>
      </c>
    </row>
    <row r="23">
      <c r="A23" s="5">
        <v>46262.507160312496</v>
      </c>
      <c r="B23" s="6" t="s">
        <v>71</v>
      </c>
      <c r="C23" s="6" t="s">
        <v>433</v>
      </c>
      <c r="D23" s="6" t="s">
        <v>13</v>
      </c>
      <c r="E23" s="6" t="s">
        <v>14</v>
      </c>
      <c r="F23" s="6" t="s">
        <v>16</v>
      </c>
      <c r="G23" s="6" t="s">
        <v>17</v>
      </c>
      <c r="H23" s="6" t="s">
        <v>18</v>
      </c>
      <c r="I23" s="6" t="s">
        <v>19</v>
      </c>
      <c r="J23" s="6" t="s">
        <v>20</v>
      </c>
    </row>
    <row r="24">
      <c r="A24" s="5">
        <v>46262.52104075231</v>
      </c>
      <c r="B24" s="6" t="s">
        <v>69</v>
      </c>
      <c r="C24" s="6" t="s">
        <v>433</v>
      </c>
      <c r="D24" s="6" t="s">
        <v>13</v>
      </c>
      <c r="E24" s="6" t="s">
        <v>14</v>
      </c>
      <c r="F24" s="6" t="s">
        <v>16</v>
      </c>
      <c r="G24" s="6" t="s">
        <v>17</v>
      </c>
      <c r="H24" s="6" t="s">
        <v>18</v>
      </c>
      <c r="I24" s="6" t="s">
        <v>19</v>
      </c>
      <c r="J24" s="6" t="s">
        <v>20</v>
      </c>
    </row>
    <row r="25">
      <c r="A25" s="5">
        <v>46262.53297885417</v>
      </c>
      <c r="B25" s="6" t="s">
        <v>74</v>
      </c>
      <c r="C25" s="6" t="s">
        <v>438</v>
      </c>
      <c r="D25" s="6" t="s">
        <v>13</v>
      </c>
      <c r="E25" s="6" t="s">
        <v>14</v>
      </c>
      <c r="F25" s="6" t="s">
        <v>16</v>
      </c>
      <c r="G25" s="6" t="s">
        <v>17</v>
      </c>
      <c r="H25" s="6" t="s">
        <v>18</v>
      </c>
      <c r="I25" s="6" t="s">
        <v>19</v>
      </c>
      <c r="J25" s="6" t="s">
        <v>20</v>
      </c>
    </row>
    <row r="26">
      <c r="A26" s="5">
        <v>46262.542774733796</v>
      </c>
      <c r="B26" s="6" t="s">
        <v>72</v>
      </c>
      <c r="C26" s="6" t="s">
        <v>433</v>
      </c>
      <c r="D26" s="6" t="s">
        <v>13</v>
      </c>
      <c r="E26" s="6" t="s">
        <v>14</v>
      </c>
      <c r="F26" s="6" t="s">
        <v>16</v>
      </c>
      <c r="G26" s="6" t="s">
        <v>17</v>
      </c>
      <c r="H26" s="6" t="s">
        <v>18</v>
      </c>
      <c r="I26" s="6" t="s">
        <v>19</v>
      </c>
      <c r="J26" s="6" t="s">
        <v>20</v>
      </c>
    </row>
    <row r="27">
      <c r="A27" s="5">
        <v>46262.55639402778</v>
      </c>
      <c r="B27" s="6" t="s">
        <v>77</v>
      </c>
      <c r="C27" s="6" t="s">
        <v>440</v>
      </c>
      <c r="D27" s="6" t="s">
        <v>13</v>
      </c>
      <c r="E27" s="6" t="s">
        <v>14</v>
      </c>
      <c r="F27" s="6" t="s">
        <v>16</v>
      </c>
      <c r="G27" s="6" t="s">
        <v>17</v>
      </c>
      <c r="H27" s="6" t="s">
        <v>18</v>
      </c>
      <c r="I27" s="6" t="s">
        <v>19</v>
      </c>
      <c r="J27" s="6" t="s">
        <v>20</v>
      </c>
    </row>
    <row r="28">
      <c r="A28" s="5">
        <v>46262.556978692126</v>
      </c>
      <c r="B28" s="6" t="s">
        <v>75</v>
      </c>
      <c r="C28" s="6" t="s">
        <v>432</v>
      </c>
      <c r="D28" s="6" t="s">
        <v>13</v>
      </c>
      <c r="E28" s="6" t="s">
        <v>14</v>
      </c>
      <c r="F28" s="6" t="s">
        <v>16</v>
      </c>
      <c r="G28" s="6" t="s">
        <v>17</v>
      </c>
      <c r="H28" s="6" t="s">
        <v>18</v>
      </c>
      <c r="I28" s="6" t="s">
        <v>19</v>
      </c>
      <c r="J28" s="6" t="s">
        <v>20</v>
      </c>
    </row>
    <row r="29">
      <c r="A29" s="5">
        <v>46262.5669430787</v>
      </c>
      <c r="B29" s="6" t="s">
        <v>79</v>
      </c>
      <c r="C29" s="6" t="s">
        <v>433</v>
      </c>
      <c r="D29" s="6" t="s">
        <v>13</v>
      </c>
      <c r="E29" s="6" t="s">
        <v>14</v>
      </c>
      <c r="F29" s="6" t="s">
        <v>16</v>
      </c>
      <c r="G29" s="6" t="s">
        <v>17</v>
      </c>
      <c r="H29" s="6" t="s">
        <v>18</v>
      </c>
      <c r="I29" s="6" t="s">
        <v>19</v>
      </c>
      <c r="J29" s="6" t="s">
        <v>20</v>
      </c>
    </row>
    <row r="30">
      <c r="A30" s="5">
        <v>46262.568365694446</v>
      </c>
      <c r="B30" s="6" t="s">
        <v>78</v>
      </c>
      <c r="C30" s="6" t="s">
        <v>441</v>
      </c>
      <c r="D30" s="6" t="s">
        <v>13</v>
      </c>
      <c r="E30" s="6" t="s">
        <v>14</v>
      </c>
      <c r="F30" s="6" t="s">
        <v>16</v>
      </c>
      <c r="G30" s="6" t="s">
        <v>17</v>
      </c>
      <c r="H30" s="6" t="s">
        <v>18</v>
      </c>
      <c r="I30" s="6" t="s">
        <v>19</v>
      </c>
      <c r="J30" s="6" t="s">
        <v>20</v>
      </c>
    </row>
    <row r="31">
      <c r="A31" s="5">
        <v>46262.57651134259</v>
      </c>
      <c r="B31" s="6" t="s">
        <v>80</v>
      </c>
      <c r="C31" s="6" t="s">
        <v>433</v>
      </c>
      <c r="D31" s="6" t="s">
        <v>73</v>
      </c>
      <c r="E31" s="6" t="s">
        <v>442</v>
      </c>
      <c r="F31" s="6" t="s">
        <v>54</v>
      </c>
      <c r="G31" s="6" t="s">
        <v>17</v>
      </c>
      <c r="H31" s="6" t="s">
        <v>18</v>
      </c>
      <c r="I31" s="6" t="s">
        <v>55</v>
      </c>
      <c r="J31" s="6" t="s">
        <v>20</v>
      </c>
      <c r="K31" s="6" t="s">
        <v>443</v>
      </c>
    </row>
    <row r="32">
      <c r="A32" s="5">
        <v>46262.58866842593</v>
      </c>
      <c r="B32" s="6" t="s">
        <v>85</v>
      </c>
      <c r="C32" s="6" t="s">
        <v>437</v>
      </c>
      <c r="D32" s="6" t="s">
        <v>13</v>
      </c>
      <c r="E32" s="6" t="s">
        <v>14</v>
      </c>
      <c r="F32" s="6" t="s">
        <v>16</v>
      </c>
      <c r="G32" s="6" t="s">
        <v>17</v>
      </c>
      <c r="H32" s="6" t="s">
        <v>18</v>
      </c>
      <c r="I32" s="6" t="s">
        <v>19</v>
      </c>
      <c r="J32" s="6" t="s">
        <v>20</v>
      </c>
    </row>
    <row r="33">
      <c r="A33" s="5">
        <v>46262.59192104166</v>
      </c>
      <c r="B33" s="6" t="s">
        <v>82</v>
      </c>
      <c r="C33" s="6" t="s">
        <v>444</v>
      </c>
      <c r="D33" s="6" t="s">
        <v>13</v>
      </c>
      <c r="E33" s="6" t="s">
        <v>14</v>
      </c>
      <c r="F33" s="6" t="s">
        <v>16</v>
      </c>
      <c r="G33" s="6" t="s">
        <v>17</v>
      </c>
      <c r="H33" s="6" t="s">
        <v>18</v>
      </c>
      <c r="I33" s="6" t="s">
        <v>19</v>
      </c>
      <c r="J33" s="6" t="s">
        <v>20</v>
      </c>
    </row>
    <row r="34">
      <c r="A34" s="5">
        <v>46262.59207547454</v>
      </c>
      <c r="B34" s="6" t="s">
        <v>83</v>
      </c>
      <c r="C34" s="6" t="s">
        <v>444</v>
      </c>
      <c r="D34" s="6" t="s">
        <v>13</v>
      </c>
      <c r="E34" s="6" t="s">
        <v>14</v>
      </c>
      <c r="F34" s="6" t="s">
        <v>16</v>
      </c>
      <c r="G34" s="6" t="s">
        <v>17</v>
      </c>
      <c r="H34" s="6" t="s">
        <v>18</v>
      </c>
      <c r="I34" s="6" t="s">
        <v>19</v>
      </c>
      <c r="J34" s="6" t="s">
        <v>20</v>
      </c>
    </row>
    <row r="35">
      <c r="A35" s="5">
        <v>46262.599509699074</v>
      </c>
      <c r="B35" s="6" t="s">
        <v>86</v>
      </c>
      <c r="C35" s="6" t="s">
        <v>445</v>
      </c>
      <c r="D35" s="6" t="s">
        <v>73</v>
      </c>
      <c r="E35" s="6" t="s">
        <v>120</v>
      </c>
      <c r="F35" s="6" t="s">
        <v>16</v>
      </c>
      <c r="G35" s="6" t="s">
        <v>17</v>
      </c>
      <c r="H35" s="6" t="s">
        <v>18</v>
      </c>
      <c r="I35" s="6" t="s">
        <v>19</v>
      </c>
      <c r="J35" s="6" t="s">
        <v>20</v>
      </c>
    </row>
    <row r="36">
      <c r="A36" s="5">
        <v>46262.615533703705</v>
      </c>
      <c r="B36" s="6" t="s">
        <v>88</v>
      </c>
      <c r="C36" s="6" t="s">
        <v>446</v>
      </c>
      <c r="D36" s="6" t="s">
        <v>13</v>
      </c>
      <c r="E36" s="6" t="s">
        <v>14</v>
      </c>
      <c r="F36" s="6" t="s">
        <v>16</v>
      </c>
      <c r="G36" s="6" t="s">
        <v>17</v>
      </c>
      <c r="H36" s="6" t="s">
        <v>18</v>
      </c>
      <c r="I36" s="6" t="s">
        <v>19</v>
      </c>
      <c r="J36" s="6" t="s">
        <v>20</v>
      </c>
    </row>
    <row r="37">
      <c r="A37" s="5">
        <v>46262.637158564816</v>
      </c>
      <c r="B37" s="6" t="s">
        <v>90</v>
      </c>
      <c r="C37" s="6" t="s">
        <v>438</v>
      </c>
      <c r="D37" s="6" t="s">
        <v>13</v>
      </c>
      <c r="E37" s="6" t="s">
        <v>14</v>
      </c>
      <c r="F37" s="6" t="s">
        <v>16</v>
      </c>
      <c r="G37" s="6" t="s">
        <v>17</v>
      </c>
      <c r="H37" s="6" t="s">
        <v>18</v>
      </c>
      <c r="I37" s="6" t="s">
        <v>19</v>
      </c>
      <c r="J37" s="6" t="s">
        <v>20</v>
      </c>
      <c r="K37" s="6" t="s">
        <v>92</v>
      </c>
    </row>
    <row r="38">
      <c r="A38" s="5">
        <v>46262.64671861111</v>
      </c>
      <c r="B38" s="6" t="s">
        <v>95</v>
      </c>
      <c r="C38" s="6" t="s">
        <v>447</v>
      </c>
      <c r="D38" s="6" t="s">
        <v>13</v>
      </c>
      <c r="E38" s="6" t="s">
        <v>14</v>
      </c>
      <c r="F38" s="6" t="s">
        <v>16</v>
      </c>
      <c r="G38" s="6" t="s">
        <v>17</v>
      </c>
      <c r="H38" s="6" t="s">
        <v>18</v>
      </c>
      <c r="I38" s="6" t="s">
        <v>19</v>
      </c>
      <c r="J38" s="6" t="s">
        <v>20</v>
      </c>
      <c r="K38" s="6" t="s">
        <v>92</v>
      </c>
    </row>
    <row r="39">
      <c r="A39" s="5">
        <v>46262.64737896991</v>
      </c>
      <c r="B39" s="6" t="s">
        <v>93</v>
      </c>
      <c r="C39" s="6" t="s">
        <v>448</v>
      </c>
      <c r="D39" s="6" t="s">
        <v>13</v>
      </c>
      <c r="E39" s="6" t="s">
        <v>14</v>
      </c>
      <c r="F39" s="6" t="s">
        <v>16</v>
      </c>
      <c r="G39" s="6" t="s">
        <v>17</v>
      </c>
      <c r="H39" s="6" t="s">
        <v>18</v>
      </c>
      <c r="I39" s="6" t="s">
        <v>19</v>
      </c>
      <c r="J39" s="6" t="s">
        <v>20</v>
      </c>
    </row>
    <row r="40">
      <c r="A40" s="5">
        <v>46262.75512372685</v>
      </c>
      <c r="B40" s="6" t="s">
        <v>97</v>
      </c>
      <c r="C40" s="6" t="s">
        <v>438</v>
      </c>
      <c r="D40" s="6" t="s">
        <v>13</v>
      </c>
      <c r="E40" s="6" t="s">
        <v>14</v>
      </c>
      <c r="F40" s="6" t="s">
        <v>16</v>
      </c>
      <c r="G40" s="6" t="s">
        <v>17</v>
      </c>
      <c r="H40" s="6" t="s">
        <v>18</v>
      </c>
      <c r="I40" s="6" t="s">
        <v>19</v>
      </c>
      <c r="J40" s="6" t="s">
        <v>20</v>
      </c>
    </row>
    <row r="41">
      <c r="A41" s="5">
        <v>46262.798283819444</v>
      </c>
      <c r="B41" s="6" t="s">
        <v>98</v>
      </c>
      <c r="C41" s="6" t="s">
        <v>432</v>
      </c>
      <c r="D41" s="6" t="s">
        <v>13</v>
      </c>
      <c r="E41" s="6" t="s">
        <v>14</v>
      </c>
      <c r="F41" s="6" t="s">
        <v>16</v>
      </c>
      <c r="G41" s="6" t="s">
        <v>17</v>
      </c>
      <c r="H41" s="6" t="s">
        <v>18</v>
      </c>
      <c r="I41" s="6" t="s">
        <v>19</v>
      </c>
      <c r="J41" s="6" t="s">
        <v>20</v>
      </c>
    </row>
    <row r="42">
      <c r="A42" s="5">
        <v>46262.878125937495</v>
      </c>
      <c r="B42" s="6" t="s">
        <v>99</v>
      </c>
      <c r="C42" s="6" t="s">
        <v>432</v>
      </c>
      <c r="D42" s="6" t="s">
        <v>13</v>
      </c>
      <c r="E42" s="6" t="s">
        <v>14</v>
      </c>
      <c r="F42" s="6" t="s">
        <v>16</v>
      </c>
      <c r="G42" s="6" t="s">
        <v>17</v>
      </c>
      <c r="H42" s="6" t="s">
        <v>18</v>
      </c>
      <c r="I42" s="6" t="s">
        <v>19</v>
      </c>
      <c r="J42" s="6" t="s">
        <v>20</v>
      </c>
    </row>
    <row r="43">
      <c r="A43" s="5">
        <v>46262.96229685185</v>
      </c>
      <c r="B43" s="6" t="s">
        <v>101</v>
      </c>
      <c r="C43" s="6" t="s">
        <v>433</v>
      </c>
      <c r="D43" s="6" t="s">
        <v>13</v>
      </c>
      <c r="E43" s="6" t="s">
        <v>14</v>
      </c>
      <c r="F43" s="6" t="s">
        <v>16</v>
      </c>
      <c r="G43" s="6" t="s">
        <v>17</v>
      </c>
      <c r="H43" s="6" t="s">
        <v>18</v>
      </c>
      <c r="I43" s="6" t="s">
        <v>19</v>
      </c>
      <c r="J43" s="6" t="s">
        <v>20</v>
      </c>
    </row>
    <row r="44">
      <c r="A44" s="5">
        <v>46262.96423702546</v>
      </c>
      <c r="B44" s="6" t="s">
        <v>100</v>
      </c>
      <c r="C44" s="6" t="s">
        <v>438</v>
      </c>
      <c r="D44" s="6" t="s">
        <v>13</v>
      </c>
      <c r="E44" s="6" t="s">
        <v>14</v>
      </c>
      <c r="F44" s="6" t="s">
        <v>16</v>
      </c>
      <c r="G44" s="6" t="s">
        <v>17</v>
      </c>
      <c r="H44" s="6" t="s">
        <v>18</v>
      </c>
      <c r="I44" s="6" t="s">
        <v>19</v>
      </c>
      <c r="J44" s="6" t="s">
        <v>20</v>
      </c>
    </row>
    <row r="45">
      <c r="A45" s="5">
        <v>46263.60782273149</v>
      </c>
      <c r="B45" s="6" t="s">
        <v>103</v>
      </c>
      <c r="C45" s="6" t="s">
        <v>438</v>
      </c>
      <c r="D45" s="6" t="s">
        <v>13</v>
      </c>
      <c r="E45" s="6" t="s">
        <v>14</v>
      </c>
      <c r="F45" s="6" t="s">
        <v>16</v>
      </c>
      <c r="G45" s="6" t="s">
        <v>17</v>
      </c>
      <c r="H45" s="6" t="s">
        <v>18</v>
      </c>
      <c r="I45" s="6" t="s">
        <v>19</v>
      </c>
      <c r="J45" s="6" t="s">
        <v>20</v>
      </c>
    </row>
    <row r="46">
      <c r="A46" s="5">
        <v>46263.71853258101</v>
      </c>
      <c r="B46" s="6" t="s">
        <v>104</v>
      </c>
      <c r="C46" s="6" t="s">
        <v>449</v>
      </c>
      <c r="D46" s="6" t="s">
        <v>13</v>
      </c>
      <c r="E46" s="6" t="s">
        <v>14</v>
      </c>
      <c r="F46" s="6" t="s">
        <v>16</v>
      </c>
      <c r="G46" s="6" t="s">
        <v>17</v>
      </c>
      <c r="H46" s="6" t="s">
        <v>18</v>
      </c>
      <c r="I46" s="6" t="s">
        <v>19</v>
      </c>
      <c r="J46" s="6" t="s">
        <v>20</v>
      </c>
    </row>
    <row r="47">
      <c r="A47" s="5">
        <v>46264.53592491898</v>
      </c>
      <c r="B47" s="6" t="s">
        <v>105</v>
      </c>
      <c r="C47" s="6" t="s">
        <v>450</v>
      </c>
      <c r="D47" s="6" t="s">
        <v>13</v>
      </c>
      <c r="E47" s="6" t="s">
        <v>14</v>
      </c>
      <c r="F47" s="6" t="s">
        <v>16</v>
      </c>
      <c r="G47" s="6" t="s">
        <v>17</v>
      </c>
      <c r="H47" s="6" t="s">
        <v>18</v>
      </c>
      <c r="I47" s="6" t="s">
        <v>19</v>
      </c>
      <c r="J47" s="6" t="s">
        <v>20</v>
      </c>
    </row>
    <row r="48">
      <c r="A48" s="5">
        <v>46264.65419829861</v>
      </c>
      <c r="B48" s="6" t="s">
        <v>106</v>
      </c>
      <c r="C48" s="6" t="s">
        <v>439</v>
      </c>
      <c r="D48" s="6" t="s">
        <v>13</v>
      </c>
      <c r="E48" s="6" t="s">
        <v>14</v>
      </c>
      <c r="F48" s="6" t="s">
        <v>16</v>
      </c>
      <c r="G48" s="6" t="s">
        <v>17</v>
      </c>
      <c r="H48" s="6" t="s">
        <v>18</v>
      </c>
      <c r="I48" s="6" t="s">
        <v>19</v>
      </c>
      <c r="J48" s="6" t="s">
        <v>20</v>
      </c>
    </row>
    <row r="49">
      <c r="A49" s="5">
        <v>46264.88062252315</v>
      </c>
      <c r="B49" s="6" t="s">
        <v>108</v>
      </c>
      <c r="C49" s="6" t="s">
        <v>109</v>
      </c>
      <c r="D49" s="6" t="s">
        <v>13</v>
      </c>
      <c r="E49" s="6" t="s">
        <v>14</v>
      </c>
      <c r="F49" s="6" t="s">
        <v>16</v>
      </c>
      <c r="G49" s="6" t="s">
        <v>17</v>
      </c>
      <c r="H49" s="6" t="s">
        <v>18</v>
      </c>
      <c r="I49" s="6" t="s">
        <v>19</v>
      </c>
      <c r="J49" s="6" t="s">
        <v>20</v>
      </c>
    </row>
    <row r="50">
      <c r="A50" s="5">
        <v>46265.32850280093</v>
      </c>
      <c r="B50" s="6" t="s">
        <v>111</v>
      </c>
      <c r="C50" s="6" t="s">
        <v>433</v>
      </c>
      <c r="D50" s="6" t="s">
        <v>13</v>
      </c>
      <c r="E50" s="6" t="s">
        <v>14</v>
      </c>
      <c r="F50" s="6" t="s">
        <v>16</v>
      </c>
      <c r="G50" s="6" t="s">
        <v>17</v>
      </c>
      <c r="H50" s="6" t="s">
        <v>87</v>
      </c>
      <c r="I50" s="6" t="s">
        <v>19</v>
      </c>
      <c r="J50" s="6" t="s">
        <v>20</v>
      </c>
    </row>
    <row r="51">
      <c r="A51" s="5">
        <v>46265.68181534723</v>
      </c>
      <c r="B51" s="6" t="s">
        <v>112</v>
      </c>
      <c r="C51" s="6" t="s">
        <v>432</v>
      </c>
      <c r="D51" s="6" t="s">
        <v>13</v>
      </c>
      <c r="E51" s="6" t="s">
        <v>14</v>
      </c>
      <c r="F51" s="6" t="s">
        <v>16</v>
      </c>
      <c r="G51" s="6" t="s">
        <v>17</v>
      </c>
      <c r="H51" s="6" t="s">
        <v>18</v>
      </c>
      <c r="I51" s="6" t="s">
        <v>19</v>
      </c>
      <c r="J51" s="6" t="s">
        <v>20</v>
      </c>
    </row>
    <row r="52">
      <c r="A52" s="5">
        <v>46265.69546927084</v>
      </c>
      <c r="B52" s="6" t="s">
        <v>113</v>
      </c>
      <c r="C52" s="6" t="s">
        <v>451</v>
      </c>
      <c r="D52" s="6" t="s">
        <v>13</v>
      </c>
      <c r="E52" s="6" t="s">
        <v>14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>
      <c r="A53" s="5">
        <v>46265.70671672454</v>
      </c>
      <c r="B53" s="6" t="s">
        <v>114</v>
      </c>
      <c r="C53" s="6" t="s">
        <v>438</v>
      </c>
      <c r="D53" s="6" t="s">
        <v>13</v>
      </c>
      <c r="E53" s="6" t="s">
        <v>14</v>
      </c>
      <c r="F53" s="6" t="s">
        <v>16</v>
      </c>
      <c r="G53" s="6" t="s">
        <v>17</v>
      </c>
      <c r="H53" s="6" t="s">
        <v>18</v>
      </c>
      <c r="I53" s="6" t="s">
        <v>19</v>
      </c>
      <c r="J53" s="6" t="s">
        <v>20</v>
      </c>
    </row>
    <row r="54">
      <c r="A54" s="5">
        <v>46265.70703884259</v>
      </c>
      <c r="B54" s="6" t="s">
        <v>115</v>
      </c>
      <c r="C54" s="6" t="s">
        <v>452</v>
      </c>
      <c r="D54" s="6" t="s">
        <v>13</v>
      </c>
      <c r="E54" s="6" t="s">
        <v>14</v>
      </c>
      <c r="F54" s="6" t="s">
        <v>16</v>
      </c>
      <c r="G54" s="6" t="s">
        <v>17</v>
      </c>
      <c r="H54" s="6" t="s">
        <v>18</v>
      </c>
      <c r="I54" s="6" t="s">
        <v>19</v>
      </c>
      <c r="J54" s="6" t="s">
        <v>20</v>
      </c>
    </row>
    <row r="55">
      <c r="A55" s="5">
        <v>46265.737729479166</v>
      </c>
      <c r="B55" s="6" t="s">
        <v>116</v>
      </c>
      <c r="C55" s="6" t="s">
        <v>453</v>
      </c>
      <c r="D55" s="6" t="s">
        <v>13</v>
      </c>
      <c r="E55" s="6" t="s">
        <v>14</v>
      </c>
      <c r="F55" s="6" t="s">
        <v>16</v>
      </c>
      <c r="G55" s="6" t="s">
        <v>17</v>
      </c>
      <c r="H55" s="6" t="s">
        <v>18</v>
      </c>
      <c r="I55" s="6" t="s">
        <v>19</v>
      </c>
      <c r="J55" s="6" t="s">
        <v>20</v>
      </c>
    </row>
    <row r="56">
      <c r="A56" s="5">
        <v>46266.55172606482</v>
      </c>
      <c r="B56" s="6" t="s">
        <v>118</v>
      </c>
      <c r="C56" s="6" t="s">
        <v>119</v>
      </c>
      <c r="D56" s="6" t="s">
        <v>73</v>
      </c>
      <c r="E56" s="6" t="s">
        <v>120</v>
      </c>
      <c r="F56" s="6" t="s">
        <v>54</v>
      </c>
      <c r="G56" s="6" t="s">
        <v>39</v>
      </c>
      <c r="H56" s="6" t="s">
        <v>87</v>
      </c>
      <c r="I56" s="6" t="s">
        <v>55</v>
      </c>
      <c r="J56" s="6" t="s">
        <v>56</v>
      </c>
    </row>
    <row r="57">
      <c r="A57" s="5">
        <v>46266.68310288194</v>
      </c>
      <c r="B57" s="6" t="s">
        <v>121</v>
      </c>
      <c r="C57" s="6" t="s">
        <v>438</v>
      </c>
      <c r="D57" s="6" t="s">
        <v>13</v>
      </c>
      <c r="E57" s="6" t="s">
        <v>14</v>
      </c>
      <c r="F57" s="6" t="s">
        <v>16</v>
      </c>
      <c r="G57" s="6" t="s">
        <v>17</v>
      </c>
      <c r="H57" s="6" t="s">
        <v>18</v>
      </c>
      <c r="I57" s="6" t="s">
        <v>19</v>
      </c>
      <c r="J57" s="6" t="s">
        <v>20</v>
      </c>
    </row>
    <row r="58">
      <c r="A58" s="5">
        <v>46266.68763047454</v>
      </c>
      <c r="B58" s="6" t="s">
        <v>124</v>
      </c>
      <c r="C58" s="6" t="s">
        <v>454</v>
      </c>
      <c r="D58" s="6" t="s">
        <v>13</v>
      </c>
      <c r="E58" s="6" t="s">
        <v>14</v>
      </c>
      <c r="F58" s="6" t="s">
        <v>16</v>
      </c>
      <c r="G58" s="6" t="s">
        <v>17</v>
      </c>
      <c r="H58" s="6" t="s">
        <v>18</v>
      </c>
      <c r="I58" s="6" t="s">
        <v>19</v>
      </c>
      <c r="J58" s="6" t="s">
        <v>20</v>
      </c>
    </row>
    <row r="59">
      <c r="A59" s="5">
        <v>46266.70023012732</v>
      </c>
      <c r="B59" s="6" t="s">
        <v>125</v>
      </c>
      <c r="C59" s="6" t="s">
        <v>455</v>
      </c>
      <c r="D59" s="6" t="s">
        <v>13</v>
      </c>
      <c r="E59" s="6" t="s">
        <v>14</v>
      </c>
      <c r="F59" s="6" t="s">
        <v>16</v>
      </c>
      <c r="G59" s="6" t="s">
        <v>17</v>
      </c>
      <c r="H59" s="6" t="s">
        <v>18</v>
      </c>
      <c r="I59" s="6" t="s">
        <v>19</v>
      </c>
      <c r="J59" s="6" t="s">
        <v>20</v>
      </c>
    </row>
    <row r="60">
      <c r="A60" s="5">
        <v>46266.82141607639</v>
      </c>
      <c r="B60" s="6" t="s">
        <v>126</v>
      </c>
      <c r="C60" s="6" t="s">
        <v>433</v>
      </c>
      <c r="D60" s="6" t="s">
        <v>13</v>
      </c>
      <c r="E60" s="6" t="s">
        <v>14</v>
      </c>
      <c r="F60" s="6" t="s">
        <v>16</v>
      </c>
      <c r="G60" s="6" t="s">
        <v>17</v>
      </c>
      <c r="H60" s="6" t="s">
        <v>18</v>
      </c>
      <c r="I60" s="6" t="s">
        <v>19</v>
      </c>
      <c r="J60" s="6" t="s">
        <v>20</v>
      </c>
    </row>
    <row r="61">
      <c r="A61" s="5">
        <v>46267.31038079861</v>
      </c>
      <c r="B61" s="6" t="s">
        <v>129</v>
      </c>
      <c r="C61" s="6" t="s">
        <v>456</v>
      </c>
      <c r="D61" s="6" t="s">
        <v>73</v>
      </c>
      <c r="E61" s="6" t="s">
        <v>14</v>
      </c>
      <c r="F61" s="6" t="s">
        <v>16</v>
      </c>
      <c r="G61" s="6" t="s">
        <v>17</v>
      </c>
      <c r="H61" s="6" t="s">
        <v>87</v>
      </c>
      <c r="I61" s="6" t="s">
        <v>19</v>
      </c>
      <c r="J61" s="6" t="s">
        <v>20</v>
      </c>
    </row>
    <row r="62">
      <c r="A62" s="5">
        <v>46267.3114603125</v>
      </c>
      <c r="B62" s="6" t="s">
        <v>127</v>
      </c>
      <c r="C62" s="6" t="s">
        <v>440</v>
      </c>
      <c r="D62" s="6" t="s">
        <v>73</v>
      </c>
      <c r="E62" s="6" t="s">
        <v>14</v>
      </c>
      <c r="F62" s="6" t="s">
        <v>16</v>
      </c>
      <c r="G62" s="6" t="s">
        <v>17</v>
      </c>
      <c r="H62" s="6" t="s">
        <v>18</v>
      </c>
      <c r="I62" s="6" t="s">
        <v>55</v>
      </c>
      <c r="J62" s="6" t="s">
        <v>56</v>
      </c>
    </row>
    <row r="63">
      <c r="A63" s="5">
        <v>46267.56621230324</v>
      </c>
      <c r="B63" s="6" t="s">
        <v>132</v>
      </c>
      <c r="C63" s="6" t="s">
        <v>433</v>
      </c>
      <c r="D63" s="6" t="s">
        <v>13</v>
      </c>
      <c r="E63" s="6" t="s">
        <v>14</v>
      </c>
      <c r="F63" s="6" t="s">
        <v>16</v>
      </c>
      <c r="G63" s="6" t="s">
        <v>17</v>
      </c>
      <c r="H63" s="6" t="s">
        <v>18</v>
      </c>
      <c r="I63" s="6" t="s">
        <v>19</v>
      </c>
      <c r="J63" s="6" t="s">
        <v>20</v>
      </c>
    </row>
    <row r="64">
      <c r="A64" s="5">
        <v>46267.610086851855</v>
      </c>
      <c r="B64" s="6" t="s">
        <v>136</v>
      </c>
      <c r="C64" s="6" t="s">
        <v>457</v>
      </c>
      <c r="D64" s="6" t="s">
        <v>13</v>
      </c>
      <c r="E64" s="6" t="s">
        <v>14</v>
      </c>
      <c r="F64" s="6" t="s">
        <v>16</v>
      </c>
      <c r="G64" s="6" t="s">
        <v>17</v>
      </c>
      <c r="H64" s="6" t="s">
        <v>18</v>
      </c>
      <c r="I64" s="6" t="s">
        <v>19</v>
      </c>
      <c r="J64" s="6" t="s">
        <v>20</v>
      </c>
    </row>
    <row r="65">
      <c r="A65" s="5">
        <v>46267.610186157406</v>
      </c>
      <c r="B65" s="6" t="s">
        <v>133</v>
      </c>
      <c r="C65" s="6" t="s">
        <v>134</v>
      </c>
      <c r="D65" s="6" t="s">
        <v>13</v>
      </c>
      <c r="E65" s="6" t="s">
        <v>14</v>
      </c>
      <c r="F65" s="6" t="s">
        <v>16</v>
      </c>
      <c r="G65" s="6" t="s">
        <v>17</v>
      </c>
      <c r="H65" s="6" t="s">
        <v>18</v>
      </c>
      <c r="I65" s="6" t="s">
        <v>19</v>
      </c>
      <c r="J65" s="6" t="s">
        <v>20</v>
      </c>
    </row>
    <row r="66">
      <c r="A66" s="5">
        <v>46267.67889069444</v>
      </c>
      <c r="B66" s="6" t="s">
        <v>135</v>
      </c>
      <c r="C66" s="6" t="s">
        <v>445</v>
      </c>
      <c r="D66" s="6" t="s">
        <v>13</v>
      </c>
      <c r="E66" s="6" t="s">
        <v>14</v>
      </c>
      <c r="F66" s="6" t="s">
        <v>16</v>
      </c>
      <c r="G66" s="6" t="s">
        <v>17</v>
      </c>
      <c r="H66" s="6" t="s">
        <v>18</v>
      </c>
      <c r="I66" s="6" t="s">
        <v>19</v>
      </c>
      <c r="J66" s="6" t="s">
        <v>20</v>
      </c>
    </row>
    <row r="67">
      <c r="A67" s="5">
        <v>46267.852638067125</v>
      </c>
      <c r="B67" s="6" t="s">
        <v>138</v>
      </c>
      <c r="C67" s="6" t="s">
        <v>139</v>
      </c>
      <c r="D67" s="6" t="s">
        <v>13</v>
      </c>
      <c r="E67" s="6" t="s">
        <v>14</v>
      </c>
      <c r="F67" s="6" t="s">
        <v>16</v>
      </c>
      <c r="G67" s="6" t="s">
        <v>17</v>
      </c>
      <c r="H67" s="6" t="s">
        <v>18</v>
      </c>
      <c r="I67" s="6" t="s">
        <v>19</v>
      </c>
      <c r="J67" s="6" t="s">
        <v>20</v>
      </c>
      <c r="K67" s="6" t="s">
        <v>326</v>
      </c>
    </row>
    <row r="68">
      <c r="A68" s="5">
        <v>46268.34611626157</v>
      </c>
      <c r="B68" s="6" t="s">
        <v>140</v>
      </c>
      <c r="C68" s="6" t="s">
        <v>433</v>
      </c>
      <c r="D68" s="6" t="s">
        <v>13</v>
      </c>
      <c r="E68" s="6" t="s">
        <v>14</v>
      </c>
      <c r="F68" s="6" t="s">
        <v>16</v>
      </c>
      <c r="G68" s="6" t="s">
        <v>17</v>
      </c>
      <c r="H68" s="6" t="s">
        <v>18</v>
      </c>
      <c r="I68" s="6" t="s">
        <v>19</v>
      </c>
      <c r="J68" s="6" t="s">
        <v>20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1" t="s">
        <v>0</v>
      </c>
      <c r="B1" s="1" t="s">
        <v>1</v>
      </c>
      <c r="C1" s="3" t="s">
        <v>2</v>
      </c>
      <c r="D1" s="4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1"/>
      <c r="M1" s="7" t="s">
        <v>15</v>
      </c>
    </row>
    <row r="2">
      <c r="A2" s="8">
        <f>'1.9'!A:A</f>
        <v>46262.41731</v>
      </c>
      <c r="B2" s="1" t="str">
        <f>'1.9'!B:B</f>
        <v>bnco1013@signalschool.ac.th</v>
      </c>
      <c r="C2" s="1" t="str">
        <f>'1.9'!C:C</f>
        <v>ส.อ.ชาตรี คำทะเนตร</v>
      </c>
      <c r="D2" s="9">
        <v>1.0</v>
      </c>
      <c r="E2" s="10">
        <f>IFERROR(vlookup('1.9'!D:D,lookup!$A$2:$B$4,2,false),0)</f>
        <v>5</v>
      </c>
      <c r="F2" s="10">
        <f>IFERROR(vlookup('1.9'!E:E,lookup!$A$6:$B$8,2,false),0)</f>
        <v>5</v>
      </c>
      <c r="G2" s="10">
        <f>IFERROR(vlookup('1.9'!F:F,lookup!$A$10:$B$12,2,false),0)</f>
        <v>5</v>
      </c>
      <c r="H2" s="10">
        <f>IFERROR(vlookup('1.9'!G:G,lookup!$A$14:$B$16,2,false),0)</f>
        <v>5</v>
      </c>
      <c r="I2" s="10">
        <f>IFERROR(vlookup('1.9'!H:H,lookup!$A$18:$B$20,2,false),0)</f>
        <v>5</v>
      </c>
      <c r="J2" s="10">
        <f>IFERROR(vlookup('1.9'!I:I,lookup!$A$22:$B$24,2,false),0)</f>
        <v>5</v>
      </c>
      <c r="K2" s="10">
        <f>IFERROR(vlookup('1.9'!J:J,lookup!$A$26:$B$28,2,false),0)</f>
        <v>5</v>
      </c>
      <c r="L2" s="1"/>
      <c r="M2" s="10">
        <v>1.0</v>
      </c>
      <c r="N2" s="11" t="str">
        <f t="shared" ref="N2:N81" si="1">CONCAT(R2,"@signalschool.ac.th")</f>
        <v>bnco1001@signalschool.ac.th</v>
      </c>
      <c r="O2" s="12">
        <f t="shared" ref="O2:O81" si="2">IFERROR(VLOOKUP(N2,B$2:D$81,3,FALSE),0)</f>
        <v>1</v>
      </c>
      <c r="R2" s="6" t="s">
        <v>91</v>
      </c>
    </row>
    <row r="3">
      <c r="A3" s="8">
        <f>'1.9'!A:A</f>
        <v>46262.41747</v>
      </c>
      <c r="B3" s="1" t="str">
        <f>'1.9'!B:B</f>
        <v>bnco1009@signalschool.ac.th</v>
      </c>
      <c r="C3" s="1" t="str">
        <f>'1.9'!C:C</f>
        <v>พ.ต.หญิง พิมพ์ชนก </v>
      </c>
      <c r="D3" s="9">
        <v>1.0</v>
      </c>
      <c r="E3" s="10">
        <f>IFERROR(vlookup('1.9'!D:D,lookup!$A$2:$B$4,2,false),0)</f>
        <v>5</v>
      </c>
      <c r="F3" s="10">
        <f>IFERROR(vlookup('1.9'!E:E,lookup!$A$6:$B$8,2,false),0)</f>
        <v>5</v>
      </c>
      <c r="G3" s="10">
        <f>IFERROR(vlookup('1.9'!F:F,lookup!$A$10:$B$12,2,false),0)</f>
        <v>5</v>
      </c>
      <c r="H3" s="10">
        <f>IFERROR(vlookup('1.9'!G:G,lookup!$A$14:$B$16,2,false),0)</f>
        <v>5</v>
      </c>
      <c r="I3" s="10">
        <f>IFERROR(vlookup('1.9'!H:H,lookup!$A$18:$B$20,2,false),0)</f>
        <v>5</v>
      </c>
      <c r="J3" s="10">
        <f>IFERROR(vlookup('1.9'!I:I,lookup!$A$22:$B$24,2,false),0)</f>
        <v>5</v>
      </c>
      <c r="K3" s="10">
        <f>IFERROR(vlookup('1.9'!J:J,lookup!$A$26:$B$28,2,false),0)</f>
        <v>5</v>
      </c>
      <c r="L3" s="1"/>
      <c r="M3" s="10">
        <v>2.0</v>
      </c>
      <c r="N3" s="11" t="str">
        <f t="shared" si="1"/>
        <v>bnco1002@signalschool.ac.th</v>
      </c>
      <c r="O3" s="12">
        <f t="shared" si="2"/>
        <v>1</v>
      </c>
      <c r="R3" s="6" t="s">
        <v>123</v>
      </c>
    </row>
    <row r="4">
      <c r="A4" s="8">
        <f>'1.9'!A:A</f>
        <v>46262.42722</v>
      </c>
      <c r="B4" s="1" t="str">
        <f>'1.9'!B:B</f>
        <v>bnco1056@signalschool.ac.th</v>
      </c>
      <c r="C4" s="1" t="str">
        <f>'1.9'!C:C</f>
        <v>พ.ต.หญิงพิมพ์ชนก/ร.อ.ธัญญพัทธ์</v>
      </c>
      <c r="D4" s="9">
        <v>1.0</v>
      </c>
      <c r="E4" s="10">
        <f>IFERROR(vlookup('1.9'!D:D,lookup!$A$2:$B$4,2,false),0)</f>
        <v>5</v>
      </c>
      <c r="F4" s="10">
        <f>IFERROR(vlookup('1.9'!E:E,lookup!$A$6:$B$8,2,false),0)</f>
        <v>5</v>
      </c>
      <c r="G4" s="10">
        <f>IFERROR(vlookup('1.9'!F:F,lookup!$A$10:$B$12,2,false),0)</f>
        <v>5</v>
      </c>
      <c r="H4" s="10">
        <f>IFERROR(vlookup('1.9'!G:G,lookup!$A$14:$B$16,2,false),0)</f>
        <v>5</v>
      </c>
      <c r="I4" s="10">
        <f>IFERROR(vlookup('1.9'!H:H,lookup!$A$18:$B$20,2,false),0)</f>
        <v>5</v>
      </c>
      <c r="J4" s="10">
        <f>IFERROR(vlookup('1.9'!I:I,lookup!$A$22:$B$24,2,false),0)</f>
        <v>5</v>
      </c>
      <c r="K4" s="10">
        <f>IFERROR(vlookup('1.9'!J:J,lookup!$A$26:$B$28,2,false),0)</f>
        <v>5</v>
      </c>
      <c r="L4" s="1"/>
      <c r="M4" s="10">
        <v>3.0</v>
      </c>
      <c r="N4" s="11" t="str">
        <f t="shared" si="1"/>
        <v>bnco1003@signalschool.ac.th</v>
      </c>
      <c r="O4" s="12">
        <f t="shared" si="2"/>
        <v>1</v>
      </c>
      <c r="R4" s="6" t="s">
        <v>141</v>
      </c>
    </row>
    <row r="5">
      <c r="A5" s="8">
        <f>'1.9'!A:A</f>
        <v>46262.43162</v>
      </c>
      <c r="B5" s="1" t="str">
        <f>'1.9'!B:B</f>
        <v>bnco1012@signalschool.ac.th</v>
      </c>
      <c r="C5" s="1" t="str">
        <f>'1.9'!C:C</f>
        <v>พ.ต.หญิง.พิมพ์ชนก จิรัฏฐิตกาล</v>
      </c>
      <c r="D5" s="9">
        <v>1.0</v>
      </c>
      <c r="E5" s="10">
        <f>IFERROR(vlookup('1.9'!D:D,lookup!$A$2:$B$4,2,false),0)</f>
        <v>5</v>
      </c>
      <c r="F5" s="10">
        <f>IFERROR(vlookup('1.9'!E:E,lookup!$A$6:$B$8,2,false),0)</f>
        <v>5</v>
      </c>
      <c r="G5" s="10">
        <f>IFERROR(vlookup('1.9'!F:F,lookup!$A$10:$B$12,2,false),0)</f>
        <v>5</v>
      </c>
      <c r="H5" s="10">
        <f>IFERROR(vlookup('1.9'!G:G,lookup!$A$14:$B$16,2,false),0)</f>
        <v>5</v>
      </c>
      <c r="I5" s="10">
        <f>IFERROR(vlookup('1.9'!H:H,lookup!$A$18:$B$20,2,false),0)</f>
        <v>5</v>
      </c>
      <c r="J5" s="10">
        <f>IFERROR(vlookup('1.9'!I:I,lookup!$A$22:$B$24,2,false),0)</f>
        <v>5</v>
      </c>
      <c r="K5" s="10">
        <f>IFERROR(vlookup('1.9'!J:J,lookup!$A$26:$B$28,2,false),0)</f>
        <v>5</v>
      </c>
      <c r="L5" s="1"/>
      <c r="M5" s="10">
        <v>4.0</v>
      </c>
      <c r="N5" s="11" t="str">
        <f t="shared" si="1"/>
        <v>bnco1004@signalschool.ac.th</v>
      </c>
      <c r="O5" s="12">
        <f t="shared" si="2"/>
        <v>1</v>
      </c>
      <c r="R5" s="6" t="s">
        <v>143</v>
      </c>
    </row>
    <row r="6">
      <c r="A6" s="8">
        <f>'1.9'!A:A</f>
        <v>46262.43179</v>
      </c>
      <c r="B6" s="1" t="str">
        <f>'1.9'!B:B</f>
        <v>bnco1041@signalschool.ac.th</v>
      </c>
      <c r="C6" s="1" t="str">
        <f>'1.9'!C:C</f>
        <v>พ.ต.หญิง พิมพ์พชนก</v>
      </c>
      <c r="D6" s="9">
        <v>1.0</v>
      </c>
      <c r="E6" s="10">
        <f>IFERROR(vlookup('1.9'!D:D,lookup!$A$2:$B$4,2,false),0)</f>
        <v>5</v>
      </c>
      <c r="F6" s="10">
        <f>IFERROR(vlookup('1.9'!E:E,lookup!$A$6:$B$8,2,false),0)</f>
        <v>5</v>
      </c>
      <c r="G6" s="10">
        <f>IFERROR(vlookup('1.9'!F:F,lookup!$A$10:$B$12,2,false),0)</f>
        <v>5</v>
      </c>
      <c r="H6" s="10">
        <f>IFERROR(vlookup('1.9'!G:G,lookup!$A$14:$B$16,2,false),0)</f>
        <v>5</v>
      </c>
      <c r="I6" s="10">
        <f>IFERROR(vlookup('1.9'!H:H,lookup!$A$18:$B$20,2,false),0)</f>
        <v>5</v>
      </c>
      <c r="J6" s="10">
        <f>IFERROR(vlookup('1.9'!I:I,lookup!$A$22:$B$24,2,false),0)</f>
        <v>5</v>
      </c>
      <c r="K6" s="10">
        <f>IFERROR(vlookup('1.9'!J:J,lookup!$A$26:$B$28,2,false),0)</f>
        <v>5</v>
      </c>
      <c r="L6" s="1"/>
      <c r="M6" s="10">
        <v>5.0</v>
      </c>
      <c r="N6" s="11" t="str">
        <f t="shared" si="1"/>
        <v>bnco1005@signalschool.ac.th</v>
      </c>
      <c r="O6" s="12">
        <f t="shared" si="2"/>
        <v>1</v>
      </c>
      <c r="R6" s="6" t="s">
        <v>144</v>
      </c>
    </row>
    <row r="7">
      <c r="A7" s="8">
        <f>'1.9'!A:A</f>
        <v>46262.43208</v>
      </c>
      <c r="B7" s="1" t="str">
        <f>'1.9'!B:B</f>
        <v>bnco1058@signalschool.ac.th</v>
      </c>
      <c r="C7" s="1" t="str">
        <f>'1.9'!C:C</f>
        <v>พ.ต.หญิง พิมพ์ชนก จิรัฏฐิติกาล</v>
      </c>
      <c r="D7" s="9">
        <v>1.0</v>
      </c>
      <c r="E7" s="10">
        <f>IFERROR(vlookup('1.9'!D:D,lookup!$A$2:$B$4,2,false),0)</f>
        <v>5</v>
      </c>
      <c r="F7" s="10">
        <f>IFERROR(vlookup('1.9'!E:E,lookup!$A$6:$B$8,2,false),0)</f>
        <v>5</v>
      </c>
      <c r="G7" s="10">
        <f>IFERROR(vlookup('1.9'!F:F,lookup!$A$10:$B$12,2,false),0)</f>
        <v>5</v>
      </c>
      <c r="H7" s="10">
        <f>IFERROR(vlookup('1.9'!G:G,lookup!$A$14:$B$16,2,false),0)</f>
        <v>5</v>
      </c>
      <c r="I7" s="10">
        <f>IFERROR(vlookup('1.9'!H:H,lookup!$A$18:$B$20,2,false),0)</f>
        <v>5</v>
      </c>
      <c r="J7" s="10">
        <f>IFERROR(vlookup('1.9'!I:I,lookup!$A$22:$B$24,2,false),0)</f>
        <v>5</v>
      </c>
      <c r="K7" s="10">
        <f>IFERROR(vlookup('1.9'!J:J,lookup!$A$26:$B$28,2,false),0)</f>
        <v>5</v>
      </c>
      <c r="L7" s="1"/>
      <c r="M7" s="10">
        <v>6.0</v>
      </c>
      <c r="N7" s="11" t="str">
        <f t="shared" si="1"/>
        <v>bnco1006@signalschool.ac.th</v>
      </c>
      <c r="O7" s="12">
        <f t="shared" si="2"/>
        <v>1</v>
      </c>
      <c r="R7" s="6" t="s">
        <v>145</v>
      </c>
    </row>
    <row r="8">
      <c r="A8" s="8">
        <f>'1.9'!A:A</f>
        <v>46262.43317</v>
      </c>
      <c r="B8" s="1" t="str">
        <f>'1.9'!B:B</f>
        <v>bnco1062@signalschool.ac.th</v>
      </c>
      <c r="C8" s="1" t="str">
        <f>'1.9'!C:C</f>
        <v>พ.ต.หญิงพิมพ์ชนก จิรัฏฐิติกาล</v>
      </c>
      <c r="D8" s="9">
        <v>1.0</v>
      </c>
      <c r="E8" s="10">
        <f>IFERROR(vlookup('1.9'!D:D,lookup!$A$2:$B$4,2,false),0)</f>
        <v>3</v>
      </c>
      <c r="F8" s="10">
        <f>IFERROR(vlookup('1.9'!E:E,lookup!$A$6:$B$8,2,false),0)</f>
        <v>3</v>
      </c>
      <c r="G8" s="10">
        <f>IFERROR(vlookup('1.9'!F:F,lookup!$A$10:$B$12,2,false),0)</f>
        <v>3</v>
      </c>
      <c r="H8" s="10">
        <f>IFERROR(vlookup('1.9'!G:G,lookup!$A$14:$B$16,2,false),0)</f>
        <v>3</v>
      </c>
      <c r="I8" s="10">
        <f>IFERROR(vlookup('1.9'!H:H,lookup!$A$18:$B$20,2,false),0)</f>
        <v>3</v>
      </c>
      <c r="J8" s="10">
        <f>IFERROR(vlookup('1.9'!I:I,lookup!$A$22:$B$24,2,false),0)</f>
        <v>3</v>
      </c>
      <c r="K8" s="10">
        <f>IFERROR(vlookup('1.9'!J:J,lookup!$A$26:$B$28,2,false),0)</f>
        <v>5</v>
      </c>
      <c r="L8" s="1"/>
      <c r="M8" s="10">
        <v>7.0</v>
      </c>
      <c r="N8" s="11" t="str">
        <f t="shared" si="1"/>
        <v>bnco1007@signalschool.ac.th</v>
      </c>
      <c r="O8" s="12">
        <f t="shared" si="2"/>
        <v>0</v>
      </c>
      <c r="R8" s="6" t="s">
        <v>155</v>
      </c>
    </row>
    <row r="9">
      <c r="A9" s="8">
        <f>'1.9'!A:A</f>
        <v>46262.44371</v>
      </c>
      <c r="B9" s="1" t="str">
        <f>'1.9'!B:B</f>
        <v>bnco1006@signalschool.ac.th</v>
      </c>
      <c r="C9" s="1" t="str">
        <f>'1.9'!C:C</f>
        <v>พ.ต.หญิงพิมพ์ชนก จิรัฏฐิติกาล</v>
      </c>
      <c r="D9" s="9">
        <v>1.0</v>
      </c>
      <c r="E9" s="10">
        <f>IFERROR(vlookup('1.9'!D:D,lookup!$A$2:$B$4,2,false),0)</f>
        <v>5</v>
      </c>
      <c r="F9" s="10">
        <f>IFERROR(vlookup('1.9'!E:E,lookup!$A$6:$B$8,2,false),0)</f>
        <v>5</v>
      </c>
      <c r="G9" s="10">
        <f>IFERROR(vlookup('1.9'!F:F,lookup!$A$10:$B$12,2,false),0)</f>
        <v>5</v>
      </c>
      <c r="H9" s="10">
        <f>IFERROR(vlookup('1.9'!G:G,lookup!$A$14:$B$16,2,false),0)</f>
        <v>5</v>
      </c>
      <c r="I9" s="10">
        <f>IFERROR(vlookup('1.9'!H:H,lookup!$A$18:$B$20,2,false),0)</f>
        <v>5</v>
      </c>
      <c r="J9" s="10">
        <f>IFERROR(vlookup('1.9'!I:I,lookup!$A$22:$B$24,2,false),0)</f>
        <v>5</v>
      </c>
      <c r="K9" s="10">
        <f>IFERROR(vlookup('1.9'!J:J,lookup!$A$26:$B$28,2,false),0)</f>
        <v>5</v>
      </c>
      <c r="L9" s="1"/>
      <c r="M9" s="10">
        <v>8.0</v>
      </c>
      <c r="N9" s="11" t="str">
        <f t="shared" si="1"/>
        <v>bnco1008@signalschool.ac.th</v>
      </c>
      <c r="O9" s="12">
        <f t="shared" si="2"/>
        <v>1</v>
      </c>
      <c r="R9" s="6" t="s">
        <v>166</v>
      </c>
    </row>
    <row r="10">
      <c r="A10" s="8">
        <f>'1.9'!A:A</f>
        <v>46262.44778</v>
      </c>
      <c r="B10" s="1" t="str">
        <f>'1.9'!B:B</f>
        <v>bnco1018@signalschool.ac.th</v>
      </c>
      <c r="C10" s="1" t="str">
        <f>'1.9'!C:C</f>
        <v>พ.ต.หญิง พิมพ์ชนก จิรัฏฐิติกาล</v>
      </c>
      <c r="D10" s="9">
        <v>1.0</v>
      </c>
      <c r="E10" s="10">
        <f>IFERROR(vlookup('1.9'!D:D,lookup!$A$2:$B$4,2,false),0)</f>
        <v>5</v>
      </c>
      <c r="F10" s="10">
        <f>IFERROR(vlookup('1.9'!E:E,lookup!$A$6:$B$8,2,false),0)</f>
        <v>5</v>
      </c>
      <c r="G10" s="10">
        <f>IFERROR(vlookup('1.9'!F:F,lookup!$A$10:$B$12,2,false),0)</f>
        <v>5</v>
      </c>
      <c r="H10" s="10">
        <f>IFERROR(vlookup('1.9'!G:G,lookup!$A$14:$B$16,2,false),0)</f>
        <v>5</v>
      </c>
      <c r="I10" s="10">
        <f>IFERROR(vlookup('1.9'!H:H,lookup!$A$18:$B$20,2,false),0)</f>
        <v>5</v>
      </c>
      <c r="J10" s="10">
        <f>IFERROR(vlookup('1.9'!I:I,lookup!$A$22:$B$24,2,false),0)</f>
        <v>5</v>
      </c>
      <c r="K10" s="10">
        <f>IFERROR(vlookup('1.9'!J:J,lookup!$A$26:$B$28,2,false),0)</f>
        <v>5</v>
      </c>
      <c r="L10" s="1"/>
      <c r="M10" s="10">
        <v>9.0</v>
      </c>
      <c r="N10" s="11" t="str">
        <f t="shared" si="1"/>
        <v>bnco1009@signalschool.ac.th</v>
      </c>
      <c r="O10" s="12">
        <f t="shared" si="2"/>
        <v>1</v>
      </c>
      <c r="R10" s="6" t="s">
        <v>175</v>
      </c>
    </row>
    <row r="11">
      <c r="A11" s="8">
        <f>'1.9'!A:A</f>
        <v>46262.44892</v>
      </c>
      <c r="B11" s="1" t="str">
        <f>'1.9'!B:B</f>
        <v>bnco1052@signalschool.ac.th</v>
      </c>
      <c r="C11" s="1" t="str">
        <f>'1.9'!C:C</f>
        <v>พ.ต.หญิงพิมพ์ชนก</v>
      </c>
      <c r="D11" s="9">
        <v>1.0</v>
      </c>
      <c r="E11" s="10">
        <f>IFERROR(vlookup('1.9'!D:D,lookup!$A$2:$B$4,2,false),0)</f>
        <v>3</v>
      </c>
      <c r="F11" s="10">
        <f>IFERROR(vlookup('1.9'!E:E,lookup!$A$6:$B$8,2,false),0)</f>
        <v>5</v>
      </c>
      <c r="G11" s="10">
        <f>IFERROR(vlookup('1.9'!F:F,lookup!$A$10:$B$12,2,false),0)</f>
        <v>5</v>
      </c>
      <c r="H11" s="10">
        <f>IFERROR(vlookup('1.9'!G:G,lookup!$A$14:$B$16,2,false),0)</f>
        <v>5</v>
      </c>
      <c r="I11" s="10">
        <f>IFERROR(vlookup('1.9'!H:H,lookup!$A$18:$B$20,2,false),0)</f>
        <v>5</v>
      </c>
      <c r="J11" s="10">
        <f>IFERROR(vlookup('1.9'!I:I,lookup!$A$22:$B$24,2,false),0)</f>
        <v>3</v>
      </c>
      <c r="K11" s="10">
        <f>IFERROR(vlookup('1.9'!J:J,lookup!$A$26:$B$28,2,false),0)</f>
        <v>3</v>
      </c>
      <c r="L11" s="1"/>
      <c r="M11" s="10">
        <v>10.0</v>
      </c>
      <c r="N11" s="11" t="str">
        <f t="shared" si="1"/>
        <v>bnco1010@signalschool.ac.th</v>
      </c>
      <c r="O11" s="12">
        <f t="shared" si="2"/>
        <v>0</v>
      </c>
      <c r="R11" s="6" t="s">
        <v>192</v>
      </c>
    </row>
    <row r="12">
      <c r="A12" s="8">
        <f>'1.9'!A:A</f>
        <v>46262.44899</v>
      </c>
      <c r="B12" s="1" t="str">
        <f>'1.9'!B:B</f>
        <v>bnco1051@signalschool.ac.th</v>
      </c>
      <c r="C12" s="1" t="str">
        <f>'1.9'!C:C</f>
        <v>พ.ต.หญิงพิมพ์ชนก จิรัฏฐิติกาล</v>
      </c>
      <c r="D12" s="9">
        <v>1.0</v>
      </c>
      <c r="E12" s="10">
        <f>IFERROR(vlookup('1.9'!D:D,lookup!$A$2:$B$4,2,false),0)</f>
        <v>5</v>
      </c>
      <c r="F12" s="10">
        <f>IFERROR(vlookup('1.9'!E:E,lookup!$A$6:$B$8,2,false),0)</f>
        <v>5</v>
      </c>
      <c r="G12" s="10">
        <f>IFERROR(vlookup('1.9'!F:F,lookup!$A$10:$B$12,2,false),0)</f>
        <v>5</v>
      </c>
      <c r="H12" s="10">
        <f>IFERROR(vlookup('1.9'!G:G,lookup!$A$14:$B$16,2,false),0)</f>
        <v>5</v>
      </c>
      <c r="I12" s="10">
        <f>IFERROR(vlookup('1.9'!H:H,lookup!$A$18:$B$20,2,false),0)</f>
        <v>5</v>
      </c>
      <c r="J12" s="10">
        <f>IFERROR(vlookup('1.9'!I:I,lookup!$A$22:$B$24,2,false),0)</f>
        <v>5</v>
      </c>
      <c r="K12" s="10">
        <f>IFERROR(vlookup('1.9'!J:J,lookup!$A$26:$B$28,2,false),0)</f>
        <v>5</v>
      </c>
      <c r="L12" s="1"/>
      <c r="M12" s="10">
        <v>11.0</v>
      </c>
      <c r="N12" s="11" t="str">
        <f t="shared" si="1"/>
        <v>bnco1011@signalschool.ac.th</v>
      </c>
      <c r="O12" s="12">
        <f t="shared" si="2"/>
        <v>1</v>
      </c>
      <c r="R12" s="6" t="s">
        <v>209</v>
      </c>
    </row>
    <row r="13">
      <c r="A13" s="8">
        <f>'1.9'!A:A</f>
        <v>46262.44907</v>
      </c>
      <c r="B13" s="1" t="str">
        <f>'1.9'!B:B</f>
        <v>bnco1050@signalschool.ac.th</v>
      </c>
      <c r="C13" s="1" t="str">
        <f>'1.9'!C:C</f>
        <v>พ.ต.หญิงพิมพ์ชนก จิรัฎฐิติการ</v>
      </c>
      <c r="D13" s="9">
        <v>1.0</v>
      </c>
      <c r="E13" s="10">
        <f>IFERROR(vlookup('1.9'!D:D,lookup!$A$2:$B$4,2,false),0)</f>
        <v>5</v>
      </c>
      <c r="F13" s="10">
        <f>IFERROR(vlookup('1.9'!E:E,lookup!$A$6:$B$8,2,false),0)</f>
        <v>5</v>
      </c>
      <c r="G13" s="10">
        <f>IFERROR(vlookup('1.9'!F:F,lookup!$A$10:$B$12,2,false),0)</f>
        <v>5</v>
      </c>
      <c r="H13" s="10">
        <f>IFERROR(vlookup('1.9'!G:G,lookup!$A$14:$B$16,2,false),0)</f>
        <v>5</v>
      </c>
      <c r="I13" s="10">
        <f>IFERROR(vlookup('1.9'!H:H,lookup!$A$18:$B$20,2,false),0)</f>
        <v>5</v>
      </c>
      <c r="J13" s="10">
        <f>IFERROR(vlookup('1.9'!I:I,lookup!$A$22:$B$24,2,false),0)</f>
        <v>5</v>
      </c>
      <c r="K13" s="10">
        <f>IFERROR(vlookup('1.9'!J:J,lookup!$A$26:$B$28,2,false),0)</f>
        <v>5</v>
      </c>
      <c r="L13" s="1"/>
      <c r="M13" s="10">
        <v>12.0</v>
      </c>
      <c r="N13" s="11" t="str">
        <f t="shared" si="1"/>
        <v>bnco1012@signalschool.ac.th</v>
      </c>
      <c r="O13" s="12">
        <f t="shared" si="2"/>
        <v>1</v>
      </c>
      <c r="R13" s="6" t="s">
        <v>213</v>
      </c>
    </row>
    <row r="14">
      <c r="A14" s="8">
        <f>'1.9'!A:A</f>
        <v>46262.45405</v>
      </c>
      <c r="B14" s="1" t="str">
        <f>'1.9'!B:B</f>
        <v>bnco1035@signalschool.ac.th</v>
      </c>
      <c r="C14" s="1" t="str">
        <f>'1.9'!C:C</f>
        <v>พ.ต.หญิงพิมพ์ชนก จิรัฏฐิติกาล</v>
      </c>
      <c r="D14" s="9">
        <v>1.0</v>
      </c>
      <c r="E14" s="10">
        <f>IFERROR(vlookup('1.9'!D:D,lookup!$A$2:$B$4,2,false),0)</f>
        <v>5</v>
      </c>
      <c r="F14" s="10">
        <f>IFERROR(vlookup('1.9'!E:E,lookup!$A$6:$B$8,2,false),0)</f>
        <v>5</v>
      </c>
      <c r="G14" s="10">
        <f>IFERROR(vlookup('1.9'!F:F,lookup!$A$10:$B$12,2,false),0)</f>
        <v>5</v>
      </c>
      <c r="H14" s="10">
        <f>IFERROR(vlookup('1.9'!G:G,lookup!$A$14:$B$16,2,false),0)</f>
        <v>5</v>
      </c>
      <c r="I14" s="10">
        <f>IFERROR(vlookup('1.9'!H:H,lookup!$A$18:$B$20,2,false),0)</f>
        <v>5</v>
      </c>
      <c r="J14" s="10">
        <f>IFERROR(vlookup('1.9'!I:I,lookup!$A$22:$B$24,2,false),0)</f>
        <v>5</v>
      </c>
      <c r="K14" s="10">
        <f>IFERROR(vlookup('1.9'!J:J,lookup!$A$26:$B$28,2,false),0)</f>
        <v>5</v>
      </c>
      <c r="L14" s="1"/>
      <c r="M14" s="10">
        <v>13.0</v>
      </c>
      <c r="N14" s="11" t="str">
        <f t="shared" si="1"/>
        <v>bnco1013@signalschool.ac.th</v>
      </c>
      <c r="O14" s="12">
        <f t="shared" si="2"/>
        <v>1</v>
      </c>
      <c r="R14" s="6" t="s">
        <v>214</v>
      </c>
    </row>
    <row r="15">
      <c r="A15" s="8">
        <f>'1.9'!A:A</f>
        <v>46262.45442</v>
      </c>
      <c r="B15" s="1" t="str">
        <f>'1.9'!B:B</f>
        <v>bnco1038@signalschool.ac.th</v>
      </c>
      <c r="C15" s="1" t="str">
        <f>'1.9'!C:C</f>
        <v>พ.ต.หญิงพิมพ์ชนก จิรัฏฐิติกาล</v>
      </c>
      <c r="D15" s="9">
        <v>1.0</v>
      </c>
      <c r="E15" s="10">
        <f>IFERROR(vlookup('1.9'!D:D,lookup!$A$2:$B$4,2,false),0)</f>
        <v>5</v>
      </c>
      <c r="F15" s="10">
        <f>IFERROR(vlookup('1.9'!E:E,lookup!$A$6:$B$8,2,false),0)</f>
        <v>5</v>
      </c>
      <c r="G15" s="10">
        <f>IFERROR(vlookup('1.9'!F:F,lookup!$A$10:$B$12,2,false),0)</f>
        <v>5</v>
      </c>
      <c r="H15" s="10">
        <f>IFERROR(vlookup('1.9'!G:G,lookup!$A$14:$B$16,2,false),0)</f>
        <v>5</v>
      </c>
      <c r="I15" s="10">
        <f>IFERROR(vlookup('1.9'!H:H,lookup!$A$18:$B$20,2,false),0)</f>
        <v>5</v>
      </c>
      <c r="J15" s="10">
        <f>IFERROR(vlookup('1.9'!I:I,lookup!$A$22:$B$24,2,false),0)</f>
        <v>5</v>
      </c>
      <c r="K15" s="10">
        <f>IFERROR(vlookup('1.9'!J:J,lookup!$A$26:$B$28,2,false),0)</f>
        <v>5</v>
      </c>
      <c r="L15" s="1"/>
      <c r="M15" s="10">
        <v>14.0</v>
      </c>
      <c r="N15" s="11" t="str">
        <f t="shared" si="1"/>
        <v>bnco1014@signalschool.ac.th</v>
      </c>
      <c r="O15" s="12">
        <f t="shared" si="2"/>
        <v>1</v>
      </c>
      <c r="R15" s="6" t="s">
        <v>215</v>
      </c>
    </row>
    <row r="16">
      <c r="A16" s="8">
        <f>'1.9'!A:A</f>
        <v>46262.45676</v>
      </c>
      <c r="B16" s="1" t="str">
        <f>'1.9'!B:B</f>
        <v>bnco1070@signalschool.ac.th</v>
      </c>
      <c r="C16" s="1" t="str">
        <f>'1.9'!C:C</f>
        <v>พ.ต.หญิงพิมพ์ชนก จิรัฎฐิติกาล</v>
      </c>
      <c r="D16" s="9">
        <v>1.0</v>
      </c>
      <c r="E16" s="10">
        <f>IFERROR(vlookup('1.9'!D:D,lookup!$A$2:$B$4,2,false),0)</f>
        <v>5</v>
      </c>
      <c r="F16" s="10">
        <f>IFERROR(vlookup('1.9'!E:E,lookup!$A$6:$B$8,2,false),0)</f>
        <v>5</v>
      </c>
      <c r="G16" s="10">
        <f>IFERROR(vlookup('1.9'!F:F,lookup!$A$10:$B$12,2,false),0)</f>
        <v>3</v>
      </c>
      <c r="H16" s="10">
        <f>IFERROR(vlookup('1.9'!G:G,lookup!$A$14:$B$16,2,false),0)</f>
        <v>3</v>
      </c>
      <c r="I16" s="10">
        <f>IFERROR(vlookup('1.9'!H:H,lookup!$A$18:$B$20,2,false),0)</f>
        <v>5</v>
      </c>
      <c r="J16" s="10">
        <f>IFERROR(vlookup('1.9'!I:I,lookup!$A$22:$B$24,2,false),0)</f>
        <v>5</v>
      </c>
      <c r="K16" s="10">
        <f>IFERROR(vlookup('1.9'!J:J,lookup!$A$26:$B$28,2,false),0)</f>
        <v>5</v>
      </c>
      <c r="L16" s="1"/>
      <c r="M16" s="10">
        <v>15.0</v>
      </c>
      <c r="N16" s="11" t="str">
        <f t="shared" si="1"/>
        <v>bnco1015@signalschool.ac.th</v>
      </c>
      <c r="O16" s="12">
        <f t="shared" si="2"/>
        <v>1</v>
      </c>
      <c r="R16" s="6" t="s">
        <v>221</v>
      </c>
    </row>
    <row r="17">
      <c r="A17" s="8">
        <f>'1.9'!A:A</f>
        <v>46262.46268</v>
      </c>
      <c r="B17" s="1" t="str">
        <f>'1.9'!B:B</f>
        <v>bnco1036@signalschool.ac.th</v>
      </c>
      <c r="C17" s="1" t="str">
        <f>'1.9'!C:C</f>
        <v>พ.ต.หญิง พิมพ์ชนก จิรัฏฐิติกาล</v>
      </c>
      <c r="D17" s="9">
        <v>1.0</v>
      </c>
      <c r="E17" s="10">
        <f>IFERROR(vlookup('1.9'!D:D,lookup!$A$2:$B$4,2,false),0)</f>
        <v>5</v>
      </c>
      <c r="F17" s="10">
        <f>IFERROR(vlookup('1.9'!E:E,lookup!$A$6:$B$8,2,false),0)</f>
        <v>5</v>
      </c>
      <c r="G17" s="10">
        <f>IFERROR(vlookup('1.9'!F:F,lookup!$A$10:$B$12,2,false),0)</f>
        <v>5</v>
      </c>
      <c r="H17" s="10">
        <f>IFERROR(vlookup('1.9'!G:G,lookup!$A$14:$B$16,2,false),0)</f>
        <v>5</v>
      </c>
      <c r="I17" s="10">
        <f>IFERROR(vlookup('1.9'!H:H,lookup!$A$18:$B$20,2,false),0)</f>
        <v>5</v>
      </c>
      <c r="J17" s="10">
        <f>IFERROR(vlookup('1.9'!I:I,lookup!$A$22:$B$24,2,false),0)</f>
        <v>5</v>
      </c>
      <c r="K17" s="10">
        <f>IFERROR(vlookup('1.9'!J:J,lookup!$A$26:$B$28,2,false),0)</f>
        <v>5</v>
      </c>
      <c r="L17" s="1"/>
      <c r="M17" s="10">
        <v>16.0</v>
      </c>
      <c r="N17" s="11" t="str">
        <f t="shared" si="1"/>
        <v>bnco1016@signalschool.ac.th</v>
      </c>
      <c r="O17" s="12">
        <f t="shared" si="2"/>
        <v>1</v>
      </c>
      <c r="R17" s="6" t="s">
        <v>223</v>
      </c>
    </row>
    <row r="18">
      <c r="A18" s="8">
        <f>'1.9'!A:A</f>
        <v>46262.46468</v>
      </c>
      <c r="B18" s="1" t="str">
        <f>'1.9'!B:B</f>
        <v>bnco1042@signalschool.ac.th</v>
      </c>
      <c r="C18" s="1" t="str">
        <f>'1.9'!C:C</f>
        <v>พ.ต.หญิงพิมพ์ชนก  จิรัฏฐิติกาล</v>
      </c>
      <c r="D18" s="9">
        <v>1.0</v>
      </c>
      <c r="E18" s="10">
        <f>IFERROR(vlookup('1.9'!D:D,lookup!$A$2:$B$4,2,false),0)</f>
        <v>5</v>
      </c>
      <c r="F18" s="10">
        <f>IFERROR(vlookup('1.9'!E:E,lookup!$A$6:$B$8,2,false),0)</f>
        <v>5</v>
      </c>
      <c r="G18" s="10">
        <f>IFERROR(vlookup('1.9'!F:F,lookup!$A$10:$B$12,2,false),0)</f>
        <v>5</v>
      </c>
      <c r="H18" s="10">
        <f>IFERROR(vlookup('1.9'!G:G,lookup!$A$14:$B$16,2,false),0)</f>
        <v>5</v>
      </c>
      <c r="I18" s="10">
        <f>IFERROR(vlookup('1.9'!H:H,lookup!$A$18:$B$20,2,false),0)</f>
        <v>5</v>
      </c>
      <c r="J18" s="10">
        <f>IFERROR(vlookup('1.9'!I:I,lookup!$A$22:$B$24,2,false),0)</f>
        <v>5</v>
      </c>
      <c r="K18" s="10">
        <f>IFERROR(vlookup('1.9'!J:J,lookup!$A$26:$B$28,2,false),0)</f>
        <v>5</v>
      </c>
      <c r="L18" s="1"/>
      <c r="M18" s="10">
        <v>17.0</v>
      </c>
      <c r="N18" s="11" t="str">
        <f t="shared" si="1"/>
        <v>bnco1017@signalschool.ac.th</v>
      </c>
      <c r="O18" s="12">
        <f t="shared" si="2"/>
        <v>1</v>
      </c>
      <c r="R18" s="6" t="s">
        <v>229</v>
      </c>
    </row>
    <row r="19">
      <c r="A19" s="8">
        <f>'1.9'!A:A</f>
        <v>46262.4689</v>
      </c>
      <c r="B19" s="1" t="str">
        <f>'1.9'!B:B</f>
        <v>bnco1003@signalschool.ac.th</v>
      </c>
      <c r="C19" s="1" t="str">
        <f>'1.9'!C:C</f>
        <v>พ.ต.หญิงพิมพ์ชนก  จิรัฏฐิติกาล</v>
      </c>
      <c r="D19" s="9">
        <v>1.0</v>
      </c>
      <c r="E19" s="10">
        <f>IFERROR(vlookup('1.9'!D:D,lookup!$A$2:$B$4,2,false),0)</f>
        <v>5</v>
      </c>
      <c r="F19" s="10">
        <f>IFERROR(vlookup('1.9'!E:E,lookup!$A$6:$B$8,2,false),0)</f>
        <v>5</v>
      </c>
      <c r="G19" s="10">
        <f>IFERROR(vlookup('1.9'!F:F,lookup!$A$10:$B$12,2,false),0)</f>
        <v>5</v>
      </c>
      <c r="H19" s="10">
        <f>IFERROR(vlookup('1.9'!G:G,lookup!$A$14:$B$16,2,false),0)</f>
        <v>5</v>
      </c>
      <c r="I19" s="10">
        <f>IFERROR(vlookup('1.9'!H:H,lookup!$A$18:$B$20,2,false),0)</f>
        <v>5</v>
      </c>
      <c r="J19" s="10">
        <f>IFERROR(vlookup('1.9'!I:I,lookup!$A$22:$B$24,2,false),0)</f>
        <v>5</v>
      </c>
      <c r="K19" s="10">
        <f>IFERROR(vlookup('1.9'!J:J,lookup!$A$26:$B$28,2,false),0)</f>
        <v>5</v>
      </c>
      <c r="L19" s="1"/>
      <c r="M19" s="10">
        <v>18.0</v>
      </c>
      <c r="N19" s="11" t="str">
        <f t="shared" si="1"/>
        <v>bnco1018@signalschool.ac.th</v>
      </c>
      <c r="O19" s="12">
        <f t="shared" si="2"/>
        <v>1</v>
      </c>
      <c r="R19" s="6" t="s">
        <v>232</v>
      </c>
    </row>
    <row r="20">
      <c r="A20" s="8">
        <f>'1.9'!A:A</f>
        <v>46262.48592</v>
      </c>
      <c r="B20" s="1" t="str">
        <f>'1.9'!B:B</f>
        <v>bnco1079@signalschool.ac.th</v>
      </c>
      <c r="C20" s="1" t="str">
        <f>'1.9'!C:C</f>
        <v>พ.ต.หญิง พิมพ์ชนก จิรัฏฐิติกาล</v>
      </c>
      <c r="D20" s="9">
        <v>1.0</v>
      </c>
      <c r="E20" s="10">
        <f>IFERROR(vlookup('1.9'!D:D,lookup!$A$2:$B$4,2,false),0)</f>
        <v>5</v>
      </c>
      <c r="F20" s="10">
        <f>IFERROR(vlookup('1.9'!E:E,lookup!$A$6:$B$8,2,false),0)</f>
        <v>5</v>
      </c>
      <c r="G20" s="10">
        <f>IFERROR(vlookup('1.9'!F:F,lookup!$A$10:$B$12,2,false),0)</f>
        <v>5</v>
      </c>
      <c r="H20" s="10">
        <f>IFERROR(vlookup('1.9'!G:G,lookup!$A$14:$B$16,2,false),0)</f>
        <v>5</v>
      </c>
      <c r="I20" s="10">
        <f>IFERROR(vlookup('1.9'!H:H,lookup!$A$18:$B$20,2,false),0)</f>
        <v>5</v>
      </c>
      <c r="J20" s="10">
        <f>IFERROR(vlookup('1.9'!I:I,lookup!$A$22:$B$24,2,false),0)</f>
        <v>5</v>
      </c>
      <c r="K20" s="10">
        <f>IFERROR(vlookup('1.9'!J:J,lookup!$A$26:$B$28,2,false),0)</f>
        <v>5</v>
      </c>
      <c r="L20" s="1"/>
      <c r="M20" s="10">
        <v>19.0</v>
      </c>
      <c r="N20" s="11" t="str">
        <f t="shared" si="1"/>
        <v>bnco1019@signalschool.ac.th</v>
      </c>
      <c r="O20" s="12">
        <f t="shared" si="2"/>
        <v>1</v>
      </c>
      <c r="R20" s="6" t="s">
        <v>233</v>
      </c>
    </row>
    <row r="21">
      <c r="A21" s="8">
        <f>'1.9'!A:A</f>
        <v>46262.48648</v>
      </c>
      <c r="B21" s="1" t="str">
        <f>'1.9'!B:B</f>
        <v>bnco1032@signalschool.ac.th</v>
      </c>
      <c r="C21" s="1" t="str">
        <f>'1.9'!C:C</f>
        <v>พ.ต.หญิงพิมพ์ชนก จิรัฏฐิติกาล</v>
      </c>
      <c r="D21" s="9">
        <v>1.0</v>
      </c>
      <c r="E21" s="10">
        <f>IFERROR(vlookup('1.9'!D:D,lookup!$A$2:$B$4,2,false),0)</f>
        <v>5</v>
      </c>
      <c r="F21" s="10">
        <f>IFERROR(vlookup('1.9'!E:E,lookup!$A$6:$B$8,2,false),0)</f>
        <v>5</v>
      </c>
      <c r="G21" s="10">
        <f>IFERROR(vlookup('1.9'!F:F,lookup!$A$10:$B$12,2,false),0)</f>
        <v>5</v>
      </c>
      <c r="H21" s="10">
        <f>IFERROR(vlookup('1.9'!G:G,lookup!$A$14:$B$16,2,false),0)</f>
        <v>5</v>
      </c>
      <c r="I21" s="10">
        <f>IFERROR(vlookup('1.9'!H:H,lookup!$A$18:$B$20,2,false),0)</f>
        <v>5</v>
      </c>
      <c r="J21" s="10">
        <f>IFERROR(vlookup('1.9'!I:I,lookup!$A$22:$B$24,2,false),0)</f>
        <v>5</v>
      </c>
      <c r="K21" s="10">
        <f>IFERROR(vlookup('1.9'!J:J,lookup!$A$26:$B$28,2,false),0)</f>
        <v>5</v>
      </c>
      <c r="L21" s="1"/>
      <c r="M21" s="10">
        <v>20.0</v>
      </c>
      <c r="N21" s="11" t="str">
        <f t="shared" si="1"/>
        <v>bnco1020@signalschool.ac.th</v>
      </c>
      <c r="O21" s="12">
        <f t="shared" si="2"/>
        <v>0</v>
      </c>
      <c r="R21" s="6" t="s">
        <v>234</v>
      </c>
    </row>
    <row r="22">
      <c r="A22" s="8">
        <f>'1.9'!A:A</f>
        <v>46262.48978</v>
      </c>
      <c r="B22" s="1" t="str">
        <f>'1.9'!B:B</f>
        <v>bnco1060@signalschool.ac.th</v>
      </c>
      <c r="C22" s="1" t="str">
        <f>'1.9'!C:C</f>
        <v>พ.ต.หญิง พิมพ์ชนก จิรัฎฐิติกาล</v>
      </c>
      <c r="D22" s="9">
        <v>1.0</v>
      </c>
      <c r="E22" s="10">
        <f>IFERROR(vlookup('1.9'!D:D,lookup!$A$2:$B$4,2,false),0)</f>
        <v>5</v>
      </c>
      <c r="F22" s="10">
        <f>IFERROR(vlookup('1.9'!E:E,lookup!$A$6:$B$8,2,false),0)</f>
        <v>5</v>
      </c>
      <c r="G22" s="10">
        <f>IFERROR(vlookup('1.9'!F:F,lookup!$A$10:$B$12,2,false),0)</f>
        <v>5</v>
      </c>
      <c r="H22" s="10">
        <f>IFERROR(vlookup('1.9'!G:G,lookup!$A$14:$B$16,2,false),0)</f>
        <v>5</v>
      </c>
      <c r="I22" s="10">
        <f>IFERROR(vlookup('1.9'!H:H,lookup!$A$18:$B$20,2,false),0)</f>
        <v>5</v>
      </c>
      <c r="J22" s="10">
        <f>IFERROR(vlookup('1.9'!I:I,lookup!$A$22:$B$24,2,false),0)</f>
        <v>5</v>
      </c>
      <c r="K22" s="10">
        <f>IFERROR(vlookup('1.9'!J:J,lookup!$A$26:$B$28,2,false),0)</f>
        <v>5</v>
      </c>
      <c r="L22" s="1"/>
      <c r="M22" s="10">
        <v>21.0</v>
      </c>
      <c r="N22" s="11" t="str">
        <f t="shared" si="1"/>
        <v>bnco1021@signalschool.ac.th</v>
      </c>
      <c r="O22" s="12">
        <f t="shared" si="2"/>
        <v>1</v>
      </c>
      <c r="R22" s="6" t="s">
        <v>235</v>
      </c>
    </row>
    <row r="23">
      <c r="A23" s="8">
        <f>'1.9'!A:A</f>
        <v>46262.50716</v>
      </c>
      <c r="B23" s="1" t="str">
        <f>'1.9'!B:B</f>
        <v>bnco1063@signalschool.ac.th</v>
      </c>
      <c r="C23" s="1" t="str">
        <f>'1.9'!C:C</f>
        <v>พ.ต.หญิงพิมพ์ชนก จิรัฏฐิติกาล</v>
      </c>
      <c r="D23" s="9">
        <v>1.0</v>
      </c>
      <c r="E23" s="10">
        <f>IFERROR(vlookup('1.9'!D:D,lookup!$A$2:$B$4,2,false),0)</f>
        <v>5</v>
      </c>
      <c r="F23" s="10">
        <f>IFERROR(vlookup('1.9'!E:E,lookup!$A$6:$B$8,2,false),0)</f>
        <v>5</v>
      </c>
      <c r="G23" s="10">
        <f>IFERROR(vlookup('1.9'!F:F,lookup!$A$10:$B$12,2,false),0)</f>
        <v>5</v>
      </c>
      <c r="H23" s="10">
        <f>IFERROR(vlookup('1.9'!G:G,lookup!$A$14:$B$16,2,false),0)</f>
        <v>5</v>
      </c>
      <c r="I23" s="10">
        <f>IFERROR(vlookup('1.9'!H:H,lookup!$A$18:$B$20,2,false),0)</f>
        <v>5</v>
      </c>
      <c r="J23" s="10">
        <f>IFERROR(vlookup('1.9'!I:I,lookup!$A$22:$B$24,2,false),0)</f>
        <v>5</v>
      </c>
      <c r="K23" s="10">
        <f>IFERROR(vlookup('1.9'!J:J,lookup!$A$26:$B$28,2,false),0)</f>
        <v>5</v>
      </c>
      <c r="L23" s="1"/>
      <c r="M23" s="10">
        <v>22.0</v>
      </c>
      <c r="N23" s="11" t="str">
        <f t="shared" si="1"/>
        <v>bnco1022@signalschool.ac.th</v>
      </c>
      <c r="O23" s="12">
        <f t="shared" si="2"/>
        <v>1</v>
      </c>
      <c r="R23" s="6" t="s">
        <v>236</v>
      </c>
    </row>
    <row r="24">
      <c r="A24" s="8">
        <f>'1.9'!A:A</f>
        <v>46262.52104</v>
      </c>
      <c r="B24" s="1" t="str">
        <f>'1.9'!B:B</f>
        <v>bnco1031@signalschool.ac.th</v>
      </c>
      <c r="C24" s="1" t="str">
        <f>'1.9'!C:C</f>
        <v>พ.ต.หญิงพิมพ์ชนก จิรัฏฐิติกาล</v>
      </c>
      <c r="D24" s="9">
        <v>1.0</v>
      </c>
      <c r="E24" s="10">
        <f>IFERROR(vlookup('1.9'!D:D,lookup!$A$2:$B$4,2,false),0)</f>
        <v>5</v>
      </c>
      <c r="F24" s="10">
        <f>IFERROR(vlookup('1.9'!E:E,lookup!$A$6:$B$8,2,false),0)</f>
        <v>5</v>
      </c>
      <c r="G24" s="10">
        <f>IFERROR(vlookup('1.9'!F:F,lookup!$A$10:$B$12,2,false),0)</f>
        <v>5</v>
      </c>
      <c r="H24" s="10">
        <f>IFERROR(vlookup('1.9'!G:G,lookup!$A$14:$B$16,2,false),0)</f>
        <v>5</v>
      </c>
      <c r="I24" s="10">
        <f>IFERROR(vlookup('1.9'!H:H,lookup!$A$18:$B$20,2,false),0)</f>
        <v>5</v>
      </c>
      <c r="J24" s="10">
        <f>IFERROR(vlookup('1.9'!I:I,lookup!$A$22:$B$24,2,false),0)</f>
        <v>5</v>
      </c>
      <c r="K24" s="10">
        <f>IFERROR(vlookup('1.9'!J:J,lookup!$A$26:$B$28,2,false),0)</f>
        <v>5</v>
      </c>
      <c r="L24" s="1"/>
      <c r="M24" s="10">
        <v>23.0</v>
      </c>
      <c r="N24" s="11" t="str">
        <f t="shared" si="1"/>
        <v>bnco1023@signalschool.ac.th</v>
      </c>
      <c r="O24" s="12">
        <f t="shared" si="2"/>
        <v>1</v>
      </c>
      <c r="R24" s="6" t="s">
        <v>237</v>
      </c>
    </row>
    <row r="25">
      <c r="A25" s="8">
        <f>'1.9'!A:A</f>
        <v>46262.53298</v>
      </c>
      <c r="B25" s="1" t="str">
        <f>'1.9'!B:B</f>
        <v>bnco1069@signalschool.ac.th</v>
      </c>
      <c r="C25" s="1" t="str">
        <f>'1.9'!C:C</f>
        <v>พ.ต.หญิงพิมพ์ชนก  จิรัฏฐิติกาล</v>
      </c>
      <c r="D25" s="9">
        <v>1.0</v>
      </c>
      <c r="E25" s="10">
        <f>IFERROR(vlookup('1.9'!D:D,lookup!$A$2:$B$4,2,false),0)</f>
        <v>5</v>
      </c>
      <c r="F25" s="10">
        <f>IFERROR(vlookup('1.9'!E:E,lookup!$A$6:$B$8,2,false),0)</f>
        <v>5</v>
      </c>
      <c r="G25" s="10">
        <f>IFERROR(vlookup('1.9'!F:F,lookup!$A$10:$B$12,2,false),0)</f>
        <v>5</v>
      </c>
      <c r="H25" s="10">
        <f>IFERROR(vlookup('1.9'!G:G,lookup!$A$14:$B$16,2,false),0)</f>
        <v>5</v>
      </c>
      <c r="I25" s="10">
        <f>IFERROR(vlookup('1.9'!H:H,lookup!$A$18:$B$20,2,false),0)</f>
        <v>5</v>
      </c>
      <c r="J25" s="10">
        <f>IFERROR(vlookup('1.9'!I:I,lookup!$A$22:$B$24,2,false),0)</f>
        <v>5</v>
      </c>
      <c r="K25" s="10">
        <f>IFERROR(vlookup('1.9'!J:J,lookup!$A$26:$B$28,2,false),0)</f>
        <v>5</v>
      </c>
      <c r="L25" s="1"/>
      <c r="M25" s="10">
        <v>24.0</v>
      </c>
      <c r="N25" s="11" t="str">
        <f t="shared" si="1"/>
        <v>bnco1024@signalschool.ac.th</v>
      </c>
      <c r="O25" s="12">
        <f t="shared" si="2"/>
        <v>1</v>
      </c>
      <c r="R25" s="6" t="s">
        <v>238</v>
      </c>
    </row>
    <row r="26">
      <c r="A26" s="8">
        <f>'1.9'!A:A</f>
        <v>46262.54277</v>
      </c>
      <c r="B26" s="1" t="str">
        <f>'1.9'!B:B</f>
        <v>bnco1066@signalschool.ac.th</v>
      </c>
      <c r="C26" s="1" t="str">
        <f>'1.9'!C:C</f>
        <v>พ.ต.หญิงพิมพ์ชนก จิรัฏฐิติกาล</v>
      </c>
      <c r="D26" s="9">
        <v>1.0</v>
      </c>
      <c r="E26" s="10">
        <f>IFERROR(vlookup('1.9'!D:D,lookup!$A$2:$B$4,2,false),0)</f>
        <v>5</v>
      </c>
      <c r="F26" s="10">
        <f>IFERROR(vlookup('1.9'!E:E,lookup!$A$6:$B$8,2,false),0)</f>
        <v>5</v>
      </c>
      <c r="G26" s="10">
        <f>IFERROR(vlookup('1.9'!F:F,lookup!$A$10:$B$12,2,false),0)</f>
        <v>5</v>
      </c>
      <c r="H26" s="10">
        <f>IFERROR(vlookup('1.9'!G:G,lookup!$A$14:$B$16,2,false),0)</f>
        <v>5</v>
      </c>
      <c r="I26" s="10">
        <f>IFERROR(vlookup('1.9'!H:H,lookup!$A$18:$B$20,2,false),0)</f>
        <v>5</v>
      </c>
      <c r="J26" s="10">
        <f>IFERROR(vlookup('1.9'!I:I,lookup!$A$22:$B$24,2,false),0)</f>
        <v>5</v>
      </c>
      <c r="K26" s="10">
        <f>IFERROR(vlookup('1.9'!J:J,lookup!$A$26:$B$28,2,false),0)</f>
        <v>5</v>
      </c>
      <c r="L26" s="1"/>
      <c r="M26" s="10">
        <v>25.0</v>
      </c>
      <c r="N26" s="11" t="str">
        <f t="shared" si="1"/>
        <v>bnco1025@signalschool.ac.th</v>
      </c>
      <c r="O26" s="12">
        <f t="shared" si="2"/>
        <v>0</v>
      </c>
      <c r="R26" s="6" t="s">
        <v>239</v>
      </c>
    </row>
    <row r="27">
      <c r="A27" s="8">
        <f>'1.9'!A:A</f>
        <v>46262.55639</v>
      </c>
      <c r="B27" s="1" t="str">
        <f>'1.9'!B:B</f>
        <v>bnco1068@signalschool.ac.th</v>
      </c>
      <c r="C27" s="1" t="str">
        <f>'1.9'!C:C</f>
        <v>พ.ต.หญิง พิมพ์ชนก  จิรัฏฐิติกาล</v>
      </c>
      <c r="D27" s="9">
        <v>1.0</v>
      </c>
      <c r="E27" s="10">
        <f>IFERROR(vlookup('1.9'!D:D,lookup!$A$2:$B$4,2,false),0)</f>
        <v>5</v>
      </c>
      <c r="F27" s="10">
        <f>IFERROR(vlookup('1.9'!E:E,lookup!$A$6:$B$8,2,false),0)</f>
        <v>5</v>
      </c>
      <c r="G27" s="10">
        <f>IFERROR(vlookup('1.9'!F:F,lookup!$A$10:$B$12,2,false),0)</f>
        <v>5</v>
      </c>
      <c r="H27" s="10">
        <f>IFERROR(vlookup('1.9'!G:G,lookup!$A$14:$B$16,2,false),0)</f>
        <v>5</v>
      </c>
      <c r="I27" s="10">
        <f>IFERROR(vlookup('1.9'!H:H,lookup!$A$18:$B$20,2,false),0)</f>
        <v>5</v>
      </c>
      <c r="J27" s="10">
        <f>IFERROR(vlookup('1.9'!I:I,lookup!$A$22:$B$24,2,false),0)</f>
        <v>5</v>
      </c>
      <c r="K27" s="10">
        <f>IFERROR(vlookup('1.9'!J:J,lookup!$A$26:$B$28,2,false),0)</f>
        <v>5</v>
      </c>
      <c r="L27" s="1"/>
      <c r="M27" s="10">
        <v>26.0</v>
      </c>
      <c r="N27" s="11" t="str">
        <f t="shared" si="1"/>
        <v>bnco1026@signalschool.ac.th</v>
      </c>
      <c r="O27" s="12">
        <f t="shared" si="2"/>
        <v>1</v>
      </c>
      <c r="R27" s="6" t="s">
        <v>240</v>
      </c>
    </row>
    <row r="28">
      <c r="A28" s="8">
        <f>'1.9'!A:A</f>
        <v>46262.55698</v>
      </c>
      <c r="B28" s="1" t="str">
        <f>'1.9'!B:B</f>
        <v>bnco1044@signalschool.ac.th</v>
      </c>
      <c r="C28" s="1" t="str">
        <f>'1.9'!C:C</f>
        <v>พ.ต.หญิง พิมพ์ชนก จิรัฏฐิติกาล</v>
      </c>
      <c r="D28" s="9">
        <v>1.0</v>
      </c>
      <c r="E28" s="10">
        <f>IFERROR(vlookup('1.9'!D:D,lookup!$A$2:$B$4,2,false),0)</f>
        <v>5</v>
      </c>
      <c r="F28" s="10">
        <f>IFERROR(vlookup('1.9'!E:E,lookup!$A$6:$B$8,2,false),0)</f>
        <v>5</v>
      </c>
      <c r="G28" s="10">
        <f>IFERROR(vlookup('1.9'!F:F,lookup!$A$10:$B$12,2,false),0)</f>
        <v>5</v>
      </c>
      <c r="H28" s="10">
        <f>IFERROR(vlookup('1.9'!G:G,lookup!$A$14:$B$16,2,false),0)</f>
        <v>5</v>
      </c>
      <c r="I28" s="10">
        <f>IFERROR(vlookup('1.9'!H:H,lookup!$A$18:$B$20,2,false),0)</f>
        <v>5</v>
      </c>
      <c r="J28" s="10">
        <f>IFERROR(vlookup('1.9'!I:I,lookup!$A$22:$B$24,2,false),0)</f>
        <v>5</v>
      </c>
      <c r="K28" s="10">
        <f>IFERROR(vlookup('1.9'!J:J,lookup!$A$26:$B$28,2,false),0)</f>
        <v>5</v>
      </c>
      <c r="L28" s="1"/>
      <c r="M28" s="10">
        <v>27.0</v>
      </c>
      <c r="N28" s="11" t="str">
        <f t="shared" si="1"/>
        <v>bnco1027@signalschool.ac.th</v>
      </c>
      <c r="O28" s="12">
        <f t="shared" si="2"/>
        <v>1</v>
      </c>
      <c r="R28" s="6" t="s">
        <v>241</v>
      </c>
    </row>
    <row r="29">
      <c r="A29" s="8">
        <f>'1.9'!A:A</f>
        <v>46262.56694</v>
      </c>
      <c r="B29" s="1" t="str">
        <f>'1.9'!B:B</f>
        <v>bnco1008@signalschool.ac.th</v>
      </c>
      <c r="C29" s="1" t="str">
        <f>'1.9'!C:C</f>
        <v>พ.ต.หญิงพิมพ์ชนก จิรัฏฐิติกาล</v>
      </c>
      <c r="D29" s="9">
        <v>1.0</v>
      </c>
      <c r="E29" s="10">
        <f>IFERROR(vlookup('1.9'!D:D,lookup!$A$2:$B$4,2,false),0)</f>
        <v>5</v>
      </c>
      <c r="F29" s="10">
        <f>IFERROR(vlookup('1.9'!E:E,lookup!$A$6:$B$8,2,false),0)</f>
        <v>5</v>
      </c>
      <c r="G29" s="10">
        <f>IFERROR(vlookup('1.9'!F:F,lookup!$A$10:$B$12,2,false),0)</f>
        <v>5</v>
      </c>
      <c r="H29" s="10">
        <f>IFERROR(vlookup('1.9'!G:G,lookup!$A$14:$B$16,2,false),0)</f>
        <v>5</v>
      </c>
      <c r="I29" s="10">
        <f>IFERROR(vlookup('1.9'!H:H,lookup!$A$18:$B$20,2,false),0)</f>
        <v>5</v>
      </c>
      <c r="J29" s="10">
        <f>IFERROR(vlookup('1.9'!I:I,lookup!$A$22:$B$24,2,false),0)</f>
        <v>5</v>
      </c>
      <c r="K29" s="10">
        <f>IFERROR(vlookup('1.9'!J:J,lookup!$A$26:$B$28,2,false),0)</f>
        <v>5</v>
      </c>
      <c r="L29" s="1"/>
      <c r="M29" s="10">
        <v>28.0</v>
      </c>
      <c r="N29" s="11" t="str">
        <f t="shared" si="1"/>
        <v>bnco1028@signalschool.ac.th</v>
      </c>
      <c r="O29" s="12">
        <f t="shared" si="2"/>
        <v>0</v>
      </c>
      <c r="R29" s="6" t="s">
        <v>242</v>
      </c>
    </row>
    <row r="30">
      <c r="A30" s="8">
        <f>'1.9'!A:A</f>
        <v>46262.56837</v>
      </c>
      <c r="B30" s="1" t="str">
        <f>'1.9'!B:B</f>
        <v>bnco1049@signalschool.ac.th</v>
      </c>
      <c r="C30" s="1" t="str">
        <f>'1.9'!C:C</f>
        <v>พ.ต.หญิงพิมพ์ชนก จิรัฎฐิติกาล, ร.อ.ธัญญพัทธ์ ตรีศักดิ์ศรี</v>
      </c>
      <c r="D30" s="9">
        <v>1.0</v>
      </c>
      <c r="E30" s="10">
        <f>IFERROR(vlookup('1.9'!D:D,lookup!$A$2:$B$4,2,false),0)</f>
        <v>5</v>
      </c>
      <c r="F30" s="10">
        <f>IFERROR(vlookup('1.9'!E:E,lookup!$A$6:$B$8,2,false),0)</f>
        <v>5</v>
      </c>
      <c r="G30" s="10">
        <f>IFERROR(vlookup('1.9'!F:F,lookup!$A$10:$B$12,2,false),0)</f>
        <v>5</v>
      </c>
      <c r="H30" s="10">
        <f>IFERROR(vlookup('1.9'!G:G,lookup!$A$14:$B$16,2,false),0)</f>
        <v>5</v>
      </c>
      <c r="I30" s="10">
        <f>IFERROR(vlookup('1.9'!H:H,lookup!$A$18:$B$20,2,false),0)</f>
        <v>5</v>
      </c>
      <c r="J30" s="10">
        <f>IFERROR(vlookup('1.9'!I:I,lookup!$A$22:$B$24,2,false),0)</f>
        <v>5</v>
      </c>
      <c r="K30" s="10">
        <f>IFERROR(vlookup('1.9'!J:J,lookup!$A$26:$B$28,2,false),0)</f>
        <v>5</v>
      </c>
      <c r="L30" s="1"/>
      <c r="M30" s="10">
        <v>29.0</v>
      </c>
      <c r="N30" s="11" t="str">
        <f t="shared" si="1"/>
        <v>bnco1029@signalschool.ac.th</v>
      </c>
      <c r="O30" s="12">
        <f t="shared" si="2"/>
        <v>0</v>
      </c>
      <c r="R30" s="6" t="s">
        <v>243</v>
      </c>
    </row>
    <row r="31">
      <c r="A31" s="8">
        <f>'1.9'!A:A</f>
        <v>46262.57651</v>
      </c>
      <c r="B31" s="1" t="str">
        <f>'1.9'!B:B</f>
        <v>bnco1022@signalschool.ac.th</v>
      </c>
      <c r="C31" s="1" t="str">
        <f>'1.9'!C:C</f>
        <v>พ.ต.หญิงพิมพ์ชนก จิรัฏฐิติกาล</v>
      </c>
      <c r="D31" s="9">
        <v>1.0</v>
      </c>
      <c r="E31" s="10">
        <f>IFERROR(vlookup('1.9'!D:D,lookup!$A$2:$B$4,2,false),0)</f>
        <v>3</v>
      </c>
      <c r="F31" s="10">
        <f>IFERROR(vlookup('1.9'!E:E,lookup!$A$6:$B$8,2,false),0)</f>
        <v>1</v>
      </c>
      <c r="G31" s="10">
        <f>IFERROR(vlookup('1.9'!F:F,lookup!$A$10:$B$12,2,false),0)</f>
        <v>3</v>
      </c>
      <c r="H31" s="10">
        <f>IFERROR(vlookup('1.9'!G:G,lookup!$A$14:$B$16,2,false),0)</f>
        <v>5</v>
      </c>
      <c r="I31" s="10">
        <f>IFERROR(vlookup('1.9'!H:H,lookup!$A$18:$B$20,2,false),0)</f>
        <v>5</v>
      </c>
      <c r="J31" s="10">
        <f>IFERROR(vlookup('1.9'!I:I,lookup!$A$22:$B$24,2,false),0)</f>
        <v>3</v>
      </c>
      <c r="K31" s="10">
        <f>IFERROR(vlookup('1.9'!J:J,lookup!$A$26:$B$28,2,false),0)</f>
        <v>5</v>
      </c>
      <c r="L31" s="1"/>
      <c r="M31" s="10">
        <v>30.0</v>
      </c>
      <c r="N31" s="11" t="str">
        <f t="shared" si="1"/>
        <v>bnco1030@signalschool.ac.th</v>
      </c>
      <c r="O31" s="12">
        <f t="shared" si="2"/>
        <v>0</v>
      </c>
      <c r="R31" s="6" t="s">
        <v>244</v>
      </c>
    </row>
    <row r="32">
      <c r="A32" s="8">
        <f>'1.9'!A:A</f>
        <v>46262.58867</v>
      </c>
      <c r="B32" s="1" t="str">
        <f>'1.9'!B:B</f>
        <v>bnco1039@signalschool.ac.th</v>
      </c>
      <c r="C32" s="1" t="str">
        <f>'1.9'!C:C</f>
        <v>พ.ต.หญิงพิมพ์ชนก จิรัฎฐิติกาล</v>
      </c>
      <c r="D32" s="9">
        <v>1.0</v>
      </c>
      <c r="E32" s="10">
        <f>IFERROR(vlookup('1.9'!D:D,lookup!$A$2:$B$4,2,false),0)</f>
        <v>5</v>
      </c>
      <c r="F32" s="10">
        <f>IFERROR(vlookup('1.9'!E:E,lookup!$A$6:$B$8,2,false),0)</f>
        <v>5</v>
      </c>
      <c r="G32" s="10">
        <f>IFERROR(vlookup('1.9'!F:F,lookup!$A$10:$B$12,2,false),0)</f>
        <v>5</v>
      </c>
      <c r="H32" s="10">
        <f>IFERROR(vlookup('1.9'!G:G,lookup!$A$14:$B$16,2,false),0)</f>
        <v>5</v>
      </c>
      <c r="I32" s="10">
        <f>IFERROR(vlookup('1.9'!H:H,lookup!$A$18:$B$20,2,false),0)</f>
        <v>5</v>
      </c>
      <c r="J32" s="10">
        <f>IFERROR(vlookup('1.9'!I:I,lookup!$A$22:$B$24,2,false),0)</f>
        <v>5</v>
      </c>
      <c r="K32" s="10">
        <f>IFERROR(vlookup('1.9'!J:J,lookup!$A$26:$B$28,2,false),0)</f>
        <v>5</v>
      </c>
      <c r="L32" s="1"/>
      <c r="M32" s="10">
        <v>31.0</v>
      </c>
      <c r="N32" s="11" t="str">
        <f t="shared" si="1"/>
        <v>bnco1031@signalschool.ac.th</v>
      </c>
      <c r="O32" s="12">
        <f t="shared" si="2"/>
        <v>1</v>
      </c>
      <c r="R32" s="6" t="s">
        <v>245</v>
      </c>
    </row>
    <row r="33">
      <c r="A33" s="8">
        <f>'1.9'!A:A</f>
        <v>46262.59192</v>
      </c>
      <c r="B33" s="1" t="str">
        <f>'1.9'!B:B</f>
        <v>bnco1005@signalschool.ac.th</v>
      </c>
      <c r="C33" s="1" t="str">
        <f>'1.9'!C:C</f>
        <v>พ.ต.หญฺิงพิมพ์ชนก จิรัฏฐิติกาล</v>
      </c>
      <c r="D33" s="9">
        <v>1.0</v>
      </c>
      <c r="E33" s="10">
        <f>IFERROR(vlookup('1.9'!D:D,lookup!$A$2:$B$4,2,false),0)</f>
        <v>5</v>
      </c>
      <c r="F33" s="10">
        <f>IFERROR(vlookup('1.9'!E:E,lookup!$A$6:$B$8,2,false),0)</f>
        <v>5</v>
      </c>
      <c r="G33" s="10">
        <f>IFERROR(vlookup('1.9'!F:F,lookup!$A$10:$B$12,2,false),0)</f>
        <v>5</v>
      </c>
      <c r="H33" s="10">
        <f>IFERROR(vlookup('1.9'!G:G,lookup!$A$14:$B$16,2,false),0)</f>
        <v>5</v>
      </c>
      <c r="I33" s="10">
        <f>IFERROR(vlookup('1.9'!H:H,lookup!$A$18:$B$20,2,false),0)</f>
        <v>5</v>
      </c>
      <c r="J33" s="10">
        <f>IFERROR(vlookup('1.9'!I:I,lookup!$A$22:$B$24,2,false),0)</f>
        <v>5</v>
      </c>
      <c r="K33" s="10">
        <f>IFERROR(vlookup('1.9'!J:J,lookup!$A$26:$B$28,2,false),0)</f>
        <v>5</v>
      </c>
      <c r="L33" s="1"/>
      <c r="M33" s="10">
        <v>32.0</v>
      </c>
      <c r="N33" s="11" t="str">
        <f t="shared" si="1"/>
        <v>bnco1032@signalschool.ac.th</v>
      </c>
      <c r="O33" s="12">
        <f t="shared" si="2"/>
        <v>1</v>
      </c>
      <c r="R33" s="6" t="s">
        <v>246</v>
      </c>
    </row>
    <row r="34">
      <c r="A34" s="8">
        <f>'1.9'!A:A</f>
        <v>46262.59208</v>
      </c>
      <c r="B34" s="1" t="str">
        <f>'1.9'!B:B</f>
        <v>bnco1067@signalschool.ac.th</v>
      </c>
      <c r="C34" s="1" t="str">
        <f>'1.9'!C:C</f>
        <v>พ.ต.หญฺิงพิมพ์ชนก จิรัฏฐิติกาล</v>
      </c>
      <c r="D34" s="9">
        <v>1.0</v>
      </c>
      <c r="E34" s="10">
        <f>IFERROR(vlookup('1.9'!D:D,lookup!$A$2:$B$4,2,false),0)</f>
        <v>5</v>
      </c>
      <c r="F34" s="10">
        <f>IFERROR(vlookup('1.9'!E:E,lookup!$A$6:$B$8,2,false),0)</f>
        <v>5</v>
      </c>
      <c r="G34" s="10">
        <f>IFERROR(vlookup('1.9'!F:F,lookup!$A$10:$B$12,2,false),0)</f>
        <v>5</v>
      </c>
      <c r="H34" s="10">
        <f>IFERROR(vlookup('1.9'!G:G,lookup!$A$14:$B$16,2,false),0)</f>
        <v>5</v>
      </c>
      <c r="I34" s="10">
        <f>IFERROR(vlookup('1.9'!H:H,lookup!$A$18:$B$20,2,false),0)</f>
        <v>5</v>
      </c>
      <c r="J34" s="10">
        <f>IFERROR(vlookup('1.9'!I:I,lookup!$A$22:$B$24,2,false),0)</f>
        <v>5</v>
      </c>
      <c r="K34" s="10">
        <f>IFERROR(vlookup('1.9'!J:J,lookup!$A$26:$B$28,2,false),0)</f>
        <v>5</v>
      </c>
      <c r="L34" s="1"/>
      <c r="M34" s="10">
        <v>33.0</v>
      </c>
      <c r="N34" s="11" t="str">
        <f t="shared" si="1"/>
        <v>bnco1033@signalschool.ac.th</v>
      </c>
      <c r="O34" s="12">
        <f t="shared" si="2"/>
        <v>0</v>
      </c>
      <c r="R34" s="6" t="s">
        <v>247</v>
      </c>
    </row>
    <row r="35">
      <c r="A35" s="8">
        <f>'1.9'!A:A</f>
        <v>46262.59951</v>
      </c>
      <c r="B35" s="1" t="str">
        <f>'1.9'!B:B</f>
        <v>bnco1045@signalschool.ac.th</v>
      </c>
      <c r="C35" s="1" t="str">
        <f>'1.9'!C:C</f>
        <v>พ.ต.หญิง.พิมพ์ชนก จิรัฏฐิติกาล</v>
      </c>
      <c r="D35" s="9">
        <v>1.0</v>
      </c>
      <c r="E35" s="10">
        <f>IFERROR(vlookup('1.9'!D:D,lookup!$A$2:$B$4,2,false),0)</f>
        <v>3</v>
      </c>
      <c r="F35" s="10">
        <f>IFERROR(vlookup('1.9'!E:E,lookup!$A$6:$B$8,2,false),0)</f>
        <v>3</v>
      </c>
      <c r="G35" s="10">
        <f>IFERROR(vlookup('1.9'!F:F,lookup!$A$10:$B$12,2,false),0)</f>
        <v>5</v>
      </c>
      <c r="H35" s="10">
        <f>IFERROR(vlookup('1.9'!G:G,lookup!$A$14:$B$16,2,false),0)</f>
        <v>5</v>
      </c>
      <c r="I35" s="10">
        <f>IFERROR(vlookup('1.9'!H:H,lookup!$A$18:$B$20,2,false),0)</f>
        <v>5</v>
      </c>
      <c r="J35" s="10">
        <f>IFERROR(vlookup('1.9'!I:I,lookup!$A$22:$B$24,2,false),0)</f>
        <v>5</v>
      </c>
      <c r="K35" s="10">
        <f>IFERROR(vlookup('1.9'!J:J,lookup!$A$26:$B$28,2,false),0)</f>
        <v>5</v>
      </c>
      <c r="L35" s="1"/>
      <c r="M35" s="10">
        <v>34.0</v>
      </c>
      <c r="N35" s="11" t="str">
        <f t="shared" si="1"/>
        <v>bnco1034@signalschool.ac.th</v>
      </c>
      <c r="O35" s="12">
        <f t="shared" si="2"/>
        <v>1</v>
      </c>
      <c r="R35" s="6" t="s">
        <v>248</v>
      </c>
    </row>
    <row r="36">
      <c r="A36" s="8">
        <f>'1.9'!A:A</f>
        <v>46262.61553</v>
      </c>
      <c r="B36" s="1" t="str">
        <f>'1.9'!B:B</f>
        <v>bnco1080@signalschool.ac.th</v>
      </c>
      <c r="C36" s="1" t="str">
        <f>'1.9'!C:C</f>
        <v>พ.ต.หญิงพิมพ์ชนก  จิรัฏฐิตฺกาล</v>
      </c>
      <c r="D36" s="9">
        <v>1.0</v>
      </c>
      <c r="E36" s="10">
        <f>IFERROR(vlookup('1.9'!D:D,lookup!$A$2:$B$4,2,false),0)</f>
        <v>5</v>
      </c>
      <c r="F36" s="10">
        <f>IFERROR(vlookup('1.9'!E:E,lookup!$A$6:$B$8,2,false),0)</f>
        <v>5</v>
      </c>
      <c r="G36" s="10">
        <f>IFERROR(vlookup('1.9'!F:F,lookup!$A$10:$B$12,2,false),0)</f>
        <v>5</v>
      </c>
      <c r="H36" s="10">
        <f>IFERROR(vlookup('1.9'!G:G,lookup!$A$14:$B$16,2,false),0)</f>
        <v>5</v>
      </c>
      <c r="I36" s="10">
        <f>IFERROR(vlookup('1.9'!H:H,lookup!$A$18:$B$20,2,false),0)</f>
        <v>5</v>
      </c>
      <c r="J36" s="10">
        <f>IFERROR(vlookup('1.9'!I:I,lookup!$A$22:$B$24,2,false),0)</f>
        <v>5</v>
      </c>
      <c r="K36" s="10">
        <f>IFERROR(vlookup('1.9'!J:J,lookup!$A$26:$B$28,2,false),0)</f>
        <v>5</v>
      </c>
      <c r="L36" s="1"/>
      <c r="M36" s="10">
        <v>35.0</v>
      </c>
      <c r="N36" s="11" t="str">
        <f t="shared" si="1"/>
        <v>bnco1035@signalschool.ac.th</v>
      </c>
      <c r="O36" s="12">
        <f t="shared" si="2"/>
        <v>1</v>
      </c>
      <c r="R36" s="6" t="s">
        <v>249</v>
      </c>
    </row>
    <row r="37">
      <c r="A37" s="8">
        <f>'1.9'!A:A</f>
        <v>46262.63716</v>
      </c>
      <c r="B37" s="1" t="str">
        <f>'1.9'!B:B</f>
        <v>bnco1064@signalschool.ac.th</v>
      </c>
      <c r="C37" s="1" t="str">
        <f>'1.9'!C:C</f>
        <v>พ.ต.หญิงพิมพ์ชนก  จิรัฏฐิติกาล</v>
      </c>
      <c r="D37" s="9">
        <v>1.0</v>
      </c>
      <c r="E37" s="10">
        <f>IFERROR(vlookup('1.9'!D:D,lookup!$A$2:$B$4,2,false),0)</f>
        <v>5</v>
      </c>
      <c r="F37" s="10">
        <f>IFERROR(vlookup('1.9'!E:E,lookup!$A$6:$B$8,2,false),0)</f>
        <v>5</v>
      </c>
      <c r="G37" s="10">
        <f>IFERROR(vlookup('1.9'!F:F,lookup!$A$10:$B$12,2,false),0)</f>
        <v>5</v>
      </c>
      <c r="H37" s="10">
        <f>IFERROR(vlookup('1.9'!G:G,lookup!$A$14:$B$16,2,false),0)</f>
        <v>5</v>
      </c>
      <c r="I37" s="10">
        <f>IFERROR(vlookup('1.9'!H:H,lookup!$A$18:$B$20,2,false),0)</f>
        <v>5</v>
      </c>
      <c r="J37" s="10">
        <f>IFERROR(vlookup('1.9'!I:I,lookup!$A$22:$B$24,2,false),0)</f>
        <v>5</v>
      </c>
      <c r="K37" s="10">
        <f>IFERROR(vlookup('1.9'!J:J,lookup!$A$26:$B$28,2,false),0)</f>
        <v>5</v>
      </c>
      <c r="L37" s="1"/>
      <c r="M37" s="10">
        <v>36.0</v>
      </c>
      <c r="N37" s="11" t="str">
        <f t="shared" si="1"/>
        <v>bnco1036@signalschool.ac.th</v>
      </c>
      <c r="O37" s="12">
        <f t="shared" si="2"/>
        <v>1</v>
      </c>
      <c r="R37" s="6" t="s">
        <v>250</v>
      </c>
    </row>
    <row r="38">
      <c r="A38" s="8">
        <f>'1.9'!A:A</f>
        <v>46262.64672</v>
      </c>
      <c r="B38" s="1" t="str">
        <f>'1.9'!B:B</f>
        <v>bnco1027@signalschool.ac.th</v>
      </c>
      <c r="C38" s="1" t="str">
        <f>'1.9'!C:C</f>
        <v>พ.ท.หญิง พิมพ์ชนก จิรัฏฐิติกาล</v>
      </c>
      <c r="D38" s="9">
        <v>1.0</v>
      </c>
      <c r="E38" s="10">
        <f>IFERROR(vlookup('1.9'!D:D,lookup!$A$2:$B$4,2,false),0)</f>
        <v>5</v>
      </c>
      <c r="F38" s="10">
        <f>IFERROR(vlookup('1.9'!E:E,lookup!$A$6:$B$8,2,false),0)</f>
        <v>5</v>
      </c>
      <c r="G38" s="10">
        <f>IFERROR(vlookup('1.9'!F:F,lookup!$A$10:$B$12,2,false),0)</f>
        <v>5</v>
      </c>
      <c r="H38" s="10">
        <f>IFERROR(vlookup('1.9'!G:G,lookup!$A$14:$B$16,2,false),0)</f>
        <v>5</v>
      </c>
      <c r="I38" s="10">
        <f>IFERROR(vlookup('1.9'!H:H,lookup!$A$18:$B$20,2,false),0)</f>
        <v>5</v>
      </c>
      <c r="J38" s="10">
        <f>IFERROR(vlookup('1.9'!I:I,lookup!$A$22:$B$24,2,false),0)</f>
        <v>5</v>
      </c>
      <c r="K38" s="10">
        <f>IFERROR(vlookup('1.9'!J:J,lookup!$A$26:$B$28,2,false),0)</f>
        <v>5</v>
      </c>
      <c r="L38" s="1"/>
      <c r="M38" s="10">
        <v>37.0</v>
      </c>
      <c r="N38" s="11" t="str">
        <f t="shared" si="1"/>
        <v>bnco1037@signalschool.ac.th</v>
      </c>
      <c r="O38" s="12">
        <f t="shared" si="2"/>
        <v>0</v>
      </c>
      <c r="R38" s="6" t="s">
        <v>251</v>
      </c>
    </row>
    <row r="39">
      <c r="A39" s="8">
        <f>'1.9'!A:A</f>
        <v>46262.64738</v>
      </c>
      <c r="B39" s="1" t="str">
        <f>'1.9'!B:B</f>
        <v>bnco1021@signalschool.ac.th</v>
      </c>
      <c r="C39" s="1" t="str">
        <f>'1.9'!C:C</f>
        <v>พ.ต. หญิงพิมพ์ชนก จิรัฎฐิติกาล</v>
      </c>
      <c r="D39" s="9">
        <v>1.0</v>
      </c>
      <c r="E39" s="10">
        <f>IFERROR(vlookup('1.9'!D:D,lookup!$A$2:$B$4,2,false),0)</f>
        <v>5</v>
      </c>
      <c r="F39" s="10">
        <f>IFERROR(vlookup('1.9'!E:E,lookup!$A$6:$B$8,2,false),0)</f>
        <v>5</v>
      </c>
      <c r="G39" s="10">
        <f>IFERROR(vlookup('1.9'!F:F,lookup!$A$10:$B$12,2,false),0)</f>
        <v>5</v>
      </c>
      <c r="H39" s="10">
        <f>IFERROR(vlookup('1.9'!G:G,lookup!$A$14:$B$16,2,false),0)</f>
        <v>5</v>
      </c>
      <c r="I39" s="10">
        <f>IFERROR(vlookup('1.9'!H:H,lookup!$A$18:$B$20,2,false),0)</f>
        <v>5</v>
      </c>
      <c r="J39" s="10">
        <f>IFERROR(vlookup('1.9'!I:I,lookup!$A$22:$B$24,2,false),0)</f>
        <v>5</v>
      </c>
      <c r="K39" s="10">
        <f>IFERROR(vlookup('1.9'!J:J,lookup!$A$26:$B$28,2,false),0)</f>
        <v>5</v>
      </c>
      <c r="L39" s="1"/>
      <c r="M39" s="10">
        <v>38.0</v>
      </c>
      <c r="N39" s="11" t="str">
        <f t="shared" si="1"/>
        <v>bnco1038@signalschool.ac.th</v>
      </c>
      <c r="O39" s="12">
        <f t="shared" si="2"/>
        <v>1</v>
      </c>
      <c r="R39" s="6" t="s">
        <v>252</v>
      </c>
    </row>
    <row r="40">
      <c r="A40" s="8">
        <f>'1.9'!A:A</f>
        <v>46262.75512</v>
      </c>
      <c r="B40" s="1" t="str">
        <f>'1.9'!B:B</f>
        <v>bnco1072@signalschool.ac.th</v>
      </c>
      <c r="C40" s="1" t="str">
        <f>'1.9'!C:C</f>
        <v>พ.ต.หญิงพิมพ์ชนก  จิรัฏฐิติกาล</v>
      </c>
      <c r="D40" s="9">
        <v>1.0</v>
      </c>
      <c r="E40" s="10">
        <f>IFERROR(vlookup('1.9'!D:D,lookup!$A$2:$B$4,2,false),0)</f>
        <v>5</v>
      </c>
      <c r="F40" s="10">
        <f>IFERROR(vlookup('1.9'!E:E,lookup!$A$6:$B$8,2,false),0)</f>
        <v>5</v>
      </c>
      <c r="G40" s="10">
        <f>IFERROR(vlookup('1.9'!F:F,lookup!$A$10:$B$12,2,false),0)</f>
        <v>5</v>
      </c>
      <c r="H40" s="10">
        <f>IFERROR(vlookup('1.9'!G:G,lookup!$A$14:$B$16,2,false),0)</f>
        <v>5</v>
      </c>
      <c r="I40" s="10">
        <f>IFERROR(vlookup('1.9'!H:H,lookup!$A$18:$B$20,2,false),0)</f>
        <v>5</v>
      </c>
      <c r="J40" s="10">
        <f>IFERROR(vlookup('1.9'!I:I,lookup!$A$22:$B$24,2,false),0)</f>
        <v>5</v>
      </c>
      <c r="K40" s="10">
        <f>IFERROR(vlookup('1.9'!J:J,lookup!$A$26:$B$28,2,false),0)</f>
        <v>5</v>
      </c>
      <c r="L40" s="1"/>
      <c r="M40" s="10">
        <v>39.0</v>
      </c>
      <c r="N40" s="11" t="str">
        <f t="shared" si="1"/>
        <v>bnco1039@signalschool.ac.th</v>
      </c>
      <c r="O40" s="12">
        <f t="shared" si="2"/>
        <v>1</v>
      </c>
      <c r="R40" s="6" t="s">
        <v>253</v>
      </c>
    </row>
    <row r="41">
      <c r="A41" s="8">
        <f>'1.9'!A:A</f>
        <v>46262.79828</v>
      </c>
      <c r="B41" s="1" t="str">
        <f>'1.9'!B:B</f>
        <v>bnco1014@signalschool.ac.th</v>
      </c>
      <c r="C41" s="1" t="str">
        <f>'1.9'!C:C</f>
        <v>พ.ต.หญิง พิมพ์ชนก จิรัฏฐิติกาล</v>
      </c>
      <c r="D41" s="9">
        <v>1.0</v>
      </c>
      <c r="E41" s="10">
        <f>IFERROR(vlookup('1.9'!D:D,lookup!$A$2:$B$4,2,false),0)</f>
        <v>5</v>
      </c>
      <c r="F41" s="10">
        <f>IFERROR(vlookup('1.9'!E:E,lookup!$A$6:$B$8,2,false),0)</f>
        <v>5</v>
      </c>
      <c r="G41" s="10">
        <f>IFERROR(vlookup('1.9'!F:F,lookup!$A$10:$B$12,2,false),0)</f>
        <v>5</v>
      </c>
      <c r="H41" s="10">
        <f>IFERROR(vlookup('1.9'!G:G,lookup!$A$14:$B$16,2,false),0)</f>
        <v>5</v>
      </c>
      <c r="I41" s="10">
        <f>IFERROR(vlookup('1.9'!H:H,lookup!$A$18:$B$20,2,false),0)</f>
        <v>5</v>
      </c>
      <c r="J41" s="10">
        <f>IFERROR(vlookup('1.9'!I:I,lookup!$A$22:$B$24,2,false),0)</f>
        <v>5</v>
      </c>
      <c r="K41" s="10">
        <f>IFERROR(vlookup('1.9'!J:J,lookup!$A$26:$B$28,2,false),0)</f>
        <v>5</v>
      </c>
      <c r="L41" s="1"/>
      <c r="M41" s="10">
        <v>40.0</v>
      </c>
      <c r="N41" s="11" t="str">
        <f t="shared" si="1"/>
        <v>bnco1040@signalschool.ac.th</v>
      </c>
      <c r="O41" s="12">
        <f t="shared" si="2"/>
        <v>1</v>
      </c>
      <c r="R41" s="6" t="s">
        <v>254</v>
      </c>
    </row>
    <row r="42">
      <c r="A42" s="8">
        <f>'1.9'!A:A</f>
        <v>46262.87813</v>
      </c>
      <c r="B42" s="1" t="str">
        <f>'1.9'!B:B</f>
        <v>bnco1076@signalschool.ac.th</v>
      </c>
      <c r="C42" s="1" t="str">
        <f>'1.9'!C:C</f>
        <v>พ.ต.หญิง พิมพ์ชนก จิรัฏฐิติกาล</v>
      </c>
      <c r="D42" s="9">
        <v>1.0</v>
      </c>
      <c r="E42" s="10">
        <f>IFERROR(vlookup('1.9'!D:D,lookup!$A$2:$B$4,2,false),0)</f>
        <v>5</v>
      </c>
      <c r="F42" s="10">
        <f>IFERROR(vlookup('1.9'!E:E,lookup!$A$6:$B$8,2,false),0)</f>
        <v>5</v>
      </c>
      <c r="G42" s="10">
        <f>IFERROR(vlookup('1.9'!F:F,lookup!$A$10:$B$12,2,false),0)</f>
        <v>5</v>
      </c>
      <c r="H42" s="10">
        <f>IFERROR(vlookup('1.9'!G:G,lookup!$A$14:$B$16,2,false),0)</f>
        <v>5</v>
      </c>
      <c r="I42" s="10">
        <f>IFERROR(vlookup('1.9'!H:H,lookup!$A$18:$B$20,2,false),0)</f>
        <v>5</v>
      </c>
      <c r="J42" s="10">
        <f>IFERROR(vlookup('1.9'!I:I,lookup!$A$22:$B$24,2,false),0)</f>
        <v>5</v>
      </c>
      <c r="K42" s="10">
        <f>IFERROR(vlookup('1.9'!J:J,lookup!$A$26:$B$28,2,false),0)</f>
        <v>5</v>
      </c>
      <c r="L42" s="1"/>
      <c r="M42" s="10">
        <v>41.0</v>
      </c>
      <c r="N42" s="11" t="str">
        <f t="shared" si="1"/>
        <v>bnco1041@signalschool.ac.th</v>
      </c>
      <c r="O42" s="12">
        <f t="shared" si="2"/>
        <v>1</v>
      </c>
      <c r="R42" s="6" t="s">
        <v>255</v>
      </c>
    </row>
    <row r="43">
      <c r="A43" s="8">
        <f>'1.9'!A:A</f>
        <v>46262.9623</v>
      </c>
      <c r="B43" s="1" t="str">
        <f>'1.9'!B:B</f>
        <v>bnco1061@signalschool.ac.th</v>
      </c>
      <c r="C43" s="1" t="str">
        <f>'1.9'!C:C</f>
        <v>พ.ต.หญิงพิมพ์ชนก จิรัฏฐิติกาล</v>
      </c>
      <c r="D43" s="9">
        <v>1.0</v>
      </c>
      <c r="E43" s="10">
        <f>IFERROR(vlookup('1.9'!D:D,lookup!$A$2:$B$4,2,false),0)</f>
        <v>5</v>
      </c>
      <c r="F43" s="10">
        <f>IFERROR(vlookup('1.9'!E:E,lookup!$A$6:$B$8,2,false),0)</f>
        <v>5</v>
      </c>
      <c r="G43" s="10">
        <f>IFERROR(vlookup('1.9'!F:F,lookup!$A$10:$B$12,2,false),0)</f>
        <v>5</v>
      </c>
      <c r="H43" s="10">
        <f>IFERROR(vlookup('1.9'!G:G,lookup!$A$14:$B$16,2,false),0)</f>
        <v>5</v>
      </c>
      <c r="I43" s="10">
        <f>IFERROR(vlookup('1.9'!H:H,lookup!$A$18:$B$20,2,false),0)</f>
        <v>5</v>
      </c>
      <c r="J43" s="10">
        <f>IFERROR(vlookup('1.9'!I:I,lookup!$A$22:$B$24,2,false),0)</f>
        <v>5</v>
      </c>
      <c r="K43" s="10">
        <f>IFERROR(vlookup('1.9'!J:J,lookup!$A$26:$B$28,2,false),0)</f>
        <v>5</v>
      </c>
      <c r="L43" s="1"/>
      <c r="M43" s="10">
        <v>42.0</v>
      </c>
      <c r="N43" s="11" t="str">
        <f t="shared" si="1"/>
        <v>bnco1042@signalschool.ac.th</v>
      </c>
      <c r="O43" s="12">
        <f t="shared" si="2"/>
        <v>1</v>
      </c>
      <c r="R43" s="6" t="s">
        <v>256</v>
      </c>
    </row>
    <row r="44">
      <c r="A44" s="8">
        <f>'1.9'!A:A</f>
        <v>46262.96424</v>
      </c>
      <c r="B44" s="1" t="str">
        <f>'1.9'!B:B</f>
        <v>bnco1071@signalschool.ac.th</v>
      </c>
      <c r="C44" s="1" t="str">
        <f>'1.9'!C:C</f>
        <v>พ.ต.หญิงพิมพ์ชนก  จิรัฏฐิติกาล</v>
      </c>
      <c r="D44" s="9">
        <v>1.0</v>
      </c>
      <c r="E44" s="10">
        <f>IFERROR(vlookup('1.9'!D:D,lookup!$A$2:$B$4,2,false),0)</f>
        <v>5</v>
      </c>
      <c r="F44" s="10">
        <f>IFERROR(vlookup('1.9'!E:E,lookup!$A$6:$B$8,2,false),0)</f>
        <v>5</v>
      </c>
      <c r="G44" s="10">
        <f>IFERROR(vlookup('1.9'!F:F,lookup!$A$10:$B$12,2,false),0)</f>
        <v>5</v>
      </c>
      <c r="H44" s="10">
        <f>IFERROR(vlookup('1.9'!G:G,lookup!$A$14:$B$16,2,false),0)</f>
        <v>5</v>
      </c>
      <c r="I44" s="10">
        <f>IFERROR(vlookup('1.9'!H:H,lookup!$A$18:$B$20,2,false),0)</f>
        <v>5</v>
      </c>
      <c r="J44" s="10">
        <f>IFERROR(vlookup('1.9'!I:I,lookup!$A$22:$B$24,2,false),0)</f>
        <v>5</v>
      </c>
      <c r="K44" s="10">
        <f>IFERROR(vlookup('1.9'!J:J,lookup!$A$26:$B$28,2,false),0)</f>
        <v>5</v>
      </c>
      <c r="L44" s="1"/>
      <c r="M44" s="10">
        <v>43.0</v>
      </c>
      <c r="N44" s="11" t="str">
        <f t="shared" si="1"/>
        <v>bnco1043@signalschool.ac.th</v>
      </c>
      <c r="O44" s="12">
        <f t="shared" si="2"/>
        <v>1</v>
      </c>
      <c r="R44" s="6" t="s">
        <v>257</v>
      </c>
    </row>
    <row r="45">
      <c r="A45" s="8">
        <f>'1.9'!A:A</f>
        <v>46263.60782</v>
      </c>
      <c r="B45" s="1" t="str">
        <f>'1.9'!B:B</f>
        <v>bnco1054@signalschool.ac.th</v>
      </c>
      <c r="C45" s="1" t="str">
        <f>'1.9'!C:C</f>
        <v>พ.ต.หญิงพิมพ์ชนก  จิรัฏฐิติกาล</v>
      </c>
      <c r="D45" s="9">
        <v>1.0</v>
      </c>
      <c r="E45" s="10">
        <f>IFERROR(vlookup('1.9'!D:D,lookup!$A$2:$B$4,2,false),0)</f>
        <v>5</v>
      </c>
      <c r="F45" s="10">
        <f>IFERROR(vlookup('1.9'!E:E,lookup!$A$6:$B$8,2,false),0)</f>
        <v>5</v>
      </c>
      <c r="G45" s="10">
        <f>IFERROR(vlookup('1.9'!F:F,lookup!$A$10:$B$12,2,false),0)</f>
        <v>5</v>
      </c>
      <c r="H45" s="10">
        <f>IFERROR(vlookup('1.9'!G:G,lookup!$A$14:$B$16,2,false),0)</f>
        <v>5</v>
      </c>
      <c r="I45" s="10">
        <f>IFERROR(vlookup('1.9'!H:H,lookup!$A$18:$B$20,2,false),0)</f>
        <v>5</v>
      </c>
      <c r="J45" s="10">
        <f>IFERROR(vlookup('1.9'!I:I,lookup!$A$22:$B$24,2,false),0)</f>
        <v>5</v>
      </c>
      <c r="K45" s="10">
        <f>IFERROR(vlookup('1.9'!J:J,lookup!$A$26:$B$28,2,false),0)</f>
        <v>5</v>
      </c>
      <c r="L45" s="1"/>
      <c r="M45" s="10">
        <v>44.0</v>
      </c>
      <c r="N45" s="11" t="str">
        <f t="shared" si="1"/>
        <v>bnco1044@signalschool.ac.th</v>
      </c>
      <c r="O45" s="12">
        <f t="shared" si="2"/>
        <v>1</v>
      </c>
      <c r="R45" s="6" t="s">
        <v>258</v>
      </c>
    </row>
    <row r="46">
      <c r="A46" s="8">
        <f>'1.9'!A:A</f>
        <v>46263.71853</v>
      </c>
      <c r="B46" s="1" t="str">
        <f>'1.9'!B:B</f>
        <v>bnco1023@signalschool.ac.th</v>
      </c>
      <c r="C46" s="1" t="str">
        <f>'1.9'!C:C</f>
        <v>พ.ต.หญิงพิมพ์ชนก,ร.อ.ธัญญพัทธ์</v>
      </c>
      <c r="D46" s="9">
        <v>1.0</v>
      </c>
      <c r="E46" s="10">
        <f>IFERROR(vlookup('1.9'!D:D,lookup!$A$2:$B$4,2,false),0)</f>
        <v>5</v>
      </c>
      <c r="F46" s="10">
        <f>IFERROR(vlookup('1.9'!E:E,lookup!$A$6:$B$8,2,false),0)</f>
        <v>5</v>
      </c>
      <c r="G46" s="10">
        <f>IFERROR(vlookup('1.9'!F:F,lookup!$A$10:$B$12,2,false),0)</f>
        <v>5</v>
      </c>
      <c r="H46" s="10">
        <f>IFERROR(vlookup('1.9'!G:G,lookup!$A$14:$B$16,2,false),0)</f>
        <v>5</v>
      </c>
      <c r="I46" s="10">
        <f>IFERROR(vlookup('1.9'!H:H,lookup!$A$18:$B$20,2,false),0)</f>
        <v>5</v>
      </c>
      <c r="J46" s="10">
        <f>IFERROR(vlookup('1.9'!I:I,lookup!$A$22:$B$24,2,false),0)</f>
        <v>5</v>
      </c>
      <c r="K46" s="10">
        <f>IFERROR(vlookup('1.9'!J:J,lookup!$A$26:$B$28,2,false),0)</f>
        <v>5</v>
      </c>
      <c r="L46" s="1"/>
      <c r="M46" s="10">
        <v>45.0</v>
      </c>
      <c r="N46" s="11" t="str">
        <f t="shared" si="1"/>
        <v>bnco1045@signalschool.ac.th</v>
      </c>
      <c r="O46" s="12">
        <f t="shared" si="2"/>
        <v>1</v>
      </c>
      <c r="R46" s="6" t="s">
        <v>259</v>
      </c>
    </row>
    <row r="47">
      <c r="A47" s="8">
        <f>'1.9'!A:A</f>
        <v>46264.53592</v>
      </c>
      <c r="B47" s="1" t="str">
        <f>'1.9'!B:B</f>
        <v>bnco1015@signalschool.ac.th</v>
      </c>
      <c r="C47" s="1" t="str">
        <f>'1.9'!C:C</f>
        <v>พ.ต.หญิง พิมพ์ชนก จิรัฏฐิต กาล</v>
      </c>
      <c r="D47" s="9">
        <v>1.0</v>
      </c>
      <c r="E47" s="10">
        <f>IFERROR(vlookup('1.9'!D:D,lookup!$A$2:$B$4,2,false),0)</f>
        <v>5</v>
      </c>
      <c r="F47" s="10">
        <f>IFERROR(vlookup('1.9'!E:E,lookup!$A$6:$B$8,2,false),0)</f>
        <v>5</v>
      </c>
      <c r="G47" s="10">
        <f>IFERROR(vlookup('1.9'!F:F,lookup!$A$10:$B$12,2,false),0)</f>
        <v>5</v>
      </c>
      <c r="H47" s="10">
        <f>IFERROR(vlookup('1.9'!G:G,lookup!$A$14:$B$16,2,false),0)</f>
        <v>5</v>
      </c>
      <c r="I47" s="10">
        <f>IFERROR(vlookup('1.9'!H:H,lookup!$A$18:$B$20,2,false),0)</f>
        <v>5</v>
      </c>
      <c r="J47" s="10">
        <f>IFERROR(vlookup('1.9'!I:I,lookup!$A$22:$B$24,2,false),0)</f>
        <v>5</v>
      </c>
      <c r="K47" s="10">
        <f>IFERROR(vlookup('1.9'!J:J,lookup!$A$26:$B$28,2,false),0)</f>
        <v>5</v>
      </c>
      <c r="L47" s="1"/>
      <c r="M47" s="10">
        <v>46.0</v>
      </c>
      <c r="N47" s="11" t="str">
        <f t="shared" si="1"/>
        <v>bnco1046@signalschool.ac.th</v>
      </c>
      <c r="O47" s="12">
        <f t="shared" si="2"/>
        <v>1</v>
      </c>
      <c r="R47" s="6" t="s">
        <v>260</v>
      </c>
    </row>
    <row r="48">
      <c r="A48" s="8">
        <f>'1.9'!A:A</f>
        <v>46264.6542</v>
      </c>
      <c r="B48" s="1" t="str">
        <f>'1.9'!B:B</f>
        <v>bnco1002@signalschool.ac.th</v>
      </c>
      <c r="C48" s="1" t="str">
        <f>'1.9'!C:C</f>
        <v>พ.ต.หญิง พิมพ์ชนก จิรัฎฐิติกาล</v>
      </c>
      <c r="D48" s="9">
        <v>1.0</v>
      </c>
      <c r="E48" s="10">
        <f>IFERROR(vlookup('1.9'!D:D,lookup!$A$2:$B$4,2,false),0)</f>
        <v>5</v>
      </c>
      <c r="F48" s="10">
        <f>IFERROR(vlookup('1.9'!E:E,lookup!$A$6:$B$8,2,false),0)</f>
        <v>5</v>
      </c>
      <c r="G48" s="10">
        <f>IFERROR(vlookup('1.9'!F:F,lookup!$A$10:$B$12,2,false),0)</f>
        <v>5</v>
      </c>
      <c r="H48" s="10">
        <f>IFERROR(vlookup('1.9'!G:G,lookup!$A$14:$B$16,2,false),0)</f>
        <v>5</v>
      </c>
      <c r="I48" s="10">
        <f>IFERROR(vlookup('1.9'!H:H,lookup!$A$18:$B$20,2,false),0)</f>
        <v>5</v>
      </c>
      <c r="J48" s="10">
        <f>IFERROR(vlookup('1.9'!I:I,lookup!$A$22:$B$24,2,false),0)</f>
        <v>5</v>
      </c>
      <c r="K48" s="10">
        <f>IFERROR(vlookup('1.9'!J:J,lookup!$A$26:$B$28,2,false),0)</f>
        <v>5</v>
      </c>
      <c r="L48" s="1"/>
      <c r="M48" s="10">
        <v>47.0</v>
      </c>
      <c r="N48" s="11" t="str">
        <f t="shared" si="1"/>
        <v>bnco1047@signalschool.ac.th</v>
      </c>
      <c r="O48" s="12">
        <f t="shared" si="2"/>
        <v>1</v>
      </c>
      <c r="R48" s="6" t="s">
        <v>261</v>
      </c>
    </row>
    <row r="49">
      <c r="A49" s="8">
        <f>'1.9'!A:A</f>
        <v>46264.88062</v>
      </c>
      <c r="B49" s="1" t="str">
        <f>'1.9'!B:B</f>
        <v>edu.rad@signalschool.ac.th</v>
      </c>
      <c r="C49" s="1" t="str">
        <f>'1.9'!C:C</f>
        <v>ครูอาจารย์ รร.ส.สส.</v>
      </c>
      <c r="D49" s="9">
        <v>1.0</v>
      </c>
      <c r="E49" s="10">
        <f>IFERROR(vlookup('1.9'!D:D,lookup!$A$2:$B$4,2,false),0)</f>
        <v>5</v>
      </c>
      <c r="F49" s="10">
        <f>IFERROR(vlookup('1.9'!E:E,lookup!$A$6:$B$8,2,false),0)</f>
        <v>5</v>
      </c>
      <c r="G49" s="10">
        <f>IFERROR(vlookup('1.9'!F:F,lookup!$A$10:$B$12,2,false),0)</f>
        <v>5</v>
      </c>
      <c r="H49" s="10">
        <f>IFERROR(vlookup('1.9'!G:G,lookup!$A$14:$B$16,2,false),0)</f>
        <v>5</v>
      </c>
      <c r="I49" s="10">
        <f>IFERROR(vlookup('1.9'!H:H,lookup!$A$18:$B$20,2,false),0)</f>
        <v>5</v>
      </c>
      <c r="J49" s="10">
        <f>IFERROR(vlookup('1.9'!I:I,lookup!$A$22:$B$24,2,false),0)</f>
        <v>5</v>
      </c>
      <c r="K49" s="10">
        <f>IFERROR(vlookup('1.9'!J:J,lookup!$A$26:$B$28,2,false),0)</f>
        <v>5</v>
      </c>
      <c r="L49" s="1"/>
      <c r="M49" s="10">
        <v>48.0</v>
      </c>
      <c r="N49" s="11" t="str">
        <f t="shared" si="1"/>
        <v>bnco1048@signalschool.ac.th</v>
      </c>
      <c r="O49" s="12">
        <f t="shared" si="2"/>
        <v>0</v>
      </c>
      <c r="R49" s="6" t="s">
        <v>262</v>
      </c>
    </row>
    <row r="50">
      <c r="A50" s="8">
        <f>'1.9'!A:A</f>
        <v>46265.3285</v>
      </c>
      <c r="B50" s="1" t="str">
        <f>'1.9'!B:B</f>
        <v>bnco1059@signalschool.ac.th</v>
      </c>
      <c r="C50" s="1" t="str">
        <f>'1.9'!C:C</f>
        <v>พ.ต.หญิงพิมพ์ชนก จิรัฏฐิติกาล</v>
      </c>
      <c r="D50" s="9">
        <v>1.0</v>
      </c>
      <c r="E50" s="10">
        <f>IFERROR(vlookup('1.9'!D:D,lookup!$A$2:$B$4,2,false),0)</f>
        <v>5</v>
      </c>
      <c r="F50" s="10">
        <f>IFERROR(vlookup('1.9'!E:E,lookup!$A$6:$B$8,2,false),0)</f>
        <v>5</v>
      </c>
      <c r="G50" s="10">
        <f>IFERROR(vlookup('1.9'!F:F,lookup!$A$10:$B$12,2,false),0)</f>
        <v>5</v>
      </c>
      <c r="H50" s="10">
        <f>IFERROR(vlookup('1.9'!G:G,lookup!$A$14:$B$16,2,false),0)</f>
        <v>5</v>
      </c>
      <c r="I50" s="10">
        <f>IFERROR(vlookup('1.9'!H:H,lookup!$A$18:$B$20,2,false),0)</f>
        <v>3</v>
      </c>
      <c r="J50" s="10">
        <f>IFERROR(vlookup('1.9'!I:I,lookup!$A$22:$B$24,2,false),0)</f>
        <v>5</v>
      </c>
      <c r="K50" s="10">
        <f>IFERROR(vlookup('1.9'!J:J,lookup!$A$26:$B$28,2,false),0)</f>
        <v>5</v>
      </c>
      <c r="L50" s="1"/>
      <c r="M50" s="10">
        <v>49.0</v>
      </c>
      <c r="N50" s="11" t="str">
        <f t="shared" si="1"/>
        <v>bnco1049@signalschool.ac.th</v>
      </c>
      <c r="O50" s="12">
        <f t="shared" si="2"/>
        <v>1</v>
      </c>
      <c r="R50" s="6" t="s">
        <v>263</v>
      </c>
    </row>
    <row r="51">
      <c r="A51" s="8">
        <f>'1.9'!A:A</f>
        <v>46265.68182</v>
      </c>
      <c r="B51" s="1" t="str">
        <f>'1.9'!B:B</f>
        <v>bnco1046@signalschool.ac.th</v>
      </c>
      <c r="C51" s="1" t="str">
        <f>'1.9'!C:C</f>
        <v>พ.ต.หญิง พิมพ์ชนก จิรัฏฐิติกาล</v>
      </c>
      <c r="D51" s="9">
        <v>1.0</v>
      </c>
      <c r="E51" s="10">
        <f>IFERROR(vlookup('1.9'!D:D,lookup!$A$2:$B$4,2,false),0)</f>
        <v>5</v>
      </c>
      <c r="F51" s="10">
        <f>IFERROR(vlookup('1.9'!E:E,lookup!$A$6:$B$8,2,false),0)</f>
        <v>5</v>
      </c>
      <c r="G51" s="10">
        <f>IFERROR(vlookup('1.9'!F:F,lookup!$A$10:$B$12,2,false),0)</f>
        <v>5</v>
      </c>
      <c r="H51" s="10">
        <f>IFERROR(vlookup('1.9'!G:G,lookup!$A$14:$B$16,2,false),0)</f>
        <v>5</v>
      </c>
      <c r="I51" s="10">
        <f>IFERROR(vlookup('1.9'!H:H,lookup!$A$18:$B$20,2,false),0)</f>
        <v>5</v>
      </c>
      <c r="J51" s="10">
        <f>IFERROR(vlookup('1.9'!I:I,lookup!$A$22:$B$24,2,false),0)</f>
        <v>5</v>
      </c>
      <c r="K51" s="10">
        <f>IFERROR(vlookup('1.9'!J:J,lookup!$A$26:$B$28,2,false),0)</f>
        <v>5</v>
      </c>
      <c r="L51" s="1"/>
      <c r="M51" s="10">
        <v>50.0</v>
      </c>
      <c r="N51" s="11" t="str">
        <f t="shared" si="1"/>
        <v>bnco1050@signalschool.ac.th</v>
      </c>
      <c r="O51" s="12">
        <f t="shared" si="2"/>
        <v>1</v>
      </c>
      <c r="R51" s="6" t="s">
        <v>264</v>
      </c>
    </row>
    <row r="52">
      <c r="A52" s="8">
        <f>'1.9'!A:A</f>
        <v>46265.69547</v>
      </c>
      <c r="B52" s="1" t="str">
        <f>'1.9'!B:B</f>
        <v>bnco1024@signalschool.ac.th</v>
      </c>
      <c r="C52" s="1" t="str">
        <f>'1.9'!C:C</f>
        <v>พ.ต.หญิง พิมพ์ชนก จิรัฏฐิกาล</v>
      </c>
      <c r="D52" s="9">
        <v>1.0</v>
      </c>
      <c r="E52" s="10">
        <f>IFERROR(vlookup('1.9'!D:D,lookup!$A$2:$B$4,2,false),0)</f>
        <v>5</v>
      </c>
      <c r="F52" s="10">
        <f>IFERROR(vlookup('1.9'!E:E,lookup!$A$6:$B$8,2,false),0)</f>
        <v>5</v>
      </c>
      <c r="G52" s="10">
        <f>IFERROR(vlookup('1.9'!F:F,lookup!$A$10:$B$12,2,false),0)</f>
        <v>5</v>
      </c>
      <c r="H52" s="10">
        <f>IFERROR(vlookup('1.9'!G:G,lookup!$A$14:$B$16,2,false),0)</f>
        <v>5</v>
      </c>
      <c r="I52" s="10">
        <f>IFERROR(vlookup('1.9'!H:H,lookup!$A$18:$B$20,2,false),0)</f>
        <v>5</v>
      </c>
      <c r="J52" s="10">
        <f>IFERROR(vlookup('1.9'!I:I,lookup!$A$22:$B$24,2,false),0)</f>
        <v>5</v>
      </c>
      <c r="K52" s="10">
        <f>IFERROR(vlookup('1.9'!J:J,lookup!$A$26:$B$28,2,false),0)</f>
        <v>5</v>
      </c>
      <c r="L52" s="1"/>
      <c r="M52" s="10">
        <v>51.0</v>
      </c>
      <c r="N52" s="11" t="str">
        <f t="shared" si="1"/>
        <v>bnco1051@signalschool.ac.th</v>
      </c>
      <c r="O52" s="12">
        <f t="shared" si="2"/>
        <v>1</v>
      </c>
      <c r="R52" s="6" t="s">
        <v>265</v>
      </c>
    </row>
    <row r="53">
      <c r="A53" s="8">
        <f>'1.9'!A:A</f>
        <v>46265.70672</v>
      </c>
      <c r="B53" s="1" t="str">
        <f>'1.9'!B:B</f>
        <v>bnco1073@signalschool.ac.th</v>
      </c>
      <c r="C53" s="1" t="str">
        <f>'1.9'!C:C</f>
        <v>พ.ต.หญิงพิมพ์ชนก  จิรัฏฐิติกาล</v>
      </c>
      <c r="D53" s="9">
        <v>1.0</v>
      </c>
      <c r="E53" s="10">
        <f>IFERROR(vlookup('1.9'!D:D,lookup!$A$2:$B$4,2,false),0)</f>
        <v>5</v>
      </c>
      <c r="F53" s="10">
        <f>IFERROR(vlookup('1.9'!E:E,lookup!$A$6:$B$8,2,false),0)</f>
        <v>5</v>
      </c>
      <c r="G53" s="10">
        <f>IFERROR(vlookup('1.9'!F:F,lookup!$A$10:$B$12,2,false),0)</f>
        <v>5</v>
      </c>
      <c r="H53" s="10">
        <f>IFERROR(vlookup('1.9'!G:G,lookup!$A$14:$B$16,2,false),0)</f>
        <v>5</v>
      </c>
      <c r="I53" s="10">
        <f>IFERROR(vlookup('1.9'!H:H,lookup!$A$18:$B$20,2,false),0)</f>
        <v>5</v>
      </c>
      <c r="J53" s="10">
        <f>IFERROR(vlookup('1.9'!I:I,lookup!$A$22:$B$24,2,false),0)</f>
        <v>5</v>
      </c>
      <c r="K53" s="10">
        <f>IFERROR(vlookup('1.9'!J:J,lookup!$A$26:$B$28,2,false),0)</f>
        <v>5</v>
      </c>
      <c r="L53" s="1"/>
      <c r="M53" s="10">
        <v>52.0</v>
      </c>
      <c r="N53" s="11" t="str">
        <f t="shared" si="1"/>
        <v>bnco1052@signalschool.ac.th</v>
      </c>
      <c r="O53" s="12">
        <f t="shared" si="2"/>
        <v>1</v>
      </c>
      <c r="R53" s="6" t="s">
        <v>266</v>
      </c>
    </row>
    <row r="54">
      <c r="A54" s="8">
        <f>'1.9'!A:A</f>
        <v>46265.70704</v>
      </c>
      <c r="B54" s="1" t="str">
        <f>'1.9'!B:B</f>
        <v>bnco1078@signalschool.ac.th</v>
      </c>
      <c r="C54" s="1" t="str">
        <f>'1.9'!C:C</f>
        <v>พ.ต.หญิงพิมพ์ชนก จิรัฐฏฐิติกาล</v>
      </c>
      <c r="D54" s="9">
        <v>1.0</v>
      </c>
      <c r="E54" s="10">
        <f>IFERROR(vlookup('1.9'!D:D,lookup!$A$2:$B$4,2,false),0)</f>
        <v>5</v>
      </c>
      <c r="F54" s="10">
        <f>IFERROR(vlookup('1.9'!E:E,lookup!$A$6:$B$8,2,false),0)</f>
        <v>5</v>
      </c>
      <c r="G54" s="10">
        <f>IFERROR(vlookup('1.9'!F:F,lookup!$A$10:$B$12,2,false),0)</f>
        <v>5</v>
      </c>
      <c r="H54" s="10">
        <f>IFERROR(vlookup('1.9'!G:G,lookup!$A$14:$B$16,2,false),0)</f>
        <v>5</v>
      </c>
      <c r="I54" s="10">
        <f>IFERROR(vlookup('1.9'!H:H,lookup!$A$18:$B$20,2,false),0)</f>
        <v>5</v>
      </c>
      <c r="J54" s="10">
        <f>IFERROR(vlookup('1.9'!I:I,lookup!$A$22:$B$24,2,false),0)</f>
        <v>5</v>
      </c>
      <c r="K54" s="10">
        <f>IFERROR(vlookup('1.9'!J:J,lookup!$A$26:$B$28,2,false),0)</f>
        <v>5</v>
      </c>
      <c r="L54" s="1"/>
      <c r="M54" s="10">
        <v>53.0</v>
      </c>
      <c r="N54" s="11" t="str">
        <f t="shared" si="1"/>
        <v>bnco1053@signalschool.ac.th</v>
      </c>
      <c r="O54" s="12">
        <f t="shared" si="2"/>
        <v>1</v>
      </c>
      <c r="R54" s="6" t="s">
        <v>267</v>
      </c>
    </row>
    <row r="55">
      <c r="A55" s="8">
        <f>'1.9'!A:A</f>
        <v>46265.73773</v>
      </c>
      <c r="B55" s="1" t="str">
        <f>'1.9'!B:B</f>
        <v>bnco1057@signalschool.ac.th</v>
      </c>
      <c r="C55" s="1" t="str">
        <f>'1.9'!C:C</f>
        <v>พ.ต.หญิงพิมชนก  จิรัฏฐิติกาล</v>
      </c>
      <c r="D55" s="9">
        <v>1.0</v>
      </c>
      <c r="E55" s="10">
        <f>IFERROR(vlookup('1.9'!D:D,lookup!$A$2:$B$4,2,false),0)</f>
        <v>5</v>
      </c>
      <c r="F55" s="10">
        <f>IFERROR(vlookup('1.9'!E:E,lookup!$A$6:$B$8,2,false),0)</f>
        <v>5</v>
      </c>
      <c r="G55" s="10">
        <f>IFERROR(vlookup('1.9'!F:F,lookup!$A$10:$B$12,2,false),0)</f>
        <v>5</v>
      </c>
      <c r="H55" s="10">
        <f>IFERROR(vlookup('1.9'!G:G,lookup!$A$14:$B$16,2,false),0)</f>
        <v>5</v>
      </c>
      <c r="I55" s="10">
        <f>IFERROR(vlookup('1.9'!H:H,lookup!$A$18:$B$20,2,false),0)</f>
        <v>5</v>
      </c>
      <c r="J55" s="10">
        <f>IFERROR(vlookup('1.9'!I:I,lookup!$A$22:$B$24,2,false),0)</f>
        <v>5</v>
      </c>
      <c r="K55" s="10">
        <f>IFERROR(vlookup('1.9'!J:J,lookup!$A$26:$B$28,2,false),0)</f>
        <v>5</v>
      </c>
      <c r="L55" s="1"/>
      <c r="M55" s="10">
        <v>54.0</v>
      </c>
      <c r="N55" s="11" t="str">
        <f t="shared" si="1"/>
        <v>bnco1054@signalschool.ac.th</v>
      </c>
      <c r="O55" s="12">
        <f t="shared" si="2"/>
        <v>1</v>
      </c>
      <c r="R55" s="6" t="s">
        <v>268</v>
      </c>
    </row>
    <row r="56">
      <c r="A56" s="8">
        <f>'1.9'!A:A</f>
        <v>46266.55173</v>
      </c>
      <c r="B56" s="1" t="str">
        <f>'1.9'!B:B</f>
        <v>bnco1004@signalschool.ac.th</v>
      </c>
      <c r="C56" s="1" t="str">
        <f>'1.9'!C:C</f>
        <v>จ่าสิบเอก อนิชิท ธิบมนทรา</v>
      </c>
      <c r="D56" s="9">
        <v>1.0</v>
      </c>
      <c r="E56" s="10">
        <f>IFERROR(vlookup('1.9'!D:D,lookup!$A$2:$B$4,2,false),0)</f>
        <v>3</v>
      </c>
      <c r="F56" s="10">
        <f>IFERROR(vlookup('1.9'!E:E,lookup!$A$6:$B$8,2,false),0)</f>
        <v>3</v>
      </c>
      <c r="G56" s="10">
        <f>IFERROR(vlookup('1.9'!F:F,lookup!$A$10:$B$12,2,false),0)</f>
        <v>3</v>
      </c>
      <c r="H56" s="10">
        <f>IFERROR(vlookup('1.9'!G:G,lookup!$A$14:$B$16,2,false),0)</f>
        <v>3</v>
      </c>
      <c r="I56" s="10">
        <f>IFERROR(vlookup('1.9'!H:H,lookup!$A$18:$B$20,2,false),0)</f>
        <v>3</v>
      </c>
      <c r="J56" s="10">
        <f>IFERROR(vlookup('1.9'!I:I,lookup!$A$22:$B$24,2,false),0)</f>
        <v>3</v>
      </c>
      <c r="K56" s="10">
        <f>IFERROR(vlookup('1.9'!J:J,lookup!$A$26:$B$28,2,false),0)</f>
        <v>3</v>
      </c>
      <c r="L56" s="13"/>
      <c r="M56" s="10">
        <v>55.0</v>
      </c>
      <c r="N56" s="11" t="str">
        <f t="shared" si="1"/>
        <v>bnco1055@signalschool.ac.th</v>
      </c>
      <c r="O56" s="12">
        <f t="shared" si="2"/>
        <v>1</v>
      </c>
      <c r="R56" s="6" t="s">
        <v>269</v>
      </c>
    </row>
    <row r="57">
      <c r="A57" s="8">
        <f>'1.9'!A:A</f>
        <v>46266.6831</v>
      </c>
      <c r="B57" s="1" t="str">
        <f>'1.9'!B:B</f>
        <v>bnco1053@signalschool.ac.th</v>
      </c>
      <c r="C57" s="1" t="str">
        <f>'1.9'!C:C</f>
        <v>พ.ต.หญิงพิมพ์ชนก  จิรัฏฐิติกาล</v>
      </c>
      <c r="D57" s="9">
        <v>1.0</v>
      </c>
      <c r="E57" s="10">
        <f>IFERROR(vlookup('1.9'!D:D,lookup!$A$2:$B$4,2,false),0)</f>
        <v>5</v>
      </c>
      <c r="F57" s="10">
        <f>IFERROR(vlookup('1.9'!E:E,lookup!$A$6:$B$8,2,false),0)</f>
        <v>5</v>
      </c>
      <c r="G57" s="10">
        <f>IFERROR(vlookup('1.9'!F:F,lookup!$A$10:$B$12,2,false),0)</f>
        <v>5</v>
      </c>
      <c r="H57" s="10">
        <f>IFERROR(vlookup('1.9'!G:G,lookup!$A$14:$B$16,2,false),0)</f>
        <v>5</v>
      </c>
      <c r="I57" s="10">
        <f>IFERROR(vlookup('1.9'!H:H,lookup!$A$18:$B$20,2,false),0)</f>
        <v>5</v>
      </c>
      <c r="J57" s="10">
        <f>IFERROR(vlookup('1.9'!I:I,lookup!$A$22:$B$24,2,false),0)</f>
        <v>5</v>
      </c>
      <c r="K57" s="10">
        <f>IFERROR(vlookup('1.9'!J:J,lookup!$A$26:$B$28,2,false),0)</f>
        <v>5</v>
      </c>
      <c r="L57" s="13"/>
      <c r="M57" s="10">
        <v>56.0</v>
      </c>
      <c r="N57" s="11" t="str">
        <f t="shared" si="1"/>
        <v>bnco1056@signalschool.ac.th</v>
      </c>
      <c r="O57" s="12">
        <f t="shared" si="2"/>
        <v>1</v>
      </c>
      <c r="R57" s="6" t="s">
        <v>270</v>
      </c>
    </row>
    <row r="58">
      <c r="A58" s="8">
        <f>'1.9'!A:A</f>
        <v>46266.68763</v>
      </c>
      <c r="B58" s="1" t="str">
        <f>'1.9'!B:B</f>
        <v>bnco1047@signalschool.ac.th</v>
      </c>
      <c r="C58" s="1" t="str">
        <f>'1.9'!C:C</f>
        <v>พ.ต.หญิงพิมพ์ชนก จิรัฏฐิติกาล </v>
      </c>
      <c r="D58" s="9">
        <v>1.0</v>
      </c>
      <c r="E58" s="10">
        <f>IFERROR(vlookup('1.9'!D:D,lookup!$A$2:$B$4,2,false),0)</f>
        <v>5</v>
      </c>
      <c r="F58" s="10">
        <f>IFERROR(vlookup('1.9'!E:E,lookup!$A$6:$B$8,2,false),0)</f>
        <v>5</v>
      </c>
      <c r="G58" s="10">
        <f>IFERROR(vlookup('1.9'!F:F,lookup!$A$10:$B$12,2,false),0)</f>
        <v>5</v>
      </c>
      <c r="H58" s="10">
        <f>IFERROR(vlookup('1.9'!G:G,lookup!$A$14:$B$16,2,false),0)</f>
        <v>5</v>
      </c>
      <c r="I58" s="10">
        <f>IFERROR(vlookup('1.9'!H:H,lookup!$A$18:$B$20,2,false),0)</f>
        <v>5</v>
      </c>
      <c r="J58" s="10">
        <f>IFERROR(vlookup('1.9'!I:I,lookup!$A$22:$B$24,2,false),0)</f>
        <v>5</v>
      </c>
      <c r="K58" s="10">
        <f>IFERROR(vlookup('1.9'!J:J,lookup!$A$26:$B$28,2,false),0)</f>
        <v>5</v>
      </c>
      <c r="L58" s="13"/>
      <c r="M58" s="10">
        <v>57.0</v>
      </c>
      <c r="N58" s="11" t="str">
        <f t="shared" si="1"/>
        <v>bnco1057@signalschool.ac.th</v>
      </c>
      <c r="O58" s="12">
        <f t="shared" si="2"/>
        <v>1</v>
      </c>
      <c r="R58" s="6" t="s">
        <v>271</v>
      </c>
    </row>
    <row r="59">
      <c r="A59" s="8">
        <f>'1.9'!A:A</f>
        <v>46266.70023</v>
      </c>
      <c r="B59" s="1" t="str">
        <f>'1.9'!B:B</f>
        <v>bnco1055@signalschool.ac.th</v>
      </c>
      <c r="C59" s="1" t="str">
        <f>'1.9'!C:C</f>
        <v>พ.ต.หญิงพิมพ์ชนก จิรัฏฐิติการ ร.อ.ธัญญพัทธ์ ตรีศักดิ์ศรี</v>
      </c>
      <c r="D59" s="9">
        <v>1.0</v>
      </c>
      <c r="E59" s="10">
        <f>IFERROR(vlookup('1.9'!D:D,lookup!$A$2:$B$4,2,false),0)</f>
        <v>5</v>
      </c>
      <c r="F59" s="10">
        <f>IFERROR(vlookup('1.9'!E:E,lookup!$A$6:$B$8,2,false),0)</f>
        <v>5</v>
      </c>
      <c r="G59" s="10">
        <f>IFERROR(vlookup('1.9'!F:F,lookup!$A$10:$B$12,2,false),0)</f>
        <v>5</v>
      </c>
      <c r="H59" s="10">
        <f>IFERROR(vlookup('1.9'!G:G,lookup!$A$14:$B$16,2,false),0)</f>
        <v>5</v>
      </c>
      <c r="I59" s="10">
        <f>IFERROR(vlookup('1.9'!H:H,lookup!$A$18:$B$20,2,false),0)</f>
        <v>5</v>
      </c>
      <c r="J59" s="10">
        <f>IFERROR(vlookup('1.9'!I:I,lookup!$A$22:$B$24,2,false),0)</f>
        <v>5</v>
      </c>
      <c r="K59" s="10">
        <f>IFERROR(vlookup('1.9'!J:J,lookup!$A$26:$B$28,2,false),0)</f>
        <v>5</v>
      </c>
      <c r="L59" s="14"/>
      <c r="M59" s="10">
        <v>58.0</v>
      </c>
      <c r="N59" s="11" t="str">
        <f t="shared" si="1"/>
        <v>bnco1058@signalschool.ac.th</v>
      </c>
      <c r="O59" s="12">
        <f t="shared" si="2"/>
        <v>1</v>
      </c>
      <c r="R59" s="6" t="s">
        <v>272</v>
      </c>
    </row>
    <row r="60">
      <c r="A60" s="8">
        <f>'1.9'!A:A</f>
        <v>46266.82142</v>
      </c>
      <c r="B60" s="1" t="str">
        <f>'1.9'!B:B</f>
        <v>bnco1017@signalschool.ac.th</v>
      </c>
      <c r="C60" s="1" t="str">
        <f>'1.9'!C:C</f>
        <v>พ.ต.หญิงพิมพ์ชนก จิรัฏฐิติกาล</v>
      </c>
      <c r="D60" s="9">
        <v>1.0</v>
      </c>
      <c r="E60" s="10">
        <f>IFERROR(vlookup('1.9'!D:D,lookup!$A$2:$B$4,2,false),0)</f>
        <v>5</v>
      </c>
      <c r="F60" s="10">
        <f>IFERROR(vlookup('1.9'!E:E,lookup!$A$6:$B$8,2,false),0)</f>
        <v>5</v>
      </c>
      <c r="G60" s="10">
        <f>IFERROR(vlookup('1.9'!F:F,lookup!$A$10:$B$12,2,false),0)</f>
        <v>5</v>
      </c>
      <c r="H60" s="10">
        <f>IFERROR(vlookup('1.9'!G:G,lookup!$A$14:$B$16,2,false),0)</f>
        <v>5</v>
      </c>
      <c r="I60" s="10">
        <f>IFERROR(vlookup('1.9'!H:H,lookup!$A$18:$B$20,2,false),0)</f>
        <v>5</v>
      </c>
      <c r="J60" s="10">
        <f>IFERROR(vlookup('1.9'!I:I,lookup!$A$22:$B$24,2,false),0)</f>
        <v>5</v>
      </c>
      <c r="K60" s="10">
        <f>IFERROR(vlookup('1.9'!J:J,lookup!$A$26:$B$28,2,false),0)</f>
        <v>5</v>
      </c>
      <c r="L60" s="10"/>
      <c r="M60" s="10">
        <v>59.0</v>
      </c>
      <c r="N60" s="11" t="str">
        <f t="shared" si="1"/>
        <v>bnco1059@signalschool.ac.th</v>
      </c>
      <c r="O60" s="12">
        <f t="shared" si="2"/>
        <v>1</v>
      </c>
      <c r="R60" s="6" t="s">
        <v>273</v>
      </c>
    </row>
    <row r="61">
      <c r="A61" s="8">
        <f>'1.9'!A:A</f>
        <v>46267.31038</v>
      </c>
      <c r="B61" s="1" t="str">
        <f>'1.9'!B:B</f>
        <v>bnco1016@signalschool.ac.th</v>
      </c>
      <c r="C61" s="1" t="str">
        <f>'1.9'!C:C</f>
        <v>พ.ต.หญิงพิมพ์ชนก จิรัฏธิติกาล</v>
      </c>
      <c r="D61" s="9">
        <v>1.0</v>
      </c>
      <c r="E61" s="10">
        <f>IFERROR(vlookup('1.9'!D:D,lookup!$A$2:$B$4,2,false),0)</f>
        <v>3</v>
      </c>
      <c r="F61" s="10">
        <f>IFERROR(vlookup('1.9'!E:E,lookup!$A$6:$B$8,2,false),0)</f>
        <v>5</v>
      </c>
      <c r="G61" s="10">
        <f>IFERROR(vlookup('1.9'!F:F,lookup!$A$10:$B$12,2,false),0)</f>
        <v>5</v>
      </c>
      <c r="H61" s="10">
        <f>IFERROR(vlookup('1.9'!G:G,lookup!$A$14:$B$16,2,false),0)</f>
        <v>5</v>
      </c>
      <c r="I61" s="10">
        <f>IFERROR(vlookup('1.9'!H:H,lookup!$A$18:$B$20,2,false),0)</f>
        <v>3</v>
      </c>
      <c r="J61" s="10">
        <f>IFERROR(vlookup('1.9'!I:I,lookup!$A$22:$B$24,2,false),0)</f>
        <v>5</v>
      </c>
      <c r="K61" s="10">
        <f>IFERROR(vlookup('1.9'!J:J,lookup!$A$26:$B$28,2,false),0)</f>
        <v>5</v>
      </c>
      <c r="M61" s="10">
        <v>60.0</v>
      </c>
      <c r="N61" s="11" t="str">
        <f t="shared" si="1"/>
        <v>bnco1060@signalschool.ac.th</v>
      </c>
      <c r="O61" s="12">
        <f t="shared" si="2"/>
        <v>1</v>
      </c>
      <c r="R61" s="6" t="s">
        <v>274</v>
      </c>
    </row>
    <row r="62">
      <c r="A62" s="8">
        <f>'1.9'!A:A</f>
        <v>46267.31146</v>
      </c>
      <c r="B62" s="1" t="str">
        <f>'1.9'!B:B</f>
        <v>bnco1019@signalschool.ac.th</v>
      </c>
      <c r="C62" s="1" t="str">
        <f>'1.9'!C:C</f>
        <v>พ.ต.หญิง พิมพ์ชนก  จิรัฏฐิติกาล</v>
      </c>
      <c r="D62" s="9">
        <v>1.0</v>
      </c>
      <c r="E62" s="10">
        <f>IFERROR(vlookup('1.9'!D:D,lookup!$A$2:$B$4,2,false),0)</f>
        <v>3</v>
      </c>
      <c r="F62" s="10">
        <f>IFERROR(vlookup('1.9'!E:E,lookup!$A$6:$B$8,2,false),0)</f>
        <v>5</v>
      </c>
      <c r="G62" s="10">
        <f>IFERROR(vlookup('1.9'!F:F,lookup!$A$10:$B$12,2,false),0)</f>
        <v>5</v>
      </c>
      <c r="H62" s="10">
        <f>IFERROR(vlookup('1.9'!G:G,lookup!$A$14:$B$16,2,false),0)</f>
        <v>5</v>
      </c>
      <c r="I62" s="10">
        <f>IFERROR(vlookup('1.9'!H:H,lookup!$A$18:$B$20,2,false),0)</f>
        <v>5</v>
      </c>
      <c r="J62" s="10">
        <f>IFERROR(vlookup('1.9'!I:I,lookup!$A$22:$B$24,2,false),0)</f>
        <v>3</v>
      </c>
      <c r="K62" s="10">
        <f>IFERROR(vlookup('1.9'!J:J,lookup!$A$26:$B$28,2,false),0)</f>
        <v>3</v>
      </c>
      <c r="M62" s="10">
        <v>61.0</v>
      </c>
      <c r="N62" s="11" t="str">
        <f t="shared" si="1"/>
        <v>bnco1061@signalschool.ac.th</v>
      </c>
      <c r="O62" s="12">
        <f t="shared" si="2"/>
        <v>1</v>
      </c>
      <c r="R62" s="6" t="s">
        <v>275</v>
      </c>
    </row>
    <row r="63">
      <c r="A63" s="8">
        <f>'1.9'!A:A</f>
        <v>46267.56621</v>
      </c>
      <c r="B63" s="1" t="str">
        <f>'1.9'!B:B</f>
        <v>bnco1034@signalschool.ac.th</v>
      </c>
      <c r="C63" s="1" t="str">
        <f>'1.9'!C:C</f>
        <v>พ.ต.หญิงพิมพ์ชนก จิรัฏฐิติกาล</v>
      </c>
      <c r="D63" s="9">
        <v>1.0</v>
      </c>
      <c r="E63" s="10">
        <f>IFERROR(vlookup('1.9'!D:D,lookup!$A$2:$B$4,2,false),0)</f>
        <v>5</v>
      </c>
      <c r="F63" s="10">
        <f>IFERROR(vlookup('1.9'!E:E,lookup!$A$6:$B$8,2,false),0)</f>
        <v>5</v>
      </c>
      <c r="G63" s="10">
        <f>IFERROR(vlookup('1.9'!F:F,lookup!$A$10:$B$12,2,false),0)</f>
        <v>5</v>
      </c>
      <c r="H63" s="10">
        <f>IFERROR(vlookup('1.9'!G:G,lookup!$A$14:$B$16,2,false),0)</f>
        <v>5</v>
      </c>
      <c r="I63" s="10">
        <f>IFERROR(vlookup('1.9'!H:H,lookup!$A$18:$B$20,2,false),0)</f>
        <v>5</v>
      </c>
      <c r="J63" s="10">
        <f>IFERROR(vlookup('1.9'!I:I,lookup!$A$22:$B$24,2,false),0)</f>
        <v>5</v>
      </c>
      <c r="K63" s="10">
        <f>IFERROR(vlookup('1.9'!J:J,lookup!$A$26:$B$28,2,false),0)</f>
        <v>5</v>
      </c>
      <c r="M63" s="10">
        <v>62.0</v>
      </c>
      <c r="N63" s="11" t="str">
        <f t="shared" si="1"/>
        <v>bnco1062@signalschool.ac.th</v>
      </c>
      <c r="O63" s="12">
        <f t="shared" si="2"/>
        <v>1</v>
      </c>
      <c r="R63" s="6" t="s">
        <v>276</v>
      </c>
    </row>
    <row r="64">
      <c r="A64" s="8">
        <f>'1.9'!A:A</f>
        <v>46267.61009</v>
      </c>
      <c r="B64" s="1" t="str">
        <f>'1.9'!B:B</f>
        <v>bnco1043@signalschool.ac.th</v>
      </c>
      <c r="C64" s="1" t="str">
        <f>'1.9'!C:C</f>
        <v>พ.ต.หญิง พิมพ์ชนก จิรัฏฐิติกาล ร.อ.ธัญญพัทธ์ ตรีศักดิ์ศรี</v>
      </c>
      <c r="D64" s="9">
        <v>1.0</v>
      </c>
      <c r="E64" s="10">
        <f>IFERROR(vlookup('1.9'!D:D,lookup!$A$2:$B$4,2,false),0)</f>
        <v>5</v>
      </c>
      <c r="F64" s="10">
        <f>IFERROR(vlookup('1.9'!E:E,lookup!$A$6:$B$8,2,false),0)</f>
        <v>5</v>
      </c>
      <c r="G64" s="10">
        <f>IFERROR(vlookup('1.9'!F:F,lookup!$A$10:$B$12,2,false),0)</f>
        <v>5</v>
      </c>
      <c r="H64" s="10">
        <f>IFERROR(vlookup('1.9'!G:G,lookup!$A$14:$B$16,2,false),0)</f>
        <v>5</v>
      </c>
      <c r="I64" s="10">
        <f>IFERROR(vlookup('1.9'!H:H,lookup!$A$18:$B$20,2,false),0)</f>
        <v>5</v>
      </c>
      <c r="J64" s="10">
        <f>IFERROR(vlookup('1.9'!I:I,lookup!$A$22:$B$24,2,false),0)</f>
        <v>5</v>
      </c>
      <c r="K64" s="10">
        <f>IFERROR(vlookup('1.9'!J:J,lookup!$A$26:$B$28,2,false),0)</f>
        <v>5</v>
      </c>
      <c r="M64" s="10">
        <v>63.0</v>
      </c>
      <c r="N64" s="11" t="str">
        <f t="shared" si="1"/>
        <v>bnco1063@signalschool.ac.th</v>
      </c>
      <c r="O64" s="12">
        <f t="shared" si="2"/>
        <v>1</v>
      </c>
      <c r="R64" s="6" t="s">
        <v>277</v>
      </c>
    </row>
    <row r="65">
      <c r="A65" s="8">
        <f>'1.9'!A:A</f>
        <v>46267.61019</v>
      </c>
      <c r="B65" s="1" t="str">
        <f>'1.9'!B:B</f>
        <v>bnco1001@signalschool.ac.th</v>
      </c>
      <c r="C65" s="1" t="str">
        <f>'1.9'!C:C</f>
        <v>ครู/อาจารย์</v>
      </c>
      <c r="D65" s="9">
        <v>1.0</v>
      </c>
      <c r="E65" s="10">
        <f>IFERROR(vlookup('1.9'!D:D,lookup!$A$2:$B$4,2,false),0)</f>
        <v>5</v>
      </c>
      <c r="F65" s="10">
        <f>IFERROR(vlookup('1.9'!E:E,lookup!$A$6:$B$8,2,false),0)</f>
        <v>5</v>
      </c>
      <c r="G65" s="10">
        <f>IFERROR(vlookup('1.9'!F:F,lookup!$A$10:$B$12,2,false),0)</f>
        <v>5</v>
      </c>
      <c r="H65" s="10">
        <f>IFERROR(vlookup('1.9'!G:G,lookup!$A$14:$B$16,2,false),0)</f>
        <v>5</v>
      </c>
      <c r="I65" s="10">
        <f>IFERROR(vlookup('1.9'!H:H,lookup!$A$18:$B$20,2,false),0)</f>
        <v>5</v>
      </c>
      <c r="J65" s="10">
        <f>IFERROR(vlookup('1.9'!I:I,lookup!$A$22:$B$24,2,false),0)</f>
        <v>5</v>
      </c>
      <c r="K65" s="10">
        <f>IFERROR(vlookup('1.9'!J:J,lookup!$A$26:$B$28,2,false),0)</f>
        <v>5</v>
      </c>
      <c r="M65" s="10">
        <v>64.0</v>
      </c>
      <c r="N65" s="11" t="str">
        <f t="shared" si="1"/>
        <v>bnco1064@signalschool.ac.th</v>
      </c>
      <c r="O65" s="12">
        <f t="shared" si="2"/>
        <v>1</v>
      </c>
      <c r="R65" s="6" t="s">
        <v>278</v>
      </c>
    </row>
    <row r="66">
      <c r="A66" s="8">
        <f>'1.9'!A:A</f>
        <v>46267.67889</v>
      </c>
      <c r="B66" s="1" t="str">
        <f>'1.9'!B:B</f>
        <v>bnco1011@signalschool.ac.th</v>
      </c>
      <c r="C66" s="1" t="str">
        <f>'1.9'!C:C</f>
        <v>พ.ต.หญิง.พิมพ์ชนก จิรัฏฐิติกาล</v>
      </c>
      <c r="D66" s="9">
        <v>1.0</v>
      </c>
      <c r="E66" s="10">
        <f>IFERROR(vlookup('1.9'!D:D,lookup!$A$2:$B$4,2,false),0)</f>
        <v>5</v>
      </c>
      <c r="F66" s="10">
        <f>IFERROR(vlookup('1.9'!E:E,lookup!$A$6:$B$8,2,false),0)</f>
        <v>5</v>
      </c>
      <c r="G66" s="10">
        <f>IFERROR(vlookup('1.9'!F:F,lookup!$A$10:$B$12,2,false),0)</f>
        <v>5</v>
      </c>
      <c r="H66" s="10">
        <f>IFERROR(vlookup('1.9'!G:G,lookup!$A$14:$B$16,2,false),0)</f>
        <v>5</v>
      </c>
      <c r="I66" s="10">
        <f>IFERROR(vlookup('1.9'!H:H,lookup!$A$18:$B$20,2,false),0)</f>
        <v>5</v>
      </c>
      <c r="J66" s="10">
        <f>IFERROR(vlookup('1.9'!I:I,lookup!$A$22:$B$24,2,false),0)</f>
        <v>5</v>
      </c>
      <c r="K66" s="10">
        <f>IFERROR(vlookup('1.9'!J:J,lookup!$A$26:$B$28,2,false),0)</f>
        <v>5</v>
      </c>
      <c r="M66" s="10">
        <v>65.0</v>
      </c>
      <c r="N66" s="11" t="str">
        <f t="shared" si="1"/>
        <v>bnco1065@signalschool.ac.th</v>
      </c>
      <c r="O66" s="12">
        <f t="shared" si="2"/>
        <v>0</v>
      </c>
      <c r="R66" s="6" t="s">
        <v>279</v>
      </c>
    </row>
    <row r="67">
      <c r="A67" s="8">
        <f>'1.9'!A:A</f>
        <v>46267.85264</v>
      </c>
      <c r="B67" s="1" t="str">
        <f>'1.9'!B:B</f>
        <v>bnco1026@signalschool.ac.th</v>
      </c>
      <c r="C67" s="1" t="str">
        <f>'1.9'!C:C</f>
        <v>อาจารย์ผู้สอน</v>
      </c>
      <c r="D67" s="9">
        <v>1.0</v>
      </c>
      <c r="E67" s="10">
        <f>IFERROR(vlookup('1.9'!D:D,lookup!$A$2:$B$4,2,false),0)</f>
        <v>5</v>
      </c>
      <c r="F67" s="10">
        <f>IFERROR(vlookup('1.9'!E:E,lookup!$A$6:$B$8,2,false),0)</f>
        <v>5</v>
      </c>
      <c r="G67" s="10">
        <f>IFERROR(vlookup('1.9'!F:F,lookup!$A$10:$B$12,2,false),0)</f>
        <v>5</v>
      </c>
      <c r="H67" s="10">
        <f>IFERROR(vlookup('1.9'!G:G,lookup!$A$14:$B$16,2,false),0)</f>
        <v>5</v>
      </c>
      <c r="I67" s="10">
        <f>IFERROR(vlookup('1.9'!H:H,lookup!$A$18:$B$20,2,false),0)</f>
        <v>5</v>
      </c>
      <c r="J67" s="10">
        <f>IFERROR(vlookup('1.9'!I:I,lookup!$A$22:$B$24,2,false),0)</f>
        <v>5</v>
      </c>
      <c r="K67" s="10">
        <f>IFERROR(vlookup('1.9'!J:J,lookup!$A$26:$B$28,2,false),0)</f>
        <v>5</v>
      </c>
      <c r="M67" s="10">
        <v>66.0</v>
      </c>
      <c r="N67" s="11" t="str">
        <f t="shared" si="1"/>
        <v>bnco1066@signalschool.ac.th</v>
      </c>
      <c r="O67" s="12">
        <f t="shared" si="2"/>
        <v>1</v>
      </c>
      <c r="R67" s="6" t="s">
        <v>280</v>
      </c>
    </row>
    <row r="68">
      <c r="A68" s="8">
        <f>'1.9'!A:A</f>
        <v>46268.34612</v>
      </c>
      <c r="B68" s="1" t="str">
        <f>'1.9'!B:B</f>
        <v>bnco1040@signalschool.ac.th</v>
      </c>
      <c r="C68" s="1" t="str">
        <f>'1.9'!C:C</f>
        <v>พ.ต.หญิงพิมพ์ชนก จิรัฏฐิติกาล</v>
      </c>
      <c r="D68" s="9">
        <v>1.0</v>
      </c>
      <c r="E68" s="10">
        <f>IFERROR(vlookup('1.9'!D:D,lookup!$A$2:$B$4,2,false),0)</f>
        <v>5</v>
      </c>
      <c r="F68" s="10">
        <f>IFERROR(vlookup('1.9'!E:E,lookup!$A$6:$B$8,2,false),0)</f>
        <v>5</v>
      </c>
      <c r="G68" s="10">
        <f>IFERROR(vlookup('1.9'!F:F,lookup!$A$10:$B$12,2,false),0)</f>
        <v>5</v>
      </c>
      <c r="H68" s="10">
        <f>IFERROR(vlookup('1.9'!G:G,lookup!$A$14:$B$16,2,false),0)</f>
        <v>5</v>
      </c>
      <c r="I68" s="10">
        <f>IFERROR(vlookup('1.9'!H:H,lookup!$A$18:$B$20,2,false),0)</f>
        <v>5</v>
      </c>
      <c r="J68" s="10">
        <f>IFERROR(vlookup('1.9'!I:I,lookup!$A$22:$B$24,2,false),0)</f>
        <v>5</v>
      </c>
      <c r="K68" s="10">
        <f>IFERROR(vlookup('1.9'!J:J,lookup!$A$26:$B$28,2,false),0)</f>
        <v>5</v>
      </c>
      <c r="M68" s="10">
        <v>67.0</v>
      </c>
      <c r="N68" s="11" t="str">
        <f t="shared" si="1"/>
        <v>bnco1067@signalschool.ac.th</v>
      </c>
      <c r="O68" s="12">
        <f t="shared" si="2"/>
        <v>1</v>
      </c>
      <c r="R68" s="6" t="s">
        <v>281</v>
      </c>
    </row>
    <row r="69">
      <c r="A69" s="8" t="str">
        <f>'1.9'!A:A</f>
        <v/>
      </c>
      <c r="B69" s="1" t="str">
        <f>'1.9'!B:B</f>
        <v/>
      </c>
      <c r="C69" s="1" t="str">
        <f>'1.9'!C:C</f>
        <v/>
      </c>
      <c r="D69" s="9">
        <v>1.0</v>
      </c>
      <c r="E69" s="10">
        <f>IFERROR(vlookup('1.9'!D:D,lookup!$A$2:$B$4,2,false),0)</f>
        <v>0</v>
      </c>
      <c r="F69" s="10">
        <f>IFERROR(vlookup('1.9'!E:E,lookup!$A$6:$B$8,2,false),0)</f>
        <v>0</v>
      </c>
      <c r="G69" s="10">
        <f>IFERROR(vlookup('1.9'!F:F,lookup!$A$10:$B$12,2,false),0)</f>
        <v>0</v>
      </c>
      <c r="H69" s="10">
        <f>IFERROR(vlookup('1.9'!G:G,lookup!$A$14:$B$16,2,false),0)</f>
        <v>0</v>
      </c>
      <c r="I69" s="10">
        <f>IFERROR(vlookup('1.9'!H:H,lookup!$A$18:$B$20,2,false),0)</f>
        <v>0</v>
      </c>
      <c r="J69" s="10">
        <f>IFERROR(vlookup('1.9'!I:I,lookup!$A$22:$B$24,2,false),0)</f>
        <v>0</v>
      </c>
      <c r="K69" s="10">
        <f>IFERROR(vlookup('1.9'!J:J,lookup!$A$26:$B$28,2,false),0)</f>
        <v>0</v>
      </c>
      <c r="M69" s="10">
        <v>68.0</v>
      </c>
      <c r="N69" s="11" t="str">
        <f t="shared" si="1"/>
        <v>bnco1068@signalschool.ac.th</v>
      </c>
      <c r="O69" s="12">
        <f t="shared" si="2"/>
        <v>1</v>
      </c>
      <c r="R69" s="6" t="s">
        <v>282</v>
      </c>
    </row>
    <row r="70">
      <c r="A70" s="8" t="str">
        <f>'1.9'!A:A</f>
        <v/>
      </c>
      <c r="B70" s="1" t="str">
        <f>'1.9'!B:B</f>
        <v/>
      </c>
      <c r="C70" s="1" t="str">
        <f>'1.9'!C:C</f>
        <v/>
      </c>
      <c r="D70" s="9">
        <v>1.0</v>
      </c>
      <c r="E70" s="10">
        <f>IFERROR(vlookup('1.9'!D:D,lookup!$A$2:$B$4,2,false),0)</f>
        <v>0</v>
      </c>
      <c r="F70" s="10">
        <f>IFERROR(vlookup('1.9'!E:E,lookup!$A$6:$B$8,2,false),0)</f>
        <v>0</v>
      </c>
      <c r="G70" s="10">
        <f>IFERROR(vlookup('1.9'!F:F,lookup!$A$10:$B$12,2,false),0)</f>
        <v>0</v>
      </c>
      <c r="H70" s="10">
        <f>IFERROR(vlookup('1.9'!G:G,lookup!$A$14:$B$16,2,false),0)</f>
        <v>0</v>
      </c>
      <c r="I70" s="10">
        <f>IFERROR(vlookup('1.9'!H:H,lookup!$A$18:$B$20,2,false),0)</f>
        <v>0</v>
      </c>
      <c r="J70" s="10">
        <f>IFERROR(vlookup('1.9'!I:I,lookup!$A$22:$B$24,2,false),0)</f>
        <v>0</v>
      </c>
      <c r="K70" s="10">
        <f>IFERROR(vlookup('1.9'!J:J,lookup!$A$26:$B$28,2,false),0)</f>
        <v>0</v>
      </c>
      <c r="M70" s="10">
        <v>69.0</v>
      </c>
      <c r="N70" s="11" t="str">
        <f t="shared" si="1"/>
        <v>bnco1069@signalschool.ac.th</v>
      </c>
      <c r="O70" s="12">
        <f t="shared" si="2"/>
        <v>1</v>
      </c>
      <c r="R70" s="6" t="s">
        <v>283</v>
      </c>
    </row>
    <row r="71">
      <c r="A71" s="8" t="str">
        <f>'1.9'!A:A</f>
        <v/>
      </c>
      <c r="B71" s="1" t="str">
        <f>'1.9'!B:B</f>
        <v/>
      </c>
      <c r="C71" s="1" t="str">
        <f>'1.9'!C:C</f>
        <v/>
      </c>
      <c r="D71" s="9">
        <v>1.0</v>
      </c>
      <c r="E71" s="10">
        <f>IFERROR(vlookup('1.9'!D:D,lookup!$A$2:$B$4,2,false),0)</f>
        <v>0</v>
      </c>
      <c r="F71" s="10">
        <f>IFERROR(vlookup('1.9'!E:E,lookup!$A$6:$B$8,2,false),0)</f>
        <v>0</v>
      </c>
      <c r="G71" s="10">
        <f>IFERROR(vlookup('1.9'!F:F,lookup!$A$10:$B$12,2,false),0)</f>
        <v>0</v>
      </c>
      <c r="H71" s="10">
        <f>IFERROR(vlookup('1.9'!G:G,lookup!$A$14:$B$16,2,false),0)</f>
        <v>0</v>
      </c>
      <c r="I71" s="10">
        <f>IFERROR(vlookup('1.9'!H:H,lookup!$A$18:$B$20,2,false),0)</f>
        <v>0</v>
      </c>
      <c r="J71" s="10">
        <f>IFERROR(vlookup('1.9'!I:I,lookup!$A$22:$B$24,2,false),0)</f>
        <v>0</v>
      </c>
      <c r="K71" s="10">
        <f>IFERROR(vlookup('1.9'!J:J,lookup!$A$26:$B$28,2,false),0)</f>
        <v>0</v>
      </c>
      <c r="M71" s="10">
        <v>70.0</v>
      </c>
      <c r="N71" s="11" t="str">
        <f t="shared" si="1"/>
        <v>bnco1070@signalschool.ac.th</v>
      </c>
      <c r="O71" s="12">
        <f t="shared" si="2"/>
        <v>1</v>
      </c>
      <c r="R71" s="6" t="s">
        <v>284</v>
      </c>
    </row>
    <row r="72">
      <c r="A72" s="8" t="str">
        <f>'1.9'!A:A</f>
        <v/>
      </c>
      <c r="B72" s="1" t="str">
        <f>'1.9'!B:B</f>
        <v/>
      </c>
      <c r="C72" s="1" t="str">
        <f>'1.9'!C:C</f>
        <v/>
      </c>
      <c r="D72" s="9">
        <v>1.0</v>
      </c>
      <c r="E72" s="10">
        <f>IFERROR(vlookup('1.9'!D:D,lookup!$A$2:$B$4,2,false),0)</f>
        <v>0</v>
      </c>
      <c r="F72" s="10">
        <f>IFERROR(vlookup('1.9'!E:E,lookup!$A$6:$B$8,2,false),0)</f>
        <v>0</v>
      </c>
      <c r="G72" s="10">
        <f>IFERROR(vlookup('1.9'!F:F,lookup!$A$10:$B$12,2,false),0)</f>
        <v>0</v>
      </c>
      <c r="H72" s="10">
        <f>IFERROR(vlookup('1.9'!G:G,lookup!$A$14:$B$16,2,false),0)</f>
        <v>0</v>
      </c>
      <c r="I72" s="10">
        <f>IFERROR(vlookup('1.9'!H:H,lookup!$A$18:$B$20,2,false),0)</f>
        <v>0</v>
      </c>
      <c r="J72" s="10">
        <f>IFERROR(vlookup('1.9'!I:I,lookup!$A$22:$B$24,2,false),0)</f>
        <v>0</v>
      </c>
      <c r="K72" s="10">
        <f>IFERROR(vlookup('1.9'!J:J,lookup!$A$26:$B$28,2,false),0)</f>
        <v>0</v>
      </c>
      <c r="M72" s="10">
        <v>71.0</v>
      </c>
      <c r="N72" s="11" t="str">
        <f t="shared" si="1"/>
        <v>bnco1071@signalschool.ac.th</v>
      </c>
      <c r="O72" s="12">
        <f t="shared" si="2"/>
        <v>1</v>
      </c>
      <c r="R72" s="6" t="s">
        <v>285</v>
      </c>
    </row>
    <row r="73">
      <c r="A73" s="8" t="str">
        <f>'1.9'!A:A</f>
        <v/>
      </c>
      <c r="B73" s="1" t="str">
        <f>'1.9'!B:B</f>
        <v/>
      </c>
      <c r="C73" s="1" t="str">
        <f>'1.9'!C:C</f>
        <v/>
      </c>
      <c r="D73" s="9">
        <v>1.0</v>
      </c>
      <c r="E73" s="10">
        <f>IFERROR(vlookup('1.9'!D:D,lookup!$A$2:$B$4,2,false),0)</f>
        <v>0</v>
      </c>
      <c r="F73" s="10">
        <f>IFERROR(vlookup('1.9'!E:E,lookup!$A$6:$B$8,2,false),0)</f>
        <v>0</v>
      </c>
      <c r="G73" s="10">
        <f>IFERROR(vlookup('1.9'!F:F,lookup!$A$10:$B$12,2,false),0)</f>
        <v>0</v>
      </c>
      <c r="H73" s="10">
        <f>IFERROR(vlookup('1.9'!G:G,lookup!$A$14:$B$16,2,false),0)</f>
        <v>0</v>
      </c>
      <c r="I73" s="10">
        <f>IFERROR(vlookup('1.9'!H:H,lookup!$A$18:$B$20,2,false),0)</f>
        <v>0</v>
      </c>
      <c r="J73" s="10">
        <f>IFERROR(vlookup('1.9'!I:I,lookup!$A$22:$B$24,2,false),0)</f>
        <v>0</v>
      </c>
      <c r="K73" s="10">
        <f>IFERROR(vlookup('1.9'!J:J,lookup!$A$26:$B$28,2,false),0)</f>
        <v>0</v>
      </c>
      <c r="M73" s="10">
        <v>72.0</v>
      </c>
      <c r="N73" s="11" t="str">
        <f t="shared" si="1"/>
        <v>bnco1072@signalschool.ac.th</v>
      </c>
      <c r="O73" s="12">
        <f t="shared" si="2"/>
        <v>1</v>
      </c>
      <c r="R73" s="6" t="s">
        <v>286</v>
      </c>
    </row>
    <row r="74">
      <c r="A74" s="8" t="str">
        <f>'1.9'!A:A</f>
        <v/>
      </c>
      <c r="B74" s="1" t="str">
        <f>'1.9'!B:B</f>
        <v/>
      </c>
      <c r="C74" s="1" t="str">
        <f>'1.9'!C:C</f>
        <v/>
      </c>
      <c r="D74" s="9">
        <v>1.0</v>
      </c>
      <c r="E74" s="10">
        <f>IFERROR(vlookup('1.9'!D:D,lookup!$A$2:$B$4,2,false),0)</f>
        <v>0</v>
      </c>
      <c r="F74" s="10">
        <f>IFERROR(vlookup('1.9'!E:E,lookup!$A$6:$B$8,2,false),0)</f>
        <v>0</v>
      </c>
      <c r="G74" s="10">
        <f>IFERROR(vlookup('1.9'!F:F,lookup!$A$10:$B$12,2,false),0)</f>
        <v>0</v>
      </c>
      <c r="H74" s="10">
        <f>IFERROR(vlookup('1.9'!G:G,lookup!$A$14:$B$16,2,false),0)</f>
        <v>0</v>
      </c>
      <c r="I74" s="10">
        <f>IFERROR(vlookup('1.9'!H:H,lookup!$A$18:$B$20,2,false),0)</f>
        <v>0</v>
      </c>
      <c r="J74" s="10">
        <f>IFERROR(vlookup('1.9'!I:I,lookup!$A$22:$B$24,2,false),0)</f>
        <v>0</v>
      </c>
      <c r="K74" s="10">
        <f>IFERROR(vlookup('1.9'!J:J,lookup!$A$26:$B$28,2,false),0)</f>
        <v>0</v>
      </c>
      <c r="M74" s="10">
        <v>73.0</v>
      </c>
      <c r="N74" s="11" t="str">
        <f t="shared" si="1"/>
        <v>bnco1073@signalschool.ac.th</v>
      </c>
      <c r="O74" s="12">
        <f t="shared" si="2"/>
        <v>1</v>
      </c>
      <c r="R74" s="6" t="s">
        <v>287</v>
      </c>
    </row>
    <row r="75">
      <c r="A75" s="8" t="str">
        <f>'1.9'!A:A</f>
        <v/>
      </c>
      <c r="B75" s="1" t="str">
        <f>'1.9'!B:B</f>
        <v/>
      </c>
      <c r="C75" s="1" t="str">
        <f>'1.9'!C:C</f>
        <v/>
      </c>
      <c r="D75" s="9">
        <v>1.0</v>
      </c>
      <c r="E75" s="10">
        <f>IFERROR(vlookup('1.9'!D:D,lookup!$A$2:$B$4,2,false),0)</f>
        <v>0</v>
      </c>
      <c r="F75" s="10">
        <f>IFERROR(vlookup('1.9'!E:E,lookup!$A$6:$B$8,2,false),0)</f>
        <v>0</v>
      </c>
      <c r="G75" s="10">
        <f>IFERROR(vlookup('1.9'!F:F,lookup!$A$10:$B$12,2,false),0)</f>
        <v>0</v>
      </c>
      <c r="H75" s="10">
        <f>IFERROR(vlookup('1.9'!G:G,lookup!$A$14:$B$16,2,false),0)</f>
        <v>0</v>
      </c>
      <c r="I75" s="10">
        <f>IFERROR(vlookup('1.9'!H:H,lookup!$A$18:$B$20,2,false),0)</f>
        <v>0</v>
      </c>
      <c r="J75" s="10">
        <f>IFERROR(vlookup('1.9'!I:I,lookup!$A$22:$B$24,2,false),0)</f>
        <v>0</v>
      </c>
      <c r="K75" s="10">
        <f>IFERROR(vlookup('1.9'!J:J,lookup!$A$26:$B$28,2,false),0)</f>
        <v>0</v>
      </c>
      <c r="M75" s="10">
        <v>74.0</v>
      </c>
      <c r="N75" s="11" t="str">
        <f t="shared" si="1"/>
        <v>bnco1074@signalschool.ac.th</v>
      </c>
      <c r="O75" s="12">
        <f t="shared" si="2"/>
        <v>0</v>
      </c>
      <c r="R75" s="6" t="s">
        <v>288</v>
      </c>
    </row>
    <row r="76">
      <c r="A76" s="8" t="str">
        <f>'1.9'!A:A</f>
        <v/>
      </c>
      <c r="B76" s="1" t="str">
        <f>'1.9'!B:B</f>
        <v/>
      </c>
      <c r="C76" s="1" t="str">
        <f>'1.9'!C:C</f>
        <v/>
      </c>
      <c r="D76" s="9">
        <v>1.0</v>
      </c>
      <c r="E76" s="10">
        <f>IFERROR(vlookup('1.9'!D:D,lookup!$A$2:$B$4,2,false),0)</f>
        <v>0</v>
      </c>
      <c r="F76" s="10">
        <f>IFERROR(vlookup('1.9'!E:E,lookup!$A$6:$B$8,2,false),0)</f>
        <v>0</v>
      </c>
      <c r="G76" s="10">
        <f>IFERROR(vlookup('1.9'!F:F,lookup!$A$10:$B$12,2,false),0)</f>
        <v>0</v>
      </c>
      <c r="H76" s="10">
        <f>IFERROR(vlookup('1.9'!G:G,lookup!$A$14:$B$16,2,false),0)</f>
        <v>0</v>
      </c>
      <c r="I76" s="10">
        <f>IFERROR(vlookup('1.9'!H:H,lookup!$A$18:$B$20,2,false),0)</f>
        <v>0</v>
      </c>
      <c r="J76" s="10">
        <f>IFERROR(vlookup('1.9'!I:I,lookup!$A$22:$B$24,2,false),0)</f>
        <v>0</v>
      </c>
      <c r="K76" s="10">
        <f>IFERROR(vlookup('1.9'!J:J,lookup!$A$26:$B$28,2,false),0)</f>
        <v>0</v>
      </c>
      <c r="M76" s="10">
        <v>75.0</v>
      </c>
      <c r="N76" s="11" t="str">
        <f t="shared" si="1"/>
        <v>bnco1075@signalschool.ac.th</v>
      </c>
      <c r="O76" s="12">
        <f t="shared" si="2"/>
        <v>0</v>
      </c>
      <c r="R76" s="6" t="s">
        <v>289</v>
      </c>
    </row>
    <row r="77">
      <c r="A77" s="8" t="str">
        <f>'1.9'!A:A</f>
        <v/>
      </c>
      <c r="B77" s="1" t="str">
        <f>'1.9'!B:B</f>
        <v/>
      </c>
      <c r="C77" s="1" t="str">
        <f>'1.9'!C:C</f>
        <v/>
      </c>
      <c r="D77" s="9">
        <v>1.0</v>
      </c>
      <c r="E77" s="10">
        <f>IFERROR(vlookup('1.9'!D:D,lookup!$A$2:$B$4,2,false),0)</f>
        <v>0</v>
      </c>
      <c r="F77" s="10">
        <f>IFERROR(vlookup('1.9'!E:E,lookup!$A$6:$B$8,2,false),0)</f>
        <v>0</v>
      </c>
      <c r="G77" s="10">
        <f>IFERROR(vlookup('1.9'!F:F,lookup!$A$10:$B$12,2,false),0)</f>
        <v>0</v>
      </c>
      <c r="H77" s="10">
        <f>IFERROR(vlookup('1.9'!G:G,lookup!$A$14:$B$16,2,false),0)</f>
        <v>0</v>
      </c>
      <c r="I77" s="10">
        <f>IFERROR(vlookup('1.9'!H:H,lookup!$A$18:$B$20,2,false),0)</f>
        <v>0</v>
      </c>
      <c r="J77" s="10">
        <f>IFERROR(vlookup('1.9'!I:I,lookup!$A$22:$B$24,2,false),0)</f>
        <v>0</v>
      </c>
      <c r="K77" s="10">
        <f>IFERROR(vlookup('1.9'!J:J,lookup!$A$26:$B$28,2,false),0)</f>
        <v>0</v>
      </c>
      <c r="M77" s="10">
        <v>76.0</v>
      </c>
      <c r="N77" s="11" t="str">
        <f t="shared" si="1"/>
        <v>bnco1076@signalschool.ac.th</v>
      </c>
      <c r="O77" s="12">
        <f t="shared" si="2"/>
        <v>1</v>
      </c>
      <c r="R77" s="6" t="s">
        <v>290</v>
      </c>
    </row>
    <row r="78">
      <c r="A78" s="8" t="str">
        <f>'1.9'!A:A</f>
        <v/>
      </c>
      <c r="B78" s="1" t="str">
        <f>'1.9'!B:B</f>
        <v/>
      </c>
      <c r="C78" s="1" t="str">
        <f>'1.9'!C:C</f>
        <v/>
      </c>
      <c r="D78" s="9">
        <v>1.0</v>
      </c>
      <c r="E78" s="10">
        <f>IFERROR(vlookup('1.9'!D:D,lookup!$A$2:$B$4,2,false),0)</f>
        <v>0</v>
      </c>
      <c r="F78" s="10">
        <f>IFERROR(vlookup('1.9'!E:E,lookup!$A$6:$B$8,2,false),0)</f>
        <v>0</v>
      </c>
      <c r="G78" s="10">
        <f>IFERROR(vlookup('1.9'!F:F,lookup!$A$10:$B$12,2,false),0)</f>
        <v>0</v>
      </c>
      <c r="H78" s="10">
        <f>IFERROR(vlookup('1.9'!G:G,lookup!$A$14:$B$16,2,false),0)</f>
        <v>0</v>
      </c>
      <c r="I78" s="10">
        <f>IFERROR(vlookup('1.9'!H:H,lookup!$A$18:$B$20,2,false),0)</f>
        <v>0</v>
      </c>
      <c r="J78" s="10">
        <f>IFERROR(vlookup('1.9'!I:I,lookup!$A$22:$B$24,2,false),0)</f>
        <v>0</v>
      </c>
      <c r="K78" s="10">
        <f>IFERROR(vlookup('1.9'!J:J,lookup!$A$26:$B$28,2,false),0)</f>
        <v>0</v>
      </c>
      <c r="M78" s="10">
        <v>77.0</v>
      </c>
      <c r="N78" s="11" t="str">
        <f t="shared" si="1"/>
        <v>bnco1077@signalschool.ac.th</v>
      </c>
      <c r="O78" s="12">
        <f t="shared" si="2"/>
        <v>0</v>
      </c>
      <c r="R78" s="6" t="s">
        <v>291</v>
      </c>
    </row>
    <row r="79">
      <c r="A79" s="8" t="str">
        <f>'1.9'!A:A</f>
        <v/>
      </c>
      <c r="B79" s="1" t="str">
        <f>'1.9'!B:B</f>
        <v/>
      </c>
      <c r="C79" s="1" t="str">
        <f>'1.9'!C:C</f>
        <v/>
      </c>
      <c r="D79" s="9">
        <v>1.0</v>
      </c>
      <c r="E79" s="10">
        <f>IFERROR(vlookup('1.9'!D:D,lookup!$A$2:$B$4,2,false),0)</f>
        <v>0</v>
      </c>
      <c r="F79" s="10">
        <f>IFERROR(vlookup('1.9'!E:E,lookup!$A$6:$B$8,2,false),0)</f>
        <v>0</v>
      </c>
      <c r="G79" s="10">
        <f>IFERROR(vlookup('1.9'!F:F,lookup!$A$10:$B$12,2,false),0)</f>
        <v>0</v>
      </c>
      <c r="H79" s="10">
        <f>IFERROR(vlookup('1.9'!G:G,lookup!$A$14:$B$16,2,false),0)</f>
        <v>0</v>
      </c>
      <c r="I79" s="10">
        <f>IFERROR(vlookup('1.9'!H:H,lookup!$A$18:$B$20,2,false),0)</f>
        <v>0</v>
      </c>
      <c r="J79" s="10">
        <f>IFERROR(vlookup('1.9'!I:I,lookup!$A$22:$B$24,2,false),0)</f>
        <v>0</v>
      </c>
      <c r="K79" s="10">
        <f>IFERROR(vlookup('1.9'!J:J,lookup!$A$26:$B$28,2,false),0)</f>
        <v>0</v>
      </c>
      <c r="M79" s="10">
        <v>78.0</v>
      </c>
      <c r="N79" s="11" t="str">
        <f t="shared" si="1"/>
        <v>bnco1078@signalschool.ac.th</v>
      </c>
      <c r="O79" s="12">
        <f t="shared" si="2"/>
        <v>1</v>
      </c>
      <c r="R79" s="6" t="s">
        <v>292</v>
      </c>
    </row>
    <row r="80">
      <c r="A80" s="8" t="str">
        <f>'1.9'!A:A</f>
        <v/>
      </c>
      <c r="B80" s="1" t="str">
        <f>'1.9'!B:B</f>
        <v/>
      </c>
      <c r="C80" s="1" t="str">
        <f>'1.9'!C:C</f>
        <v/>
      </c>
      <c r="D80" s="9">
        <v>1.0</v>
      </c>
      <c r="E80" s="10">
        <f>IFERROR(vlookup('1.9'!D:D,lookup!$A$2:$B$4,2,false),0)</f>
        <v>0</v>
      </c>
      <c r="F80" s="10">
        <f>IFERROR(vlookup('1.9'!E:E,lookup!$A$6:$B$8,2,false),0)</f>
        <v>0</v>
      </c>
      <c r="G80" s="10">
        <f>IFERROR(vlookup('1.9'!F:F,lookup!$A$10:$B$12,2,false),0)</f>
        <v>0</v>
      </c>
      <c r="H80" s="10">
        <f>IFERROR(vlookup('1.9'!G:G,lookup!$A$14:$B$16,2,false),0)</f>
        <v>0</v>
      </c>
      <c r="I80" s="10">
        <f>IFERROR(vlookup('1.9'!H:H,lookup!$A$18:$B$20,2,false),0)</f>
        <v>0</v>
      </c>
      <c r="J80" s="10">
        <f>IFERROR(vlookup('1.9'!I:I,lookup!$A$22:$B$24,2,false),0)</f>
        <v>0</v>
      </c>
      <c r="K80" s="10">
        <f>IFERROR(vlookup('1.9'!J:J,lookup!$A$26:$B$28,2,false),0)</f>
        <v>0</v>
      </c>
      <c r="M80" s="10">
        <v>79.0</v>
      </c>
      <c r="N80" s="11" t="str">
        <f t="shared" si="1"/>
        <v>bnco1079@signalschool.ac.th</v>
      </c>
      <c r="O80" s="12">
        <f t="shared" si="2"/>
        <v>1</v>
      </c>
      <c r="R80" s="6" t="s">
        <v>293</v>
      </c>
    </row>
    <row r="81">
      <c r="A81" s="8" t="str">
        <f>'1.9'!A:A</f>
        <v/>
      </c>
      <c r="B81" s="1" t="str">
        <f>'1.9'!B:B</f>
        <v/>
      </c>
      <c r="C81" s="1" t="str">
        <f>'1.9'!C:C</f>
        <v/>
      </c>
      <c r="D81" s="9">
        <v>1.0</v>
      </c>
      <c r="E81" s="10">
        <f>IFERROR(vlookup('1.9'!D:D,lookup!$A$2:$B$4,2,false),0)</f>
        <v>0</v>
      </c>
      <c r="F81" s="10">
        <f>IFERROR(vlookup('1.9'!E:E,lookup!$A$6:$B$8,2,false),0)</f>
        <v>0</v>
      </c>
      <c r="G81" s="10">
        <f>IFERROR(vlookup('1.9'!F:F,lookup!$A$10:$B$12,2,false),0)</f>
        <v>0</v>
      </c>
      <c r="H81" s="10">
        <f>IFERROR(vlookup('1.9'!G:G,lookup!$A$14:$B$16,2,false),0)</f>
        <v>0</v>
      </c>
      <c r="I81" s="10">
        <f>IFERROR(vlookup('1.9'!H:H,lookup!$A$18:$B$20,2,false),0)</f>
        <v>0</v>
      </c>
      <c r="J81" s="10">
        <f>IFERROR(vlookup('1.9'!I:I,lookup!$A$22:$B$24,2,false),0)</f>
        <v>0</v>
      </c>
      <c r="K81" s="10">
        <f>IFERROR(vlookup('1.9'!J:J,lookup!$A$26:$B$28,2,false),0)</f>
        <v>0</v>
      </c>
      <c r="M81" s="10">
        <v>80.0</v>
      </c>
      <c r="N81" s="11" t="str">
        <f t="shared" si="1"/>
        <v>bnco1080@signalschool.ac.th</v>
      </c>
      <c r="O81" s="12">
        <f t="shared" si="2"/>
        <v>1</v>
      </c>
      <c r="R81" s="6" t="s">
        <v>294</v>
      </c>
    </row>
    <row r="82">
      <c r="A82" s="8" t="str">
        <f>'1.9'!A:A</f>
        <v/>
      </c>
      <c r="B82" s="1" t="str">
        <f>'1.9'!B:B</f>
        <v/>
      </c>
      <c r="C82" s="1" t="str">
        <f>'1.9'!C:C</f>
        <v/>
      </c>
      <c r="D82" s="9"/>
      <c r="E82" s="15"/>
      <c r="F82" s="15"/>
      <c r="G82" s="15"/>
      <c r="H82" s="15"/>
      <c r="I82" s="15"/>
      <c r="J82" s="15"/>
      <c r="K82" s="15"/>
    </row>
    <row r="83">
      <c r="A83" s="8" t="str">
        <f>'1.9'!A:A</f>
        <v/>
      </c>
      <c r="B83" s="1" t="str">
        <f>'1.9'!B:B</f>
        <v/>
      </c>
      <c r="C83" s="1" t="str">
        <f>'1.9'!C:C</f>
        <v/>
      </c>
      <c r="D83" s="9"/>
      <c r="E83" s="15"/>
      <c r="F83" s="15"/>
      <c r="G83" s="15"/>
      <c r="H83" s="15"/>
      <c r="I83" s="15"/>
      <c r="J83" s="15"/>
      <c r="K83" s="15"/>
    </row>
    <row r="84">
      <c r="A84" s="8" t="str">
        <f>'1.9'!A:A</f>
        <v/>
      </c>
      <c r="B84" s="1" t="str">
        <f>'1.9'!B:B</f>
        <v/>
      </c>
      <c r="C84" s="1" t="str">
        <f>'1.9'!C:C</f>
        <v/>
      </c>
      <c r="D84" s="9"/>
      <c r="E84" s="15"/>
      <c r="F84" s="15"/>
      <c r="G84" s="15"/>
      <c r="H84" s="15"/>
      <c r="I84" s="15"/>
      <c r="J84" s="15"/>
      <c r="K84" s="15"/>
    </row>
    <row r="85">
      <c r="A85" s="8" t="str">
        <f>'1.9'!A:A</f>
        <v/>
      </c>
      <c r="B85" s="1" t="str">
        <f>'1.9'!B:B</f>
        <v/>
      </c>
      <c r="C85" s="1" t="str">
        <f>'1.9'!C:C</f>
        <v/>
      </c>
      <c r="D85" s="9"/>
      <c r="E85" s="15"/>
      <c r="F85" s="15"/>
      <c r="G85" s="15"/>
      <c r="H85" s="15"/>
      <c r="I85" s="15"/>
      <c r="J85" s="15"/>
      <c r="K85" s="15"/>
    </row>
    <row r="86">
      <c r="A86" s="8" t="str">
        <f>'1.9'!A:A</f>
        <v/>
      </c>
      <c r="B86" s="1" t="str">
        <f>'1.9'!B:B</f>
        <v/>
      </c>
      <c r="C86" s="1" t="str">
        <f>'1.9'!C:C</f>
        <v/>
      </c>
      <c r="D86" s="9"/>
      <c r="E86" s="15"/>
      <c r="F86" s="15"/>
      <c r="G86" s="15"/>
      <c r="H86" s="15"/>
      <c r="I86" s="15"/>
      <c r="J86" s="15"/>
      <c r="K86" s="15"/>
    </row>
    <row r="87">
      <c r="A87" s="8" t="str">
        <f>'1.9'!A:A</f>
        <v/>
      </c>
      <c r="B87" s="1" t="str">
        <f>'1.9'!B:B</f>
        <v/>
      </c>
      <c r="C87" s="1" t="str">
        <f>'1.9'!C:C</f>
        <v/>
      </c>
      <c r="D87" s="9"/>
      <c r="E87" s="15"/>
      <c r="F87" s="15"/>
      <c r="G87" s="15"/>
      <c r="H87" s="15"/>
      <c r="I87" s="15"/>
      <c r="J87" s="15"/>
      <c r="K87" s="15"/>
    </row>
    <row r="88">
      <c r="A88" s="8" t="str">
        <f>'1.9'!A:A</f>
        <v/>
      </c>
      <c r="B88" s="1" t="str">
        <f>'1.9'!B:B</f>
        <v/>
      </c>
      <c r="C88" s="1" t="str">
        <f>'1.9'!C:C</f>
        <v/>
      </c>
      <c r="D88" s="9"/>
      <c r="E88" s="15"/>
      <c r="F88" s="15"/>
      <c r="G88" s="15"/>
      <c r="H88" s="15"/>
      <c r="I88" s="15"/>
      <c r="J88" s="15"/>
      <c r="K88" s="15"/>
    </row>
    <row r="89">
      <c r="A89" s="8" t="str">
        <f>'1.9'!A:A</f>
        <v/>
      </c>
      <c r="B89" s="1" t="str">
        <f>'1.9'!B:B</f>
        <v/>
      </c>
      <c r="C89" s="1" t="str">
        <f>'1.9'!C:C</f>
        <v/>
      </c>
      <c r="D89" s="9"/>
      <c r="E89" s="15"/>
      <c r="F89" s="15"/>
      <c r="G89" s="15"/>
      <c r="H89" s="15"/>
      <c r="I89" s="15"/>
      <c r="J89" s="15"/>
      <c r="K89" s="15"/>
    </row>
    <row r="90">
      <c r="A90" s="8" t="str">
        <f>'1.9'!A:A</f>
        <v/>
      </c>
      <c r="B90" s="1" t="str">
        <f>'1.9'!B:B</f>
        <v/>
      </c>
      <c r="C90" s="1" t="str">
        <f>'1.9'!C:C</f>
        <v/>
      </c>
      <c r="D90" s="9"/>
      <c r="E90" s="15"/>
      <c r="F90" s="15"/>
      <c r="G90" s="15"/>
      <c r="H90" s="15"/>
      <c r="I90" s="15"/>
      <c r="J90" s="15"/>
      <c r="K90" s="15"/>
    </row>
    <row r="91">
      <c r="A91" s="8" t="str">
        <f>'1.9'!A:A</f>
        <v/>
      </c>
      <c r="B91" s="1" t="str">
        <f>'1.9'!B:B</f>
        <v/>
      </c>
      <c r="C91" s="1" t="str">
        <f>'1.9'!C:C</f>
        <v/>
      </c>
      <c r="D91" s="9"/>
      <c r="E91" s="15"/>
      <c r="F91" s="15"/>
      <c r="G91" s="15"/>
      <c r="H91" s="15"/>
      <c r="I91" s="15"/>
      <c r="J91" s="15"/>
      <c r="K91" s="15"/>
    </row>
    <row r="92">
      <c r="A92" s="8" t="str">
        <f>'1.9'!A:A</f>
        <v/>
      </c>
      <c r="B92" s="1" t="str">
        <f>'1.9'!B:B</f>
        <v/>
      </c>
      <c r="C92" s="1" t="str">
        <f>'1.9'!C:C</f>
        <v/>
      </c>
      <c r="D92" s="9"/>
      <c r="E92" s="15"/>
      <c r="F92" s="15"/>
      <c r="G92" s="15"/>
      <c r="H92" s="15"/>
      <c r="I92" s="15"/>
      <c r="J92" s="15"/>
      <c r="K92" s="15"/>
    </row>
    <row r="93">
      <c r="A93" s="8" t="str">
        <f>'1.9'!A:A</f>
        <v/>
      </c>
      <c r="B93" s="1" t="str">
        <f>'1.9'!B:B</f>
        <v/>
      </c>
      <c r="C93" s="1" t="str">
        <f>'1.9'!C:C</f>
        <v/>
      </c>
      <c r="D93" s="9"/>
      <c r="E93" s="15"/>
      <c r="F93" s="15"/>
      <c r="G93" s="15"/>
      <c r="H93" s="15"/>
      <c r="I93" s="15"/>
      <c r="J93" s="15"/>
      <c r="K93" s="15"/>
    </row>
    <row r="94">
      <c r="A94" s="8" t="str">
        <f>'1.9'!A:A</f>
        <v/>
      </c>
      <c r="B94" s="1" t="str">
        <f>'1.9'!B:B</f>
        <v/>
      </c>
      <c r="C94" s="1" t="str">
        <f>'1.9'!C:C</f>
        <v/>
      </c>
      <c r="D94" s="9"/>
      <c r="E94" s="15"/>
      <c r="F94" s="15"/>
      <c r="G94" s="15"/>
      <c r="H94" s="15"/>
      <c r="I94" s="15"/>
      <c r="J94" s="15"/>
      <c r="K94" s="15"/>
    </row>
    <row r="95">
      <c r="A95" s="8" t="str">
        <f>'1.9'!A:A</f>
        <v/>
      </c>
      <c r="B95" s="1" t="str">
        <f>'1.9'!B:B</f>
        <v/>
      </c>
      <c r="C95" s="1" t="str">
        <f>'1.9'!C:C</f>
        <v/>
      </c>
      <c r="D95" s="9"/>
      <c r="E95" s="15"/>
      <c r="F95" s="15"/>
      <c r="G95" s="15"/>
      <c r="H95" s="15"/>
      <c r="I95" s="15"/>
      <c r="J95" s="15"/>
      <c r="K95" s="15"/>
    </row>
    <row r="96">
      <c r="A96" s="8" t="str">
        <f>'1.9'!A:A</f>
        <v/>
      </c>
      <c r="B96" s="1" t="str">
        <f>'1.9'!B:B</f>
        <v/>
      </c>
      <c r="C96" s="1" t="str">
        <f>'1.9'!C:C</f>
        <v/>
      </c>
      <c r="D96" s="9"/>
      <c r="E96" s="15"/>
      <c r="F96" s="15"/>
      <c r="G96" s="15"/>
      <c r="H96" s="15"/>
      <c r="I96" s="15"/>
      <c r="J96" s="15"/>
      <c r="K96" s="15"/>
    </row>
    <row r="97">
      <c r="A97" s="8" t="str">
        <f>'1.9'!A:A</f>
        <v/>
      </c>
      <c r="B97" s="1" t="str">
        <f>'1.9'!B:B</f>
        <v/>
      </c>
      <c r="C97" s="1" t="str">
        <f>'1.9'!C:C</f>
        <v/>
      </c>
      <c r="D97" s="9"/>
      <c r="E97" s="15"/>
      <c r="F97" s="15"/>
      <c r="G97" s="15"/>
      <c r="H97" s="15"/>
      <c r="I97" s="15"/>
      <c r="J97" s="15"/>
      <c r="K97" s="15"/>
    </row>
    <row r="98">
      <c r="A98" s="8" t="str">
        <f>'1.9'!A:A</f>
        <v/>
      </c>
      <c r="B98" s="1" t="str">
        <f>'1.9'!B:B</f>
        <v/>
      </c>
      <c r="C98" s="1" t="str">
        <f>'1.9'!C:C</f>
        <v/>
      </c>
      <c r="D98" s="9"/>
      <c r="E98" s="15"/>
      <c r="F98" s="15"/>
      <c r="G98" s="15"/>
      <c r="H98" s="15"/>
      <c r="I98" s="15"/>
      <c r="J98" s="15"/>
      <c r="K98" s="15"/>
    </row>
    <row r="99">
      <c r="A99" s="8" t="str">
        <f>'1.9'!A:A</f>
        <v/>
      </c>
      <c r="B99" s="1" t="str">
        <f>'1.9'!B:B</f>
        <v/>
      </c>
      <c r="C99" s="1" t="str">
        <f>'1.9'!C:C</f>
        <v/>
      </c>
      <c r="D99" s="9"/>
      <c r="E99" s="15"/>
      <c r="F99" s="15"/>
      <c r="G99" s="15"/>
      <c r="H99" s="15"/>
      <c r="I99" s="15"/>
      <c r="J99" s="15"/>
      <c r="K99" s="15"/>
    </row>
    <row r="100">
      <c r="A100" s="8" t="str">
        <f>'1.9'!A:A</f>
        <v/>
      </c>
      <c r="B100" s="1" t="str">
        <f>'1.9'!B:B</f>
        <v/>
      </c>
      <c r="C100" s="1" t="str">
        <f>'1.9'!C:C</f>
        <v/>
      </c>
      <c r="D100" s="9"/>
      <c r="E100" s="15"/>
      <c r="F100" s="15"/>
      <c r="G100" s="15"/>
      <c r="H100" s="15"/>
      <c r="I100" s="15"/>
      <c r="J100" s="15"/>
      <c r="K100" s="15"/>
    </row>
    <row r="101">
      <c r="A101" s="8" t="str">
        <f>'1.9'!A:A</f>
        <v/>
      </c>
      <c r="B101" s="1" t="str">
        <f>'1.9'!B:B</f>
        <v/>
      </c>
      <c r="C101" s="1" t="str">
        <f>'1.9'!C:C</f>
        <v/>
      </c>
      <c r="D101" s="9"/>
      <c r="E101" s="15"/>
      <c r="F101" s="15"/>
      <c r="G101" s="15"/>
      <c r="H101" s="15"/>
      <c r="I101" s="15"/>
      <c r="J101" s="15"/>
      <c r="K101" s="15"/>
      <c r="N101" s="1" t="s">
        <v>295</v>
      </c>
      <c r="O101" s="12">
        <f>SUM(O2:O81)</f>
        <v>66</v>
      </c>
    </row>
    <row r="102">
      <c r="C102" s="1"/>
      <c r="E102" s="14">
        <f t="shared" ref="E102:K102" si="3">AVERAGE(E2:E81)</f>
        <v>4.0125</v>
      </c>
      <c r="F102" s="14">
        <f t="shared" si="3"/>
        <v>4.0625</v>
      </c>
      <c r="G102" s="14">
        <f t="shared" si="3"/>
        <v>4.0875</v>
      </c>
      <c r="H102" s="14">
        <f t="shared" si="3"/>
        <v>4.1125</v>
      </c>
      <c r="I102" s="14">
        <f t="shared" si="3"/>
        <v>4.0875</v>
      </c>
      <c r="J102" s="14">
        <f t="shared" si="3"/>
        <v>4.0625</v>
      </c>
      <c r="K102" s="14">
        <f t="shared" si="3"/>
        <v>4.1125</v>
      </c>
      <c r="L102" s="16">
        <f>AVERAGE(E102:K102)</f>
        <v>4.076785714</v>
      </c>
      <c r="N102" s="1" t="s">
        <v>296</v>
      </c>
      <c r="O102" s="12">
        <f>(O101*100)/80</f>
        <v>82.5</v>
      </c>
    </row>
    <row r="103">
      <c r="A103" s="8"/>
      <c r="C103" s="1"/>
    </row>
    <row r="104">
      <c r="A104" s="8"/>
      <c r="C104" s="1"/>
    </row>
    <row r="105">
      <c r="A105" s="8"/>
      <c r="C105" s="1"/>
    </row>
    <row r="106">
      <c r="A106" s="8"/>
      <c r="C106" s="1"/>
    </row>
    <row r="107">
      <c r="A107" s="8"/>
      <c r="C107" s="1"/>
    </row>
    <row r="108">
      <c r="A108" s="8"/>
      <c r="C108" s="1"/>
    </row>
    <row r="109">
      <c r="A109" s="8"/>
      <c r="C109" s="1"/>
    </row>
    <row r="110">
      <c r="A110" s="8"/>
      <c r="C110" s="1"/>
    </row>
    <row r="111">
      <c r="A111" s="8"/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</sheetData>
  <mergeCells count="1">
    <mergeCell ref="M1:O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5">
        <v>46213.39111228009</v>
      </c>
      <c r="B2" s="6" t="s">
        <v>133</v>
      </c>
      <c r="C2" s="6" t="s">
        <v>458</v>
      </c>
      <c r="D2" s="6" t="s">
        <v>13</v>
      </c>
      <c r="E2" s="6" t="s">
        <v>14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</row>
    <row r="3">
      <c r="A3" s="5">
        <v>46213.39116799769</v>
      </c>
      <c r="B3" s="6" t="s">
        <v>46</v>
      </c>
      <c r="C3" s="6" t="s">
        <v>459</v>
      </c>
      <c r="D3" s="6" t="s">
        <v>13</v>
      </c>
      <c r="E3" s="6" t="s">
        <v>14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</row>
    <row r="4">
      <c r="A4" s="5">
        <v>46213.39147953704</v>
      </c>
      <c r="B4" s="6" t="s">
        <v>51</v>
      </c>
      <c r="C4" s="6" t="s">
        <v>459</v>
      </c>
      <c r="D4" s="6" t="s">
        <v>13</v>
      </c>
      <c r="E4" s="6" t="s">
        <v>14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</row>
    <row r="5">
      <c r="A5" s="5">
        <v>46213.391571053246</v>
      </c>
      <c r="B5" s="6" t="s">
        <v>140</v>
      </c>
      <c r="C5" s="6" t="s">
        <v>459</v>
      </c>
      <c r="D5" s="6" t="s">
        <v>13</v>
      </c>
      <c r="E5" s="6" t="s">
        <v>14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</row>
    <row r="6">
      <c r="A6" s="5">
        <v>46213.391839965276</v>
      </c>
      <c r="B6" s="6" t="s">
        <v>24</v>
      </c>
      <c r="C6" s="6" t="s">
        <v>459</v>
      </c>
      <c r="D6" s="6" t="s">
        <v>13</v>
      </c>
      <c r="E6" s="6" t="s">
        <v>14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20</v>
      </c>
    </row>
    <row r="7">
      <c r="A7" s="5">
        <v>46213.39184188657</v>
      </c>
      <c r="B7" s="6" t="s">
        <v>98</v>
      </c>
      <c r="C7" s="6" t="s">
        <v>372</v>
      </c>
      <c r="D7" s="6" t="s">
        <v>13</v>
      </c>
      <c r="E7" s="6" t="s">
        <v>14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</row>
    <row r="8">
      <c r="A8" s="5">
        <v>46213.39189398148</v>
      </c>
      <c r="B8" s="6" t="s">
        <v>11</v>
      </c>
      <c r="C8" s="6" t="s">
        <v>31</v>
      </c>
      <c r="D8" s="6" t="s">
        <v>13</v>
      </c>
      <c r="E8" s="6" t="s">
        <v>14</v>
      </c>
      <c r="F8" s="6" t="s">
        <v>16</v>
      </c>
      <c r="G8" s="6" t="s">
        <v>17</v>
      </c>
      <c r="H8" s="6" t="s">
        <v>18</v>
      </c>
      <c r="I8" s="6" t="s">
        <v>19</v>
      </c>
      <c r="J8" s="6" t="s">
        <v>20</v>
      </c>
    </row>
    <row r="9">
      <c r="A9" s="5">
        <v>46213.39202645833</v>
      </c>
      <c r="B9" s="6" t="s">
        <v>176</v>
      </c>
      <c r="C9" s="6" t="s">
        <v>459</v>
      </c>
      <c r="D9" s="6" t="s">
        <v>13</v>
      </c>
      <c r="E9" s="6" t="s">
        <v>14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>
      <c r="A10" s="5">
        <v>46213.392151782406</v>
      </c>
      <c r="B10" s="6" t="s">
        <v>79</v>
      </c>
      <c r="C10" s="6" t="s">
        <v>31</v>
      </c>
      <c r="D10" s="6" t="s">
        <v>13</v>
      </c>
      <c r="E10" s="6" t="s">
        <v>14</v>
      </c>
      <c r="F10" s="6" t="s">
        <v>16</v>
      </c>
      <c r="G10" s="6" t="s">
        <v>17</v>
      </c>
      <c r="H10" s="6" t="s">
        <v>18</v>
      </c>
      <c r="I10" s="6" t="s">
        <v>19</v>
      </c>
      <c r="J10" s="6" t="s">
        <v>20</v>
      </c>
    </row>
    <row r="11">
      <c r="A11" s="5">
        <v>46213.39215797454</v>
      </c>
      <c r="B11" s="6" t="s">
        <v>49</v>
      </c>
      <c r="C11" s="6" t="s">
        <v>31</v>
      </c>
      <c r="D11" s="6" t="s">
        <v>13</v>
      </c>
      <c r="E11" s="6" t="s">
        <v>14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20</v>
      </c>
      <c r="K11" s="6" t="s">
        <v>460</v>
      </c>
    </row>
    <row r="12">
      <c r="A12" s="5">
        <v>46213.39225965278</v>
      </c>
      <c r="B12" s="6" t="s">
        <v>78</v>
      </c>
      <c r="C12" s="6" t="s">
        <v>459</v>
      </c>
      <c r="D12" s="6" t="s">
        <v>13</v>
      </c>
      <c r="E12" s="6" t="s">
        <v>14</v>
      </c>
      <c r="F12" s="6" t="s">
        <v>16</v>
      </c>
      <c r="G12" s="6" t="s">
        <v>17</v>
      </c>
      <c r="H12" s="6" t="s">
        <v>18</v>
      </c>
      <c r="I12" s="6" t="s">
        <v>19</v>
      </c>
      <c r="J12" s="6" t="s">
        <v>20</v>
      </c>
    </row>
    <row r="13">
      <c r="A13" s="5">
        <v>46213.392404004626</v>
      </c>
      <c r="B13" s="6" t="s">
        <v>21</v>
      </c>
      <c r="C13" s="6" t="s">
        <v>459</v>
      </c>
      <c r="D13" s="6" t="s">
        <v>13</v>
      </c>
      <c r="E13" s="6" t="s">
        <v>14</v>
      </c>
      <c r="F13" s="6" t="s">
        <v>16</v>
      </c>
      <c r="G13" s="6" t="s">
        <v>17</v>
      </c>
      <c r="H13" s="6" t="s">
        <v>18</v>
      </c>
      <c r="I13" s="6" t="s">
        <v>19</v>
      </c>
      <c r="J13" s="6" t="s">
        <v>56</v>
      </c>
    </row>
    <row r="14">
      <c r="A14" s="5">
        <v>46213.39286568287</v>
      </c>
      <c r="B14" s="6" t="s">
        <v>138</v>
      </c>
      <c r="C14" s="6" t="s">
        <v>459</v>
      </c>
      <c r="D14" s="6" t="s">
        <v>13</v>
      </c>
      <c r="E14" s="6" t="s">
        <v>14</v>
      </c>
      <c r="F14" s="6" t="s">
        <v>16</v>
      </c>
      <c r="G14" s="6" t="s">
        <v>17</v>
      </c>
      <c r="H14" s="6" t="s">
        <v>18</v>
      </c>
      <c r="I14" s="6" t="s">
        <v>55</v>
      </c>
      <c r="J14" s="6" t="s">
        <v>56</v>
      </c>
      <c r="K14" s="6" t="s">
        <v>461</v>
      </c>
    </row>
    <row r="15">
      <c r="A15" s="5">
        <v>46213.392906863424</v>
      </c>
      <c r="B15" s="6" t="s">
        <v>113</v>
      </c>
      <c r="C15" s="6" t="s">
        <v>53</v>
      </c>
      <c r="D15" s="6" t="s">
        <v>13</v>
      </c>
      <c r="E15" s="6" t="s">
        <v>14</v>
      </c>
      <c r="F15" s="6" t="s">
        <v>16</v>
      </c>
      <c r="G15" s="6" t="s">
        <v>17</v>
      </c>
      <c r="H15" s="6" t="s">
        <v>18</v>
      </c>
      <c r="I15" s="6" t="s">
        <v>19</v>
      </c>
      <c r="J15" s="6" t="s">
        <v>20</v>
      </c>
    </row>
    <row r="16">
      <c r="A16" s="5">
        <v>46213.3930439699</v>
      </c>
      <c r="B16" s="6" t="s">
        <v>25</v>
      </c>
      <c r="C16" s="6" t="s">
        <v>462</v>
      </c>
      <c r="D16" s="6" t="s">
        <v>13</v>
      </c>
      <c r="E16" s="6" t="s">
        <v>14</v>
      </c>
      <c r="F16" s="6" t="s">
        <v>16</v>
      </c>
      <c r="G16" s="6" t="s">
        <v>17</v>
      </c>
      <c r="H16" s="6" t="s">
        <v>18</v>
      </c>
      <c r="I16" s="6" t="s">
        <v>19</v>
      </c>
      <c r="J16" s="6" t="s">
        <v>20</v>
      </c>
      <c r="K16" s="6" t="s">
        <v>463</v>
      </c>
    </row>
    <row r="17">
      <c r="A17" s="5">
        <v>46213.39305741898</v>
      </c>
      <c r="B17" s="6" t="s">
        <v>464</v>
      </c>
      <c r="C17" s="6" t="s">
        <v>459</v>
      </c>
      <c r="D17" s="6" t="s">
        <v>13</v>
      </c>
      <c r="E17" s="6" t="s">
        <v>14</v>
      </c>
      <c r="F17" s="6" t="s">
        <v>16</v>
      </c>
      <c r="G17" s="6" t="s">
        <v>17</v>
      </c>
      <c r="H17" s="6" t="s">
        <v>18</v>
      </c>
      <c r="I17" s="6" t="s">
        <v>19</v>
      </c>
      <c r="J17" s="6" t="s">
        <v>20</v>
      </c>
      <c r="K17" s="6" t="s">
        <v>465</v>
      </c>
    </row>
    <row r="18">
      <c r="A18" s="5">
        <v>46213.3930922338</v>
      </c>
      <c r="B18" s="6" t="s">
        <v>205</v>
      </c>
      <c r="C18" s="6" t="s">
        <v>31</v>
      </c>
      <c r="D18" s="6" t="s">
        <v>13</v>
      </c>
      <c r="E18" s="6" t="s">
        <v>14</v>
      </c>
      <c r="F18" s="6" t="s">
        <v>16</v>
      </c>
      <c r="G18" s="6" t="s">
        <v>17</v>
      </c>
      <c r="H18" s="6" t="s">
        <v>18</v>
      </c>
      <c r="I18" s="6" t="s">
        <v>19</v>
      </c>
      <c r="J18" s="6" t="s">
        <v>20</v>
      </c>
    </row>
    <row r="19">
      <c r="A19" s="5">
        <v>46213.3931300463</v>
      </c>
      <c r="B19" s="6" t="s">
        <v>116</v>
      </c>
      <c r="C19" s="6" t="s">
        <v>466</v>
      </c>
      <c r="D19" s="6" t="s">
        <v>13</v>
      </c>
      <c r="E19" s="6" t="s">
        <v>14</v>
      </c>
      <c r="F19" s="6" t="s">
        <v>16</v>
      </c>
      <c r="G19" s="6" t="s">
        <v>17</v>
      </c>
      <c r="H19" s="6" t="s">
        <v>18</v>
      </c>
      <c r="I19" s="6" t="s">
        <v>19</v>
      </c>
      <c r="J19" s="6" t="s">
        <v>20</v>
      </c>
      <c r="K19" s="6" t="s">
        <v>467</v>
      </c>
    </row>
    <row r="20">
      <c r="A20" s="5">
        <v>46213.39329604167</v>
      </c>
      <c r="B20" s="6" t="s">
        <v>60</v>
      </c>
      <c r="C20" s="6" t="s">
        <v>459</v>
      </c>
      <c r="D20" s="6" t="s">
        <v>13</v>
      </c>
      <c r="E20" s="6" t="s">
        <v>14</v>
      </c>
      <c r="F20" s="6" t="s">
        <v>16</v>
      </c>
      <c r="G20" s="6" t="s">
        <v>17</v>
      </c>
      <c r="H20" s="6" t="s">
        <v>18</v>
      </c>
      <c r="I20" s="6" t="s">
        <v>19</v>
      </c>
      <c r="J20" s="6" t="s">
        <v>20</v>
      </c>
    </row>
    <row r="21">
      <c r="A21" s="5">
        <v>46213.39337173611</v>
      </c>
      <c r="B21" s="6" t="s">
        <v>111</v>
      </c>
      <c r="C21" s="6" t="s">
        <v>468</v>
      </c>
      <c r="D21" s="6" t="s">
        <v>13</v>
      </c>
      <c r="E21" s="6" t="s">
        <v>14</v>
      </c>
      <c r="F21" s="6" t="s">
        <v>16</v>
      </c>
      <c r="G21" s="6" t="s">
        <v>17</v>
      </c>
      <c r="H21" s="6" t="s">
        <v>18</v>
      </c>
      <c r="I21" s="6" t="s">
        <v>19</v>
      </c>
      <c r="J21" s="6" t="s">
        <v>20</v>
      </c>
    </row>
    <row r="22">
      <c r="A22" s="5">
        <v>46213.39355232639</v>
      </c>
      <c r="B22" s="6" t="s">
        <v>469</v>
      </c>
      <c r="C22" s="6" t="s">
        <v>31</v>
      </c>
      <c r="D22" s="6" t="s">
        <v>13</v>
      </c>
      <c r="E22" s="6" t="s">
        <v>14</v>
      </c>
      <c r="F22" s="6" t="s">
        <v>16</v>
      </c>
      <c r="G22" s="6" t="s">
        <v>17</v>
      </c>
      <c r="H22" s="6" t="s">
        <v>18</v>
      </c>
      <c r="I22" s="6" t="s">
        <v>55</v>
      </c>
      <c r="J22" s="6" t="s">
        <v>56</v>
      </c>
    </row>
    <row r="23">
      <c r="A23" s="5">
        <v>46213.393584722224</v>
      </c>
      <c r="B23" s="6" t="s">
        <v>130</v>
      </c>
      <c r="C23" s="6" t="s">
        <v>462</v>
      </c>
      <c r="D23" s="6" t="s">
        <v>13</v>
      </c>
      <c r="E23" s="6" t="s">
        <v>14</v>
      </c>
      <c r="F23" s="6" t="s">
        <v>16</v>
      </c>
      <c r="G23" s="6" t="s">
        <v>17</v>
      </c>
      <c r="H23" s="6" t="s">
        <v>18</v>
      </c>
      <c r="I23" s="6" t="s">
        <v>19</v>
      </c>
      <c r="J23" s="6" t="s">
        <v>20</v>
      </c>
    </row>
    <row r="24">
      <c r="A24" s="5">
        <v>46213.39361431713</v>
      </c>
      <c r="B24" s="6" t="s">
        <v>136</v>
      </c>
      <c r="C24" s="6" t="s">
        <v>459</v>
      </c>
      <c r="D24" s="6" t="s">
        <v>13</v>
      </c>
      <c r="E24" s="6" t="s">
        <v>14</v>
      </c>
      <c r="F24" s="6" t="s">
        <v>16</v>
      </c>
      <c r="G24" s="6" t="s">
        <v>17</v>
      </c>
      <c r="H24" s="6" t="s">
        <v>18</v>
      </c>
      <c r="I24" s="6" t="s">
        <v>19</v>
      </c>
      <c r="J24" s="6" t="s">
        <v>20</v>
      </c>
    </row>
    <row r="25">
      <c r="A25" s="5">
        <v>46213.393679409724</v>
      </c>
      <c r="B25" s="6" t="s">
        <v>75</v>
      </c>
      <c r="C25" s="6" t="s">
        <v>462</v>
      </c>
      <c r="D25" s="6" t="s">
        <v>13</v>
      </c>
      <c r="E25" s="6" t="s">
        <v>14</v>
      </c>
      <c r="F25" s="6" t="s">
        <v>16</v>
      </c>
      <c r="G25" s="6" t="s">
        <v>17</v>
      </c>
      <c r="H25" s="6" t="s">
        <v>18</v>
      </c>
      <c r="I25" s="6" t="s">
        <v>55</v>
      </c>
      <c r="J25" s="6" t="s">
        <v>56</v>
      </c>
    </row>
    <row r="26">
      <c r="A26" s="5">
        <v>46213.3937940162</v>
      </c>
      <c r="B26" s="6" t="s">
        <v>118</v>
      </c>
      <c r="C26" s="6" t="s">
        <v>470</v>
      </c>
      <c r="D26" s="6" t="s">
        <v>13</v>
      </c>
      <c r="E26" s="6" t="s">
        <v>14</v>
      </c>
      <c r="F26" s="6" t="s">
        <v>16</v>
      </c>
      <c r="G26" s="6" t="s">
        <v>17</v>
      </c>
      <c r="H26" s="6" t="s">
        <v>18</v>
      </c>
      <c r="I26" s="6" t="s">
        <v>19</v>
      </c>
      <c r="J26" s="6" t="s">
        <v>20</v>
      </c>
      <c r="K26" s="6" t="s">
        <v>471</v>
      </c>
    </row>
    <row r="27">
      <c r="A27" s="5">
        <v>46213.39381136574</v>
      </c>
      <c r="B27" s="6" t="s">
        <v>74</v>
      </c>
      <c r="C27" s="6" t="s">
        <v>374</v>
      </c>
      <c r="D27" s="6" t="s">
        <v>13</v>
      </c>
      <c r="E27" s="6" t="s">
        <v>14</v>
      </c>
      <c r="F27" s="6" t="s">
        <v>16</v>
      </c>
      <c r="G27" s="6" t="s">
        <v>17</v>
      </c>
      <c r="H27" s="6" t="s">
        <v>18</v>
      </c>
      <c r="I27" s="6" t="s">
        <v>19</v>
      </c>
      <c r="J27" s="6" t="s">
        <v>20</v>
      </c>
    </row>
    <row r="28">
      <c r="A28" s="5">
        <v>46213.39396988426</v>
      </c>
      <c r="B28" s="6" t="s">
        <v>72</v>
      </c>
      <c r="C28" s="6" t="s">
        <v>459</v>
      </c>
      <c r="D28" s="6" t="s">
        <v>13</v>
      </c>
      <c r="E28" s="6" t="s">
        <v>14</v>
      </c>
      <c r="F28" s="6" t="s">
        <v>16</v>
      </c>
      <c r="G28" s="6" t="s">
        <v>17</v>
      </c>
      <c r="H28" s="6" t="s">
        <v>18</v>
      </c>
      <c r="I28" s="6" t="s">
        <v>19</v>
      </c>
      <c r="J28" s="6" t="s">
        <v>20</v>
      </c>
      <c r="K28" s="6" t="s">
        <v>472</v>
      </c>
    </row>
    <row r="29">
      <c r="A29" s="5">
        <v>46213.39400608796</v>
      </c>
      <c r="B29" s="6" t="s">
        <v>100</v>
      </c>
      <c r="C29" s="6" t="s">
        <v>466</v>
      </c>
      <c r="D29" s="6" t="s">
        <v>13</v>
      </c>
      <c r="E29" s="6" t="s">
        <v>14</v>
      </c>
      <c r="F29" s="6" t="s">
        <v>16</v>
      </c>
      <c r="G29" s="6" t="s">
        <v>17</v>
      </c>
      <c r="H29" s="6" t="s">
        <v>18</v>
      </c>
      <c r="I29" s="6" t="s">
        <v>19</v>
      </c>
      <c r="J29" s="6" t="s">
        <v>20</v>
      </c>
      <c r="K29" s="6" t="s">
        <v>43</v>
      </c>
    </row>
    <row r="30">
      <c r="A30" s="5">
        <v>46213.394403391205</v>
      </c>
      <c r="B30" s="6" t="s">
        <v>33</v>
      </c>
      <c r="C30" s="6" t="s">
        <v>473</v>
      </c>
      <c r="D30" s="6" t="s">
        <v>13</v>
      </c>
      <c r="E30" s="6" t="s">
        <v>14</v>
      </c>
      <c r="F30" s="6" t="s">
        <v>16</v>
      </c>
      <c r="G30" s="6" t="s">
        <v>17</v>
      </c>
      <c r="H30" s="6" t="s">
        <v>18</v>
      </c>
      <c r="I30" s="6" t="s">
        <v>55</v>
      </c>
      <c r="J30" s="6" t="s">
        <v>56</v>
      </c>
    </row>
    <row r="31">
      <c r="A31" s="5">
        <v>46213.394436828705</v>
      </c>
      <c r="B31" s="6" t="s">
        <v>57</v>
      </c>
      <c r="C31" s="6" t="s">
        <v>459</v>
      </c>
      <c r="D31" s="6" t="s">
        <v>13</v>
      </c>
      <c r="E31" s="6" t="s">
        <v>14</v>
      </c>
      <c r="F31" s="6" t="s">
        <v>16</v>
      </c>
      <c r="G31" s="6" t="s">
        <v>17</v>
      </c>
      <c r="H31" s="6" t="s">
        <v>18</v>
      </c>
      <c r="I31" s="6" t="s">
        <v>19</v>
      </c>
      <c r="J31" s="6" t="s">
        <v>20</v>
      </c>
    </row>
    <row r="32">
      <c r="A32" s="5">
        <v>46213.394878946754</v>
      </c>
      <c r="B32" s="6" t="s">
        <v>85</v>
      </c>
      <c r="C32" s="6" t="s">
        <v>459</v>
      </c>
      <c r="D32" s="6" t="s">
        <v>13</v>
      </c>
      <c r="E32" s="6" t="s">
        <v>14</v>
      </c>
      <c r="F32" s="6" t="s">
        <v>54</v>
      </c>
      <c r="G32" s="6" t="s">
        <v>17</v>
      </c>
      <c r="H32" s="6" t="s">
        <v>18</v>
      </c>
      <c r="I32" s="6" t="s">
        <v>55</v>
      </c>
      <c r="J32" s="6" t="s">
        <v>20</v>
      </c>
    </row>
    <row r="33">
      <c r="A33" s="5">
        <v>46213.395221134255</v>
      </c>
      <c r="B33" s="6" t="s">
        <v>210</v>
      </c>
      <c r="C33" s="6" t="s">
        <v>462</v>
      </c>
      <c r="D33" s="6" t="s">
        <v>13</v>
      </c>
      <c r="E33" s="6" t="s">
        <v>14</v>
      </c>
      <c r="F33" s="6" t="s">
        <v>16</v>
      </c>
      <c r="G33" s="6" t="s">
        <v>17</v>
      </c>
      <c r="H33" s="6" t="s">
        <v>18</v>
      </c>
      <c r="I33" s="6" t="s">
        <v>19</v>
      </c>
      <c r="J33" s="6" t="s">
        <v>20</v>
      </c>
      <c r="K33" s="6" t="s">
        <v>474</v>
      </c>
    </row>
    <row r="34">
      <c r="A34" s="5">
        <v>46213.39525793982</v>
      </c>
      <c r="B34" s="6" t="s">
        <v>115</v>
      </c>
      <c r="C34" s="6" t="s">
        <v>459</v>
      </c>
      <c r="D34" s="6" t="s">
        <v>13</v>
      </c>
      <c r="E34" s="6" t="s">
        <v>14</v>
      </c>
      <c r="F34" s="6" t="s">
        <v>16</v>
      </c>
      <c r="G34" s="6" t="s">
        <v>17</v>
      </c>
      <c r="H34" s="6" t="s">
        <v>18</v>
      </c>
      <c r="I34" s="6" t="s">
        <v>19</v>
      </c>
      <c r="J34" s="6" t="s">
        <v>20</v>
      </c>
    </row>
    <row r="35">
      <c r="A35" s="5">
        <v>46213.39565460648</v>
      </c>
      <c r="B35" s="6" t="s">
        <v>106</v>
      </c>
      <c r="C35" s="6" t="s">
        <v>475</v>
      </c>
      <c r="D35" s="6" t="s">
        <v>13</v>
      </c>
      <c r="E35" s="6" t="s">
        <v>120</v>
      </c>
      <c r="F35" s="6" t="s">
        <v>16</v>
      </c>
      <c r="G35" s="6" t="s">
        <v>17</v>
      </c>
      <c r="H35" s="6" t="s">
        <v>18</v>
      </c>
      <c r="I35" s="6" t="s">
        <v>19</v>
      </c>
      <c r="J35" s="6" t="s">
        <v>20</v>
      </c>
      <c r="K35" s="6" t="s">
        <v>476</v>
      </c>
    </row>
    <row r="36">
      <c r="A36" s="5">
        <v>46213.39567627315</v>
      </c>
      <c r="B36" s="6" t="s">
        <v>90</v>
      </c>
      <c r="C36" s="6" t="s">
        <v>477</v>
      </c>
      <c r="D36" s="6" t="s">
        <v>13</v>
      </c>
      <c r="E36" s="6" t="s">
        <v>14</v>
      </c>
      <c r="F36" s="6" t="s">
        <v>16</v>
      </c>
      <c r="G36" s="6" t="s">
        <v>17</v>
      </c>
      <c r="H36" s="6" t="s">
        <v>18</v>
      </c>
      <c r="I36" s="6" t="s">
        <v>19</v>
      </c>
      <c r="J36" s="6" t="s">
        <v>20</v>
      </c>
    </row>
    <row r="37">
      <c r="A37" s="5">
        <v>46213.395929606486</v>
      </c>
      <c r="B37" s="6" t="s">
        <v>61</v>
      </c>
      <c r="C37" s="6" t="s">
        <v>459</v>
      </c>
      <c r="D37" s="6" t="s">
        <v>13</v>
      </c>
      <c r="E37" s="6" t="s">
        <v>14</v>
      </c>
      <c r="F37" s="6" t="s">
        <v>16</v>
      </c>
      <c r="G37" s="6" t="s">
        <v>17</v>
      </c>
      <c r="H37" s="6" t="s">
        <v>18</v>
      </c>
      <c r="I37" s="6" t="s">
        <v>19</v>
      </c>
      <c r="J37" s="6" t="s">
        <v>20</v>
      </c>
      <c r="K37" s="6" t="s">
        <v>478</v>
      </c>
    </row>
    <row r="38">
      <c r="A38" s="5">
        <v>46213.39622780093</v>
      </c>
      <c r="B38" s="6" t="s">
        <v>135</v>
      </c>
      <c r="C38" s="6" t="s">
        <v>31</v>
      </c>
      <c r="D38" s="6" t="s">
        <v>13</v>
      </c>
      <c r="E38" s="6" t="s">
        <v>14</v>
      </c>
      <c r="F38" s="6" t="s">
        <v>16</v>
      </c>
      <c r="G38" s="6" t="s">
        <v>17</v>
      </c>
      <c r="H38" s="6" t="s">
        <v>18</v>
      </c>
      <c r="I38" s="6" t="s">
        <v>19</v>
      </c>
      <c r="J38" s="6" t="s">
        <v>20</v>
      </c>
    </row>
    <row r="39">
      <c r="A39" s="5">
        <v>46213.39635949074</v>
      </c>
      <c r="B39" s="6" t="s">
        <v>127</v>
      </c>
      <c r="C39" s="6" t="s">
        <v>466</v>
      </c>
      <c r="D39" s="6" t="s">
        <v>13</v>
      </c>
      <c r="E39" s="6" t="s">
        <v>14</v>
      </c>
      <c r="F39" s="6" t="s">
        <v>16</v>
      </c>
      <c r="G39" s="6" t="s">
        <v>17</v>
      </c>
      <c r="H39" s="6" t="s">
        <v>18</v>
      </c>
      <c r="I39" s="6" t="s">
        <v>19</v>
      </c>
      <c r="J39" s="6" t="s">
        <v>20</v>
      </c>
      <c r="K39" s="6" t="s">
        <v>479</v>
      </c>
    </row>
    <row r="40">
      <c r="A40" s="5">
        <v>46213.3965749537</v>
      </c>
      <c r="B40" s="6" t="s">
        <v>101</v>
      </c>
      <c r="C40" s="6" t="s">
        <v>31</v>
      </c>
      <c r="D40" s="6" t="s">
        <v>13</v>
      </c>
      <c r="E40" s="6" t="s">
        <v>14</v>
      </c>
      <c r="F40" s="6" t="s">
        <v>16</v>
      </c>
      <c r="G40" s="6" t="s">
        <v>17</v>
      </c>
      <c r="H40" s="6" t="s">
        <v>18</v>
      </c>
      <c r="I40" s="6" t="s">
        <v>19</v>
      </c>
      <c r="J40" s="6" t="s">
        <v>20</v>
      </c>
    </row>
    <row r="41">
      <c r="A41" s="5">
        <v>46213.39700871528</v>
      </c>
      <c r="B41" s="6" t="s">
        <v>105</v>
      </c>
      <c r="C41" s="6">
        <v>15.0</v>
      </c>
      <c r="D41" s="6" t="s">
        <v>13</v>
      </c>
      <c r="E41" s="6" t="s">
        <v>14</v>
      </c>
      <c r="F41" s="6" t="s">
        <v>16</v>
      </c>
      <c r="G41" s="6" t="s">
        <v>17</v>
      </c>
      <c r="H41" s="6" t="s">
        <v>18</v>
      </c>
      <c r="I41" s="6" t="s">
        <v>19</v>
      </c>
      <c r="J41" s="6" t="s">
        <v>20</v>
      </c>
    </row>
    <row r="42">
      <c r="A42" s="5">
        <v>46213.397411342594</v>
      </c>
      <c r="B42" s="6" t="s">
        <v>88</v>
      </c>
      <c r="C42" s="6" t="s">
        <v>480</v>
      </c>
      <c r="D42" s="6" t="s">
        <v>13</v>
      </c>
      <c r="E42" s="6" t="s">
        <v>14</v>
      </c>
      <c r="F42" s="6" t="s">
        <v>16</v>
      </c>
      <c r="G42" s="6" t="s">
        <v>17</v>
      </c>
      <c r="H42" s="6" t="s">
        <v>18</v>
      </c>
      <c r="I42" s="6" t="s">
        <v>19</v>
      </c>
      <c r="J42" s="6" t="s">
        <v>20</v>
      </c>
    </row>
    <row r="43">
      <c r="A43" s="5">
        <v>46213.39749804398</v>
      </c>
      <c r="B43" s="6" t="s">
        <v>196</v>
      </c>
      <c r="C43" s="6" t="s">
        <v>459</v>
      </c>
      <c r="D43" s="6" t="s">
        <v>13</v>
      </c>
      <c r="E43" s="6" t="s">
        <v>14</v>
      </c>
      <c r="F43" s="6" t="s">
        <v>16</v>
      </c>
      <c r="G43" s="6" t="s">
        <v>17</v>
      </c>
      <c r="H43" s="6" t="s">
        <v>18</v>
      </c>
      <c r="I43" s="6" t="s">
        <v>19</v>
      </c>
      <c r="J43" s="6" t="s">
        <v>20</v>
      </c>
    </row>
    <row r="44">
      <c r="A44" s="5">
        <v>46213.397523576394</v>
      </c>
      <c r="B44" s="6" t="s">
        <v>28</v>
      </c>
      <c r="C44" s="6" t="s">
        <v>481</v>
      </c>
      <c r="D44" s="6" t="s">
        <v>13</v>
      </c>
      <c r="E44" s="6" t="s">
        <v>14</v>
      </c>
      <c r="F44" s="6" t="s">
        <v>16</v>
      </c>
      <c r="G44" s="6" t="s">
        <v>17</v>
      </c>
      <c r="H44" s="6" t="s">
        <v>18</v>
      </c>
      <c r="I44" s="6" t="s">
        <v>19</v>
      </c>
      <c r="J44" s="6" t="s">
        <v>20</v>
      </c>
      <c r="K44" s="6" t="s">
        <v>170</v>
      </c>
    </row>
    <row r="45">
      <c r="A45" s="5">
        <v>46213.39765320602</v>
      </c>
      <c r="B45" s="6" t="s">
        <v>114</v>
      </c>
      <c r="C45" s="6" t="s">
        <v>482</v>
      </c>
      <c r="D45" s="6" t="s">
        <v>13</v>
      </c>
      <c r="E45" s="6" t="s">
        <v>14</v>
      </c>
      <c r="F45" s="6" t="s">
        <v>16</v>
      </c>
      <c r="G45" s="6" t="s">
        <v>17</v>
      </c>
      <c r="H45" s="6" t="s">
        <v>18</v>
      </c>
      <c r="I45" s="6" t="s">
        <v>19</v>
      </c>
      <c r="J45" s="6" t="s">
        <v>20</v>
      </c>
    </row>
    <row r="46">
      <c r="A46" s="5">
        <v>46213.3983690162</v>
      </c>
      <c r="B46" s="6" t="s">
        <v>44</v>
      </c>
      <c r="C46" s="6" t="s">
        <v>459</v>
      </c>
      <c r="D46" s="6" t="s">
        <v>13</v>
      </c>
      <c r="E46" s="6" t="s">
        <v>14</v>
      </c>
      <c r="F46" s="6" t="s">
        <v>16</v>
      </c>
      <c r="G46" s="6" t="s">
        <v>17</v>
      </c>
      <c r="H46" s="6" t="s">
        <v>18</v>
      </c>
      <c r="I46" s="6" t="s">
        <v>19</v>
      </c>
      <c r="J46" s="6" t="s">
        <v>20</v>
      </c>
      <c r="K46" s="6" t="s">
        <v>483</v>
      </c>
    </row>
    <row r="47">
      <c r="A47" s="5">
        <v>46213.39843349537</v>
      </c>
      <c r="B47" s="6" t="s">
        <v>97</v>
      </c>
      <c r="C47" s="6" t="s">
        <v>31</v>
      </c>
      <c r="D47" s="6" t="s">
        <v>13</v>
      </c>
      <c r="E47" s="6" t="s">
        <v>14</v>
      </c>
      <c r="F47" s="6" t="s">
        <v>16</v>
      </c>
      <c r="G47" s="6" t="s">
        <v>17</v>
      </c>
      <c r="H47" s="6" t="s">
        <v>18</v>
      </c>
      <c r="I47" s="6" t="s">
        <v>19</v>
      </c>
      <c r="J47" s="6" t="s">
        <v>20</v>
      </c>
      <c r="K47" s="6" t="s">
        <v>484</v>
      </c>
    </row>
    <row r="48">
      <c r="A48" s="5">
        <v>46213.39957079861</v>
      </c>
      <c r="B48" s="6" t="s">
        <v>42</v>
      </c>
      <c r="C48" s="6" t="s">
        <v>31</v>
      </c>
      <c r="D48" s="6" t="s">
        <v>13</v>
      </c>
      <c r="E48" s="6" t="s">
        <v>14</v>
      </c>
      <c r="F48" s="6" t="s">
        <v>16</v>
      </c>
      <c r="G48" s="6" t="s">
        <v>17</v>
      </c>
      <c r="H48" s="6" t="s">
        <v>18</v>
      </c>
      <c r="I48" s="6" t="s">
        <v>19</v>
      </c>
      <c r="J48" s="6" t="s">
        <v>20</v>
      </c>
      <c r="K48" s="6" t="s">
        <v>485</v>
      </c>
    </row>
    <row r="49">
      <c r="A49" s="5">
        <v>46213.39987891204</v>
      </c>
      <c r="B49" s="6" t="s">
        <v>37</v>
      </c>
      <c r="C49" s="6" t="s">
        <v>486</v>
      </c>
      <c r="D49" s="6" t="s">
        <v>13</v>
      </c>
      <c r="E49" s="6" t="s">
        <v>14</v>
      </c>
      <c r="F49" s="6" t="s">
        <v>16</v>
      </c>
      <c r="G49" s="6" t="s">
        <v>17</v>
      </c>
      <c r="H49" s="6" t="s">
        <v>18</v>
      </c>
      <c r="I49" s="6" t="s">
        <v>19</v>
      </c>
      <c r="J49" s="6" t="s">
        <v>20</v>
      </c>
      <c r="K49" s="6" t="s">
        <v>487</v>
      </c>
    </row>
    <row r="50">
      <c r="A50" s="5">
        <v>46213.40012978009</v>
      </c>
      <c r="B50" s="6" t="s">
        <v>95</v>
      </c>
      <c r="C50" s="6" t="s">
        <v>208</v>
      </c>
      <c r="D50" s="6" t="s">
        <v>13</v>
      </c>
      <c r="E50" s="6" t="s">
        <v>14</v>
      </c>
      <c r="F50" s="6" t="s">
        <v>16</v>
      </c>
      <c r="G50" s="6" t="s">
        <v>17</v>
      </c>
      <c r="H50" s="6" t="s">
        <v>18</v>
      </c>
      <c r="I50" s="6" t="s">
        <v>19</v>
      </c>
      <c r="J50" s="6" t="s">
        <v>20</v>
      </c>
    </row>
    <row r="51">
      <c r="A51" s="5">
        <v>46213.40045428241</v>
      </c>
      <c r="B51" s="6" t="s">
        <v>77</v>
      </c>
      <c r="C51" s="6" t="s">
        <v>459</v>
      </c>
      <c r="D51" s="6" t="s">
        <v>13</v>
      </c>
      <c r="E51" s="6" t="s">
        <v>14</v>
      </c>
      <c r="F51" s="6" t="s">
        <v>16</v>
      </c>
      <c r="G51" s="6" t="s">
        <v>17</v>
      </c>
      <c r="H51" s="6" t="s">
        <v>18</v>
      </c>
      <c r="I51" s="6" t="s">
        <v>19</v>
      </c>
      <c r="J51" s="6" t="s">
        <v>20</v>
      </c>
      <c r="K51" s="6" t="s">
        <v>488</v>
      </c>
    </row>
    <row r="52">
      <c r="A52" s="5">
        <v>46213.40099789352</v>
      </c>
      <c r="B52" s="6" t="s">
        <v>66</v>
      </c>
      <c r="C52" s="6" t="s">
        <v>475</v>
      </c>
      <c r="D52" s="6" t="s">
        <v>13</v>
      </c>
      <c r="E52" s="6" t="s">
        <v>14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  <c r="K52" s="6" t="s">
        <v>489</v>
      </c>
    </row>
    <row r="53">
      <c r="A53" s="5">
        <v>46213.401369074076</v>
      </c>
      <c r="B53" s="6" t="s">
        <v>83</v>
      </c>
      <c r="C53" s="6" t="s">
        <v>31</v>
      </c>
      <c r="D53" s="6" t="s">
        <v>13</v>
      </c>
      <c r="E53" s="6" t="s">
        <v>14</v>
      </c>
      <c r="F53" s="6" t="s">
        <v>16</v>
      </c>
      <c r="G53" s="6" t="s">
        <v>17</v>
      </c>
      <c r="H53" s="6" t="s">
        <v>18</v>
      </c>
      <c r="I53" s="6" t="s">
        <v>19</v>
      </c>
      <c r="J53" s="6" t="s">
        <v>20</v>
      </c>
    </row>
    <row r="54">
      <c r="A54" s="5">
        <v>46213.403226967595</v>
      </c>
      <c r="B54" s="6" t="s">
        <v>71</v>
      </c>
      <c r="C54" s="6" t="s">
        <v>490</v>
      </c>
      <c r="D54" s="6" t="s">
        <v>13</v>
      </c>
      <c r="E54" s="6" t="s">
        <v>14</v>
      </c>
      <c r="F54" s="6" t="s">
        <v>16</v>
      </c>
      <c r="G54" s="6" t="s">
        <v>17</v>
      </c>
      <c r="H54" s="6" t="s">
        <v>18</v>
      </c>
      <c r="I54" s="6" t="s">
        <v>19</v>
      </c>
      <c r="J54" s="6" t="s">
        <v>20</v>
      </c>
    </row>
    <row r="55">
      <c r="A55" s="5">
        <v>46213.40510583333</v>
      </c>
      <c r="B55" s="6" t="s">
        <v>201</v>
      </c>
      <c r="C55" s="6" t="s">
        <v>491</v>
      </c>
      <c r="D55" s="6" t="s">
        <v>13</v>
      </c>
      <c r="E55" s="6" t="s">
        <v>14</v>
      </c>
      <c r="F55" s="6" t="s">
        <v>16</v>
      </c>
      <c r="G55" s="6" t="s">
        <v>17</v>
      </c>
      <c r="H55" s="6" t="s">
        <v>18</v>
      </c>
      <c r="I55" s="6" t="s">
        <v>19</v>
      </c>
      <c r="J55" s="6" t="s">
        <v>20</v>
      </c>
    </row>
    <row r="56">
      <c r="A56" s="5">
        <v>46213.40774795139</v>
      </c>
      <c r="B56" s="6" t="s">
        <v>59</v>
      </c>
      <c r="C56" s="6" t="s">
        <v>492</v>
      </c>
      <c r="D56" s="6" t="s">
        <v>73</v>
      </c>
      <c r="E56" s="6" t="s">
        <v>14</v>
      </c>
      <c r="F56" s="6" t="s">
        <v>16</v>
      </c>
      <c r="G56" s="6" t="s">
        <v>17</v>
      </c>
      <c r="H56" s="6" t="s">
        <v>18</v>
      </c>
      <c r="I56" s="6" t="s">
        <v>19</v>
      </c>
      <c r="J56" s="6" t="s">
        <v>20</v>
      </c>
    </row>
    <row r="57">
      <c r="A57" s="5">
        <v>46213.41001708333</v>
      </c>
      <c r="B57" s="6" t="s">
        <v>126</v>
      </c>
      <c r="C57" s="6" t="s">
        <v>459</v>
      </c>
      <c r="D57" s="6" t="s">
        <v>13</v>
      </c>
      <c r="E57" s="6" t="s">
        <v>14</v>
      </c>
      <c r="F57" s="6" t="s">
        <v>16</v>
      </c>
      <c r="G57" s="6" t="s">
        <v>17</v>
      </c>
      <c r="H57" s="6" t="s">
        <v>18</v>
      </c>
      <c r="I57" s="6" t="s">
        <v>19</v>
      </c>
      <c r="J57" s="6" t="s">
        <v>20</v>
      </c>
    </row>
    <row r="58">
      <c r="A58" s="5">
        <v>46213.41278329861</v>
      </c>
      <c r="B58" s="6" t="s">
        <v>40</v>
      </c>
      <c r="C58" s="6" t="s">
        <v>31</v>
      </c>
      <c r="D58" s="6" t="s">
        <v>13</v>
      </c>
      <c r="E58" s="6" t="s">
        <v>14</v>
      </c>
      <c r="F58" s="6" t="s">
        <v>16</v>
      </c>
      <c r="G58" s="6" t="s">
        <v>17</v>
      </c>
      <c r="H58" s="6" t="s">
        <v>18</v>
      </c>
      <c r="I58" s="6" t="s">
        <v>19</v>
      </c>
      <c r="J58" s="6" t="s">
        <v>20</v>
      </c>
    </row>
    <row r="59">
      <c r="A59" s="5">
        <v>46213.412784224536</v>
      </c>
      <c r="B59" s="6" t="s">
        <v>104</v>
      </c>
      <c r="C59" s="6" t="s">
        <v>493</v>
      </c>
      <c r="D59" s="6" t="s">
        <v>13</v>
      </c>
      <c r="E59" s="6" t="s">
        <v>14</v>
      </c>
      <c r="F59" s="6" t="s">
        <v>16</v>
      </c>
      <c r="G59" s="6" t="s">
        <v>17</v>
      </c>
      <c r="H59" s="6" t="s">
        <v>18</v>
      </c>
      <c r="I59" s="6" t="s">
        <v>19</v>
      </c>
      <c r="J59" s="6" t="s">
        <v>20</v>
      </c>
    </row>
    <row r="60">
      <c r="A60" s="5">
        <v>46213.413073090276</v>
      </c>
      <c r="B60" s="6" t="s">
        <v>99</v>
      </c>
      <c r="C60" s="6" t="s">
        <v>459</v>
      </c>
      <c r="D60" s="6" t="s">
        <v>13</v>
      </c>
      <c r="E60" s="6" t="s">
        <v>14</v>
      </c>
      <c r="F60" s="6" t="s">
        <v>16</v>
      </c>
      <c r="G60" s="6" t="s">
        <v>17</v>
      </c>
      <c r="H60" s="6" t="s">
        <v>18</v>
      </c>
      <c r="I60" s="6" t="s">
        <v>19</v>
      </c>
      <c r="J60" s="6" t="s">
        <v>20</v>
      </c>
    </row>
    <row r="61">
      <c r="A61" s="5">
        <v>46213.41422623843</v>
      </c>
      <c r="B61" s="6" t="s">
        <v>112</v>
      </c>
      <c r="C61" s="6" t="s">
        <v>494</v>
      </c>
      <c r="D61" s="6" t="s">
        <v>13</v>
      </c>
      <c r="E61" s="6" t="s">
        <v>14</v>
      </c>
      <c r="F61" s="6" t="s">
        <v>16</v>
      </c>
      <c r="G61" s="6" t="s">
        <v>17</v>
      </c>
      <c r="H61" s="6" t="s">
        <v>18</v>
      </c>
      <c r="I61" s="6" t="s">
        <v>19</v>
      </c>
      <c r="J61" s="6" t="s">
        <v>20</v>
      </c>
    </row>
    <row r="62">
      <c r="A62" s="5">
        <v>46213.42487736111</v>
      </c>
      <c r="B62" s="6" t="s">
        <v>103</v>
      </c>
      <c r="C62" s="6" t="s">
        <v>31</v>
      </c>
      <c r="D62" s="6" t="s">
        <v>13</v>
      </c>
      <c r="E62" s="6" t="s">
        <v>14</v>
      </c>
      <c r="F62" s="6" t="s">
        <v>16</v>
      </c>
      <c r="G62" s="6" t="s">
        <v>17</v>
      </c>
      <c r="H62" s="6" t="s">
        <v>18</v>
      </c>
      <c r="I62" s="6" t="s">
        <v>55</v>
      </c>
      <c r="J62" s="6" t="s">
        <v>56</v>
      </c>
      <c r="K62" s="6" t="s">
        <v>92</v>
      </c>
    </row>
    <row r="63">
      <c r="A63" s="5">
        <v>46213.42815076389</v>
      </c>
      <c r="B63" s="6" t="s">
        <v>125</v>
      </c>
      <c r="C63" s="6" t="s">
        <v>31</v>
      </c>
      <c r="D63" s="6" t="s">
        <v>13</v>
      </c>
      <c r="E63" s="6" t="s">
        <v>14</v>
      </c>
      <c r="F63" s="6" t="s">
        <v>16</v>
      </c>
      <c r="G63" s="6" t="s">
        <v>17</v>
      </c>
      <c r="H63" s="6" t="s">
        <v>18</v>
      </c>
      <c r="I63" s="6" t="s">
        <v>19</v>
      </c>
      <c r="J63" s="6" t="s">
        <v>20</v>
      </c>
    </row>
    <row r="64">
      <c r="A64" s="5">
        <v>46213.42927921296</v>
      </c>
      <c r="B64" s="6" t="s">
        <v>178</v>
      </c>
      <c r="C64" s="6" t="s">
        <v>31</v>
      </c>
      <c r="D64" s="6" t="s">
        <v>13</v>
      </c>
      <c r="E64" s="6" t="s">
        <v>14</v>
      </c>
      <c r="F64" s="6" t="s">
        <v>16</v>
      </c>
      <c r="G64" s="6" t="s">
        <v>17</v>
      </c>
      <c r="H64" s="6" t="s">
        <v>18</v>
      </c>
      <c r="I64" s="6" t="s">
        <v>19</v>
      </c>
      <c r="J64" s="6" t="s">
        <v>20</v>
      </c>
    </row>
    <row r="65">
      <c r="A65" s="5">
        <v>46213.45577585648</v>
      </c>
      <c r="B65" s="6" t="s">
        <v>199</v>
      </c>
      <c r="C65" s="6" t="s">
        <v>459</v>
      </c>
      <c r="D65" s="6" t="s">
        <v>13</v>
      </c>
      <c r="E65" s="6" t="s">
        <v>14</v>
      </c>
      <c r="F65" s="6" t="s">
        <v>16</v>
      </c>
      <c r="G65" s="6" t="s">
        <v>17</v>
      </c>
      <c r="H65" s="6" t="s">
        <v>18</v>
      </c>
      <c r="I65" s="6" t="s">
        <v>19</v>
      </c>
      <c r="J65" s="6" t="s">
        <v>20</v>
      </c>
    </row>
    <row r="66">
      <c r="A66" s="5">
        <v>46213.51139836806</v>
      </c>
      <c r="B66" s="6" t="s">
        <v>93</v>
      </c>
      <c r="C66" s="6" t="s">
        <v>459</v>
      </c>
      <c r="D66" s="6" t="s">
        <v>13</v>
      </c>
      <c r="E66" s="6" t="s">
        <v>14</v>
      </c>
      <c r="F66" s="6" t="s">
        <v>16</v>
      </c>
      <c r="G66" s="6" t="s">
        <v>17</v>
      </c>
      <c r="H66" s="6" t="s">
        <v>18</v>
      </c>
      <c r="I66" s="6" t="s">
        <v>19</v>
      </c>
      <c r="J66" s="6" t="s">
        <v>20</v>
      </c>
    </row>
    <row r="67">
      <c r="A67" s="5">
        <v>46213.578758275464</v>
      </c>
      <c r="B67" s="6" t="s">
        <v>52</v>
      </c>
      <c r="C67" s="6" t="s">
        <v>495</v>
      </c>
      <c r="D67" s="6" t="s">
        <v>13</v>
      </c>
      <c r="E67" s="6" t="s">
        <v>14</v>
      </c>
      <c r="F67" s="6" t="s">
        <v>16</v>
      </c>
      <c r="G67" s="6" t="s">
        <v>17</v>
      </c>
      <c r="H67" s="6" t="s">
        <v>18</v>
      </c>
      <c r="I67" s="6" t="s">
        <v>55</v>
      </c>
      <c r="J67" s="6" t="s">
        <v>20</v>
      </c>
    </row>
    <row r="68">
      <c r="A68" s="5">
        <v>46214.4748690625</v>
      </c>
      <c r="B68" s="6" t="s">
        <v>132</v>
      </c>
      <c r="C68" s="6" t="s">
        <v>180</v>
      </c>
      <c r="D68" s="6" t="s">
        <v>73</v>
      </c>
      <c r="E68" s="6" t="s">
        <v>14</v>
      </c>
      <c r="F68" s="6" t="s">
        <v>16</v>
      </c>
      <c r="G68" s="6" t="s">
        <v>17</v>
      </c>
      <c r="H68" s="6" t="s">
        <v>18</v>
      </c>
      <c r="I68" s="6" t="s">
        <v>19</v>
      </c>
      <c r="J68" s="6" t="s">
        <v>20</v>
      </c>
    </row>
    <row r="69">
      <c r="A69" s="5">
        <v>46217.9976353588</v>
      </c>
      <c r="B69" s="6" t="s">
        <v>203</v>
      </c>
      <c r="C69" s="6" t="s">
        <v>31</v>
      </c>
      <c r="D69" s="6" t="s">
        <v>13</v>
      </c>
      <c r="E69" s="6" t="s">
        <v>14</v>
      </c>
      <c r="F69" s="6" t="s">
        <v>16</v>
      </c>
      <c r="G69" s="6" t="s">
        <v>17</v>
      </c>
      <c r="H69" s="6" t="s">
        <v>18</v>
      </c>
      <c r="I69" s="6" t="s">
        <v>19</v>
      </c>
      <c r="J69" s="6" t="s">
        <v>20</v>
      </c>
    </row>
    <row r="70">
      <c r="A70" s="5">
        <v>46262.432530868056</v>
      </c>
      <c r="B70" s="6" t="s">
        <v>30</v>
      </c>
      <c r="C70" s="6" t="s">
        <v>31</v>
      </c>
      <c r="D70" s="6" t="s">
        <v>13</v>
      </c>
      <c r="E70" s="6" t="s">
        <v>14</v>
      </c>
      <c r="F70" s="6" t="s">
        <v>16</v>
      </c>
      <c r="G70" s="6" t="s">
        <v>17</v>
      </c>
      <c r="H70" s="6" t="s">
        <v>18</v>
      </c>
      <c r="I70" s="6" t="s">
        <v>19</v>
      </c>
      <c r="J70" s="6" t="s">
        <v>20</v>
      </c>
    </row>
    <row r="71">
      <c r="A71" s="5">
        <v>46262.48774640047</v>
      </c>
      <c r="B71" s="6" t="s">
        <v>63</v>
      </c>
      <c r="C71" s="6" t="s">
        <v>31</v>
      </c>
      <c r="D71" s="6" t="s">
        <v>13</v>
      </c>
      <c r="E71" s="6" t="s">
        <v>14</v>
      </c>
      <c r="F71" s="6" t="s">
        <v>16</v>
      </c>
      <c r="G71" s="6" t="s">
        <v>17</v>
      </c>
      <c r="H71" s="6" t="s">
        <v>18</v>
      </c>
      <c r="I71" s="6" t="s">
        <v>19</v>
      </c>
      <c r="J71" s="6" t="s">
        <v>20</v>
      </c>
      <c r="K71" s="6" t="s">
        <v>496</v>
      </c>
    </row>
    <row r="72">
      <c r="A72" s="5">
        <v>46262.521699895835</v>
      </c>
      <c r="B72" s="6" t="s">
        <v>69</v>
      </c>
      <c r="C72" s="6" t="s">
        <v>462</v>
      </c>
      <c r="D72" s="6" t="s">
        <v>13</v>
      </c>
      <c r="E72" s="6" t="s">
        <v>14</v>
      </c>
      <c r="F72" s="6" t="s">
        <v>16</v>
      </c>
      <c r="G72" s="6" t="s">
        <v>17</v>
      </c>
      <c r="H72" s="6" t="s">
        <v>18</v>
      </c>
      <c r="I72" s="6" t="s">
        <v>19</v>
      </c>
      <c r="J72" s="6" t="s">
        <v>20</v>
      </c>
    </row>
    <row r="73">
      <c r="A73" s="5">
        <v>46262.600362708334</v>
      </c>
      <c r="B73" s="6" t="s">
        <v>86</v>
      </c>
      <c r="C73" s="6" t="s">
        <v>480</v>
      </c>
      <c r="D73" s="6" t="s">
        <v>13</v>
      </c>
      <c r="E73" s="6" t="s">
        <v>14</v>
      </c>
      <c r="F73" s="6" t="s">
        <v>16</v>
      </c>
      <c r="G73" s="6" t="s">
        <v>17</v>
      </c>
      <c r="H73" s="6" t="s">
        <v>18</v>
      </c>
      <c r="I73" s="6" t="s">
        <v>19</v>
      </c>
      <c r="J73" s="6" t="s">
        <v>20</v>
      </c>
    </row>
    <row r="74">
      <c r="A74" s="5">
        <v>46264.880849340276</v>
      </c>
      <c r="B74" s="6" t="s">
        <v>108</v>
      </c>
      <c r="C74" s="6" t="s">
        <v>109</v>
      </c>
      <c r="D74" s="6" t="s">
        <v>13</v>
      </c>
      <c r="E74" s="6" t="s">
        <v>14</v>
      </c>
      <c r="F74" s="6" t="s">
        <v>16</v>
      </c>
      <c r="G74" s="6" t="s">
        <v>17</v>
      </c>
      <c r="H74" s="6" t="s">
        <v>18</v>
      </c>
      <c r="I74" s="6" t="s">
        <v>19</v>
      </c>
      <c r="J74" s="6" t="s">
        <v>20</v>
      </c>
    </row>
    <row r="75">
      <c r="A75" s="5">
        <v>46266.68358814815</v>
      </c>
      <c r="B75" s="6" t="s">
        <v>121</v>
      </c>
      <c r="C75" s="6" t="s">
        <v>31</v>
      </c>
      <c r="D75" s="6" t="s">
        <v>13</v>
      </c>
      <c r="E75" s="6" t="s">
        <v>14</v>
      </c>
      <c r="F75" s="6" t="s">
        <v>16</v>
      </c>
      <c r="G75" s="6" t="s">
        <v>17</v>
      </c>
      <c r="H75" s="6" t="s">
        <v>18</v>
      </c>
      <c r="I75" s="6" t="s">
        <v>19</v>
      </c>
      <c r="J75" s="6" t="s">
        <v>20</v>
      </c>
    </row>
    <row r="76">
      <c r="A76" s="5">
        <v>46266.68840630787</v>
      </c>
      <c r="B76" s="6" t="s">
        <v>124</v>
      </c>
      <c r="C76" s="6" t="s">
        <v>31</v>
      </c>
      <c r="D76" s="6" t="s">
        <v>13</v>
      </c>
      <c r="E76" s="6" t="s">
        <v>14</v>
      </c>
      <c r="F76" s="6" t="s">
        <v>16</v>
      </c>
      <c r="G76" s="6" t="s">
        <v>17</v>
      </c>
      <c r="H76" s="6" t="s">
        <v>18</v>
      </c>
      <c r="I76" s="6" t="s">
        <v>19</v>
      </c>
      <c r="J76" s="6" t="s">
        <v>20</v>
      </c>
    </row>
    <row r="77">
      <c r="A77" s="5">
        <v>46267.31099096064</v>
      </c>
      <c r="B77" s="6" t="s">
        <v>129</v>
      </c>
      <c r="C77" s="6" t="s">
        <v>31</v>
      </c>
      <c r="D77" s="6" t="s">
        <v>13</v>
      </c>
      <c r="E77" s="6" t="s">
        <v>14</v>
      </c>
      <c r="F77" s="6" t="s">
        <v>16</v>
      </c>
      <c r="G77" s="6" t="s">
        <v>17</v>
      </c>
      <c r="H77" s="6" t="s">
        <v>18</v>
      </c>
      <c r="I77" s="6" t="s">
        <v>19</v>
      </c>
      <c r="J77" s="6" t="s">
        <v>20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1" t="s">
        <v>0</v>
      </c>
      <c r="B1" s="1" t="s">
        <v>1</v>
      </c>
      <c r="C1" s="3" t="s">
        <v>2</v>
      </c>
      <c r="D1" s="4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1"/>
      <c r="M1" s="7" t="s">
        <v>15</v>
      </c>
    </row>
    <row r="2">
      <c r="A2" s="8">
        <f>'2.1'!A:A</f>
        <v>46213.39111</v>
      </c>
      <c r="B2" s="1" t="str">
        <f>'2.1'!B:B</f>
        <v>bnco1001@signalschool.ac.th</v>
      </c>
      <c r="C2" s="1" t="str">
        <f>'2.1'!C:C</f>
        <v>ส.อ. สรชัช ชัยสนิท</v>
      </c>
      <c r="D2" s="9">
        <v>1.0</v>
      </c>
      <c r="E2" s="10">
        <f>IFERROR(vlookup('2.1'!D:D,lookup!$A$2:$B$4,2,false),0)</f>
        <v>5</v>
      </c>
      <c r="F2" s="10">
        <f>IFERROR(vlookup('2.1'!E:E,lookup!$A$6:$B$8,2,false),0)</f>
        <v>5</v>
      </c>
      <c r="G2" s="10">
        <f>IFERROR(vlookup('2.1'!F:F,lookup!$A$10:$B$12,2,false),0)</f>
        <v>5</v>
      </c>
      <c r="H2" s="10">
        <f>IFERROR(vlookup('2.1'!G:G,lookup!$A$14:$B$16,2,false),0)</f>
        <v>5</v>
      </c>
      <c r="I2" s="10">
        <f>IFERROR(vlookup('2.1'!H:H,lookup!$A$18:$B$20,2,false),0)</f>
        <v>5</v>
      </c>
      <c r="J2" s="10">
        <f>IFERROR(vlookup('2.1'!I:I,lookup!$A$22:$B$24,2,false),0)</f>
        <v>5</v>
      </c>
      <c r="K2" s="10">
        <f>IFERROR(vlookup('2.1'!J:J,lookup!$A$26:$B$28,2,false),0)</f>
        <v>5</v>
      </c>
      <c r="L2" s="1"/>
      <c r="M2" s="10">
        <v>1.0</v>
      </c>
      <c r="N2" s="11" t="str">
        <f t="shared" ref="N2:N81" si="1">CONCAT(R2,"@signalschool.ac.th")</f>
        <v>bnco1001@signalschool.ac.th</v>
      </c>
      <c r="O2" s="12">
        <f t="shared" ref="O2:O81" si="2">IFERROR(VLOOKUP(N2,B$2:D$81,3,FALSE),0)</f>
        <v>1</v>
      </c>
      <c r="R2" s="6" t="s">
        <v>91</v>
      </c>
    </row>
    <row r="3">
      <c r="A3" s="8">
        <f>'2.1'!A:A</f>
        <v>46213.39117</v>
      </c>
      <c r="B3" s="1" t="str">
        <f>'2.1'!B:B</f>
        <v>bnco1018@signalschool.ac.th</v>
      </c>
      <c r="C3" s="1" t="str">
        <f>'2.1'!C:C</f>
        <v>พ.ต. ไมตรี  บุญเหลื่อม</v>
      </c>
      <c r="D3" s="9">
        <v>1.0</v>
      </c>
      <c r="E3" s="10">
        <f>IFERROR(vlookup('2.1'!D:D,lookup!$A$2:$B$4,2,false),0)</f>
        <v>5</v>
      </c>
      <c r="F3" s="10">
        <f>IFERROR(vlookup('2.1'!E:E,lookup!$A$6:$B$8,2,false),0)</f>
        <v>5</v>
      </c>
      <c r="G3" s="10">
        <f>IFERROR(vlookup('2.1'!F:F,lookup!$A$10:$B$12,2,false),0)</f>
        <v>5</v>
      </c>
      <c r="H3" s="10">
        <f>IFERROR(vlookup('2.1'!G:G,lookup!$A$14:$B$16,2,false),0)</f>
        <v>5</v>
      </c>
      <c r="I3" s="10">
        <f>IFERROR(vlookup('2.1'!H:H,lookup!$A$18:$B$20,2,false),0)</f>
        <v>5</v>
      </c>
      <c r="J3" s="10">
        <f>IFERROR(vlookup('2.1'!I:I,lookup!$A$22:$B$24,2,false),0)</f>
        <v>5</v>
      </c>
      <c r="K3" s="10">
        <f>IFERROR(vlookup('2.1'!J:J,lookup!$A$26:$B$28,2,false),0)</f>
        <v>5</v>
      </c>
      <c r="L3" s="1"/>
      <c r="M3" s="10">
        <v>2.0</v>
      </c>
      <c r="N3" s="11" t="str">
        <f t="shared" si="1"/>
        <v>bnco1002@signalschool.ac.th</v>
      </c>
      <c r="O3" s="12">
        <f t="shared" si="2"/>
        <v>1</v>
      </c>
      <c r="R3" s="6" t="s">
        <v>123</v>
      </c>
    </row>
    <row r="4">
      <c r="A4" s="8">
        <f>'2.1'!A:A</f>
        <v>46213.39148</v>
      </c>
      <c r="B4" s="1" t="str">
        <f>'2.1'!B:B</f>
        <v>bnco1035@signalschool.ac.th</v>
      </c>
      <c r="C4" s="1" t="str">
        <f>'2.1'!C:C</f>
        <v>พ.ต. ไมตรี  บุญเหลื่อม</v>
      </c>
      <c r="D4" s="9">
        <v>1.0</v>
      </c>
      <c r="E4" s="10">
        <f>IFERROR(vlookup('2.1'!D:D,lookup!$A$2:$B$4,2,false),0)</f>
        <v>5</v>
      </c>
      <c r="F4" s="10">
        <f>IFERROR(vlookup('2.1'!E:E,lookup!$A$6:$B$8,2,false),0)</f>
        <v>5</v>
      </c>
      <c r="G4" s="10">
        <f>IFERROR(vlookup('2.1'!F:F,lookup!$A$10:$B$12,2,false),0)</f>
        <v>5</v>
      </c>
      <c r="H4" s="10">
        <f>IFERROR(vlookup('2.1'!G:G,lookup!$A$14:$B$16,2,false),0)</f>
        <v>5</v>
      </c>
      <c r="I4" s="10">
        <f>IFERROR(vlookup('2.1'!H:H,lookup!$A$18:$B$20,2,false),0)</f>
        <v>5</v>
      </c>
      <c r="J4" s="10">
        <f>IFERROR(vlookup('2.1'!I:I,lookup!$A$22:$B$24,2,false),0)</f>
        <v>5</v>
      </c>
      <c r="K4" s="10">
        <f>IFERROR(vlookup('2.1'!J:J,lookup!$A$26:$B$28,2,false),0)</f>
        <v>5</v>
      </c>
      <c r="L4" s="1"/>
      <c r="M4" s="10">
        <v>3.0</v>
      </c>
      <c r="N4" s="11" t="str">
        <f t="shared" si="1"/>
        <v>bnco1003@signalschool.ac.th</v>
      </c>
      <c r="O4" s="12">
        <f t="shared" si="2"/>
        <v>1</v>
      </c>
      <c r="R4" s="6" t="s">
        <v>141</v>
      </c>
    </row>
    <row r="5">
      <c r="A5" s="8">
        <f>'2.1'!A:A</f>
        <v>46213.39157</v>
      </c>
      <c r="B5" s="1" t="str">
        <f>'2.1'!B:B</f>
        <v>bnco1040@signalschool.ac.th</v>
      </c>
      <c r="C5" s="1" t="str">
        <f>'2.1'!C:C</f>
        <v>พ.ต. ไมตรี  บุญเหลื่อม</v>
      </c>
      <c r="D5" s="9">
        <v>1.0</v>
      </c>
      <c r="E5" s="10">
        <f>IFERROR(vlookup('2.1'!D:D,lookup!$A$2:$B$4,2,false),0)</f>
        <v>5</v>
      </c>
      <c r="F5" s="10">
        <f>IFERROR(vlookup('2.1'!E:E,lookup!$A$6:$B$8,2,false),0)</f>
        <v>5</v>
      </c>
      <c r="G5" s="10">
        <f>IFERROR(vlookup('2.1'!F:F,lookup!$A$10:$B$12,2,false),0)</f>
        <v>5</v>
      </c>
      <c r="H5" s="10">
        <f>IFERROR(vlookup('2.1'!G:G,lookup!$A$14:$B$16,2,false),0)</f>
        <v>5</v>
      </c>
      <c r="I5" s="10">
        <f>IFERROR(vlookup('2.1'!H:H,lookup!$A$18:$B$20,2,false),0)</f>
        <v>5</v>
      </c>
      <c r="J5" s="10">
        <f>IFERROR(vlookup('2.1'!I:I,lookup!$A$22:$B$24,2,false),0)</f>
        <v>5</v>
      </c>
      <c r="K5" s="10">
        <f>IFERROR(vlookup('2.1'!J:J,lookup!$A$26:$B$28,2,false),0)</f>
        <v>5</v>
      </c>
      <c r="L5" s="1"/>
      <c r="M5" s="10">
        <v>4.0</v>
      </c>
      <c r="N5" s="11" t="str">
        <f t="shared" si="1"/>
        <v>bnco1004@signalschool.ac.th</v>
      </c>
      <c r="O5" s="12">
        <f t="shared" si="2"/>
        <v>1</v>
      </c>
      <c r="R5" s="6" t="s">
        <v>143</v>
      </c>
    </row>
    <row r="6">
      <c r="A6" s="8">
        <f>'2.1'!A:A</f>
        <v>46213.39184</v>
      </c>
      <c r="B6" s="1" t="str">
        <f>'2.1'!B:B</f>
        <v>bnco1009@signalschool.ac.th</v>
      </c>
      <c r="C6" s="1" t="str">
        <f>'2.1'!C:C</f>
        <v>พ.ต. ไมตรี  บุญเหลื่อม</v>
      </c>
      <c r="D6" s="9">
        <v>1.0</v>
      </c>
      <c r="E6" s="10">
        <f>IFERROR(vlookup('2.1'!D:D,lookup!$A$2:$B$4,2,false),0)</f>
        <v>5</v>
      </c>
      <c r="F6" s="10">
        <f>IFERROR(vlookup('2.1'!E:E,lookup!$A$6:$B$8,2,false),0)</f>
        <v>5</v>
      </c>
      <c r="G6" s="10">
        <f>IFERROR(vlookup('2.1'!F:F,lookup!$A$10:$B$12,2,false),0)</f>
        <v>5</v>
      </c>
      <c r="H6" s="10">
        <f>IFERROR(vlookup('2.1'!G:G,lookup!$A$14:$B$16,2,false),0)</f>
        <v>5</v>
      </c>
      <c r="I6" s="10">
        <f>IFERROR(vlookup('2.1'!H:H,lookup!$A$18:$B$20,2,false),0)</f>
        <v>5</v>
      </c>
      <c r="J6" s="10">
        <f>IFERROR(vlookup('2.1'!I:I,lookup!$A$22:$B$24,2,false),0)</f>
        <v>5</v>
      </c>
      <c r="K6" s="10">
        <f>IFERROR(vlookup('2.1'!J:J,lookup!$A$26:$B$28,2,false),0)</f>
        <v>5</v>
      </c>
      <c r="L6" s="1"/>
      <c r="M6" s="10">
        <v>5.0</v>
      </c>
      <c r="N6" s="11" t="str">
        <f t="shared" si="1"/>
        <v>bnco1005@signalschool.ac.th</v>
      </c>
      <c r="O6" s="12">
        <f t="shared" si="2"/>
        <v>0</v>
      </c>
      <c r="R6" s="6" t="s">
        <v>144</v>
      </c>
    </row>
    <row r="7">
      <c r="A7" s="8">
        <f>'2.1'!A:A</f>
        <v>46213.39184</v>
      </c>
      <c r="B7" s="1" t="str">
        <f>'2.1'!B:B</f>
        <v>bnco1014@signalschool.ac.th</v>
      </c>
      <c r="C7" s="1" t="str">
        <f>'2.1'!C:C</f>
        <v>ส.อ. พงษ์พิสิทธิ์ สุธาทัศน์</v>
      </c>
      <c r="D7" s="9">
        <v>1.0</v>
      </c>
      <c r="E7" s="10">
        <f>IFERROR(vlookup('2.1'!D:D,lookup!$A$2:$B$4,2,false),0)</f>
        <v>5</v>
      </c>
      <c r="F7" s="10">
        <f>IFERROR(vlookup('2.1'!E:E,lookup!$A$6:$B$8,2,false),0)</f>
        <v>5</v>
      </c>
      <c r="G7" s="10">
        <f>IFERROR(vlookup('2.1'!F:F,lookup!$A$10:$B$12,2,false),0)</f>
        <v>5</v>
      </c>
      <c r="H7" s="10">
        <f>IFERROR(vlookup('2.1'!G:G,lookup!$A$14:$B$16,2,false),0)</f>
        <v>5</v>
      </c>
      <c r="I7" s="10">
        <f>IFERROR(vlookup('2.1'!H:H,lookup!$A$18:$B$20,2,false),0)</f>
        <v>5</v>
      </c>
      <c r="J7" s="10">
        <f>IFERROR(vlookup('2.1'!I:I,lookup!$A$22:$B$24,2,false),0)</f>
        <v>5</v>
      </c>
      <c r="K7" s="10">
        <f>IFERROR(vlookup('2.1'!J:J,lookup!$A$26:$B$28,2,false),0)</f>
        <v>5</v>
      </c>
      <c r="L7" s="1"/>
      <c r="M7" s="10">
        <v>6.0</v>
      </c>
      <c r="N7" s="11" t="str">
        <f t="shared" si="1"/>
        <v>bnco1006@signalschool.ac.th</v>
      </c>
      <c r="O7" s="12">
        <f t="shared" si="2"/>
        <v>1</v>
      </c>
      <c r="R7" s="6" t="s">
        <v>145</v>
      </c>
    </row>
    <row r="8">
      <c r="A8" s="8">
        <f>'2.1'!A:A</f>
        <v>46213.39189</v>
      </c>
      <c r="B8" s="1" t="str">
        <f>'2.1'!B:B</f>
        <v>bnco1013@signalschool.ac.th</v>
      </c>
      <c r="C8" s="1" t="str">
        <f>'2.1'!C:C</f>
        <v>พ.ต.ไมตรี บุญเหลื่อม</v>
      </c>
      <c r="D8" s="9">
        <v>1.0</v>
      </c>
      <c r="E8" s="10">
        <f>IFERROR(vlookup('2.1'!D:D,lookup!$A$2:$B$4,2,false),0)</f>
        <v>5</v>
      </c>
      <c r="F8" s="10">
        <f>IFERROR(vlookup('2.1'!E:E,lookup!$A$6:$B$8,2,false),0)</f>
        <v>5</v>
      </c>
      <c r="G8" s="10">
        <f>IFERROR(vlookup('2.1'!F:F,lookup!$A$10:$B$12,2,false),0)</f>
        <v>5</v>
      </c>
      <c r="H8" s="10">
        <f>IFERROR(vlookup('2.1'!G:G,lookup!$A$14:$B$16,2,false),0)</f>
        <v>5</v>
      </c>
      <c r="I8" s="10">
        <f>IFERROR(vlookup('2.1'!H:H,lookup!$A$18:$B$20,2,false),0)</f>
        <v>5</v>
      </c>
      <c r="J8" s="10">
        <f>IFERROR(vlookup('2.1'!I:I,lookup!$A$22:$B$24,2,false),0)</f>
        <v>5</v>
      </c>
      <c r="K8" s="10">
        <f>IFERROR(vlookup('2.1'!J:J,lookup!$A$26:$B$28,2,false),0)</f>
        <v>5</v>
      </c>
      <c r="L8" s="1"/>
      <c r="M8" s="10">
        <v>7.0</v>
      </c>
      <c r="N8" s="11" t="str">
        <f t="shared" si="1"/>
        <v>bnco1007@signalschool.ac.th</v>
      </c>
      <c r="O8" s="12">
        <f t="shared" si="2"/>
        <v>0</v>
      </c>
      <c r="R8" s="6" t="s">
        <v>155</v>
      </c>
    </row>
    <row r="9">
      <c r="A9" s="8">
        <f>'2.1'!A:A</f>
        <v>46213.39203</v>
      </c>
      <c r="B9" s="1" t="str">
        <f>'2.1'!B:B</f>
        <v>bnco1010@signalschool.ac.th</v>
      </c>
      <c r="C9" s="1" t="str">
        <f>'2.1'!C:C</f>
        <v>พ.ต. ไมตรี  บุญเหลื่อม</v>
      </c>
      <c r="D9" s="9">
        <v>1.0</v>
      </c>
      <c r="E9" s="10">
        <f>IFERROR(vlookup('2.1'!D:D,lookup!$A$2:$B$4,2,false),0)</f>
        <v>5</v>
      </c>
      <c r="F9" s="10">
        <f>IFERROR(vlookup('2.1'!E:E,lookup!$A$6:$B$8,2,false),0)</f>
        <v>5</v>
      </c>
      <c r="G9" s="10">
        <f>IFERROR(vlookup('2.1'!F:F,lookup!$A$10:$B$12,2,false),0)</f>
        <v>5</v>
      </c>
      <c r="H9" s="10">
        <f>IFERROR(vlookup('2.1'!G:G,lookup!$A$14:$B$16,2,false),0)</f>
        <v>5</v>
      </c>
      <c r="I9" s="10">
        <f>IFERROR(vlookup('2.1'!H:H,lookup!$A$18:$B$20,2,false),0)</f>
        <v>5</v>
      </c>
      <c r="J9" s="10">
        <f>IFERROR(vlookup('2.1'!I:I,lookup!$A$22:$B$24,2,false),0)</f>
        <v>5</v>
      </c>
      <c r="K9" s="10">
        <f>IFERROR(vlookup('2.1'!J:J,lookup!$A$26:$B$28,2,false),0)</f>
        <v>5</v>
      </c>
      <c r="L9" s="1"/>
      <c r="M9" s="10">
        <v>8.0</v>
      </c>
      <c r="N9" s="11" t="str">
        <f t="shared" si="1"/>
        <v>bnco1008@signalschool.ac.th</v>
      </c>
      <c r="O9" s="12">
        <f t="shared" si="2"/>
        <v>1</v>
      </c>
      <c r="R9" s="6" t="s">
        <v>166</v>
      </c>
    </row>
    <row r="10">
      <c r="A10" s="8">
        <f>'2.1'!A:A</f>
        <v>46213.39215</v>
      </c>
      <c r="B10" s="1" t="str">
        <f>'2.1'!B:B</f>
        <v>bnco1008@signalschool.ac.th</v>
      </c>
      <c r="C10" s="1" t="str">
        <f>'2.1'!C:C</f>
        <v>พ.ต.ไมตรี บุญเหลื่อม</v>
      </c>
      <c r="D10" s="9">
        <v>1.0</v>
      </c>
      <c r="E10" s="10">
        <f>IFERROR(vlookup('2.1'!D:D,lookup!$A$2:$B$4,2,false),0)</f>
        <v>5</v>
      </c>
      <c r="F10" s="10">
        <f>IFERROR(vlookup('2.1'!E:E,lookup!$A$6:$B$8,2,false),0)</f>
        <v>5</v>
      </c>
      <c r="G10" s="10">
        <f>IFERROR(vlookup('2.1'!F:F,lookup!$A$10:$B$12,2,false),0)</f>
        <v>5</v>
      </c>
      <c r="H10" s="10">
        <f>IFERROR(vlookup('2.1'!G:G,lookup!$A$14:$B$16,2,false),0)</f>
        <v>5</v>
      </c>
      <c r="I10" s="10">
        <f>IFERROR(vlookup('2.1'!H:H,lookup!$A$18:$B$20,2,false),0)</f>
        <v>5</v>
      </c>
      <c r="J10" s="10">
        <f>IFERROR(vlookup('2.1'!I:I,lookup!$A$22:$B$24,2,false),0)</f>
        <v>5</v>
      </c>
      <c r="K10" s="10">
        <f>IFERROR(vlookup('2.1'!J:J,lookup!$A$26:$B$28,2,false),0)</f>
        <v>5</v>
      </c>
      <c r="L10" s="1"/>
      <c r="M10" s="10">
        <v>9.0</v>
      </c>
      <c r="N10" s="11" t="str">
        <f t="shared" si="1"/>
        <v>bnco1009@signalschool.ac.th</v>
      </c>
      <c r="O10" s="12">
        <f t="shared" si="2"/>
        <v>1</v>
      </c>
      <c r="R10" s="6" t="s">
        <v>175</v>
      </c>
    </row>
    <row r="11">
      <c r="A11" s="8">
        <f>'2.1'!A:A</f>
        <v>46213.39216</v>
      </c>
      <c r="B11" s="1" t="str">
        <f>'2.1'!B:B</f>
        <v>bnco1038@signalschool.ac.th</v>
      </c>
      <c r="C11" s="1" t="str">
        <f>'2.1'!C:C</f>
        <v>พ.ต.ไมตรี บุญเหลื่อม</v>
      </c>
      <c r="D11" s="9">
        <v>1.0</v>
      </c>
      <c r="E11" s="10">
        <f>IFERROR(vlookup('2.1'!D:D,lookup!$A$2:$B$4,2,false),0)</f>
        <v>5</v>
      </c>
      <c r="F11" s="10">
        <f>IFERROR(vlookup('2.1'!E:E,lookup!$A$6:$B$8,2,false),0)</f>
        <v>5</v>
      </c>
      <c r="G11" s="10">
        <f>IFERROR(vlookup('2.1'!F:F,lookup!$A$10:$B$12,2,false),0)</f>
        <v>5</v>
      </c>
      <c r="H11" s="10">
        <f>IFERROR(vlookup('2.1'!G:G,lookup!$A$14:$B$16,2,false),0)</f>
        <v>5</v>
      </c>
      <c r="I11" s="10">
        <f>IFERROR(vlookup('2.1'!H:H,lookup!$A$18:$B$20,2,false),0)</f>
        <v>5</v>
      </c>
      <c r="J11" s="10">
        <f>IFERROR(vlookup('2.1'!I:I,lookup!$A$22:$B$24,2,false),0)</f>
        <v>5</v>
      </c>
      <c r="K11" s="10">
        <f>IFERROR(vlookup('2.1'!J:J,lookup!$A$26:$B$28,2,false),0)</f>
        <v>5</v>
      </c>
      <c r="L11" s="1"/>
      <c r="M11" s="10">
        <v>10.0</v>
      </c>
      <c r="N11" s="11" t="str">
        <f t="shared" si="1"/>
        <v>bnco1010@signalschool.ac.th</v>
      </c>
      <c r="O11" s="12">
        <f t="shared" si="2"/>
        <v>1</v>
      </c>
      <c r="R11" s="6" t="s">
        <v>192</v>
      </c>
    </row>
    <row r="12">
      <c r="A12" s="8">
        <f>'2.1'!A:A</f>
        <v>46213.39226</v>
      </c>
      <c r="B12" s="1" t="str">
        <f>'2.1'!B:B</f>
        <v>bnco1049@signalschool.ac.th</v>
      </c>
      <c r="C12" s="1" t="str">
        <f>'2.1'!C:C</f>
        <v>พ.ต. ไมตรี  บุญเหลื่อม</v>
      </c>
      <c r="D12" s="9">
        <v>1.0</v>
      </c>
      <c r="E12" s="10">
        <f>IFERROR(vlookup('2.1'!D:D,lookup!$A$2:$B$4,2,false),0)</f>
        <v>5</v>
      </c>
      <c r="F12" s="10">
        <f>IFERROR(vlookup('2.1'!E:E,lookup!$A$6:$B$8,2,false),0)</f>
        <v>5</v>
      </c>
      <c r="G12" s="10">
        <f>IFERROR(vlookup('2.1'!F:F,lookup!$A$10:$B$12,2,false),0)</f>
        <v>5</v>
      </c>
      <c r="H12" s="10">
        <f>IFERROR(vlookup('2.1'!G:G,lookup!$A$14:$B$16,2,false),0)</f>
        <v>5</v>
      </c>
      <c r="I12" s="10">
        <f>IFERROR(vlookup('2.1'!H:H,lookup!$A$18:$B$20,2,false),0)</f>
        <v>5</v>
      </c>
      <c r="J12" s="10">
        <f>IFERROR(vlookup('2.1'!I:I,lookup!$A$22:$B$24,2,false),0)</f>
        <v>5</v>
      </c>
      <c r="K12" s="10">
        <f>IFERROR(vlookup('2.1'!J:J,lookup!$A$26:$B$28,2,false),0)</f>
        <v>5</v>
      </c>
      <c r="L12" s="1"/>
      <c r="M12" s="10">
        <v>11.0</v>
      </c>
      <c r="N12" s="11" t="str">
        <f t="shared" si="1"/>
        <v>bnco1011@signalschool.ac.th</v>
      </c>
      <c r="O12" s="12">
        <f t="shared" si="2"/>
        <v>1</v>
      </c>
      <c r="R12" s="6" t="s">
        <v>209</v>
      </c>
    </row>
    <row r="13">
      <c r="A13" s="8">
        <f>'2.1'!A:A</f>
        <v>46213.3924</v>
      </c>
      <c r="B13" s="1" t="str">
        <f>'2.1'!B:B</f>
        <v>bnco1058@signalschool.ac.th</v>
      </c>
      <c r="C13" s="1" t="str">
        <f>'2.1'!C:C</f>
        <v>พ.ต. ไมตรี  บุญเหลื่อม</v>
      </c>
      <c r="D13" s="9">
        <v>1.0</v>
      </c>
      <c r="E13" s="10">
        <f>IFERROR(vlookup('2.1'!D:D,lookup!$A$2:$B$4,2,false),0)</f>
        <v>5</v>
      </c>
      <c r="F13" s="10">
        <f>IFERROR(vlookup('2.1'!E:E,lookup!$A$6:$B$8,2,false),0)</f>
        <v>5</v>
      </c>
      <c r="G13" s="10">
        <f>IFERROR(vlookup('2.1'!F:F,lookup!$A$10:$B$12,2,false),0)</f>
        <v>5</v>
      </c>
      <c r="H13" s="10">
        <f>IFERROR(vlookup('2.1'!G:G,lookup!$A$14:$B$16,2,false),0)</f>
        <v>5</v>
      </c>
      <c r="I13" s="10">
        <f>IFERROR(vlookup('2.1'!H:H,lookup!$A$18:$B$20,2,false),0)</f>
        <v>5</v>
      </c>
      <c r="J13" s="10">
        <f>IFERROR(vlookup('2.1'!I:I,lookup!$A$22:$B$24,2,false),0)</f>
        <v>5</v>
      </c>
      <c r="K13" s="10">
        <f>IFERROR(vlookup('2.1'!J:J,lookup!$A$26:$B$28,2,false),0)</f>
        <v>3</v>
      </c>
      <c r="L13" s="1"/>
      <c r="M13" s="10">
        <v>12.0</v>
      </c>
      <c r="N13" s="11" t="str">
        <f t="shared" si="1"/>
        <v>bnco1012@signalschool.ac.th</v>
      </c>
      <c r="O13" s="12">
        <f t="shared" si="2"/>
        <v>1</v>
      </c>
      <c r="R13" s="6" t="s">
        <v>213</v>
      </c>
    </row>
    <row r="14">
      <c r="A14" s="8">
        <f>'2.1'!A:A</f>
        <v>46213.39287</v>
      </c>
      <c r="B14" s="1" t="str">
        <f>'2.1'!B:B</f>
        <v>bnco1026@signalschool.ac.th</v>
      </c>
      <c r="C14" s="1" t="str">
        <f>'2.1'!C:C</f>
        <v>พ.ต. ไมตรี  บุญเหลื่อม</v>
      </c>
      <c r="D14" s="9">
        <v>1.0</v>
      </c>
      <c r="E14" s="10">
        <f>IFERROR(vlookup('2.1'!D:D,lookup!$A$2:$B$4,2,false),0)</f>
        <v>5</v>
      </c>
      <c r="F14" s="10">
        <f>IFERROR(vlookup('2.1'!E:E,lookup!$A$6:$B$8,2,false),0)</f>
        <v>5</v>
      </c>
      <c r="G14" s="10">
        <f>IFERROR(vlookup('2.1'!F:F,lookup!$A$10:$B$12,2,false),0)</f>
        <v>5</v>
      </c>
      <c r="H14" s="10">
        <f>IFERROR(vlookup('2.1'!G:G,lookup!$A$14:$B$16,2,false),0)</f>
        <v>5</v>
      </c>
      <c r="I14" s="10">
        <f>IFERROR(vlookup('2.1'!H:H,lookup!$A$18:$B$20,2,false),0)</f>
        <v>5</v>
      </c>
      <c r="J14" s="10">
        <f>IFERROR(vlookup('2.1'!I:I,lookup!$A$22:$B$24,2,false),0)</f>
        <v>3</v>
      </c>
      <c r="K14" s="10">
        <f>IFERROR(vlookup('2.1'!J:J,lookup!$A$26:$B$28,2,false),0)</f>
        <v>3</v>
      </c>
      <c r="L14" s="1"/>
      <c r="M14" s="10">
        <v>13.0</v>
      </c>
      <c r="N14" s="11" t="str">
        <f t="shared" si="1"/>
        <v>bnco1013@signalschool.ac.th</v>
      </c>
      <c r="O14" s="12">
        <f t="shared" si="2"/>
        <v>1</v>
      </c>
      <c r="R14" s="6" t="s">
        <v>214</v>
      </c>
    </row>
    <row r="15">
      <c r="A15" s="8">
        <f>'2.1'!A:A</f>
        <v>46213.39291</v>
      </c>
      <c r="B15" s="1" t="str">
        <f>'2.1'!B:B</f>
        <v>bnco1024@signalschool.ac.th</v>
      </c>
      <c r="C15" s="1" t="str">
        <f>'2.1'!C:C</f>
        <v>พ.ต.ไมตรี บุญเหลี่ยม</v>
      </c>
      <c r="D15" s="9">
        <v>1.0</v>
      </c>
      <c r="E15" s="10">
        <f>IFERROR(vlookup('2.1'!D:D,lookup!$A$2:$B$4,2,false),0)</f>
        <v>5</v>
      </c>
      <c r="F15" s="10">
        <f>IFERROR(vlookup('2.1'!E:E,lookup!$A$6:$B$8,2,false),0)</f>
        <v>5</v>
      </c>
      <c r="G15" s="10">
        <f>IFERROR(vlookup('2.1'!F:F,lookup!$A$10:$B$12,2,false),0)</f>
        <v>5</v>
      </c>
      <c r="H15" s="10">
        <f>IFERROR(vlookup('2.1'!G:G,lookup!$A$14:$B$16,2,false),0)</f>
        <v>5</v>
      </c>
      <c r="I15" s="10">
        <f>IFERROR(vlookup('2.1'!H:H,lookup!$A$18:$B$20,2,false),0)</f>
        <v>5</v>
      </c>
      <c r="J15" s="10">
        <f>IFERROR(vlookup('2.1'!I:I,lookup!$A$22:$B$24,2,false),0)</f>
        <v>5</v>
      </c>
      <c r="K15" s="10">
        <f>IFERROR(vlookup('2.1'!J:J,lookup!$A$26:$B$28,2,false),0)</f>
        <v>5</v>
      </c>
      <c r="L15" s="1"/>
      <c r="M15" s="10">
        <v>14.0</v>
      </c>
      <c r="N15" s="11" t="str">
        <f t="shared" si="1"/>
        <v>bnco1014@signalschool.ac.th</v>
      </c>
      <c r="O15" s="12">
        <f t="shared" si="2"/>
        <v>1</v>
      </c>
      <c r="R15" s="6" t="s">
        <v>215</v>
      </c>
    </row>
    <row r="16">
      <c r="A16" s="8">
        <f>'2.1'!A:A</f>
        <v>46213.39304</v>
      </c>
      <c r="B16" s="1" t="str">
        <f>'2.1'!B:B</f>
        <v>bnco1056@signalschool.ac.th</v>
      </c>
      <c r="C16" s="1" t="str">
        <f>'2.1'!C:C</f>
        <v>พ.ต. ไมตรี บุญเหลื่อม</v>
      </c>
      <c r="D16" s="9">
        <v>1.0</v>
      </c>
      <c r="E16" s="10">
        <f>IFERROR(vlookup('2.1'!D:D,lookup!$A$2:$B$4,2,false),0)</f>
        <v>5</v>
      </c>
      <c r="F16" s="10">
        <f>IFERROR(vlookup('2.1'!E:E,lookup!$A$6:$B$8,2,false),0)</f>
        <v>5</v>
      </c>
      <c r="G16" s="10">
        <f>IFERROR(vlookup('2.1'!F:F,lookup!$A$10:$B$12,2,false),0)</f>
        <v>5</v>
      </c>
      <c r="H16" s="10">
        <f>IFERROR(vlookup('2.1'!G:G,lookup!$A$14:$B$16,2,false),0)</f>
        <v>5</v>
      </c>
      <c r="I16" s="10">
        <f>IFERROR(vlookup('2.1'!H:H,lookup!$A$18:$B$20,2,false),0)</f>
        <v>5</v>
      </c>
      <c r="J16" s="10">
        <f>IFERROR(vlookup('2.1'!I:I,lookup!$A$22:$B$24,2,false),0)</f>
        <v>5</v>
      </c>
      <c r="K16" s="10">
        <f>IFERROR(vlookup('2.1'!J:J,lookup!$A$26:$B$28,2,false),0)</f>
        <v>5</v>
      </c>
      <c r="L16" s="1"/>
      <c r="M16" s="10">
        <v>15.0</v>
      </c>
      <c r="N16" s="11" t="str">
        <f t="shared" si="1"/>
        <v>bnco1015@signalschool.ac.th</v>
      </c>
      <c r="O16" s="12">
        <f t="shared" si="2"/>
        <v>1</v>
      </c>
      <c r="R16" s="6" t="s">
        <v>221</v>
      </c>
    </row>
    <row r="17">
      <c r="A17" s="8">
        <f>'2.1'!A:A</f>
        <v>46213.39306</v>
      </c>
      <c r="B17" s="1" t="str">
        <f>'2.1'!B:B</f>
        <v>earthtynattapon@gmail.com</v>
      </c>
      <c r="C17" s="1" t="str">
        <f>'2.1'!C:C</f>
        <v>พ.ต. ไมตรี  บุญเหลื่อม</v>
      </c>
      <c r="D17" s="9">
        <v>1.0</v>
      </c>
      <c r="E17" s="10">
        <f>IFERROR(vlookup('2.1'!D:D,lookup!$A$2:$B$4,2,false),0)</f>
        <v>5</v>
      </c>
      <c r="F17" s="10">
        <f>IFERROR(vlookup('2.1'!E:E,lookup!$A$6:$B$8,2,false),0)</f>
        <v>5</v>
      </c>
      <c r="G17" s="10">
        <f>IFERROR(vlookup('2.1'!F:F,lookup!$A$10:$B$12,2,false),0)</f>
        <v>5</v>
      </c>
      <c r="H17" s="10">
        <f>IFERROR(vlookup('2.1'!G:G,lookup!$A$14:$B$16,2,false),0)</f>
        <v>5</v>
      </c>
      <c r="I17" s="10">
        <f>IFERROR(vlookup('2.1'!H:H,lookup!$A$18:$B$20,2,false),0)</f>
        <v>5</v>
      </c>
      <c r="J17" s="10">
        <f>IFERROR(vlookup('2.1'!I:I,lookup!$A$22:$B$24,2,false),0)</f>
        <v>5</v>
      </c>
      <c r="K17" s="10">
        <f>IFERROR(vlookup('2.1'!J:J,lookup!$A$26:$B$28,2,false),0)</f>
        <v>5</v>
      </c>
      <c r="L17" s="1"/>
      <c r="M17" s="10">
        <v>16.0</v>
      </c>
      <c r="N17" s="11" t="str">
        <f t="shared" si="1"/>
        <v>bnco1016@signalschool.ac.th</v>
      </c>
      <c r="O17" s="12">
        <f t="shared" si="2"/>
        <v>1</v>
      </c>
      <c r="R17" s="6" t="s">
        <v>223</v>
      </c>
    </row>
    <row r="18">
      <c r="A18" s="8">
        <f>'2.1'!A:A</f>
        <v>46213.39309</v>
      </c>
      <c r="B18" s="1" t="str">
        <f>'2.1'!B:B</f>
        <v>bnco1025@signalschool.ac.th</v>
      </c>
      <c r="C18" s="1" t="str">
        <f>'2.1'!C:C</f>
        <v>พ.ต.ไมตรี บุญเหลื่อม</v>
      </c>
      <c r="D18" s="9">
        <v>1.0</v>
      </c>
      <c r="E18" s="10">
        <f>IFERROR(vlookup('2.1'!D:D,lookup!$A$2:$B$4,2,false),0)</f>
        <v>5</v>
      </c>
      <c r="F18" s="10">
        <f>IFERROR(vlookup('2.1'!E:E,lookup!$A$6:$B$8,2,false),0)</f>
        <v>5</v>
      </c>
      <c r="G18" s="10">
        <f>IFERROR(vlookup('2.1'!F:F,lookup!$A$10:$B$12,2,false),0)</f>
        <v>5</v>
      </c>
      <c r="H18" s="10">
        <f>IFERROR(vlookup('2.1'!G:G,lookup!$A$14:$B$16,2,false),0)</f>
        <v>5</v>
      </c>
      <c r="I18" s="10">
        <f>IFERROR(vlookup('2.1'!H:H,lookup!$A$18:$B$20,2,false),0)</f>
        <v>5</v>
      </c>
      <c r="J18" s="10">
        <f>IFERROR(vlookup('2.1'!I:I,lookup!$A$22:$B$24,2,false),0)</f>
        <v>5</v>
      </c>
      <c r="K18" s="10">
        <f>IFERROR(vlookup('2.1'!J:J,lookup!$A$26:$B$28,2,false),0)</f>
        <v>5</v>
      </c>
      <c r="L18" s="1"/>
      <c r="M18" s="10">
        <v>17.0</v>
      </c>
      <c r="N18" s="11" t="str">
        <f t="shared" si="1"/>
        <v>bnco1017@signalschool.ac.th</v>
      </c>
      <c r="O18" s="12">
        <f t="shared" si="2"/>
        <v>1</v>
      </c>
      <c r="R18" s="6" t="s">
        <v>229</v>
      </c>
    </row>
    <row r="19">
      <c r="A19" s="8">
        <f>'2.1'!A:A</f>
        <v>46213.39313</v>
      </c>
      <c r="B19" s="1" t="str">
        <f>'2.1'!B:B</f>
        <v>bnco1057@signalschool.ac.th</v>
      </c>
      <c r="C19" s="1" t="str">
        <f>'2.1'!C:C</f>
        <v>พ.ต.ไมตรี  บุญเหลื่อม</v>
      </c>
      <c r="D19" s="9">
        <v>1.0</v>
      </c>
      <c r="E19" s="10">
        <f>IFERROR(vlookup('2.1'!D:D,lookup!$A$2:$B$4,2,false),0)</f>
        <v>5</v>
      </c>
      <c r="F19" s="10">
        <f>IFERROR(vlookup('2.1'!E:E,lookup!$A$6:$B$8,2,false),0)</f>
        <v>5</v>
      </c>
      <c r="G19" s="10">
        <f>IFERROR(vlookup('2.1'!F:F,lookup!$A$10:$B$12,2,false),0)</f>
        <v>5</v>
      </c>
      <c r="H19" s="10">
        <f>IFERROR(vlookup('2.1'!G:G,lookup!$A$14:$B$16,2,false),0)</f>
        <v>5</v>
      </c>
      <c r="I19" s="10">
        <f>IFERROR(vlookup('2.1'!H:H,lookup!$A$18:$B$20,2,false),0)</f>
        <v>5</v>
      </c>
      <c r="J19" s="10">
        <f>IFERROR(vlookup('2.1'!I:I,lookup!$A$22:$B$24,2,false),0)</f>
        <v>5</v>
      </c>
      <c r="K19" s="10">
        <f>IFERROR(vlookup('2.1'!J:J,lookup!$A$26:$B$28,2,false),0)</f>
        <v>5</v>
      </c>
      <c r="L19" s="1"/>
      <c r="M19" s="10">
        <v>18.0</v>
      </c>
      <c r="N19" s="11" t="str">
        <f t="shared" si="1"/>
        <v>bnco1018@signalschool.ac.th</v>
      </c>
      <c r="O19" s="12">
        <f t="shared" si="2"/>
        <v>1</v>
      </c>
      <c r="R19" s="6" t="s">
        <v>232</v>
      </c>
    </row>
    <row r="20">
      <c r="A20" s="8">
        <f>'2.1'!A:A</f>
        <v>46213.3933</v>
      </c>
      <c r="B20" s="1" t="str">
        <f>'2.1'!B:B</f>
        <v>bnco1003@signalschool.ac.th</v>
      </c>
      <c r="C20" s="1" t="str">
        <f>'2.1'!C:C</f>
        <v>พ.ต. ไมตรี  บุญเหลื่อม</v>
      </c>
      <c r="D20" s="9">
        <v>1.0</v>
      </c>
      <c r="E20" s="10">
        <f>IFERROR(vlookup('2.1'!D:D,lookup!$A$2:$B$4,2,false),0)</f>
        <v>5</v>
      </c>
      <c r="F20" s="10">
        <f>IFERROR(vlookup('2.1'!E:E,lookup!$A$6:$B$8,2,false),0)</f>
        <v>5</v>
      </c>
      <c r="G20" s="10">
        <f>IFERROR(vlookup('2.1'!F:F,lookup!$A$10:$B$12,2,false),0)</f>
        <v>5</v>
      </c>
      <c r="H20" s="10">
        <f>IFERROR(vlookup('2.1'!G:G,lookup!$A$14:$B$16,2,false),0)</f>
        <v>5</v>
      </c>
      <c r="I20" s="10">
        <f>IFERROR(vlookup('2.1'!H:H,lookup!$A$18:$B$20,2,false),0)</f>
        <v>5</v>
      </c>
      <c r="J20" s="10">
        <f>IFERROR(vlookup('2.1'!I:I,lookup!$A$22:$B$24,2,false),0)</f>
        <v>5</v>
      </c>
      <c r="K20" s="10">
        <f>IFERROR(vlookup('2.1'!J:J,lookup!$A$26:$B$28,2,false),0)</f>
        <v>5</v>
      </c>
      <c r="L20" s="1"/>
      <c r="M20" s="10">
        <v>19.0</v>
      </c>
      <c r="N20" s="11" t="str">
        <f t="shared" si="1"/>
        <v>bnco1019@signalschool.ac.th</v>
      </c>
      <c r="O20" s="12">
        <f t="shared" si="2"/>
        <v>1</v>
      </c>
      <c r="R20" s="6" t="s">
        <v>233</v>
      </c>
    </row>
    <row r="21">
      <c r="A21" s="8">
        <f>'2.1'!A:A</f>
        <v>46213.39337</v>
      </c>
      <c r="B21" s="1" t="str">
        <f>'2.1'!B:B</f>
        <v>bnco1059@signalschool.ac.th</v>
      </c>
      <c r="C21" s="1" t="str">
        <f>'2.1'!C:C</f>
        <v>ส.อ.ภากร  จรรยาประเสริฐ</v>
      </c>
      <c r="D21" s="9">
        <v>1.0</v>
      </c>
      <c r="E21" s="10">
        <f>IFERROR(vlookup('2.1'!D:D,lookup!$A$2:$B$4,2,false),0)</f>
        <v>5</v>
      </c>
      <c r="F21" s="10">
        <f>IFERROR(vlookup('2.1'!E:E,lookup!$A$6:$B$8,2,false),0)</f>
        <v>5</v>
      </c>
      <c r="G21" s="10">
        <f>IFERROR(vlookup('2.1'!F:F,lookup!$A$10:$B$12,2,false),0)</f>
        <v>5</v>
      </c>
      <c r="H21" s="10">
        <f>IFERROR(vlookup('2.1'!G:G,lookup!$A$14:$B$16,2,false),0)</f>
        <v>5</v>
      </c>
      <c r="I21" s="10">
        <f>IFERROR(vlookup('2.1'!H:H,lookup!$A$18:$B$20,2,false),0)</f>
        <v>5</v>
      </c>
      <c r="J21" s="10">
        <f>IFERROR(vlookup('2.1'!I:I,lookup!$A$22:$B$24,2,false),0)</f>
        <v>5</v>
      </c>
      <c r="K21" s="10">
        <f>IFERROR(vlookup('2.1'!J:J,lookup!$A$26:$B$28,2,false),0)</f>
        <v>5</v>
      </c>
      <c r="L21" s="1"/>
      <c r="M21" s="10">
        <v>20.0</v>
      </c>
      <c r="N21" s="11" t="str">
        <f t="shared" si="1"/>
        <v>bnco1020@signalschool.ac.th</v>
      </c>
      <c r="O21" s="12">
        <f t="shared" si="2"/>
        <v>1</v>
      </c>
      <c r="R21" s="6" t="s">
        <v>234</v>
      </c>
    </row>
    <row r="22">
      <c r="A22" s="8">
        <f>'2.1'!A:A</f>
        <v>46213.39355</v>
      </c>
      <c r="B22" s="1" t="str">
        <f>'2.1'!B:B</f>
        <v>anusonroddara861@gmail.com</v>
      </c>
      <c r="C22" s="1" t="str">
        <f>'2.1'!C:C</f>
        <v>พ.ต.ไมตรี บุญเหลื่อม</v>
      </c>
      <c r="D22" s="9">
        <v>1.0</v>
      </c>
      <c r="E22" s="10">
        <f>IFERROR(vlookup('2.1'!D:D,lookup!$A$2:$B$4,2,false),0)</f>
        <v>5</v>
      </c>
      <c r="F22" s="10">
        <f>IFERROR(vlookup('2.1'!E:E,lookup!$A$6:$B$8,2,false),0)</f>
        <v>5</v>
      </c>
      <c r="G22" s="10">
        <f>IFERROR(vlookup('2.1'!F:F,lookup!$A$10:$B$12,2,false),0)</f>
        <v>5</v>
      </c>
      <c r="H22" s="10">
        <f>IFERROR(vlookup('2.1'!G:G,lookup!$A$14:$B$16,2,false),0)</f>
        <v>5</v>
      </c>
      <c r="I22" s="10">
        <f>IFERROR(vlookup('2.1'!H:H,lookup!$A$18:$B$20,2,false),0)</f>
        <v>5</v>
      </c>
      <c r="J22" s="10">
        <f>IFERROR(vlookup('2.1'!I:I,lookup!$A$22:$B$24,2,false),0)</f>
        <v>3</v>
      </c>
      <c r="K22" s="10">
        <f>IFERROR(vlookup('2.1'!J:J,lookup!$A$26:$B$28,2,false),0)</f>
        <v>3</v>
      </c>
      <c r="L22" s="1"/>
      <c r="M22" s="10">
        <v>21.0</v>
      </c>
      <c r="N22" s="11" t="str">
        <f t="shared" si="1"/>
        <v>bnco1021@signalschool.ac.th</v>
      </c>
      <c r="O22" s="12">
        <f t="shared" si="2"/>
        <v>1</v>
      </c>
      <c r="R22" s="6" t="s">
        <v>235</v>
      </c>
    </row>
    <row r="23">
      <c r="A23" s="8">
        <f>'2.1'!A:A</f>
        <v>46213.39358</v>
      </c>
      <c r="B23" s="1" t="str">
        <f>'2.1'!B:B</f>
        <v>bnco1020@signalschool.ac.th</v>
      </c>
      <c r="C23" s="1" t="str">
        <f>'2.1'!C:C</f>
        <v>พ.ต. ไมตรี บุญเหลื่อม</v>
      </c>
      <c r="D23" s="9">
        <v>1.0</v>
      </c>
      <c r="E23" s="10">
        <f>IFERROR(vlookup('2.1'!D:D,lookup!$A$2:$B$4,2,false),0)</f>
        <v>5</v>
      </c>
      <c r="F23" s="10">
        <f>IFERROR(vlookup('2.1'!E:E,lookup!$A$6:$B$8,2,false),0)</f>
        <v>5</v>
      </c>
      <c r="G23" s="10">
        <f>IFERROR(vlookup('2.1'!F:F,lookup!$A$10:$B$12,2,false),0)</f>
        <v>5</v>
      </c>
      <c r="H23" s="10">
        <f>IFERROR(vlookup('2.1'!G:G,lookup!$A$14:$B$16,2,false),0)</f>
        <v>5</v>
      </c>
      <c r="I23" s="10">
        <f>IFERROR(vlookup('2.1'!H:H,lookup!$A$18:$B$20,2,false),0)</f>
        <v>5</v>
      </c>
      <c r="J23" s="10">
        <f>IFERROR(vlookup('2.1'!I:I,lookup!$A$22:$B$24,2,false),0)</f>
        <v>5</v>
      </c>
      <c r="K23" s="10">
        <f>IFERROR(vlookup('2.1'!J:J,lookup!$A$26:$B$28,2,false),0)</f>
        <v>5</v>
      </c>
      <c r="L23" s="1"/>
      <c r="M23" s="10">
        <v>22.0</v>
      </c>
      <c r="N23" s="11" t="str">
        <f t="shared" si="1"/>
        <v>bnco1022@signalschool.ac.th</v>
      </c>
      <c r="O23" s="12">
        <f t="shared" si="2"/>
        <v>0</v>
      </c>
      <c r="R23" s="6" t="s">
        <v>236</v>
      </c>
    </row>
    <row r="24">
      <c r="A24" s="8">
        <f>'2.1'!A:A</f>
        <v>46213.39361</v>
      </c>
      <c r="B24" s="1" t="str">
        <f>'2.1'!B:B</f>
        <v>bnco1043@signalschool.ac.th</v>
      </c>
      <c r="C24" s="1" t="str">
        <f>'2.1'!C:C</f>
        <v>พ.ต. ไมตรี  บุญเหลื่อม</v>
      </c>
      <c r="D24" s="9">
        <v>1.0</v>
      </c>
      <c r="E24" s="10">
        <f>IFERROR(vlookup('2.1'!D:D,lookup!$A$2:$B$4,2,false),0)</f>
        <v>5</v>
      </c>
      <c r="F24" s="10">
        <f>IFERROR(vlookup('2.1'!E:E,lookup!$A$6:$B$8,2,false),0)</f>
        <v>5</v>
      </c>
      <c r="G24" s="10">
        <f>IFERROR(vlookup('2.1'!F:F,lookup!$A$10:$B$12,2,false),0)</f>
        <v>5</v>
      </c>
      <c r="H24" s="10">
        <f>IFERROR(vlookup('2.1'!G:G,lookup!$A$14:$B$16,2,false),0)</f>
        <v>5</v>
      </c>
      <c r="I24" s="10">
        <f>IFERROR(vlookup('2.1'!H:H,lookup!$A$18:$B$20,2,false),0)</f>
        <v>5</v>
      </c>
      <c r="J24" s="10">
        <f>IFERROR(vlookup('2.1'!I:I,lookup!$A$22:$B$24,2,false),0)</f>
        <v>5</v>
      </c>
      <c r="K24" s="10">
        <f>IFERROR(vlookup('2.1'!J:J,lookup!$A$26:$B$28,2,false),0)</f>
        <v>5</v>
      </c>
      <c r="L24" s="1"/>
      <c r="M24" s="10">
        <v>23.0</v>
      </c>
      <c r="N24" s="11" t="str">
        <f t="shared" si="1"/>
        <v>bnco1023@signalschool.ac.th</v>
      </c>
      <c r="O24" s="12">
        <f t="shared" si="2"/>
        <v>1</v>
      </c>
      <c r="R24" s="6" t="s">
        <v>237</v>
      </c>
    </row>
    <row r="25">
      <c r="A25" s="8">
        <f>'2.1'!A:A</f>
        <v>46213.39368</v>
      </c>
      <c r="B25" s="1" t="str">
        <f>'2.1'!B:B</f>
        <v>bnco1044@signalschool.ac.th</v>
      </c>
      <c r="C25" s="1" t="str">
        <f>'2.1'!C:C</f>
        <v>พ.ต. ไมตรี บุญเหลื่อม</v>
      </c>
      <c r="D25" s="9">
        <v>1.0</v>
      </c>
      <c r="E25" s="10">
        <f>IFERROR(vlookup('2.1'!D:D,lookup!$A$2:$B$4,2,false),0)</f>
        <v>5</v>
      </c>
      <c r="F25" s="10">
        <f>IFERROR(vlookup('2.1'!E:E,lookup!$A$6:$B$8,2,false),0)</f>
        <v>5</v>
      </c>
      <c r="G25" s="10">
        <f>IFERROR(vlookup('2.1'!F:F,lookup!$A$10:$B$12,2,false),0)</f>
        <v>5</v>
      </c>
      <c r="H25" s="10">
        <f>IFERROR(vlookup('2.1'!G:G,lookup!$A$14:$B$16,2,false),0)</f>
        <v>5</v>
      </c>
      <c r="I25" s="10">
        <f>IFERROR(vlookup('2.1'!H:H,lookup!$A$18:$B$20,2,false),0)</f>
        <v>5</v>
      </c>
      <c r="J25" s="10">
        <f>IFERROR(vlookup('2.1'!I:I,lookup!$A$22:$B$24,2,false),0)</f>
        <v>3</v>
      </c>
      <c r="K25" s="10">
        <f>IFERROR(vlookup('2.1'!J:J,lookup!$A$26:$B$28,2,false),0)</f>
        <v>3</v>
      </c>
      <c r="L25" s="1"/>
      <c r="M25" s="10">
        <v>24.0</v>
      </c>
      <c r="N25" s="11" t="str">
        <f t="shared" si="1"/>
        <v>bnco1024@signalschool.ac.th</v>
      </c>
      <c r="O25" s="12">
        <f t="shared" si="2"/>
        <v>1</v>
      </c>
      <c r="R25" s="6" t="s">
        <v>238</v>
      </c>
    </row>
    <row r="26">
      <c r="A26" s="8">
        <f>'2.1'!A:A</f>
        <v>46213.39379</v>
      </c>
      <c r="B26" s="1" t="str">
        <f>'2.1'!B:B</f>
        <v>bnco1004@signalschool.ac.th</v>
      </c>
      <c r="C26" s="1" t="str">
        <f>'2.1'!C:C</f>
        <v>พ ต ไมตรี บุญเหลื่อม</v>
      </c>
      <c r="D26" s="9">
        <v>1.0</v>
      </c>
      <c r="E26" s="10">
        <f>IFERROR(vlookup('2.1'!D:D,lookup!$A$2:$B$4,2,false),0)</f>
        <v>5</v>
      </c>
      <c r="F26" s="10">
        <f>IFERROR(vlookup('2.1'!E:E,lookup!$A$6:$B$8,2,false),0)</f>
        <v>5</v>
      </c>
      <c r="G26" s="10">
        <f>IFERROR(vlookup('2.1'!F:F,lookup!$A$10:$B$12,2,false),0)</f>
        <v>5</v>
      </c>
      <c r="H26" s="10">
        <f>IFERROR(vlookup('2.1'!G:G,lookup!$A$14:$B$16,2,false),0)</f>
        <v>5</v>
      </c>
      <c r="I26" s="10">
        <f>IFERROR(vlookup('2.1'!H:H,lookup!$A$18:$B$20,2,false),0)</f>
        <v>5</v>
      </c>
      <c r="J26" s="10">
        <f>IFERROR(vlookup('2.1'!I:I,lookup!$A$22:$B$24,2,false),0)</f>
        <v>5</v>
      </c>
      <c r="K26" s="10">
        <f>IFERROR(vlookup('2.1'!J:J,lookup!$A$26:$B$28,2,false),0)</f>
        <v>5</v>
      </c>
      <c r="L26" s="1"/>
      <c r="M26" s="10">
        <v>25.0</v>
      </c>
      <c r="N26" s="11" t="str">
        <f t="shared" si="1"/>
        <v>bnco1025@signalschool.ac.th</v>
      </c>
      <c r="O26" s="12">
        <f t="shared" si="2"/>
        <v>1</v>
      </c>
      <c r="R26" s="6" t="s">
        <v>239</v>
      </c>
    </row>
    <row r="27">
      <c r="A27" s="8">
        <f>'2.1'!A:A</f>
        <v>46213.39381</v>
      </c>
      <c r="B27" s="1" t="str">
        <f>'2.1'!B:B</f>
        <v>bnco1069@signalschool.ac.th</v>
      </c>
      <c r="C27" s="1" t="str">
        <f>'2.1'!C:C</f>
        <v>ส.อ.วรเดช  จิตตารมย์</v>
      </c>
      <c r="D27" s="9">
        <v>1.0</v>
      </c>
      <c r="E27" s="10">
        <f>IFERROR(vlookup('2.1'!D:D,lookup!$A$2:$B$4,2,false),0)</f>
        <v>5</v>
      </c>
      <c r="F27" s="10">
        <f>IFERROR(vlookup('2.1'!E:E,lookup!$A$6:$B$8,2,false),0)</f>
        <v>5</v>
      </c>
      <c r="G27" s="10">
        <f>IFERROR(vlookup('2.1'!F:F,lookup!$A$10:$B$12,2,false),0)</f>
        <v>5</v>
      </c>
      <c r="H27" s="10">
        <f>IFERROR(vlookup('2.1'!G:G,lookup!$A$14:$B$16,2,false),0)</f>
        <v>5</v>
      </c>
      <c r="I27" s="10">
        <f>IFERROR(vlookup('2.1'!H:H,lookup!$A$18:$B$20,2,false),0)</f>
        <v>5</v>
      </c>
      <c r="J27" s="10">
        <f>IFERROR(vlookup('2.1'!I:I,lookup!$A$22:$B$24,2,false),0)</f>
        <v>5</v>
      </c>
      <c r="K27" s="10">
        <f>IFERROR(vlookup('2.1'!J:J,lookup!$A$26:$B$28,2,false),0)</f>
        <v>5</v>
      </c>
      <c r="L27" s="1"/>
      <c r="M27" s="10">
        <v>26.0</v>
      </c>
      <c r="N27" s="11" t="str">
        <f t="shared" si="1"/>
        <v>bnco1026@signalschool.ac.th</v>
      </c>
      <c r="O27" s="12">
        <f t="shared" si="2"/>
        <v>1</v>
      </c>
      <c r="R27" s="6" t="s">
        <v>240</v>
      </c>
    </row>
    <row r="28">
      <c r="A28" s="8">
        <f>'2.1'!A:A</f>
        <v>46213.39397</v>
      </c>
      <c r="B28" s="1" t="str">
        <f>'2.1'!B:B</f>
        <v>bnco1066@signalschool.ac.th</v>
      </c>
      <c r="C28" s="1" t="str">
        <f>'2.1'!C:C</f>
        <v>พ.ต. ไมตรี  บุญเหลื่อม</v>
      </c>
      <c r="D28" s="9">
        <v>1.0</v>
      </c>
      <c r="E28" s="10">
        <f>IFERROR(vlookup('2.1'!D:D,lookup!$A$2:$B$4,2,false),0)</f>
        <v>5</v>
      </c>
      <c r="F28" s="10">
        <f>IFERROR(vlookup('2.1'!E:E,lookup!$A$6:$B$8,2,false),0)</f>
        <v>5</v>
      </c>
      <c r="G28" s="10">
        <f>IFERROR(vlookup('2.1'!F:F,lookup!$A$10:$B$12,2,false),0)</f>
        <v>5</v>
      </c>
      <c r="H28" s="10">
        <f>IFERROR(vlookup('2.1'!G:G,lookup!$A$14:$B$16,2,false),0)</f>
        <v>5</v>
      </c>
      <c r="I28" s="10">
        <f>IFERROR(vlookup('2.1'!H:H,lookup!$A$18:$B$20,2,false),0)</f>
        <v>5</v>
      </c>
      <c r="J28" s="10">
        <f>IFERROR(vlookup('2.1'!I:I,lookup!$A$22:$B$24,2,false),0)</f>
        <v>5</v>
      </c>
      <c r="K28" s="10">
        <f>IFERROR(vlookup('2.1'!J:J,lookup!$A$26:$B$28,2,false),0)</f>
        <v>5</v>
      </c>
      <c r="L28" s="1"/>
      <c r="M28" s="10">
        <v>27.0</v>
      </c>
      <c r="N28" s="11" t="str">
        <f t="shared" si="1"/>
        <v>bnco1027@signalschool.ac.th</v>
      </c>
      <c r="O28" s="12">
        <f t="shared" si="2"/>
        <v>1</v>
      </c>
      <c r="R28" s="6" t="s">
        <v>241</v>
      </c>
    </row>
    <row r="29">
      <c r="A29" s="8">
        <f>'2.1'!A:A</f>
        <v>46213.39401</v>
      </c>
      <c r="B29" s="1" t="str">
        <f>'2.1'!B:B</f>
        <v>bnco1071@signalschool.ac.th</v>
      </c>
      <c r="C29" s="1" t="str">
        <f>'2.1'!C:C</f>
        <v>พ.ต.ไมตรี  บุญเหลื่อม</v>
      </c>
      <c r="D29" s="9">
        <v>1.0</v>
      </c>
      <c r="E29" s="10">
        <f>IFERROR(vlookup('2.1'!D:D,lookup!$A$2:$B$4,2,false),0)</f>
        <v>5</v>
      </c>
      <c r="F29" s="10">
        <f>IFERROR(vlookup('2.1'!E:E,lookup!$A$6:$B$8,2,false),0)</f>
        <v>5</v>
      </c>
      <c r="G29" s="10">
        <f>IFERROR(vlookup('2.1'!F:F,lookup!$A$10:$B$12,2,false),0)</f>
        <v>5</v>
      </c>
      <c r="H29" s="10">
        <f>IFERROR(vlookup('2.1'!G:G,lookup!$A$14:$B$16,2,false),0)</f>
        <v>5</v>
      </c>
      <c r="I29" s="10">
        <f>IFERROR(vlookup('2.1'!H:H,lookup!$A$18:$B$20,2,false),0)</f>
        <v>5</v>
      </c>
      <c r="J29" s="10">
        <f>IFERROR(vlookup('2.1'!I:I,lookup!$A$22:$B$24,2,false),0)</f>
        <v>5</v>
      </c>
      <c r="K29" s="10">
        <f>IFERROR(vlookup('2.1'!J:J,lookup!$A$26:$B$28,2,false),0)</f>
        <v>5</v>
      </c>
      <c r="L29" s="1"/>
      <c r="M29" s="10">
        <v>28.0</v>
      </c>
      <c r="N29" s="11" t="str">
        <f t="shared" si="1"/>
        <v>bnco1028@signalschool.ac.th</v>
      </c>
      <c r="O29" s="12">
        <f t="shared" si="2"/>
        <v>0</v>
      </c>
      <c r="R29" s="6" t="s">
        <v>242</v>
      </c>
    </row>
    <row r="30">
      <c r="A30" s="8">
        <f>'2.1'!A:A</f>
        <v>46213.3944</v>
      </c>
      <c r="B30" s="1" t="str">
        <f>'2.1'!B:B</f>
        <v>bnco1012@signalschool.ac.th</v>
      </c>
      <c r="C30" s="1" t="str">
        <f>'2.1'!C:C</f>
        <v>ส.อ.ทนงศักดิ์  ยุงรัมย์</v>
      </c>
      <c r="D30" s="9">
        <v>1.0</v>
      </c>
      <c r="E30" s="10">
        <f>IFERROR(vlookup('2.1'!D:D,lookup!$A$2:$B$4,2,false),0)</f>
        <v>5</v>
      </c>
      <c r="F30" s="10">
        <f>IFERROR(vlookup('2.1'!E:E,lookup!$A$6:$B$8,2,false),0)</f>
        <v>5</v>
      </c>
      <c r="G30" s="10">
        <f>IFERROR(vlookup('2.1'!F:F,lookup!$A$10:$B$12,2,false),0)</f>
        <v>5</v>
      </c>
      <c r="H30" s="10">
        <f>IFERROR(vlookup('2.1'!G:G,lookup!$A$14:$B$16,2,false),0)</f>
        <v>5</v>
      </c>
      <c r="I30" s="10">
        <f>IFERROR(vlookup('2.1'!H:H,lookup!$A$18:$B$20,2,false),0)</f>
        <v>5</v>
      </c>
      <c r="J30" s="10">
        <f>IFERROR(vlookup('2.1'!I:I,lookup!$A$22:$B$24,2,false),0)</f>
        <v>3</v>
      </c>
      <c r="K30" s="10">
        <f>IFERROR(vlookup('2.1'!J:J,lookup!$A$26:$B$28,2,false),0)</f>
        <v>3</v>
      </c>
      <c r="L30" s="1"/>
      <c r="M30" s="10">
        <v>29.0</v>
      </c>
      <c r="N30" s="11" t="str">
        <f t="shared" si="1"/>
        <v>bnco1029@signalschool.ac.th</v>
      </c>
      <c r="O30" s="12">
        <f t="shared" si="2"/>
        <v>0</v>
      </c>
      <c r="R30" s="6" t="s">
        <v>243</v>
      </c>
    </row>
    <row r="31">
      <c r="A31" s="8">
        <f>'2.1'!A:A</f>
        <v>46213.39444</v>
      </c>
      <c r="B31" s="1" t="str">
        <f>'2.1'!B:B</f>
        <v>bnco1036@signalschool.ac.th</v>
      </c>
      <c r="C31" s="1" t="str">
        <f>'2.1'!C:C</f>
        <v>พ.ต. ไมตรี  บุญเหลื่อม</v>
      </c>
      <c r="D31" s="9">
        <v>1.0</v>
      </c>
      <c r="E31" s="10">
        <f>IFERROR(vlookup('2.1'!D:D,lookup!$A$2:$B$4,2,false),0)</f>
        <v>5</v>
      </c>
      <c r="F31" s="10">
        <f>IFERROR(vlookup('2.1'!E:E,lookup!$A$6:$B$8,2,false),0)</f>
        <v>5</v>
      </c>
      <c r="G31" s="10">
        <f>IFERROR(vlookup('2.1'!F:F,lookup!$A$10:$B$12,2,false),0)</f>
        <v>5</v>
      </c>
      <c r="H31" s="10">
        <f>IFERROR(vlookup('2.1'!G:G,lookup!$A$14:$B$16,2,false),0)</f>
        <v>5</v>
      </c>
      <c r="I31" s="10">
        <f>IFERROR(vlookup('2.1'!H:H,lookup!$A$18:$B$20,2,false),0)</f>
        <v>5</v>
      </c>
      <c r="J31" s="10">
        <f>IFERROR(vlookup('2.1'!I:I,lookup!$A$22:$B$24,2,false),0)</f>
        <v>5</v>
      </c>
      <c r="K31" s="10">
        <f>IFERROR(vlookup('2.1'!J:J,lookup!$A$26:$B$28,2,false),0)</f>
        <v>5</v>
      </c>
      <c r="L31" s="1"/>
      <c r="M31" s="10">
        <v>30.0</v>
      </c>
      <c r="N31" s="11" t="str">
        <f t="shared" si="1"/>
        <v>bnco1030@signalschool.ac.th</v>
      </c>
      <c r="O31" s="12">
        <f t="shared" si="2"/>
        <v>1</v>
      </c>
      <c r="R31" s="6" t="s">
        <v>244</v>
      </c>
    </row>
    <row r="32">
      <c r="A32" s="8">
        <f>'2.1'!A:A</f>
        <v>46213.39488</v>
      </c>
      <c r="B32" s="1" t="str">
        <f>'2.1'!B:B</f>
        <v>bnco1039@signalschool.ac.th</v>
      </c>
      <c r="C32" s="1" t="str">
        <f>'2.1'!C:C</f>
        <v>พ.ต. ไมตรี  บุญเหลื่อม</v>
      </c>
      <c r="D32" s="9">
        <v>1.0</v>
      </c>
      <c r="E32" s="10">
        <f>IFERROR(vlookup('2.1'!D:D,lookup!$A$2:$B$4,2,false),0)</f>
        <v>5</v>
      </c>
      <c r="F32" s="10">
        <f>IFERROR(vlookup('2.1'!E:E,lookup!$A$6:$B$8,2,false),0)</f>
        <v>5</v>
      </c>
      <c r="G32" s="10">
        <f>IFERROR(vlookup('2.1'!F:F,lookup!$A$10:$B$12,2,false),0)</f>
        <v>3</v>
      </c>
      <c r="H32" s="10">
        <f>IFERROR(vlookup('2.1'!G:G,lookup!$A$14:$B$16,2,false),0)</f>
        <v>5</v>
      </c>
      <c r="I32" s="10">
        <f>IFERROR(vlookup('2.1'!H:H,lookup!$A$18:$B$20,2,false),0)</f>
        <v>5</v>
      </c>
      <c r="J32" s="10">
        <f>IFERROR(vlookup('2.1'!I:I,lookup!$A$22:$B$24,2,false),0)</f>
        <v>3</v>
      </c>
      <c r="K32" s="10">
        <f>IFERROR(vlookup('2.1'!J:J,lookup!$A$26:$B$28,2,false),0)</f>
        <v>5</v>
      </c>
      <c r="L32" s="1"/>
      <c r="M32" s="10">
        <v>31.0</v>
      </c>
      <c r="N32" s="11" t="str">
        <f t="shared" si="1"/>
        <v>bnco1031@signalschool.ac.th</v>
      </c>
      <c r="O32" s="12">
        <f t="shared" si="2"/>
        <v>1</v>
      </c>
      <c r="R32" s="6" t="s">
        <v>245</v>
      </c>
    </row>
    <row r="33">
      <c r="A33" s="8">
        <f>'2.1'!A:A</f>
        <v>46213.39522</v>
      </c>
      <c r="B33" s="1" t="str">
        <f>'2.1'!B:B</f>
        <v>bnco1033@signalschool.ac.th</v>
      </c>
      <c r="C33" s="1" t="str">
        <f>'2.1'!C:C</f>
        <v>พ.ต. ไมตรี บุญเหลื่อม</v>
      </c>
      <c r="D33" s="9">
        <v>1.0</v>
      </c>
      <c r="E33" s="10">
        <f>IFERROR(vlookup('2.1'!D:D,lookup!$A$2:$B$4,2,false),0)</f>
        <v>5</v>
      </c>
      <c r="F33" s="10">
        <f>IFERROR(vlookup('2.1'!E:E,lookup!$A$6:$B$8,2,false),0)</f>
        <v>5</v>
      </c>
      <c r="G33" s="10">
        <f>IFERROR(vlookup('2.1'!F:F,lookup!$A$10:$B$12,2,false),0)</f>
        <v>5</v>
      </c>
      <c r="H33" s="10">
        <f>IFERROR(vlookup('2.1'!G:G,lookup!$A$14:$B$16,2,false),0)</f>
        <v>5</v>
      </c>
      <c r="I33" s="10">
        <f>IFERROR(vlookup('2.1'!H:H,lookup!$A$18:$B$20,2,false),0)</f>
        <v>5</v>
      </c>
      <c r="J33" s="10">
        <f>IFERROR(vlookup('2.1'!I:I,lookup!$A$22:$B$24,2,false),0)</f>
        <v>5</v>
      </c>
      <c r="K33" s="10">
        <f>IFERROR(vlookup('2.1'!J:J,lookup!$A$26:$B$28,2,false),0)</f>
        <v>5</v>
      </c>
      <c r="L33" s="1"/>
      <c r="M33" s="10">
        <v>32.0</v>
      </c>
      <c r="N33" s="11" t="str">
        <f t="shared" si="1"/>
        <v>bnco1032@signalschool.ac.th</v>
      </c>
      <c r="O33" s="12">
        <f t="shared" si="2"/>
        <v>1</v>
      </c>
      <c r="R33" s="6" t="s">
        <v>246</v>
      </c>
    </row>
    <row r="34">
      <c r="A34" s="8">
        <f>'2.1'!A:A</f>
        <v>46213.39526</v>
      </c>
      <c r="B34" s="1" t="str">
        <f>'2.1'!B:B</f>
        <v>bnco1078@signalschool.ac.th</v>
      </c>
      <c r="C34" s="1" t="str">
        <f>'2.1'!C:C</f>
        <v>พ.ต. ไมตรี  บุญเหลื่อม</v>
      </c>
      <c r="D34" s="9">
        <v>1.0</v>
      </c>
      <c r="E34" s="10">
        <f>IFERROR(vlookup('2.1'!D:D,lookup!$A$2:$B$4,2,false),0)</f>
        <v>5</v>
      </c>
      <c r="F34" s="10">
        <f>IFERROR(vlookup('2.1'!E:E,lookup!$A$6:$B$8,2,false),0)</f>
        <v>5</v>
      </c>
      <c r="G34" s="10">
        <f>IFERROR(vlookup('2.1'!F:F,lookup!$A$10:$B$12,2,false),0)</f>
        <v>5</v>
      </c>
      <c r="H34" s="10">
        <f>IFERROR(vlookup('2.1'!G:G,lookup!$A$14:$B$16,2,false),0)</f>
        <v>5</v>
      </c>
      <c r="I34" s="10">
        <f>IFERROR(vlookup('2.1'!H:H,lookup!$A$18:$B$20,2,false),0)</f>
        <v>5</v>
      </c>
      <c r="J34" s="10">
        <f>IFERROR(vlookup('2.1'!I:I,lookup!$A$22:$B$24,2,false),0)</f>
        <v>5</v>
      </c>
      <c r="K34" s="10">
        <f>IFERROR(vlookup('2.1'!J:J,lookup!$A$26:$B$28,2,false),0)</f>
        <v>5</v>
      </c>
      <c r="L34" s="1"/>
      <c r="M34" s="10">
        <v>33.0</v>
      </c>
      <c r="N34" s="11" t="str">
        <f t="shared" si="1"/>
        <v>bnco1033@signalschool.ac.th</v>
      </c>
      <c r="O34" s="12">
        <f t="shared" si="2"/>
        <v>1</v>
      </c>
      <c r="R34" s="6" t="s">
        <v>247</v>
      </c>
    </row>
    <row r="35">
      <c r="A35" s="8">
        <f>'2.1'!A:A</f>
        <v>46213.39565</v>
      </c>
      <c r="B35" s="1" t="str">
        <f>'2.1'!B:B</f>
        <v>bnco1002@signalschool.ac.th</v>
      </c>
      <c r="C35" s="1" t="str">
        <f>'2.1'!C:C</f>
        <v>พันตรี ไมตรี บุญเหลื่อม</v>
      </c>
      <c r="D35" s="9">
        <v>1.0</v>
      </c>
      <c r="E35" s="10">
        <f>IFERROR(vlookup('2.1'!D:D,lookup!$A$2:$B$4,2,false),0)</f>
        <v>5</v>
      </c>
      <c r="F35" s="10">
        <f>IFERROR(vlookup('2.1'!E:E,lookup!$A$6:$B$8,2,false),0)</f>
        <v>3</v>
      </c>
      <c r="G35" s="10">
        <f>IFERROR(vlookup('2.1'!F:F,lookup!$A$10:$B$12,2,false),0)</f>
        <v>5</v>
      </c>
      <c r="H35" s="10">
        <f>IFERROR(vlookup('2.1'!G:G,lookup!$A$14:$B$16,2,false),0)</f>
        <v>5</v>
      </c>
      <c r="I35" s="10">
        <f>IFERROR(vlookup('2.1'!H:H,lookup!$A$18:$B$20,2,false),0)</f>
        <v>5</v>
      </c>
      <c r="J35" s="10">
        <f>IFERROR(vlookup('2.1'!I:I,lookup!$A$22:$B$24,2,false),0)</f>
        <v>5</v>
      </c>
      <c r="K35" s="10">
        <f>IFERROR(vlookup('2.1'!J:J,lookup!$A$26:$B$28,2,false),0)</f>
        <v>5</v>
      </c>
      <c r="L35" s="1"/>
      <c r="M35" s="10">
        <v>34.0</v>
      </c>
      <c r="N35" s="11" t="str">
        <f t="shared" si="1"/>
        <v>bnco1034@signalschool.ac.th</v>
      </c>
      <c r="O35" s="12">
        <f t="shared" si="2"/>
        <v>1</v>
      </c>
      <c r="R35" s="6" t="s">
        <v>248</v>
      </c>
    </row>
    <row r="36">
      <c r="A36" s="8">
        <f>'2.1'!A:A</f>
        <v>46213.39568</v>
      </c>
      <c r="B36" s="1" t="str">
        <f>'2.1'!B:B</f>
        <v>bnco1064@signalschool.ac.th</v>
      </c>
      <c r="C36" s="1" t="str">
        <f>'2.1'!C:C</f>
        <v>ส.อ.ชัยวัฒน์  สมอ่อน</v>
      </c>
      <c r="D36" s="9">
        <v>1.0</v>
      </c>
      <c r="E36" s="10">
        <f>IFERROR(vlookup('2.1'!D:D,lookup!$A$2:$B$4,2,false),0)</f>
        <v>5</v>
      </c>
      <c r="F36" s="10">
        <f>IFERROR(vlookup('2.1'!E:E,lookup!$A$6:$B$8,2,false),0)</f>
        <v>5</v>
      </c>
      <c r="G36" s="10">
        <f>IFERROR(vlookup('2.1'!F:F,lookup!$A$10:$B$12,2,false),0)</f>
        <v>5</v>
      </c>
      <c r="H36" s="10">
        <f>IFERROR(vlookup('2.1'!G:G,lookup!$A$14:$B$16,2,false),0)</f>
        <v>5</v>
      </c>
      <c r="I36" s="10">
        <f>IFERROR(vlookup('2.1'!H:H,lookup!$A$18:$B$20,2,false),0)</f>
        <v>5</v>
      </c>
      <c r="J36" s="10">
        <f>IFERROR(vlookup('2.1'!I:I,lookup!$A$22:$B$24,2,false),0)</f>
        <v>5</v>
      </c>
      <c r="K36" s="10">
        <f>IFERROR(vlookup('2.1'!J:J,lookup!$A$26:$B$28,2,false),0)</f>
        <v>5</v>
      </c>
      <c r="L36" s="1"/>
      <c r="M36" s="10">
        <v>35.0</v>
      </c>
      <c r="N36" s="11" t="str">
        <f t="shared" si="1"/>
        <v>bnco1035@signalschool.ac.th</v>
      </c>
      <c r="O36" s="12">
        <f t="shared" si="2"/>
        <v>1</v>
      </c>
      <c r="R36" s="6" t="s">
        <v>249</v>
      </c>
    </row>
    <row r="37">
      <c r="A37" s="8">
        <f>'2.1'!A:A</f>
        <v>46213.39593</v>
      </c>
      <c r="B37" s="1" t="str">
        <f>'2.1'!B:B</f>
        <v>bnco1079@signalschool.ac.th</v>
      </c>
      <c r="C37" s="1" t="str">
        <f>'2.1'!C:C</f>
        <v>พ.ต. ไมตรี  บุญเหลื่อม</v>
      </c>
      <c r="D37" s="9">
        <v>1.0</v>
      </c>
      <c r="E37" s="10">
        <f>IFERROR(vlookup('2.1'!D:D,lookup!$A$2:$B$4,2,false),0)</f>
        <v>5</v>
      </c>
      <c r="F37" s="10">
        <f>IFERROR(vlookup('2.1'!E:E,lookup!$A$6:$B$8,2,false),0)</f>
        <v>5</v>
      </c>
      <c r="G37" s="10">
        <f>IFERROR(vlookup('2.1'!F:F,lookup!$A$10:$B$12,2,false),0)</f>
        <v>5</v>
      </c>
      <c r="H37" s="10">
        <f>IFERROR(vlookup('2.1'!G:G,lookup!$A$14:$B$16,2,false),0)</f>
        <v>5</v>
      </c>
      <c r="I37" s="10">
        <f>IFERROR(vlookup('2.1'!H:H,lookup!$A$18:$B$20,2,false),0)</f>
        <v>5</v>
      </c>
      <c r="J37" s="10">
        <f>IFERROR(vlookup('2.1'!I:I,lookup!$A$22:$B$24,2,false),0)</f>
        <v>5</v>
      </c>
      <c r="K37" s="10">
        <f>IFERROR(vlookup('2.1'!J:J,lookup!$A$26:$B$28,2,false),0)</f>
        <v>5</v>
      </c>
      <c r="L37" s="1"/>
      <c r="M37" s="10">
        <v>36.0</v>
      </c>
      <c r="N37" s="11" t="str">
        <f t="shared" si="1"/>
        <v>bnco1036@signalschool.ac.th</v>
      </c>
      <c r="O37" s="12">
        <f t="shared" si="2"/>
        <v>1</v>
      </c>
      <c r="R37" s="6" t="s">
        <v>250</v>
      </c>
    </row>
    <row r="38">
      <c r="A38" s="8">
        <f>'2.1'!A:A</f>
        <v>46213.39623</v>
      </c>
      <c r="B38" s="1" t="str">
        <f>'2.1'!B:B</f>
        <v>bnco1011@signalschool.ac.th</v>
      </c>
      <c r="C38" s="1" t="str">
        <f>'2.1'!C:C</f>
        <v>พ.ต.ไมตรี บุญเหลื่อม</v>
      </c>
      <c r="D38" s="9">
        <v>1.0</v>
      </c>
      <c r="E38" s="10">
        <f>IFERROR(vlookup('2.1'!D:D,lookup!$A$2:$B$4,2,false),0)</f>
        <v>5</v>
      </c>
      <c r="F38" s="10">
        <f>IFERROR(vlookup('2.1'!E:E,lookup!$A$6:$B$8,2,false),0)</f>
        <v>5</v>
      </c>
      <c r="G38" s="10">
        <f>IFERROR(vlookup('2.1'!F:F,lookup!$A$10:$B$12,2,false),0)</f>
        <v>5</v>
      </c>
      <c r="H38" s="10">
        <f>IFERROR(vlookup('2.1'!G:G,lookup!$A$14:$B$16,2,false),0)</f>
        <v>5</v>
      </c>
      <c r="I38" s="10">
        <f>IFERROR(vlookup('2.1'!H:H,lookup!$A$18:$B$20,2,false),0)</f>
        <v>5</v>
      </c>
      <c r="J38" s="10">
        <f>IFERROR(vlookup('2.1'!I:I,lookup!$A$22:$B$24,2,false),0)</f>
        <v>5</v>
      </c>
      <c r="K38" s="10">
        <f>IFERROR(vlookup('2.1'!J:J,lookup!$A$26:$B$28,2,false),0)</f>
        <v>5</v>
      </c>
      <c r="L38" s="1"/>
      <c r="M38" s="10">
        <v>37.0</v>
      </c>
      <c r="N38" s="11" t="str">
        <f t="shared" si="1"/>
        <v>bnco1037@signalschool.ac.th</v>
      </c>
      <c r="O38" s="12">
        <f t="shared" si="2"/>
        <v>1</v>
      </c>
      <c r="R38" s="6" t="s">
        <v>251</v>
      </c>
    </row>
    <row r="39">
      <c r="A39" s="8">
        <f>'2.1'!A:A</f>
        <v>46213.39636</v>
      </c>
      <c r="B39" s="1" t="str">
        <f>'2.1'!B:B</f>
        <v>bnco1019@signalschool.ac.th</v>
      </c>
      <c r="C39" s="1" t="str">
        <f>'2.1'!C:C</f>
        <v>พ.ต.ไมตรี  บุญเหลื่อม</v>
      </c>
      <c r="D39" s="9">
        <v>1.0</v>
      </c>
      <c r="E39" s="10">
        <f>IFERROR(vlookup('2.1'!D:D,lookup!$A$2:$B$4,2,false),0)</f>
        <v>5</v>
      </c>
      <c r="F39" s="10">
        <f>IFERROR(vlookup('2.1'!E:E,lookup!$A$6:$B$8,2,false),0)</f>
        <v>5</v>
      </c>
      <c r="G39" s="10">
        <f>IFERROR(vlookup('2.1'!F:F,lookup!$A$10:$B$12,2,false),0)</f>
        <v>5</v>
      </c>
      <c r="H39" s="10">
        <f>IFERROR(vlookup('2.1'!G:G,lookup!$A$14:$B$16,2,false),0)</f>
        <v>5</v>
      </c>
      <c r="I39" s="10">
        <f>IFERROR(vlookup('2.1'!H:H,lookup!$A$18:$B$20,2,false),0)</f>
        <v>5</v>
      </c>
      <c r="J39" s="10">
        <f>IFERROR(vlookup('2.1'!I:I,lookup!$A$22:$B$24,2,false),0)</f>
        <v>5</v>
      </c>
      <c r="K39" s="10">
        <f>IFERROR(vlookup('2.1'!J:J,lookup!$A$26:$B$28,2,false),0)</f>
        <v>5</v>
      </c>
      <c r="L39" s="1"/>
      <c r="M39" s="10">
        <v>38.0</v>
      </c>
      <c r="N39" s="11" t="str">
        <f t="shared" si="1"/>
        <v>bnco1038@signalschool.ac.th</v>
      </c>
      <c r="O39" s="12">
        <f t="shared" si="2"/>
        <v>1</v>
      </c>
      <c r="R39" s="6" t="s">
        <v>252</v>
      </c>
    </row>
    <row r="40">
      <c r="A40" s="8">
        <f>'2.1'!A:A</f>
        <v>46213.39657</v>
      </c>
      <c r="B40" s="1" t="str">
        <f>'2.1'!B:B</f>
        <v>bnco1061@signalschool.ac.th</v>
      </c>
      <c r="C40" s="1" t="str">
        <f>'2.1'!C:C</f>
        <v>พ.ต.ไมตรี บุญเหลื่อม</v>
      </c>
      <c r="D40" s="9">
        <v>1.0</v>
      </c>
      <c r="E40" s="10">
        <f>IFERROR(vlookup('2.1'!D:D,lookup!$A$2:$B$4,2,false),0)</f>
        <v>5</v>
      </c>
      <c r="F40" s="10">
        <f>IFERROR(vlookup('2.1'!E:E,lookup!$A$6:$B$8,2,false),0)</f>
        <v>5</v>
      </c>
      <c r="G40" s="10">
        <f>IFERROR(vlookup('2.1'!F:F,lookup!$A$10:$B$12,2,false),0)</f>
        <v>5</v>
      </c>
      <c r="H40" s="10">
        <f>IFERROR(vlookup('2.1'!G:G,lookup!$A$14:$B$16,2,false),0)</f>
        <v>5</v>
      </c>
      <c r="I40" s="10">
        <f>IFERROR(vlookup('2.1'!H:H,lookup!$A$18:$B$20,2,false),0)</f>
        <v>5</v>
      </c>
      <c r="J40" s="10">
        <f>IFERROR(vlookup('2.1'!I:I,lookup!$A$22:$B$24,2,false),0)</f>
        <v>5</v>
      </c>
      <c r="K40" s="10">
        <f>IFERROR(vlookup('2.1'!J:J,lookup!$A$26:$B$28,2,false),0)</f>
        <v>5</v>
      </c>
      <c r="L40" s="1"/>
      <c r="M40" s="10">
        <v>39.0</v>
      </c>
      <c r="N40" s="11" t="str">
        <f t="shared" si="1"/>
        <v>bnco1039@signalschool.ac.th</v>
      </c>
      <c r="O40" s="12">
        <f t="shared" si="2"/>
        <v>1</v>
      </c>
      <c r="R40" s="6" t="s">
        <v>253</v>
      </c>
    </row>
    <row r="41">
      <c r="A41" s="8">
        <f>'2.1'!A:A</f>
        <v>46213.39701</v>
      </c>
      <c r="B41" s="1" t="str">
        <f>'2.1'!B:B</f>
        <v>bnco1015@signalschool.ac.th</v>
      </c>
      <c r="C41" s="1">
        <f>'2.1'!C:C</f>
        <v>15</v>
      </c>
      <c r="D41" s="9">
        <v>1.0</v>
      </c>
      <c r="E41" s="10">
        <f>IFERROR(vlookup('2.1'!D:D,lookup!$A$2:$B$4,2,false),0)</f>
        <v>5</v>
      </c>
      <c r="F41" s="10">
        <f>IFERROR(vlookup('2.1'!E:E,lookup!$A$6:$B$8,2,false),0)</f>
        <v>5</v>
      </c>
      <c r="G41" s="10">
        <f>IFERROR(vlookup('2.1'!F:F,lookup!$A$10:$B$12,2,false),0)</f>
        <v>5</v>
      </c>
      <c r="H41" s="10">
        <f>IFERROR(vlookup('2.1'!G:G,lookup!$A$14:$B$16,2,false),0)</f>
        <v>5</v>
      </c>
      <c r="I41" s="10">
        <f>IFERROR(vlookup('2.1'!H:H,lookup!$A$18:$B$20,2,false),0)</f>
        <v>5</v>
      </c>
      <c r="J41" s="10">
        <f>IFERROR(vlookup('2.1'!I:I,lookup!$A$22:$B$24,2,false),0)</f>
        <v>5</v>
      </c>
      <c r="K41" s="10">
        <f>IFERROR(vlookup('2.1'!J:J,lookup!$A$26:$B$28,2,false),0)</f>
        <v>5</v>
      </c>
      <c r="L41" s="1"/>
      <c r="M41" s="10">
        <v>40.0</v>
      </c>
      <c r="N41" s="11" t="str">
        <f t="shared" si="1"/>
        <v>bnco1040@signalschool.ac.th</v>
      </c>
      <c r="O41" s="12">
        <f t="shared" si="2"/>
        <v>1</v>
      </c>
      <c r="R41" s="6" t="s">
        <v>254</v>
      </c>
    </row>
    <row r="42">
      <c r="A42" s="8">
        <f>'2.1'!A:A</f>
        <v>46213.39741</v>
      </c>
      <c r="B42" s="1" t="str">
        <f>'2.1'!B:B</f>
        <v>bnco1080@signalschool.ac.th</v>
      </c>
      <c r="C42" s="1" t="str">
        <f>'2.1'!C:C</f>
        <v>พ.ต.ไมตรี  บุญเหลื่ยม</v>
      </c>
      <c r="D42" s="9">
        <v>1.0</v>
      </c>
      <c r="E42" s="10">
        <f>IFERROR(vlookup('2.1'!D:D,lookup!$A$2:$B$4,2,false),0)</f>
        <v>5</v>
      </c>
      <c r="F42" s="10">
        <f>IFERROR(vlookup('2.1'!E:E,lookup!$A$6:$B$8,2,false),0)</f>
        <v>5</v>
      </c>
      <c r="G42" s="10">
        <f>IFERROR(vlookup('2.1'!F:F,lookup!$A$10:$B$12,2,false),0)</f>
        <v>5</v>
      </c>
      <c r="H42" s="10">
        <f>IFERROR(vlookup('2.1'!G:G,lookup!$A$14:$B$16,2,false),0)</f>
        <v>5</v>
      </c>
      <c r="I42" s="10">
        <f>IFERROR(vlookup('2.1'!H:H,lookup!$A$18:$B$20,2,false),0)</f>
        <v>5</v>
      </c>
      <c r="J42" s="10">
        <f>IFERROR(vlookup('2.1'!I:I,lookup!$A$22:$B$24,2,false),0)</f>
        <v>5</v>
      </c>
      <c r="K42" s="10">
        <f>IFERROR(vlookup('2.1'!J:J,lookup!$A$26:$B$28,2,false),0)</f>
        <v>5</v>
      </c>
      <c r="L42" s="1"/>
      <c r="M42" s="10">
        <v>41.0</v>
      </c>
      <c r="N42" s="11" t="str">
        <f t="shared" si="1"/>
        <v>bnco1041@signalschool.ac.th</v>
      </c>
      <c r="O42" s="12">
        <f t="shared" si="2"/>
        <v>1</v>
      </c>
      <c r="R42" s="6" t="s">
        <v>255</v>
      </c>
    </row>
    <row r="43">
      <c r="A43" s="8">
        <f>'2.1'!A:A</f>
        <v>46213.3975</v>
      </c>
      <c r="B43" s="1" t="str">
        <f>'2.1'!B:B</f>
        <v>bnco1074@signalschool.ac.th</v>
      </c>
      <c r="C43" s="1" t="str">
        <f>'2.1'!C:C</f>
        <v>พ.ต. ไมตรี  บุญเหลื่อม</v>
      </c>
      <c r="D43" s="9">
        <v>1.0</v>
      </c>
      <c r="E43" s="10">
        <f>IFERROR(vlookup('2.1'!D:D,lookup!$A$2:$B$4,2,false),0)</f>
        <v>5</v>
      </c>
      <c r="F43" s="10">
        <f>IFERROR(vlookup('2.1'!E:E,lookup!$A$6:$B$8,2,false),0)</f>
        <v>5</v>
      </c>
      <c r="G43" s="10">
        <f>IFERROR(vlookup('2.1'!F:F,lookup!$A$10:$B$12,2,false),0)</f>
        <v>5</v>
      </c>
      <c r="H43" s="10">
        <f>IFERROR(vlookup('2.1'!G:G,lookup!$A$14:$B$16,2,false),0)</f>
        <v>5</v>
      </c>
      <c r="I43" s="10">
        <f>IFERROR(vlookup('2.1'!H:H,lookup!$A$18:$B$20,2,false),0)</f>
        <v>5</v>
      </c>
      <c r="J43" s="10">
        <f>IFERROR(vlookup('2.1'!I:I,lookup!$A$22:$B$24,2,false),0)</f>
        <v>5</v>
      </c>
      <c r="K43" s="10">
        <f>IFERROR(vlookup('2.1'!J:J,lookup!$A$26:$B$28,2,false),0)</f>
        <v>5</v>
      </c>
      <c r="L43" s="1"/>
      <c r="M43" s="10">
        <v>42.0</v>
      </c>
      <c r="N43" s="11" t="str">
        <f t="shared" si="1"/>
        <v>bnco1042@signalschool.ac.th</v>
      </c>
      <c r="O43" s="12">
        <f t="shared" si="2"/>
        <v>1</v>
      </c>
      <c r="R43" s="6" t="s">
        <v>256</v>
      </c>
    </row>
    <row r="44">
      <c r="A44" s="8">
        <f>'2.1'!A:A</f>
        <v>46213.39752</v>
      </c>
      <c r="B44" s="1" t="str">
        <f>'2.1'!B:B</f>
        <v>bnco1062@signalschool.ac.th</v>
      </c>
      <c r="C44" s="1" t="str">
        <f>'2.1'!C:C</f>
        <v>ไมตรี บุญเหลื่อม</v>
      </c>
      <c r="D44" s="9">
        <v>1.0</v>
      </c>
      <c r="E44" s="10">
        <f>IFERROR(vlookup('2.1'!D:D,lookup!$A$2:$B$4,2,false),0)</f>
        <v>5</v>
      </c>
      <c r="F44" s="10">
        <f>IFERROR(vlookup('2.1'!E:E,lookup!$A$6:$B$8,2,false),0)</f>
        <v>5</v>
      </c>
      <c r="G44" s="10">
        <f>IFERROR(vlookup('2.1'!F:F,lookup!$A$10:$B$12,2,false),0)</f>
        <v>5</v>
      </c>
      <c r="H44" s="10">
        <f>IFERROR(vlookup('2.1'!G:G,lookup!$A$14:$B$16,2,false),0)</f>
        <v>5</v>
      </c>
      <c r="I44" s="10">
        <f>IFERROR(vlookup('2.1'!H:H,lookup!$A$18:$B$20,2,false),0)</f>
        <v>5</v>
      </c>
      <c r="J44" s="10">
        <f>IFERROR(vlookup('2.1'!I:I,lookup!$A$22:$B$24,2,false),0)</f>
        <v>5</v>
      </c>
      <c r="K44" s="10">
        <f>IFERROR(vlookup('2.1'!J:J,lookup!$A$26:$B$28,2,false),0)</f>
        <v>5</v>
      </c>
      <c r="L44" s="1"/>
      <c r="M44" s="10">
        <v>43.0</v>
      </c>
      <c r="N44" s="11" t="str">
        <f t="shared" si="1"/>
        <v>bnco1043@signalschool.ac.th</v>
      </c>
      <c r="O44" s="12">
        <f t="shared" si="2"/>
        <v>1</v>
      </c>
      <c r="R44" s="6" t="s">
        <v>257</v>
      </c>
    </row>
    <row r="45">
      <c r="A45" s="8">
        <f>'2.1'!A:A</f>
        <v>46213.39765</v>
      </c>
      <c r="B45" s="1" t="str">
        <f>'2.1'!B:B</f>
        <v>bnco1073@signalschool.ac.th</v>
      </c>
      <c r="C45" s="1" t="str">
        <f>'2.1'!C:C</f>
        <v>ส.อ. ธีรโชติ สีหะวงษ์</v>
      </c>
      <c r="D45" s="9">
        <v>1.0</v>
      </c>
      <c r="E45" s="10">
        <f>IFERROR(vlookup('2.1'!D:D,lookup!$A$2:$B$4,2,false),0)</f>
        <v>5</v>
      </c>
      <c r="F45" s="10">
        <f>IFERROR(vlookup('2.1'!E:E,lookup!$A$6:$B$8,2,false),0)</f>
        <v>5</v>
      </c>
      <c r="G45" s="10">
        <f>IFERROR(vlookup('2.1'!F:F,lookup!$A$10:$B$12,2,false),0)</f>
        <v>5</v>
      </c>
      <c r="H45" s="10">
        <f>IFERROR(vlookup('2.1'!G:G,lookup!$A$14:$B$16,2,false),0)</f>
        <v>5</v>
      </c>
      <c r="I45" s="10">
        <f>IFERROR(vlookup('2.1'!H:H,lookup!$A$18:$B$20,2,false),0)</f>
        <v>5</v>
      </c>
      <c r="J45" s="10">
        <f>IFERROR(vlookup('2.1'!I:I,lookup!$A$22:$B$24,2,false),0)</f>
        <v>5</v>
      </c>
      <c r="K45" s="10">
        <f>IFERROR(vlookup('2.1'!J:J,lookup!$A$26:$B$28,2,false),0)</f>
        <v>5</v>
      </c>
      <c r="L45" s="1"/>
      <c r="M45" s="10">
        <v>44.0</v>
      </c>
      <c r="N45" s="11" t="str">
        <f t="shared" si="1"/>
        <v>bnco1044@signalschool.ac.th</v>
      </c>
      <c r="O45" s="12">
        <f t="shared" si="2"/>
        <v>1</v>
      </c>
      <c r="R45" s="6" t="s">
        <v>258</v>
      </c>
    </row>
    <row r="46">
      <c r="A46" s="8">
        <f>'2.1'!A:A</f>
        <v>46213.39837</v>
      </c>
      <c r="B46" s="1" t="str">
        <f>'2.1'!B:B</f>
        <v>bnco1052@signalschool.ac.th</v>
      </c>
      <c r="C46" s="1" t="str">
        <f>'2.1'!C:C</f>
        <v>พ.ต. ไมตรี  บุญเหลื่อม</v>
      </c>
      <c r="D46" s="9">
        <v>1.0</v>
      </c>
      <c r="E46" s="10">
        <f>IFERROR(vlookup('2.1'!D:D,lookup!$A$2:$B$4,2,false),0)</f>
        <v>5</v>
      </c>
      <c r="F46" s="10">
        <f>IFERROR(vlookup('2.1'!E:E,lookup!$A$6:$B$8,2,false),0)</f>
        <v>5</v>
      </c>
      <c r="G46" s="10">
        <f>IFERROR(vlookup('2.1'!F:F,lookup!$A$10:$B$12,2,false),0)</f>
        <v>5</v>
      </c>
      <c r="H46" s="10">
        <f>IFERROR(vlookup('2.1'!G:G,lookup!$A$14:$B$16,2,false),0)</f>
        <v>5</v>
      </c>
      <c r="I46" s="10">
        <f>IFERROR(vlookup('2.1'!H:H,lookup!$A$18:$B$20,2,false),0)</f>
        <v>5</v>
      </c>
      <c r="J46" s="10">
        <f>IFERROR(vlookup('2.1'!I:I,lookup!$A$22:$B$24,2,false),0)</f>
        <v>5</v>
      </c>
      <c r="K46" s="10">
        <f>IFERROR(vlookup('2.1'!J:J,lookup!$A$26:$B$28,2,false),0)</f>
        <v>5</v>
      </c>
      <c r="L46" s="1"/>
      <c r="M46" s="10">
        <v>45.0</v>
      </c>
      <c r="N46" s="11" t="str">
        <f t="shared" si="1"/>
        <v>bnco1045@signalschool.ac.th</v>
      </c>
      <c r="O46" s="12">
        <f t="shared" si="2"/>
        <v>1</v>
      </c>
      <c r="R46" s="6" t="s">
        <v>259</v>
      </c>
    </row>
    <row r="47">
      <c r="A47" s="8">
        <f>'2.1'!A:A</f>
        <v>46213.39843</v>
      </c>
      <c r="B47" s="1" t="str">
        <f>'2.1'!B:B</f>
        <v>bnco1072@signalschool.ac.th</v>
      </c>
      <c r="C47" s="1" t="str">
        <f>'2.1'!C:C</f>
        <v>พ.ต.ไมตรี บุญเหลื่อม</v>
      </c>
      <c r="D47" s="9">
        <v>1.0</v>
      </c>
      <c r="E47" s="10">
        <f>IFERROR(vlookup('2.1'!D:D,lookup!$A$2:$B$4,2,false),0)</f>
        <v>5</v>
      </c>
      <c r="F47" s="10">
        <f>IFERROR(vlookup('2.1'!E:E,lookup!$A$6:$B$8,2,false),0)</f>
        <v>5</v>
      </c>
      <c r="G47" s="10">
        <f>IFERROR(vlookup('2.1'!F:F,lookup!$A$10:$B$12,2,false),0)</f>
        <v>5</v>
      </c>
      <c r="H47" s="10">
        <f>IFERROR(vlookup('2.1'!G:G,lookup!$A$14:$B$16,2,false),0)</f>
        <v>5</v>
      </c>
      <c r="I47" s="10">
        <f>IFERROR(vlookup('2.1'!H:H,lookup!$A$18:$B$20,2,false),0)</f>
        <v>5</v>
      </c>
      <c r="J47" s="10">
        <f>IFERROR(vlookup('2.1'!I:I,lookup!$A$22:$B$24,2,false),0)</f>
        <v>5</v>
      </c>
      <c r="K47" s="10">
        <f>IFERROR(vlookup('2.1'!J:J,lookup!$A$26:$B$28,2,false),0)</f>
        <v>5</v>
      </c>
      <c r="L47" s="1"/>
      <c r="M47" s="10">
        <v>46.0</v>
      </c>
      <c r="N47" s="11" t="str">
        <f t="shared" si="1"/>
        <v>bnco1046@signalschool.ac.th</v>
      </c>
      <c r="O47" s="12">
        <f t="shared" si="2"/>
        <v>1</v>
      </c>
      <c r="R47" s="6" t="s">
        <v>260</v>
      </c>
    </row>
    <row r="48">
      <c r="A48" s="8">
        <f>'2.1'!A:A</f>
        <v>46213.39957</v>
      </c>
      <c r="B48" s="1" t="str">
        <f>'2.1'!B:B</f>
        <v>bnco1050@signalschool.ac.th</v>
      </c>
      <c r="C48" s="1" t="str">
        <f>'2.1'!C:C</f>
        <v>พ.ต.ไมตรี บุญเหลื่อม</v>
      </c>
      <c r="D48" s="9">
        <v>1.0</v>
      </c>
      <c r="E48" s="10">
        <f>IFERROR(vlookup('2.1'!D:D,lookup!$A$2:$B$4,2,false),0)</f>
        <v>5</v>
      </c>
      <c r="F48" s="10">
        <f>IFERROR(vlookup('2.1'!E:E,lookup!$A$6:$B$8,2,false),0)</f>
        <v>5</v>
      </c>
      <c r="G48" s="10">
        <f>IFERROR(vlookup('2.1'!F:F,lookup!$A$10:$B$12,2,false),0)</f>
        <v>5</v>
      </c>
      <c r="H48" s="10">
        <f>IFERROR(vlookup('2.1'!G:G,lookup!$A$14:$B$16,2,false),0)</f>
        <v>5</v>
      </c>
      <c r="I48" s="10">
        <f>IFERROR(vlookup('2.1'!H:H,lookup!$A$18:$B$20,2,false),0)</f>
        <v>5</v>
      </c>
      <c r="J48" s="10">
        <f>IFERROR(vlookup('2.1'!I:I,lookup!$A$22:$B$24,2,false),0)</f>
        <v>5</v>
      </c>
      <c r="K48" s="10">
        <f>IFERROR(vlookup('2.1'!J:J,lookup!$A$26:$B$28,2,false),0)</f>
        <v>5</v>
      </c>
      <c r="L48" s="1"/>
      <c r="M48" s="10">
        <v>47.0</v>
      </c>
      <c r="N48" s="11" t="str">
        <f t="shared" si="1"/>
        <v>bnco1047@signalschool.ac.th</v>
      </c>
      <c r="O48" s="12">
        <f t="shared" si="2"/>
        <v>1</v>
      </c>
      <c r="R48" s="6" t="s">
        <v>261</v>
      </c>
    </row>
    <row r="49">
      <c r="A49" s="8">
        <f>'2.1'!A:A</f>
        <v>46213.39988</v>
      </c>
      <c r="B49" s="1" t="str">
        <f>'2.1'!B:B</f>
        <v>bnco1006@signalschool.ac.th</v>
      </c>
      <c r="C49" s="1" t="str">
        <f>'2.1'!C:C</f>
        <v>ส.อ.ณัฐพงค์ ขอบพิมาย</v>
      </c>
      <c r="D49" s="9">
        <v>1.0</v>
      </c>
      <c r="E49" s="10">
        <f>IFERROR(vlookup('2.1'!D:D,lookup!$A$2:$B$4,2,false),0)</f>
        <v>5</v>
      </c>
      <c r="F49" s="10">
        <f>IFERROR(vlookup('2.1'!E:E,lookup!$A$6:$B$8,2,false),0)</f>
        <v>5</v>
      </c>
      <c r="G49" s="10">
        <f>IFERROR(vlookup('2.1'!F:F,lookup!$A$10:$B$12,2,false),0)</f>
        <v>5</v>
      </c>
      <c r="H49" s="10">
        <f>IFERROR(vlookup('2.1'!G:G,lookup!$A$14:$B$16,2,false),0)</f>
        <v>5</v>
      </c>
      <c r="I49" s="10">
        <f>IFERROR(vlookup('2.1'!H:H,lookup!$A$18:$B$20,2,false),0)</f>
        <v>5</v>
      </c>
      <c r="J49" s="10">
        <f>IFERROR(vlookup('2.1'!I:I,lookup!$A$22:$B$24,2,false),0)</f>
        <v>5</v>
      </c>
      <c r="K49" s="10">
        <f>IFERROR(vlookup('2.1'!J:J,lookup!$A$26:$B$28,2,false),0)</f>
        <v>5</v>
      </c>
      <c r="L49" s="1"/>
      <c r="M49" s="10">
        <v>48.0</v>
      </c>
      <c r="N49" s="11" t="str">
        <f t="shared" si="1"/>
        <v>bnco1048@signalschool.ac.th</v>
      </c>
      <c r="O49" s="12">
        <f t="shared" si="2"/>
        <v>1</v>
      </c>
      <c r="R49" s="6" t="s">
        <v>262</v>
      </c>
    </row>
    <row r="50">
      <c r="A50" s="8">
        <f>'2.1'!A:A</f>
        <v>46213.40013</v>
      </c>
      <c r="B50" s="1" t="str">
        <f>'2.1'!B:B</f>
        <v>bnco1027@signalschool.ac.th</v>
      </c>
      <c r="C50" s="1" t="str">
        <f>'2.1'!C:C</f>
        <v>ส.อ.ไวยวุฒิ จิตต์นิยม</v>
      </c>
      <c r="D50" s="9">
        <v>1.0</v>
      </c>
      <c r="E50" s="10">
        <f>IFERROR(vlookup('2.1'!D:D,lookup!$A$2:$B$4,2,false),0)</f>
        <v>5</v>
      </c>
      <c r="F50" s="10">
        <f>IFERROR(vlookup('2.1'!E:E,lookup!$A$6:$B$8,2,false),0)</f>
        <v>5</v>
      </c>
      <c r="G50" s="10">
        <f>IFERROR(vlookup('2.1'!F:F,lookup!$A$10:$B$12,2,false),0)</f>
        <v>5</v>
      </c>
      <c r="H50" s="10">
        <f>IFERROR(vlookup('2.1'!G:G,lookup!$A$14:$B$16,2,false),0)</f>
        <v>5</v>
      </c>
      <c r="I50" s="10">
        <f>IFERROR(vlookup('2.1'!H:H,lookup!$A$18:$B$20,2,false),0)</f>
        <v>5</v>
      </c>
      <c r="J50" s="10">
        <f>IFERROR(vlookup('2.1'!I:I,lookup!$A$22:$B$24,2,false),0)</f>
        <v>5</v>
      </c>
      <c r="K50" s="10">
        <f>IFERROR(vlookup('2.1'!J:J,lookup!$A$26:$B$28,2,false),0)</f>
        <v>5</v>
      </c>
      <c r="L50" s="1"/>
      <c r="M50" s="10">
        <v>49.0</v>
      </c>
      <c r="N50" s="11" t="str">
        <f t="shared" si="1"/>
        <v>bnco1049@signalschool.ac.th</v>
      </c>
      <c r="O50" s="12">
        <f t="shared" si="2"/>
        <v>1</v>
      </c>
      <c r="R50" s="6" t="s">
        <v>263</v>
      </c>
    </row>
    <row r="51">
      <c r="A51" s="8">
        <f>'2.1'!A:A</f>
        <v>46213.40045</v>
      </c>
      <c r="B51" s="1" t="str">
        <f>'2.1'!B:B</f>
        <v>bnco1068@signalschool.ac.th</v>
      </c>
      <c r="C51" s="1" t="str">
        <f>'2.1'!C:C</f>
        <v>พ.ต. ไมตรี  บุญเหลื่อม</v>
      </c>
      <c r="D51" s="9">
        <v>1.0</v>
      </c>
      <c r="E51" s="10">
        <f>IFERROR(vlookup('2.1'!D:D,lookup!$A$2:$B$4,2,false),0)</f>
        <v>5</v>
      </c>
      <c r="F51" s="10">
        <f>IFERROR(vlookup('2.1'!E:E,lookup!$A$6:$B$8,2,false),0)</f>
        <v>5</v>
      </c>
      <c r="G51" s="10">
        <f>IFERROR(vlookup('2.1'!F:F,lookup!$A$10:$B$12,2,false),0)</f>
        <v>5</v>
      </c>
      <c r="H51" s="10">
        <f>IFERROR(vlookup('2.1'!G:G,lookup!$A$14:$B$16,2,false),0)</f>
        <v>5</v>
      </c>
      <c r="I51" s="10">
        <f>IFERROR(vlookup('2.1'!H:H,lookup!$A$18:$B$20,2,false),0)</f>
        <v>5</v>
      </c>
      <c r="J51" s="10">
        <f>IFERROR(vlookup('2.1'!I:I,lookup!$A$22:$B$24,2,false),0)</f>
        <v>5</v>
      </c>
      <c r="K51" s="10">
        <f>IFERROR(vlookup('2.1'!J:J,lookup!$A$26:$B$28,2,false),0)</f>
        <v>5</v>
      </c>
      <c r="L51" s="1"/>
      <c r="M51" s="10">
        <v>50.0</v>
      </c>
      <c r="N51" s="11" t="str">
        <f t="shared" si="1"/>
        <v>bnco1050@signalschool.ac.th</v>
      </c>
      <c r="O51" s="12">
        <f t="shared" si="2"/>
        <v>1</v>
      </c>
      <c r="R51" s="6" t="s">
        <v>264</v>
      </c>
    </row>
    <row r="52">
      <c r="A52" s="8">
        <f>'2.1'!A:A</f>
        <v>46213.401</v>
      </c>
      <c r="B52" s="1" t="str">
        <f>'2.1'!B:B</f>
        <v>bnco1060@signalschool.ac.th</v>
      </c>
      <c r="C52" s="1" t="str">
        <f>'2.1'!C:C</f>
        <v>พันตรี ไมตรี บุญเหลื่อม</v>
      </c>
      <c r="D52" s="9">
        <v>1.0</v>
      </c>
      <c r="E52" s="10">
        <f>IFERROR(vlookup('2.1'!D:D,lookup!$A$2:$B$4,2,false),0)</f>
        <v>5</v>
      </c>
      <c r="F52" s="10">
        <f>IFERROR(vlookup('2.1'!E:E,lookup!$A$6:$B$8,2,false),0)</f>
        <v>5</v>
      </c>
      <c r="G52" s="10">
        <f>IFERROR(vlookup('2.1'!F:F,lookup!$A$10:$B$12,2,false),0)</f>
        <v>5</v>
      </c>
      <c r="H52" s="10">
        <f>IFERROR(vlookup('2.1'!G:G,lookup!$A$14:$B$16,2,false),0)</f>
        <v>5</v>
      </c>
      <c r="I52" s="10">
        <f>IFERROR(vlookup('2.1'!H:H,lookup!$A$18:$B$20,2,false),0)</f>
        <v>5</v>
      </c>
      <c r="J52" s="10">
        <f>IFERROR(vlookup('2.1'!I:I,lookup!$A$22:$B$24,2,false),0)</f>
        <v>5</v>
      </c>
      <c r="K52" s="10">
        <f>IFERROR(vlookup('2.1'!J:J,lookup!$A$26:$B$28,2,false),0)</f>
        <v>5</v>
      </c>
      <c r="L52" s="1"/>
      <c r="M52" s="10">
        <v>51.0</v>
      </c>
      <c r="N52" s="11" t="str">
        <f t="shared" si="1"/>
        <v>bnco1051@signalschool.ac.th</v>
      </c>
      <c r="O52" s="12">
        <f t="shared" si="2"/>
        <v>1</v>
      </c>
      <c r="R52" s="6" t="s">
        <v>265</v>
      </c>
    </row>
    <row r="53">
      <c r="A53" s="8">
        <f>'2.1'!A:A</f>
        <v>46213.40137</v>
      </c>
      <c r="B53" s="1" t="str">
        <f>'2.1'!B:B</f>
        <v>bnco1067@signalschool.ac.th</v>
      </c>
      <c r="C53" s="1" t="str">
        <f>'2.1'!C:C</f>
        <v>พ.ต.ไมตรี บุญเหลื่อม</v>
      </c>
      <c r="D53" s="9">
        <v>1.0</v>
      </c>
      <c r="E53" s="10">
        <f>IFERROR(vlookup('2.1'!D:D,lookup!$A$2:$B$4,2,false),0)</f>
        <v>5</v>
      </c>
      <c r="F53" s="10">
        <f>IFERROR(vlookup('2.1'!E:E,lookup!$A$6:$B$8,2,false),0)</f>
        <v>5</v>
      </c>
      <c r="G53" s="10">
        <f>IFERROR(vlookup('2.1'!F:F,lookup!$A$10:$B$12,2,false),0)</f>
        <v>5</v>
      </c>
      <c r="H53" s="10">
        <f>IFERROR(vlookup('2.1'!G:G,lookup!$A$14:$B$16,2,false),0)</f>
        <v>5</v>
      </c>
      <c r="I53" s="10">
        <f>IFERROR(vlookup('2.1'!H:H,lookup!$A$18:$B$20,2,false),0)</f>
        <v>5</v>
      </c>
      <c r="J53" s="10">
        <f>IFERROR(vlookup('2.1'!I:I,lookup!$A$22:$B$24,2,false),0)</f>
        <v>5</v>
      </c>
      <c r="K53" s="10">
        <f>IFERROR(vlookup('2.1'!J:J,lookup!$A$26:$B$28,2,false),0)</f>
        <v>5</v>
      </c>
      <c r="L53" s="1"/>
      <c r="M53" s="10">
        <v>52.0</v>
      </c>
      <c r="N53" s="11" t="str">
        <f t="shared" si="1"/>
        <v>bnco1052@signalschool.ac.th</v>
      </c>
      <c r="O53" s="12">
        <f t="shared" si="2"/>
        <v>1</v>
      </c>
      <c r="R53" s="6" t="s">
        <v>266</v>
      </c>
    </row>
    <row r="54">
      <c r="A54" s="8">
        <f>'2.1'!A:A</f>
        <v>46213.40323</v>
      </c>
      <c r="B54" s="1" t="str">
        <f>'2.1'!B:B</f>
        <v>bnco1063@signalschool.ac.th</v>
      </c>
      <c r="C54" s="1" t="str">
        <f>'2.1'!C:C</f>
        <v>พ.ต.ไมตรี บุญเหลือม</v>
      </c>
      <c r="D54" s="9">
        <v>1.0</v>
      </c>
      <c r="E54" s="10">
        <f>IFERROR(vlookup('2.1'!D:D,lookup!$A$2:$B$4,2,false),0)</f>
        <v>5</v>
      </c>
      <c r="F54" s="10">
        <f>IFERROR(vlookup('2.1'!E:E,lookup!$A$6:$B$8,2,false),0)</f>
        <v>5</v>
      </c>
      <c r="G54" s="10">
        <f>IFERROR(vlookup('2.1'!F:F,lookup!$A$10:$B$12,2,false),0)</f>
        <v>5</v>
      </c>
      <c r="H54" s="10">
        <f>IFERROR(vlookup('2.1'!G:G,lookup!$A$14:$B$16,2,false),0)</f>
        <v>5</v>
      </c>
      <c r="I54" s="10">
        <f>IFERROR(vlookup('2.1'!H:H,lookup!$A$18:$B$20,2,false),0)</f>
        <v>5</v>
      </c>
      <c r="J54" s="10">
        <f>IFERROR(vlookup('2.1'!I:I,lookup!$A$22:$B$24,2,false),0)</f>
        <v>5</v>
      </c>
      <c r="K54" s="10">
        <f>IFERROR(vlookup('2.1'!J:J,lookup!$A$26:$B$28,2,false),0)</f>
        <v>5</v>
      </c>
      <c r="L54" s="1"/>
      <c r="M54" s="10">
        <v>53.0</v>
      </c>
      <c r="N54" s="11" t="str">
        <f t="shared" si="1"/>
        <v>bnco1053@signalschool.ac.th</v>
      </c>
      <c r="O54" s="12">
        <f t="shared" si="2"/>
        <v>1</v>
      </c>
      <c r="R54" s="6" t="s">
        <v>267</v>
      </c>
    </row>
    <row r="55">
      <c r="A55" s="8">
        <f>'2.1'!A:A</f>
        <v>46213.40511</v>
      </c>
      <c r="B55" s="1" t="str">
        <f>'2.1'!B:B</f>
        <v>bnco1037@signalschool.ac.th</v>
      </c>
      <c r="C55" s="1" t="str">
        <f>'2.1'!C:C</f>
        <v>ส.อ.ตรีทศพล สุขวัฒนา</v>
      </c>
      <c r="D55" s="9">
        <v>1.0</v>
      </c>
      <c r="E55" s="10">
        <f>IFERROR(vlookup('2.1'!D:D,lookup!$A$2:$B$4,2,false),0)</f>
        <v>5</v>
      </c>
      <c r="F55" s="10">
        <f>IFERROR(vlookup('2.1'!E:E,lookup!$A$6:$B$8,2,false),0)</f>
        <v>5</v>
      </c>
      <c r="G55" s="10">
        <f>IFERROR(vlookup('2.1'!F:F,lookup!$A$10:$B$12,2,false),0)</f>
        <v>5</v>
      </c>
      <c r="H55" s="10">
        <f>IFERROR(vlookup('2.1'!G:G,lookup!$A$14:$B$16,2,false),0)</f>
        <v>5</v>
      </c>
      <c r="I55" s="10">
        <f>IFERROR(vlookup('2.1'!H:H,lookup!$A$18:$B$20,2,false),0)</f>
        <v>5</v>
      </c>
      <c r="J55" s="10">
        <f>IFERROR(vlookup('2.1'!I:I,lookup!$A$22:$B$24,2,false),0)</f>
        <v>5</v>
      </c>
      <c r="K55" s="10">
        <f>IFERROR(vlookup('2.1'!J:J,lookup!$A$26:$B$28,2,false),0)</f>
        <v>5</v>
      </c>
      <c r="L55" s="1"/>
      <c r="M55" s="10">
        <v>54.0</v>
      </c>
      <c r="N55" s="11" t="str">
        <f t="shared" si="1"/>
        <v>bnco1054@signalschool.ac.th</v>
      </c>
      <c r="O55" s="12">
        <f t="shared" si="2"/>
        <v>1</v>
      </c>
      <c r="R55" s="6" t="s">
        <v>268</v>
      </c>
    </row>
    <row r="56">
      <c r="A56" s="8">
        <f>'2.1'!A:A</f>
        <v>46213.40775</v>
      </c>
      <c r="B56" s="1" t="str">
        <f>'2.1'!B:B</f>
        <v>bnco1042@signalschool.ac.th</v>
      </c>
      <c r="C56" s="1" t="str">
        <f>'2.1'!C:C</f>
        <v>ส.อ.อภิเษก  แววดี</v>
      </c>
      <c r="D56" s="9">
        <v>1.0</v>
      </c>
      <c r="E56" s="10">
        <f>IFERROR(vlookup('2.1'!D:D,lookup!$A$2:$B$4,2,false),0)</f>
        <v>3</v>
      </c>
      <c r="F56" s="10">
        <f>IFERROR(vlookup('2.1'!E:E,lookup!$A$6:$B$8,2,false),0)</f>
        <v>5</v>
      </c>
      <c r="G56" s="10">
        <f>IFERROR(vlookup('2.1'!F:F,lookup!$A$10:$B$12,2,false),0)</f>
        <v>5</v>
      </c>
      <c r="H56" s="10">
        <f>IFERROR(vlookup('2.1'!G:G,lookup!$A$14:$B$16,2,false),0)</f>
        <v>5</v>
      </c>
      <c r="I56" s="10">
        <f>IFERROR(vlookup('2.1'!H:H,lookup!$A$18:$B$20,2,false),0)</f>
        <v>5</v>
      </c>
      <c r="J56" s="10">
        <f>IFERROR(vlookup('2.1'!I:I,lookup!$A$22:$B$24,2,false),0)</f>
        <v>5</v>
      </c>
      <c r="K56" s="10">
        <f>IFERROR(vlookup('2.1'!J:J,lookup!$A$26:$B$28,2,false),0)</f>
        <v>5</v>
      </c>
      <c r="L56" s="13"/>
      <c r="M56" s="10">
        <v>55.0</v>
      </c>
      <c r="N56" s="11" t="str">
        <f t="shared" si="1"/>
        <v>bnco1055@signalschool.ac.th</v>
      </c>
      <c r="O56" s="12">
        <f t="shared" si="2"/>
        <v>1</v>
      </c>
      <c r="R56" s="6" t="s">
        <v>269</v>
      </c>
    </row>
    <row r="57">
      <c r="A57" s="8">
        <f>'2.1'!A:A</f>
        <v>46213.41002</v>
      </c>
      <c r="B57" s="1" t="str">
        <f>'2.1'!B:B</f>
        <v>bnco1017@signalschool.ac.th</v>
      </c>
      <c r="C57" s="1" t="str">
        <f>'2.1'!C:C</f>
        <v>พ.ต. ไมตรี  บุญเหลื่อม</v>
      </c>
      <c r="D57" s="9">
        <v>1.0</v>
      </c>
      <c r="E57" s="10">
        <f>IFERROR(vlookup('2.1'!D:D,lookup!$A$2:$B$4,2,false),0)</f>
        <v>5</v>
      </c>
      <c r="F57" s="10">
        <f>IFERROR(vlookup('2.1'!E:E,lookup!$A$6:$B$8,2,false),0)</f>
        <v>5</v>
      </c>
      <c r="G57" s="10">
        <f>IFERROR(vlookup('2.1'!F:F,lookup!$A$10:$B$12,2,false),0)</f>
        <v>5</v>
      </c>
      <c r="H57" s="10">
        <f>IFERROR(vlookup('2.1'!G:G,lookup!$A$14:$B$16,2,false),0)</f>
        <v>5</v>
      </c>
      <c r="I57" s="10">
        <f>IFERROR(vlookup('2.1'!H:H,lookup!$A$18:$B$20,2,false),0)</f>
        <v>5</v>
      </c>
      <c r="J57" s="10">
        <f>IFERROR(vlookup('2.1'!I:I,lookup!$A$22:$B$24,2,false),0)</f>
        <v>5</v>
      </c>
      <c r="K57" s="10">
        <f>IFERROR(vlookup('2.1'!J:J,lookup!$A$26:$B$28,2,false),0)</f>
        <v>5</v>
      </c>
      <c r="L57" s="13"/>
      <c r="M57" s="10">
        <v>56.0</v>
      </c>
      <c r="N57" s="11" t="str">
        <f t="shared" si="1"/>
        <v>bnco1056@signalschool.ac.th</v>
      </c>
      <c r="O57" s="12">
        <f t="shared" si="2"/>
        <v>1</v>
      </c>
      <c r="R57" s="6" t="s">
        <v>270</v>
      </c>
    </row>
    <row r="58">
      <c r="A58" s="8">
        <f>'2.1'!A:A</f>
        <v>46213.41278</v>
      </c>
      <c r="B58" s="1" t="str">
        <f>'2.1'!B:B</f>
        <v>bnco1051@signalschool.ac.th</v>
      </c>
      <c r="C58" s="1" t="str">
        <f>'2.1'!C:C</f>
        <v>พ.ต.ไมตรี บุญเหลื่อม</v>
      </c>
      <c r="D58" s="9">
        <v>1.0</v>
      </c>
      <c r="E58" s="10">
        <f>IFERROR(vlookup('2.1'!D:D,lookup!$A$2:$B$4,2,false),0)</f>
        <v>5</v>
      </c>
      <c r="F58" s="10">
        <f>IFERROR(vlookup('2.1'!E:E,lookup!$A$6:$B$8,2,false),0)</f>
        <v>5</v>
      </c>
      <c r="G58" s="10">
        <f>IFERROR(vlookup('2.1'!F:F,lookup!$A$10:$B$12,2,false),0)</f>
        <v>5</v>
      </c>
      <c r="H58" s="10">
        <f>IFERROR(vlookup('2.1'!G:G,lookup!$A$14:$B$16,2,false),0)</f>
        <v>5</v>
      </c>
      <c r="I58" s="10">
        <f>IFERROR(vlookup('2.1'!H:H,lookup!$A$18:$B$20,2,false),0)</f>
        <v>5</v>
      </c>
      <c r="J58" s="10">
        <f>IFERROR(vlookup('2.1'!I:I,lookup!$A$22:$B$24,2,false),0)</f>
        <v>5</v>
      </c>
      <c r="K58" s="10">
        <f>IFERROR(vlookup('2.1'!J:J,lookup!$A$26:$B$28,2,false),0)</f>
        <v>5</v>
      </c>
      <c r="L58" s="13"/>
      <c r="M58" s="10">
        <v>57.0</v>
      </c>
      <c r="N58" s="11" t="str">
        <f t="shared" si="1"/>
        <v>bnco1057@signalschool.ac.th</v>
      </c>
      <c r="O58" s="12">
        <f t="shared" si="2"/>
        <v>1</v>
      </c>
      <c r="R58" s="6" t="s">
        <v>271</v>
      </c>
    </row>
    <row r="59">
      <c r="A59" s="8">
        <f>'2.1'!A:A</f>
        <v>46213.41278</v>
      </c>
      <c r="B59" s="1" t="str">
        <f>'2.1'!B:B</f>
        <v>bnco1023@signalschool.ac.th</v>
      </c>
      <c r="C59" s="1" t="str">
        <f>'2.1'!C:C</f>
        <v>ส.อ.วีรภัทร ป้อมบุญมี</v>
      </c>
      <c r="D59" s="9">
        <v>1.0</v>
      </c>
      <c r="E59" s="10">
        <f>IFERROR(vlookup('2.1'!D:D,lookup!$A$2:$B$4,2,false),0)</f>
        <v>5</v>
      </c>
      <c r="F59" s="10">
        <f>IFERROR(vlookup('2.1'!E:E,lookup!$A$6:$B$8,2,false),0)</f>
        <v>5</v>
      </c>
      <c r="G59" s="10">
        <f>IFERROR(vlookup('2.1'!F:F,lookup!$A$10:$B$12,2,false),0)</f>
        <v>5</v>
      </c>
      <c r="H59" s="10">
        <f>IFERROR(vlookup('2.1'!G:G,lookup!$A$14:$B$16,2,false),0)</f>
        <v>5</v>
      </c>
      <c r="I59" s="10">
        <f>IFERROR(vlookup('2.1'!H:H,lookup!$A$18:$B$20,2,false),0)</f>
        <v>5</v>
      </c>
      <c r="J59" s="10">
        <f>IFERROR(vlookup('2.1'!I:I,lookup!$A$22:$B$24,2,false),0)</f>
        <v>5</v>
      </c>
      <c r="K59" s="10">
        <f>IFERROR(vlookup('2.1'!J:J,lookup!$A$26:$B$28,2,false),0)</f>
        <v>5</v>
      </c>
      <c r="L59" s="14"/>
      <c r="M59" s="10">
        <v>58.0</v>
      </c>
      <c r="N59" s="11" t="str">
        <f t="shared" si="1"/>
        <v>bnco1058@signalschool.ac.th</v>
      </c>
      <c r="O59" s="12">
        <f t="shared" si="2"/>
        <v>1</v>
      </c>
      <c r="R59" s="6" t="s">
        <v>272</v>
      </c>
    </row>
    <row r="60">
      <c r="A60" s="8">
        <f>'2.1'!A:A</f>
        <v>46213.41307</v>
      </c>
      <c r="B60" s="1" t="str">
        <f>'2.1'!B:B</f>
        <v>bnco1076@signalschool.ac.th</v>
      </c>
      <c r="C60" s="1" t="str">
        <f>'2.1'!C:C</f>
        <v>พ.ต. ไมตรี  บุญเหลื่อม</v>
      </c>
      <c r="D60" s="9">
        <v>1.0</v>
      </c>
      <c r="E60" s="10">
        <f>IFERROR(vlookup('2.1'!D:D,lookup!$A$2:$B$4,2,false),0)</f>
        <v>5</v>
      </c>
      <c r="F60" s="10">
        <f>IFERROR(vlookup('2.1'!E:E,lookup!$A$6:$B$8,2,false),0)</f>
        <v>5</v>
      </c>
      <c r="G60" s="10">
        <f>IFERROR(vlookup('2.1'!F:F,lookup!$A$10:$B$12,2,false),0)</f>
        <v>5</v>
      </c>
      <c r="H60" s="10">
        <f>IFERROR(vlookup('2.1'!G:G,lookup!$A$14:$B$16,2,false),0)</f>
        <v>5</v>
      </c>
      <c r="I60" s="10">
        <f>IFERROR(vlookup('2.1'!H:H,lookup!$A$18:$B$20,2,false),0)</f>
        <v>5</v>
      </c>
      <c r="J60" s="10">
        <f>IFERROR(vlookup('2.1'!I:I,lookup!$A$22:$B$24,2,false),0)</f>
        <v>5</v>
      </c>
      <c r="K60" s="10">
        <f>IFERROR(vlookup('2.1'!J:J,lookup!$A$26:$B$28,2,false),0)</f>
        <v>5</v>
      </c>
      <c r="L60" s="10"/>
      <c r="M60" s="10">
        <v>59.0</v>
      </c>
      <c r="N60" s="11" t="str">
        <f t="shared" si="1"/>
        <v>bnco1059@signalschool.ac.th</v>
      </c>
      <c r="O60" s="12">
        <f t="shared" si="2"/>
        <v>1</v>
      </c>
      <c r="R60" s="6" t="s">
        <v>273</v>
      </c>
    </row>
    <row r="61">
      <c r="A61" s="8">
        <f>'2.1'!A:A</f>
        <v>46213.41423</v>
      </c>
      <c r="B61" s="1" t="str">
        <f>'2.1'!B:B</f>
        <v>bnco1046@signalschool.ac.th</v>
      </c>
      <c r="C61" s="1" t="str">
        <f>'2.1'!C:C</f>
        <v>พ.ต. ไมตรี บุญเหลี่ยม</v>
      </c>
      <c r="D61" s="9">
        <v>1.0</v>
      </c>
      <c r="E61" s="10">
        <f>IFERROR(vlookup('2.1'!D:D,lookup!$A$2:$B$4,2,false),0)</f>
        <v>5</v>
      </c>
      <c r="F61" s="10">
        <f>IFERROR(vlookup('2.1'!E:E,lookup!$A$6:$B$8,2,false),0)</f>
        <v>5</v>
      </c>
      <c r="G61" s="10">
        <f>IFERROR(vlookup('2.1'!F:F,lookup!$A$10:$B$12,2,false),0)</f>
        <v>5</v>
      </c>
      <c r="H61" s="10">
        <f>IFERROR(vlookup('2.1'!G:G,lookup!$A$14:$B$16,2,false),0)</f>
        <v>5</v>
      </c>
      <c r="I61" s="10">
        <f>IFERROR(vlookup('2.1'!H:H,lookup!$A$18:$B$20,2,false),0)</f>
        <v>5</v>
      </c>
      <c r="J61" s="10">
        <f>IFERROR(vlookup('2.1'!I:I,lookup!$A$22:$B$24,2,false),0)</f>
        <v>5</v>
      </c>
      <c r="K61" s="10">
        <f>IFERROR(vlookup('2.1'!J:J,lookup!$A$26:$B$28,2,false),0)</f>
        <v>5</v>
      </c>
      <c r="M61" s="10">
        <v>60.0</v>
      </c>
      <c r="N61" s="11" t="str">
        <f t="shared" si="1"/>
        <v>bnco1060@signalschool.ac.th</v>
      </c>
      <c r="O61" s="12">
        <f t="shared" si="2"/>
        <v>1</v>
      </c>
      <c r="R61" s="6" t="s">
        <v>274</v>
      </c>
    </row>
    <row r="62">
      <c r="A62" s="8">
        <f>'2.1'!A:A</f>
        <v>46213.42488</v>
      </c>
      <c r="B62" s="1" t="str">
        <f>'2.1'!B:B</f>
        <v>bnco1054@signalschool.ac.th</v>
      </c>
      <c r="C62" s="1" t="str">
        <f>'2.1'!C:C</f>
        <v>พ.ต.ไมตรี บุญเหลื่อม</v>
      </c>
      <c r="D62" s="9">
        <v>1.0</v>
      </c>
      <c r="E62" s="10">
        <f>IFERROR(vlookup('2.1'!D:D,lookup!$A$2:$B$4,2,false),0)</f>
        <v>5</v>
      </c>
      <c r="F62" s="10">
        <f>IFERROR(vlookup('2.1'!E:E,lookup!$A$6:$B$8,2,false),0)</f>
        <v>5</v>
      </c>
      <c r="G62" s="10">
        <f>IFERROR(vlookup('2.1'!F:F,lookup!$A$10:$B$12,2,false),0)</f>
        <v>5</v>
      </c>
      <c r="H62" s="10">
        <f>IFERROR(vlookup('2.1'!G:G,lookup!$A$14:$B$16,2,false),0)</f>
        <v>5</v>
      </c>
      <c r="I62" s="10">
        <f>IFERROR(vlookup('2.1'!H:H,lookup!$A$18:$B$20,2,false),0)</f>
        <v>5</v>
      </c>
      <c r="J62" s="10">
        <f>IFERROR(vlookup('2.1'!I:I,lookup!$A$22:$B$24,2,false),0)</f>
        <v>3</v>
      </c>
      <c r="K62" s="10">
        <f>IFERROR(vlookup('2.1'!J:J,lookup!$A$26:$B$28,2,false),0)</f>
        <v>3</v>
      </c>
      <c r="M62" s="10">
        <v>61.0</v>
      </c>
      <c r="N62" s="11" t="str">
        <f t="shared" si="1"/>
        <v>bnco1061@signalschool.ac.th</v>
      </c>
      <c r="O62" s="12">
        <f t="shared" si="2"/>
        <v>1</v>
      </c>
      <c r="R62" s="6" t="s">
        <v>275</v>
      </c>
    </row>
    <row r="63">
      <c r="A63" s="8">
        <f>'2.1'!A:A</f>
        <v>46213.42815</v>
      </c>
      <c r="B63" s="1" t="str">
        <f>'2.1'!B:B</f>
        <v>bnco1055@signalschool.ac.th</v>
      </c>
      <c r="C63" s="1" t="str">
        <f>'2.1'!C:C</f>
        <v>พ.ต.ไมตรี บุญเหลื่อม</v>
      </c>
      <c r="D63" s="9">
        <v>1.0</v>
      </c>
      <c r="E63" s="10">
        <f>IFERROR(vlookup('2.1'!D:D,lookup!$A$2:$B$4,2,false),0)</f>
        <v>5</v>
      </c>
      <c r="F63" s="10">
        <f>IFERROR(vlookup('2.1'!E:E,lookup!$A$6:$B$8,2,false),0)</f>
        <v>5</v>
      </c>
      <c r="G63" s="10">
        <f>IFERROR(vlookup('2.1'!F:F,lookup!$A$10:$B$12,2,false),0)</f>
        <v>5</v>
      </c>
      <c r="H63" s="10">
        <f>IFERROR(vlookup('2.1'!G:G,lookup!$A$14:$B$16,2,false),0)</f>
        <v>5</v>
      </c>
      <c r="I63" s="10">
        <f>IFERROR(vlookup('2.1'!H:H,lookup!$A$18:$B$20,2,false),0)</f>
        <v>5</v>
      </c>
      <c r="J63" s="10">
        <f>IFERROR(vlookup('2.1'!I:I,lookup!$A$22:$B$24,2,false),0)</f>
        <v>5</v>
      </c>
      <c r="K63" s="10">
        <f>IFERROR(vlookup('2.1'!J:J,lookup!$A$26:$B$28,2,false),0)</f>
        <v>5</v>
      </c>
      <c r="M63" s="10">
        <v>62.0</v>
      </c>
      <c r="N63" s="11" t="str">
        <f t="shared" si="1"/>
        <v>bnco1062@signalschool.ac.th</v>
      </c>
      <c r="O63" s="12">
        <f t="shared" si="2"/>
        <v>1</v>
      </c>
      <c r="R63" s="6" t="s">
        <v>276</v>
      </c>
    </row>
    <row r="64">
      <c r="A64" s="8">
        <f>'2.1'!A:A</f>
        <v>46213.42928</v>
      </c>
      <c r="B64" s="1" t="str">
        <f>'2.1'!B:B</f>
        <v>bnco1030@signalschool.ac.th</v>
      </c>
      <c r="C64" s="1" t="str">
        <f>'2.1'!C:C</f>
        <v>พ.ต.ไมตรี บุญเหลื่อม</v>
      </c>
      <c r="D64" s="9">
        <v>1.0</v>
      </c>
      <c r="E64" s="10">
        <f>IFERROR(vlookup('2.1'!D:D,lookup!$A$2:$B$4,2,false),0)</f>
        <v>5</v>
      </c>
      <c r="F64" s="10">
        <f>IFERROR(vlookup('2.1'!E:E,lookup!$A$6:$B$8,2,false),0)</f>
        <v>5</v>
      </c>
      <c r="G64" s="10">
        <f>IFERROR(vlookup('2.1'!F:F,lookup!$A$10:$B$12,2,false),0)</f>
        <v>5</v>
      </c>
      <c r="H64" s="10">
        <f>IFERROR(vlookup('2.1'!G:G,lookup!$A$14:$B$16,2,false),0)</f>
        <v>5</v>
      </c>
      <c r="I64" s="10">
        <f>IFERROR(vlookup('2.1'!H:H,lookup!$A$18:$B$20,2,false),0)</f>
        <v>5</v>
      </c>
      <c r="J64" s="10">
        <f>IFERROR(vlookup('2.1'!I:I,lookup!$A$22:$B$24,2,false),0)</f>
        <v>5</v>
      </c>
      <c r="K64" s="10">
        <f>IFERROR(vlookup('2.1'!J:J,lookup!$A$26:$B$28,2,false),0)</f>
        <v>5</v>
      </c>
      <c r="M64" s="10">
        <v>63.0</v>
      </c>
      <c r="N64" s="11" t="str">
        <f t="shared" si="1"/>
        <v>bnco1063@signalschool.ac.th</v>
      </c>
      <c r="O64" s="12">
        <f t="shared" si="2"/>
        <v>1</v>
      </c>
      <c r="R64" s="6" t="s">
        <v>277</v>
      </c>
    </row>
    <row r="65">
      <c r="A65" s="8">
        <f>'2.1'!A:A</f>
        <v>46213.45578</v>
      </c>
      <c r="B65" s="1" t="str">
        <f>'2.1'!B:B</f>
        <v>bnco1048@signalschool.ac.th</v>
      </c>
      <c r="C65" s="1" t="str">
        <f>'2.1'!C:C</f>
        <v>พ.ต. ไมตรี  บุญเหลื่อม</v>
      </c>
      <c r="D65" s="9">
        <v>1.0</v>
      </c>
      <c r="E65" s="10">
        <f>IFERROR(vlookup('2.1'!D:D,lookup!$A$2:$B$4,2,false),0)</f>
        <v>5</v>
      </c>
      <c r="F65" s="10">
        <f>IFERROR(vlookup('2.1'!E:E,lookup!$A$6:$B$8,2,false),0)</f>
        <v>5</v>
      </c>
      <c r="G65" s="10">
        <f>IFERROR(vlookup('2.1'!F:F,lookup!$A$10:$B$12,2,false),0)</f>
        <v>5</v>
      </c>
      <c r="H65" s="10">
        <f>IFERROR(vlookup('2.1'!G:G,lookup!$A$14:$B$16,2,false),0)</f>
        <v>5</v>
      </c>
      <c r="I65" s="10">
        <f>IFERROR(vlookup('2.1'!H:H,lookup!$A$18:$B$20,2,false),0)</f>
        <v>5</v>
      </c>
      <c r="J65" s="10">
        <f>IFERROR(vlookup('2.1'!I:I,lookup!$A$22:$B$24,2,false),0)</f>
        <v>5</v>
      </c>
      <c r="K65" s="10">
        <f>IFERROR(vlookup('2.1'!J:J,lookup!$A$26:$B$28,2,false),0)</f>
        <v>5</v>
      </c>
      <c r="M65" s="10">
        <v>64.0</v>
      </c>
      <c r="N65" s="11" t="str">
        <f t="shared" si="1"/>
        <v>bnco1064@signalschool.ac.th</v>
      </c>
      <c r="O65" s="12">
        <f t="shared" si="2"/>
        <v>1</v>
      </c>
      <c r="R65" s="6" t="s">
        <v>278</v>
      </c>
    </row>
    <row r="66">
      <c r="A66" s="8">
        <f>'2.1'!A:A</f>
        <v>46213.5114</v>
      </c>
      <c r="B66" s="1" t="str">
        <f>'2.1'!B:B</f>
        <v>bnco1021@signalschool.ac.th</v>
      </c>
      <c r="C66" s="1" t="str">
        <f>'2.1'!C:C</f>
        <v>พ.ต. ไมตรี  บุญเหลื่อม</v>
      </c>
      <c r="D66" s="9">
        <v>1.0</v>
      </c>
      <c r="E66" s="10">
        <f>IFERROR(vlookup('2.1'!D:D,lookup!$A$2:$B$4,2,false),0)</f>
        <v>5</v>
      </c>
      <c r="F66" s="10">
        <f>IFERROR(vlookup('2.1'!E:E,lookup!$A$6:$B$8,2,false),0)</f>
        <v>5</v>
      </c>
      <c r="G66" s="10">
        <f>IFERROR(vlookup('2.1'!F:F,lookup!$A$10:$B$12,2,false),0)</f>
        <v>5</v>
      </c>
      <c r="H66" s="10">
        <f>IFERROR(vlookup('2.1'!G:G,lookup!$A$14:$B$16,2,false),0)</f>
        <v>5</v>
      </c>
      <c r="I66" s="10">
        <f>IFERROR(vlookup('2.1'!H:H,lookup!$A$18:$B$20,2,false),0)</f>
        <v>5</v>
      </c>
      <c r="J66" s="10">
        <f>IFERROR(vlookup('2.1'!I:I,lookup!$A$22:$B$24,2,false),0)</f>
        <v>5</v>
      </c>
      <c r="K66" s="10">
        <f>IFERROR(vlookup('2.1'!J:J,lookup!$A$26:$B$28,2,false),0)</f>
        <v>5</v>
      </c>
      <c r="M66" s="10">
        <v>65.0</v>
      </c>
      <c r="N66" s="11" t="str">
        <f t="shared" si="1"/>
        <v>bnco1065@signalschool.ac.th</v>
      </c>
      <c r="O66" s="12">
        <f t="shared" si="2"/>
        <v>0</v>
      </c>
      <c r="R66" s="6" t="s">
        <v>279</v>
      </c>
    </row>
    <row r="67">
      <c r="A67" s="8">
        <f>'2.1'!A:A</f>
        <v>46213.57876</v>
      </c>
      <c r="B67" s="1" t="str">
        <f>'2.1'!B:B</f>
        <v>bnco1070@signalschool.ac.th</v>
      </c>
      <c r="C67" s="1" t="str">
        <f>'2.1'!C:C</f>
        <v>ส.อ.รณกร กุนันท์</v>
      </c>
      <c r="D67" s="9">
        <v>1.0</v>
      </c>
      <c r="E67" s="10">
        <f>IFERROR(vlookup('2.1'!D:D,lookup!$A$2:$B$4,2,false),0)</f>
        <v>5</v>
      </c>
      <c r="F67" s="10">
        <f>IFERROR(vlookup('2.1'!E:E,lookup!$A$6:$B$8,2,false),0)</f>
        <v>5</v>
      </c>
      <c r="G67" s="10">
        <f>IFERROR(vlookup('2.1'!F:F,lookup!$A$10:$B$12,2,false),0)</f>
        <v>5</v>
      </c>
      <c r="H67" s="10">
        <f>IFERROR(vlookup('2.1'!G:G,lookup!$A$14:$B$16,2,false),0)</f>
        <v>5</v>
      </c>
      <c r="I67" s="10">
        <f>IFERROR(vlookup('2.1'!H:H,lookup!$A$18:$B$20,2,false),0)</f>
        <v>5</v>
      </c>
      <c r="J67" s="10">
        <f>IFERROR(vlookup('2.1'!I:I,lookup!$A$22:$B$24,2,false),0)</f>
        <v>3</v>
      </c>
      <c r="K67" s="10">
        <f>IFERROR(vlookup('2.1'!J:J,lookup!$A$26:$B$28,2,false),0)</f>
        <v>5</v>
      </c>
      <c r="M67" s="10">
        <v>66.0</v>
      </c>
      <c r="N67" s="11" t="str">
        <f t="shared" si="1"/>
        <v>bnco1066@signalschool.ac.th</v>
      </c>
      <c r="O67" s="12">
        <f t="shared" si="2"/>
        <v>1</v>
      </c>
      <c r="R67" s="6" t="s">
        <v>280</v>
      </c>
    </row>
    <row r="68">
      <c r="A68" s="8">
        <f>'2.1'!A:A</f>
        <v>46214.47487</v>
      </c>
      <c r="B68" s="1" t="str">
        <f>'2.1'!B:B</f>
        <v>bnco1034@signalschool.ac.th</v>
      </c>
      <c r="C68" s="1" t="str">
        <f>'2.1'!C:C</f>
        <v>ส.อ.ภัคณวัตร ฮวดประสิทธิ์ </v>
      </c>
      <c r="D68" s="9">
        <v>1.0</v>
      </c>
      <c r="E68" s="10">
        <f>IFERROR(vlookup('2.1'!D:D,lookup!$A$2:$B$4,2,false),0)</f>
        <v>3</v>
      </c>
      <c r="F68" s="10">
        <f>IFERROR(vlookup('2.1'!E:E,lookup!$A$6:$B$8,2,false),0)</f>
        <v>5</v>
      </c>
      <c r="G68" s="10">
        <f>IFERROR(vlookup('2.1'!F:F,lookup!$A$10:$B$12,2,false),0)</f>
        <v>5</v>
      </c>
      <c r="H68" s="10">
        <f>IFERROR(vlookup('2.1'!G:G,lookup!$A$14:$B$16,2,false),0)</f>
        <v>5</v>
      </c>
      <c r="I68" s="10">
        <f>IFERROR(vlookup('2.1'!H:H,lookup!$A$18:$B$20,2,false),0)</f>
        <v>5</v>
      </c>
      <c r="J68" s="10">
        <f>IFERROR(vlookup('2.1'!I:I,lookup!$A$22:$B$24,2,false),0)</f>
        <v>5</v>
      </c>
      <c r="K68" s="10">
        <f>IFERROR(vlookup('2.1'!J:J,lookup!$A$26:$B$28,2,false),0)</f>
        <v>5</v>
      </c>
      <c r="M68" s="10">
        <v>67.0</v>
      </c>
      <c r="N68" s="11" t="str">
        <f t="shared" si="1"/>
        <v>bnco1067@signalschool.ac.th</v>
      </c>
      <c r="O68" s="12">
        <f t="shared" si="2"/>
        <v>1</v>
      </c>
      <c r="R68" s="6" t="s">
        <v>281</v>
      </c>
    </row>
    <row r="69">
      <c r="A69" s="8">
        <f>'2.1'!A:A</f>
        <v>46217.99764</v>
      </c>
      <c r="B69" s="1" t="str">
        <f>'2.1'!B:B</f>
        <v>bnco1075@signalschool.ac.th</v>
      </c>
      <c r="C69" s="1" t="str">
        <f>'2.1'!C:C</f>
        <v>พ.ต.ไมตรี บุญเหลื่อม</v>
      </c>
      <c r="D69" s="9">
        <v>1.0</v>
      </c>
      <c r="E69" s="10">
        <f>IFERROR(vlookup('2.1'!D:D,lookup!$A$2:$B$4,2,false),0)</f>
        <v>5</v>
      </c>
      <c r="F69" s="10">
        <f>IFERROR(vlookup('2.1'!E:E,lookup!$A$6:$B$8,2,false),0)</f>
        <v>5</v>
      </c>
      <c r="G69" s="10">
        <f>IFERROR(vlookup('2.1'!F:F,lookup!$A$10:$B$12,2,false),0)</f>
        <v>5</v>
      </c>
      <c r="H69" s="10">
        <f>IFERROR(vlookup('2.1'!G:G,lookup!$A$14:$B$16,2,false),0)</f>
        <v>5</v>
      </c>
      <c r="I69" s="10">
        <f>IFERROR(vlookup('2.1'!H:H,lookup!$A$18:$B$20,2,false),0)</f>
        <v>5</v>
      </c>
      <c r="J69" s="10">
        <f>IFERROR(vlookup('2.1'!I:I,lookup!$A$22:$B$24,2,false),0)</f>
        <v>5</v>
      </c>
      <c r="K69" s="10">
        <f>IFERROR(vlookup('2.1'!J:J,lookup!$A$26:$B$28,2,false),0)</f>
        <v>5</v>
      </c>
      <c r="M69" s="10">
        <v>68.0</v>
      </c>
      <c r="N69" s="11" t="str">
        <f t="shared" si="1"/>
        <v>bnco1068@signalschool.ac.th</v>
      </c>
      <c r="O69" s="12">
        <f t="shared" si="2"/>
        <v>1</v>
      </c>
      <c r="R69" s="6" t="s">
        <v>282</v>
      </c>
    </row>
    <row r="70">
      <c r="A70" s="8">
        <f>'2.1'!A:A</f>
        <v>46262.43253</v>
      </c>
      <c r="B70" s="1" t="str">
        <f>'2.1'!B:B</f>
        <v>bnco1041@signalschool.ac.th</v>
      </c>
      <c r="C70" s="1" t="str">
        <f>'2.1'!C:C</f>
        <v>พ.ต.ไมตรี บุญเหลื่อม</v>
      </c>
      <c r="D70" s="9">
        <v>1.0</v>
      </c>
      <c r="E70" s="10">
        <f>IFERROR(vlookup('2.1'!D:D,lookup!$A$2:$B$4,2,false),0)</f>
        <v>5</v>
      </c>
      <c r="F70" s="10">
        <f>IFERROR(vlookup('2.1'!E:E,lookup!$A$6:$B$8,2,false),0)</f>
        <v>5</v>
      </c>
      <c r="G70" s="10">
        <f>IFERROR(vlookup('2.1'!F:F,lookup!$A$10:$B$12,2,false),0)</f>
        <v>5</v>
      </c>
      <c r="H70" s="10">
        <f>IFERROR(vlookup('2.1'!G:G,lookup!$A$14:$B$16,2,false),0)</f>
        <v>5</v>
      </c>
      <c r="I70" s="10">
        <f>IFERROR(vlookup('2.1'!H:H,lookup!$A$18:$B$20,2,false),0)</f>
        <v>5</v>
      </c>
      <c r="J70" s="10">
        <f>IFERROR(vlookup('2.1'!I:I,lookup!$A$22:$B$24,2,false),0)</f>
        <v>5</v>
      </c>
      <c r="K70" s="10">
        <f>IFERROR(vlookup('2.1'!J:J,lookup!$A$26:$B$28,2,false),0)</f>
        <v>5</v>
      </c>
      <c r="M70" s="10">
        <v>69.0</v>
      </c>
      <c r="N70" s="11" t="str">
        <f t="shared" si="1"/>
        <v>bnco1069@signalschool.ac.th</v>
      </c>
      <c r="O70" s="12">
        <f t="shared" si="2"/>
        <v>1</v>
      </c>
      <c r="R70" s="6" t="s">
        <v>283</v>
      </c>
    </row>
    <row r="71">
      <c r="A71" s="8">
        <f>'2.1'!A:A</f>
        <v>46262.48775</v>
      </c>
      <c r="B71" s="1" t="str">
        <f>'2.1'!B:B</f>
        <v>bnco1032@signalschool.ac.th</v>
      </c>
      <c r="C71" s="1" t="str">
        <f>'2.1'!C:C</f>
        <v>พ.ต.ไมตรี บุญเหลื่อม</v>
      </c>
      <c r="D71" s="9">
        <v>1.0</v>
      </c>
      <c r="E71" s="10">
        <f>IFERROR(vlookup('2.1'!D:D,lookup!$A$2:$B$4,2,false),0)</f>
        <v>5</v>
      </c>
      <c r="F71" s="10">
        <f>IFERROR(vlookup('2.1'!E:E,lookup!$A$6:$B$8,2,false),0)</f>
        <v>5</v>
      </c>
      <c r="G71" s="10">
        <f>IFERROR(vlookup('2.1'!F:F,lookup!$A$10:$B$12,2,false),0)</f>
        <v>5</v>
      </c>
      <c r="H71" s="10">
        <f>IFERROR(vlookup('2.1'!G:G,lookup!$A$14:$B$16,2,false),0)</f>
        <v>5</v>
      </c>
      <c r="I71" s="10">
        <f>IFERROR(vlookup('2.1'!H:H,lookup!$A$18:$B$20,2,false),0)</f>
        <v>5</v>
      </c>
      <c r="J71" s="10">
        <f>IFERROR(vlookup('2.1'!I:I,lookup!$A$22:$B$24,2,false),0)</f>
        <v>5</v>
      </c>
      <c r="K71" s="10">
        <f>IFERROR(vlookup('2.1'!J:J,lookup!$A$26:$B$28,2,false),0)</f>
        <v>5</v>
      </c>
      <c r="M71" s="10">
        <v>70.0</v>
      </c>
      <c r="N71" s="11" t="str">
        <f t="shared" si="1"/>
        <v>bnco1070@signalschool.ac.th</v>
      </c>
      <c r="O71" s="12">
        <f t="shared" si="2"/>
        <v>1</v>
      </c>
      <c r="R71" s="6" t="s">
        <v>284</v>
      </c>
    </row>
    <row r="72">
      <c r="A72" s="8">
        <f>'2.1'!A:A</f>
        <v>46262.5217</v>
      </c>
      <c r="B72" s="1" t="str">
        <f>'2.1'!B:B</f>
        <v>bnco1031@signalschool.ac.th</v>
      </c>
      <c r="C72" s="1" t="str">
        <f>'2.1'!C:C</f>
        <v>พ.ต. ไมตรี บุญเหลื่อม</v>
      </c>
      <c r="D72" s="9">
        <v>1.0</v>
      </c>
      <c r="E72" s="10">
        <f>IFERROR(vlookup('2.1'!D:D,lookup!$A$2:$B$4,2,false),0)</f>
        <v>5</v>
      </c>
      <c r="F72" s="10">
        <f>IFERROR(vlookup('2.1'!E:E,lookup!$A$6:$B$8,2,false),0)</f>
        <v>5</v>
      </c>
      <c r="G72" s="10">
        <f>IFERROR(vlookup('2.1'!F:F,lookup!$A$10:$B$12,2,false),0)</f>
        <v>5</v>
      </c>
      <c r="H72" s="10">
        <f>IFERROR(vlookup('2.1'!G:G,lookup!$A$14:$B$16,2,false),0)</f>
        <v>5</v>
      </c>
      <c r="I72" s="10">
        <f>IFERROR(vlookup('2.1'!H:H,lookup!$A$18:$B$20,2,false),0)</f>
        <v>5</v>
      </c>
      <c r="J72" s="10">
        <f>IFERROR(vlookup('2.1'!I:I,lookup!$A$22:$B$24,2,false),0)</f>
        <v>5</v>
      </c>
      <c r="K72" s="10">
        <f>IFERROR(vlookup('2.1'!J:J,lookup!$A$26:$B$28,2,false),0)</f>
        <v>5</v>
      </c>
      <c r="M72" s="10">
        <v>71.0</v>
      </c>
      <c r="N72" s="11" t="str">
        <f t="shared" si="1"/>
        <v>bnco1071@signalschool.ac.th</v>
      </c>
      <c r="O72" s="12">
        <f t="shared" si="2"/>
        <v>1</v>
      </c>
      <c r="R72" s="6" t="s">
        <v>285</v>
      </c>
    </row>
    <row r="73">
      <c r="A73" s="8">
        <f>'2.1'!A:A</f>
        <v>46262.60036</v>
      </c>
      <c r="B73" s="1" t="str">
        <f>'2.1'!B:B</f>
        <v>bnco1045@signalschool.ac.th</v>
      </c>
      <c r="C73" s="1" t="str">
        <f>'2.1'!C:C</f>
        <v>พ.ต.ไมตรี  บุญเหลื่ยม</v>
      </c>
      <c r="D73" s="9">
        <v>1.0</v>
      </c>
      <c r="E73" s="10">
        <f>IFERROR(vlookup('2.1'!D:D,lookup!$A$2:$B$4,2,false),0)</f>
        <v>5</v>
      </c>
      <c r="F73" s="10">
        <f>IFERROR(vlookup('2.1'!E:E,lookup!$A$6:$B$8,2,false),0)</f>
        <v>5</v>
      </c>
      <c r="G73" s="10">
        <f>IFERROR(vlookup('2.1'!F:F,lookup!$A$10:$B$12,2,false),0)</f>
        <v>5</v>
      </c>
      <c r="H73" s="10">
        <f>IFERROR(vlookup('2.1'!G:G,lookup!$A$14:$B$16,2,false),0)</f>
        <v>5</v>
      </c>
      <c r="I73" s="10">
        <f>IFERROR(vlookup('2.1'!H:H,lookup!$A$18:$B$20,2,false),0)</f>
        <v>5</v>
      </c>
      <c r="J73" s="10">
        <f>IFERROR(vlookup('2.1'!I:I,lookup!$A$22:$B$24,2,false),0)</f>
        <v>5</v>
      </c>
      <c r="K73" s="10">
        <f>IFERROR(vlookup('2.1'!J:J,lookup!$A$26:$B$28,2,false),0)</f>
        <v>5</v>
      </c>
      <c r="M73" s="10">
        <v>72.0</v>
      </c>
      <c r="N73" s="11" t="str">
        <f t="shared" si="1"/>
        <v>bnco1072@signalschool.ac.th</v>
      </c>
      <c r="O73" s="12">
        <f t="shared" si="2"/>
        <v>1</v>
      </c>
      <c r="R73" s="6" t="s">
        <v>286</v>
      </c>
    </row>
    <row r="74">
      <c r="A74" s="8">
        <f>'2.1'!A:A</f>
        <v>46264.88085</v>
      </c>
      <c r="B74" s="1" t="str">
        <f>'2.1'!B:B</f>
        <v>edu.rad@signalschool.ac.th</v>
      </c>
      <c r="C74" s="1" t="str">
        <f>'2.1'!C:C</f>
        <v>ครูอาจารย์ รร.ส.สส.</v>
      </c>
      <c r="D74" s="9">
        <v>1.0</v>
      </c>
      <c r="E74" s="10">
        <f>IFERROR(vlookup('2.1'!D:D,lookup!$A$2:$B$4,2,false),0)</f>
        <v>5</v>
      </c>
      <c r="F74" s="10">
        <f>IFERROR(vlookup('2.1'!E:E,lookup!$A$6:$B$8,2,false),0)</f>
        <v>5</v>
      </c>
      <c r="G74" s="10">
        <f>IFERROR(vlookup('2.1'!F:F,lookup!$A$10:$B$12,2,false),0)</f>
        <v>5</v>
      </c>
      <c r="H74" s="10">
        <f>IFERROR(vlookup('2.1'!G:G,lookup!$A$14:$B$16,2,false),0)</f>
        <v>5</v>
      </c>
      <c r="I74" s="10">
        <f>IFERROR(vlookup('2.1'!H:H,lookup!$A$18:$B$20,2,false),0)</f>
        <v>5</v>
      </c>
      <c r="J74" s="10">
        <f>IFERROR(vlookup('2.1'!I:I,lookup!$A$22:$B$24,2,false),0)</f>
        <v>5</v>
      </c>
      <c r="K74" s="10">
        <f>IFERROR(vlookup('2.1'!J:J,lookup!$A$26:$B$28,2,false),0)</f>
        <v>5</v>
      </c>
      <c r="M74" s="10">
        <v>73.0</v>
      </c>
      <c r="N74" s="11" t="str">
        <f t="shared" si="1"/>
        <v>bnco1073@signalschool.ac.th</v>
      </c>
      <c r="O74" s="12">
        <f t="shared" si="2"/>
        <v>1</v>
      </c>
      <c r="R74" s="6" t="s">
        <v>287</v>
      </c>
    </row>
    <row r="75">
      <c r="A75" s="8">
        <f>'2.1'!A:A</f>
        <v>46266.68359</v>
      </c>
      <c r="B75" s="1" t="str">
        <f>'2.1'!B:B</f>
        <v>bnco1053@signalschool.ac.th</v>
      </c>
      <c r="C75" s="1" t="str">
        <f>'2.1'!C:C</f>
        <v>พ.ต.ไมตรี บุญเหลื่อม</v>
      </c>
      <c r="D75" s="9">
        <v>1.0</v>
      </c>
      <c r="E75" s="10">
        <f>IFERROR(vlookup('2.1'!D:D,lookup!$A$2:$B$4,2,false),0)</f>
        <v>5</v>
      </c>
      <c r="F75" s="10">
        <f>IFERROR(vlookup('2.1'!E:E,lookup!$A$6:$B$8,2,false),0)</f>
        <v>5</v>
      </c>
      <c r="G75" s="10">
        <f>IFERROR(vlookup('2.1'!F:F,lookup!$A$10:$B$12,2,false),0)</f>
        <v>5</v>
      </c>
      <c r="H75" s="10">
        <f>IFERROR(vlookup('2.1'!G:G,lookup!$A$14:$B$16,2,false),0)</f>
        <v>5</v>
      </c>
      <c r="I75" s="10">
        <f>IFERROR(vlookup('2.1'!H:H,lookup!$A$18:$B$20,2,false),0)</f>
        <v>5</v>
      </c>
      <c r="J75" s="10">
        <f>IFERROR(vlookup('2.1'!I:I,lookup!$A$22:$B$24,2,false),0)</f>
        <v>5</v>
      </c>
      <c r="K75" s="10">
        <f>IFERROR(vlookup('2.1'!J:J,lookup!$A$26:$B$28,2,false),0)</f>
        <v>5</v>
      </c>
      <c r="M75" s="10">
        <v>74.0</v>
      </c>
      <c r="N75" s="11" t="str">
        <f t="shared" si="1"/>
        <v>bnco1074@signalschool.ac.th</v>
      </c>
      <c r="O75" s="12">
        <f t="shared" si="2"/>
        <v>1</v>
      </c>
      <c r="R75" s="6" t="s">
        <v>288</v>
      </c>
    </row>
    <row r="76">
      <c r="A76" s="8">
        <f>'2.1'!A:A</f>
        <v>46266.68841</v>
      </c>
      <c r="B76" s="1" t="str">
        <f>'2.1'!B:B</f>
        <v>bnco1047@signalschool.ac.th</v>
      </c>
      <c r="C76" s="1" t="str">
        <f>'2.1'!C:C</f>
        <v>พ.ต.ไมตรี บุญเหลื่อม</v>
      </c>
      <c r="D76" s="9">
        <v>1.0</v>
      </c>
      <c r="E76" s="10">
        <f>IFERROR(vlookup('2.1'!D:D,lookup!$A$2:$B$4,2,false),0)</f>
        <v>5</v>
      </c>
      <c r="F76" s="10">
        <f>IFERROR(vlookup('2.1'!E:E,lookup!$A$6:$B$8,2,false),0)</f>
        <v>5</v>
      </c>
      <c r="G76" s="10">
        <f>IFERROR(vlookup('2.1'!F:F,lookup!$A$10:$B$12,2,false),0)</f>
        <v>5</v>
      </c>
      <c r="H76" s="10">
        <f>IFERROR(vlookup('2.1'!G:G,lookup!$A$14:$B$16,2,false),0)</f>
        <v>5</v>
      </c>
      <c r="I76" s="10">
        <f>IFERROR(vlookup('2.1'!H:H,lookup!$A$18:$B$20,2,false),0)</f>
        <v>5</v>
      </c>
      <c r="J76" s="10">
        <f>IFERROR(vlookup('2.1'!I:I,lookup!$A$22:$B$24,2,false),0)</f>
        <v>5</v>
      </c>
      <c r="K76" s="10">
        <f>IFERROR(vlookup('2.1'!J:J,lookup!$A$26:$B$28,2,false),0)</f>
        <v>5</v>
      </c>
      <c r="M76" s="10">
        <v>75.0</v>
      </c>
      <c r="N76" s="11" t="str">
        <f t="shared" si="1"/>
        <v>bnco1075@signalschool.ac.th</v>
      </c>
      <c r="O76" s="12">
        <f t="shared" si="2"/>
        <v>1</v>
      </c>
      <c r="R76" s="6" t="s">
        <v>289</v>
      </c>
    </row>
    <row r="77">
      <c r="A77" s="8">
        <f>'2.1'!A:A</f>
        <v>46267.31099</v>
      </c>
      <c r="B77" s="1" t="str">
        <f>'2.1'!B:B</f>
        <v>bnco1016@signalschool.ac.th</v>
      </c>
      <c r="C77" s="1" t="str">
        <f>'2.1'!C:C</f>
        <v>พ.ต.ไมตรี บุญเหลื่อม</v>
      </c>
      <c r="D77" s="9">
        <v>1.0</v>
      </c>
      <c r="E77" s="10">
        <f>IFERROR(vlookup('2.1'!D:D,lookup!$A$2:$B$4,2,false),0)</f>
        <v>5</v>
      </c>
      <c r="F77" s="10">
        <f>IFERROR(vlookup('2.1'!E:E,lookup!$A$6:$B$8,2,false),0)</f>
        <v>5</v>
      </c>
      <c r="G77" s="10">
        <f>IFERROR(vlookup('2.1'!F:F,lookup!$A$10:$B$12,2,false),0)</f>
        <v>5</v>
      </c>
      <c r="H77" s="10">
        <f>IFERROR(vlookup('2.1'!G:G,lookup!$A$14:$B$16,2,false),0)</f>
        <v>5</v>
      </c>
      <c r="I77" s="10">
        <f>IFERROR(vlookup('2.1'!H:H,lookup!$A$18:$B$20,2,false),0)</f>
        <v>5</v>
      </c>
      <c r="J77" s="10">
        <f>IFERROR(vlookup('2.1'!I:I,lookup!$A$22:$B$24,2,false),0)</f>
        <v>5</v>
      </c>
      <c r="K77" s="10">
        <f>IFERROR(vlookup('2.1'!J:J,lookup!$A$26:$B$28,2,false),0)</f>
        <v>5</v>
      </c>
      <c r="M77" s="10">
        <v>76.0</v>
      </c>
      <c r="N77" s="11" t="str">
        <f t="shared" si="1"/>
        <v>bnco1076@signalschool.ac.th</v>
      </c>
      <c r="O77" s="12">
        <f t="shared" si="2"/>
        <v>1</v>
      </c>
      <c r="R77" s="6" t="s">
        <v>290</v>
      </c>
    </row>
    <row r="78">
      <c r="A78" s="8" t="str">
        <f>'2.1'!A:A</f>
        <v/>
      </c>
      <c r="B78" s="1" t="str">
        <f>'2.1'!B:B</f>
        <v/>
      </c>
      <c r="C78" s="1" t="str">
        <f>'2.1'!C:C</f>
        <v/>
      </c>
      <c r="D78" s="9">
        <v>1.0</v>
      </c>
      <c r="E78" s="10">
        <f>IFERROR(vlookup('2.1'!D:D,lookup!$A$2:$B$4,2,false),0)</f>
        <v>0</v>
      </c>
      <c r="F78" s="10">
        <f>IFERROR(vlookup('2.1'!E:E,lookup!$A$6:$B$8,2,false),0)</f>
        <v>0</v>
      </c>
      <c r="G78" s="10">
        <f>IFERROR(vlookup('2.1'!F:F,lookup!$A$10:$B$12,2,false),0)</f>
        <v>0</v>
      </c>
      <c r="H78" s="10">
        <f>IFERROR(vlookup('2.1'!G:G,lookup!$A$14:$B$16,2,false),0)</f>
        <v>0</v>
      </c>
      <c r="I78" s="10">
        <f>IFERROR(vlookup('2.1'!H:H,lookup!$A$18:$B$20,2,false),0)</f>
        <v>0</v>
      </c>
      <c r="J78" s="10">
        <f>IFERROR(vlookup('2.1'!I:I,lookup!$A$22:$B$24,2,false),0)</f>
        <v>0</v>
      </c>
      <c r="K78" s="10">
        <f>IFERROR(vlookup('2.1'!J:J,lookup!$A$26:$B$28,2,false),0)</f>
        <v>0</v>
      </c>
      <c r="M78" s="10">
        <v>77.0</v>
      </c>
      <c r="N78" s="11" t="str">
        <f t="shared" si="1"/>
        <v>bnco1077@signalschool.ac.th</v>
      </c>
      <c r="O78" s="12">
        <f t="shared" si="2"/>
        <v>0</v>
      </c>
      <c r="R78" s="6" t="s">
        <v>291</v>
      </c>
    </row>
    <row r="79">
      <c r="A79" s="8" t="str">
        <f>'2.1'!A:A</f>
        <v/>
      </c>
      <c r="B79" s="1" t="str">
        <f>'2.1'!B:B</f>
        <v/>
      </c>
      <c r="C79" s="1" t="str">
        <f>'2.1'!C:C</f>
        <v/>
      </c>
      <c r="D79" s="9">
        <v>1.0</v>
      </c>
      <c r="E79" s="10">
        <f>IFERROR(vlookup('2.1'!D:D,lookup!$A$2:$B$4,2,false),0)</f>
        <v>0</v>
      </c>
      <c r="F79" s="10">
        <f>IFERROR(vlookup('2.1'!E:E,lookup!$A$6:$B$8,2,false),0)</f>
        <v>0</v>
      </c>
      <c r="G79" s="10">
        <f>IFERROR(vlookup('2.1'!F:F,lookup!$A$10:$B$12,2,false),0)</f>
        <v>0</v>
      </c>
      <c r="H79" s="10">
        <f>IFERROR(vlookup('2.1'!G:G,lookup!$A$14:$B$16,2,false),0)</f>
        <v>0</v>
      </c>
      <c r="I79" s="10">
        <f>IFERROR(vlookup('2.1'!H:H,lookup!$A$18:$B$20,2,false),0)</f>
        <v>0</v>
      </c>
      <c r="J79" s="10">
        <f>IFERROR(vlookup('2.1'!I:I,lookup!$A$22:$B$24,2,false),0)</f>
        <v>0</v>
      </c>
      <c r="K79" s="10">
        <f>IFERROR(vlookup('2.1'!J:J,lookup!$A$26:$B$28,2,false),0)</f>
        <v>0</v>
      </c>
      <c r="M79" s="10">
        <v>78.0</v>
      </c>
      <c r="N79" s="11" t="str">
        <f t="shared" si="1"/>
        <v>bnco1078@signalschool.ac.th</v>
      </c>
      <c r="O79" s="12">
        <f t="shared" si="2"/>
        <v>1</v>
      </c>
      <c r="R79" s="6" t="s">
        <v>292</v>
      </c>
    </row>
    <row r="80">
      <c r="A80" s="8" t="str">
        <f>'2.1'!A:A</f>
        <v/>
      </c>
      <c r="B80" s="1" t="str">
        <f>'2.1'!B:B</f>
        <v/>
      </c>
      <c r="C80" s="1" t="str">
        <f>'2.1'!C:C</f>
        <v/>
      </c>
      <c r="D80" s="9">
        <v>1.0</v>
      </c>
      <c r="E80" s="10">
        <f>IFERROR(vlookup('2.1'!D:D,lookup!$A$2:$B$4,2,false),0)</f>
        <v>0</v>
      </c>
      <c r="F80" s="10">
        <f>IFERROR(vlookup('2.1'!E:E,lookup!$A$6:$B$8,2,false),0)</f>
        <v>0</v>
      </c>
      <c r="G80" s="10">
        <f>IFERROR(vlookup('2.1'!F:F,lookup!$A$10:$B$12,2,false),0)</f>
        <v>0</v>
      </c>
      <c r="H80" s="10">
        <f>IFERROR(vlookup('2.1'!G:G,lookup!$A$14:$B$16,2,false),0)</f>
        <v>0</v>
      </c>
      <c r="I80" s="10">
        <f>IFERROR(vlookup('2.1'!H:H,lookup!$A$18:$B$20,2,false),0)</f>
        <v>0</v>
      </c>
      <c r="J80" s="10">
        <f>IFERROR(vlookup('2.1'!I:I,lookup!$A$22:$B$24,2,false),0)</f>
        <v>0</v>
      </c>
      <c r="K80" s="10">
        <f>IFERROR(vlookup('2.1'!J:J,lookup!$A$26:$B$28,2,false),0)</f>
        <v>0</v>
      </c>
      <c r="M80" s="10">
        <v>79.0</v>
      </c>
      <c r="N80" s="11" t="str">
        <f t="shared" si="1"/>
        <v>bnco1079@signalschool.ac.th</v>
      </c>
      <c r="O80" s="12">
        <f t="shared" si="2"/>
        <v>1</v>
      </c>
      <c r="R80" s="6" t="s">
        <v>293</v>
      </c>
    </row>
    <row r="81">
      <c r="A81" s="8" t="str">
        <f>'2.1'!A:A</f>
        <v/>
      </c>
      <c r="B81" s="1" t="str">
        <f>'2.1'!B:B</f>
        <v/>
      </c>
      <c r="C81" s="1" t="str">
        <f>'2.1'!C:C</f>
        <v/>
      </c>
      <c r="D81" s="9">
        <v>1.0</v>
      </c>
      <c r="E81" s="10">
        <f>IFERROR(vlookup('2.1'!D:D,lookup!$A$2:$B$4,2,false),0)</f>
        <v>0</v>
      </c>
      <c r="F81" s="10">
        <f>IFERROR(vlookup('2.1'!E:E,lookup!$A$6:$B$8,2,false),0)</f>
        <v>0</v>
      </c>
      <c r="G81" s="10">
        <f>IFERROR(vlookup('2.1'!F:F,lookup!$A$10:$B$12,2,false),0)</f>
        <v>0</v>
      </c>
      <c r="H81" s="10">
        <f>IFERROR(vlookup('2.1'!G:G,lookup!$A$14:$B$16,2,false),0)</f>
        <v>0</v>
      </c>
      <c r="I81" s="10">
        <f>IFERROR(vlookup('2.1'!H:H,lookup!$A$18:$B$20,2,false),0)</f>
        <v>0</v>
      </c>
      <c r="J81" s="10">
        <f>IFERROR(vlookup('2.1'!I:I,lookup!$A$22:$B$24,2,false),0)</f>
        <v>0</v>
      </c>
      <c r="K81" s="10">
        <f>IFERROR(vlookup('2.1'!J:J,lookup!$A$26:$B$28,2,false),0)</f>
        <v>0</v>
      </c>
      <c r="M81" s="10">
        <v>80.0</v>
      </c>
      <c r="N81" s="11" t="str">
        <f t="shared" si="1"/>
        <v>bnco1080@signalschool.ac.th</v>
      </c>
      <c r="O81" s="12">
        <f t="shared" si="2"/>
        <v>1</v>
      </c>
      <c r="R81" s="6" t="s">
        <v>294</v>
      </c>
    </row>
    <row r="82">
      <c r="A82" s="8" t="str">
        <f>'2.1'!A:A</f>
        <v/>
      </c>
      <c r="B82" s="1" t="str">
        <f>'2.1'!B:B</f>
        <v/>
      </c>
      <c r="C82" s="1" t="str">
        <f>'2.1'!C:C</f>
        <v/>
      </c>
      <c r="D82" s="9"/>
      <c r="E82" s="15"/>
      <c r="F82" s="15"/>
      <c r="G82" s="15"/>
      <c r="H82" s="15"/>
      <c r="I82" s="15"/>
      <c r="J82" s="15"/>
      <c r="K82" s="15"/>
    </row>
    <row r="83">
      <c r="A83" s="8" t="str">
        <f>'2.1'!A:A</f>
        <v/>
      </c>
      <c r="B83" s="1" t="str">
        <f>'2.1'!B:B</f>
        <v/>
      </c>
      <c r="C83" s="1" t="str">
        <f>'2.1'!C:C</f>
        <v/>
      </c>
      <c r="D83" s="9"/>
      <c r="E83" s="15"/>
      <c r="F83" s="15"/>
      <c r="G83" s="15"/>
      <c r="H83" s="15"/>
      <c r="I83" s="15"/>
      <c r="J83" s="15"/>
      <c r="K83" s="15"/>
    </row>
    <row r="84">
      <c r="A84" s="8" t="str">
        <f>'2.1'!A:A</f>
        <v/>
      </c>
      <c r="B84" s="1" t="str">
        <f>'2.1'!B:B</f>
        <v/>
      </c>
      <c r="C84" s="1" t="str">
        <f>'2.1'!C:C</f>
        <v/>
      </c>
      <c r="D84" s="9"/>
      <c r="E84" s="15"/>
      <c r="F84" s="15"/>
      <c r="G84" s="15"/>
      <c r="H84" s="15"/>
      <c r="I84" s="15"/>
      <c r="J84" s="15"/>
      <c r="K84" s="15"/>
    </row>
    <row r="85">
      <c r="A85" s="8" t="str">
        <f>'2.1'!A:A</f>
        <v/>
      </c>
      <c r="B85" s="1" t="str">
        <f>'2.1'!B:B</f>
        <v/>
      </c>
      <c r="C85" s="1" t="str">
        <f>'2.1'!C:C</f>
        <v/>
      </c>
      <c r="D85" s="9"/>
      <c r="E85" s="15"/>
      <c r="F85" s="15"/>
      <c r="G85" s="15"/>
      <c r="H85" s="15"/>
      <c r="I85" s="15"/>
      <c r="J85" s="15"/>
      <c r="K85" s="15"/>
    </row>
    <row r="86">
      <c r="A86" s="8" t="str">
        <f>'2.1'!A:A</f>
        <v/>
      </c>
      <c r="B86" s="1" t="str">
        <f>'2.1'!B:B</f>
        <v/>
      </c>
      <c r="C86" s="1" t="str">
        <f>'2.1'!C:C</f>
        <v/>
      </c>
      <c r="D86" s="9"/>
      <c r="E86" s="15"/>
      <c r="F86" s="15"/>
      <c r="G86" s="15"/>
      <c r="H86" s="15"/>
      <c r="I86" s="15"/>
      <c r="J86" s="15"/>
      <c r="K86" s="15"/>
    </row>
    <row r="87">
      <c r="A87" s="8" t="str">
        <f>'2.1'!A:A</f>
        <v/>
      </c>
      <c r="B87" s="1" t="str">
        <f>'2.1'!B:B</f>
        <v/>
      </c>
      <c r="C87" s="1" t="str">
        <f>'2.1'!C:C</f>
        <v/>
      </c>
      <c r="D87" s="9"/>
      <c r="E87" s="15"/>
      <c r="F87" s="15"/>
      <c r="G87" s="15"/>
      <c r="H87" s="15"/>
      <c r="I87" s="15"/>
      <c r="J87" s="15"/>
      <c r="K87" s="15"/>
    </row>
    <row r="88">
      <c r="A88" s="8" t="str">
        <f>'2.1'!A:A</f>
        <v/>
      </c>
      <c r="B88" s="1" t="str">
        <f>'2.1'!B:B</f>
        <v/>
      </c>
      <c r="C88" s="1" t="str">
        <f>'2.1'!C:C</f>
        <v/>
      </c>
      <c r="D88" s="9"/>
      <c r="E88" s="15"/>
      <c r="F88" s="15"/>
      <c r="G88" s="15"/>
      <c r="H88" s="15"/>
      <c r="I88" s="15"/>
      <c r="J88" s="15"/>
      <c r="K88" s="15"/>
    </row>
    <row r="89">
      <c r="A89" s="8" t="str">
        <f>'2.1'!A:A</f>
        <v/>
      </c>
      <c r="B89" s="1" t="str">
        <f>'2.1'!B:B</f>
        <v/>
      </c>
      <c r="C89" s="1" t="str">
        <f>'2.1'!C:C</f>
        <v/>
      </c>
      <c r="D89" s="9"/>
      <c r="E89" s="15"/>
      <c r="F89" s="15"/>
      <c r="G89" s="15"/>
      <c r="H89" s="15"/>
      <c r="I89" s="15"/>
      <c r="J89" s="15"/>
      <c r="K89" s="15"/>
    </row>
    <row r="90">
      <c r="A90" s="8" t="str">
        <f>'2.1'!A:A</f>
        <v/>
      </c>
      <c r="B90" s="1" t="str">
        <f>'2.1'!B:B</f>
        <v/>
      </c>
      <c r="C90" s="1" t="str">
        <f>'2.1'!C:C</f>
        <v/>
      </c>
      <c r="D90" s="9"/>
      <c r="E90" s="15"/>
      <c r="F90" s="15"/>
      <c r="G90" s="15"/>
      <c r="H90" s="15"/>
      <c r="I90" s="15"/>
      <c r="J90" s="15"/>
      <c r="K90" s="15"/>
    </row>
    <row r="91">
      <c r="A91" s="8" t="str">
        <f>'2.1'!A:A</f>
        <v/>
      </c>
      <c r="B91" s="1" t="str">
        <f>'2.1'!B:B</f>
        <v/>
      </c>
      <c r="C91" s="1" t="str">
        <f>'2.1'!C:C</f>
        <v/>
      </c>
      <c r="D91" s="9"/>
      <c r="E91" s="15"/>
      <c r="F91" s="15"/>
      <c r="G91" s="15"/>
      <c r="H91" s="15"/>
      <c r="I91" s="15"/>
      <c r="J91" s="15"/>
      <c r="K91" s="15"/>
    </row>
    <row r="92">
      <c r="A92" s="8" t="str">
        <f>'2.1'!A:A</f>
        <v/>
      </c>
      <c r="B92" s="1" t="str">
        <f>'2.1'!B:B</f>
        <v/>
      </c>
      <c r="C92" s="1" t="str">
        <f>'2.1'!C:C</f>
        <v/>
      </c>
      <c r="D92" s="9"/>
      <c r="E92" s="15"/>
      <c r="F92" s="15"/>
      <c r="G92" s="15"/>
      <c r="H92" s="15"/>
      <c r="I92" s="15"/>
      <c r="J92" s="15"/>
      <c r="K92" s="15"/>
    </row>
    <row r="93">
      <c r="A93" s="8" t="str">
        <f>'2.1'!A:A</f>
        <v/>
      </c>
      <c r="B93" s="1" t="str">
        <f>'2.1'!B:B</f>
        <v/>
      </c>
      <c r="C93" s="1" t="str">
        <f>'2.1'!C:C</f>
        <v/>
      </c>
      <c r="D93" s="9"/>
      <c r="E93" s="15"/>
      <c r="F93" s="15"/>
      <c r="G93" s="15"/>
      <c r="H93" s="15"/>
      <c r="I93" s="15"/>
      <c r="J93" s="15"/>
      <c r="K93" s="15"/>
    </row>
    <row r="94">
      <c r="A94" s="8" t="str">
        <f>'2.1'!A:A</f>
        <v/>
      </c>
      <c r="B94" s="1" t="str">
        <f>'2.1'!B:B</f>
        <v/>
      </c>
      <c r="C94" s="1" t="str">
        <f>'2.1'!C:C</f>
        <v/>
      </c>
      <c r="D94" s="9"/>
      <c r="E94" s="15"/>
      <c r="F94" s="15"/>
      <c r="G94" s="15"/>
      <c r="H94" s="15"/>
      <c r="I94" s="15"/>
      <c r="J94" s="15"/>
      <c r="K94" s="15"/>
    </row>
    <row r="95">
      <c r="A95" s="8" t="str">
        <f>'2.1'!A:A</f>
        <v/>
      </c>
      <c r="B95" s="1" t="str">
        <f>'2.1'!B:B</f>
        <v/>
      </c>
      <c r="C95" s="1" t="str">
        <f>'2.1'!C:C</f>
        <v/>
      </c>
      <c r="D95" s="9"/>
      <c r="E95" s="15"/>
      <c r="F95" s="15"/>
      <c r="G95" s="15"/>
      <c r="H95" s="15"/>
      <c r="I95" s="15"/>
      <c r="J95" s="15"/>
      <c r="K95" s="15"/>
    </row>
    <row r="96">
      <c r="A96" s="8" t="str">
        <f>'2.1'!A:A</f>
        <v/>
      </c>
      <c r="B96" s="1" t="str">
        <f>'2.1'!B:B</f>
        <v/>
      </c>
      <c r="C96" s="1" t="str">
        <f>'2.1'!C:C</f>
        <v/>
      </c>
      <c r="D96" s="9"/>
      <c r="E96" s="15"/>
      <c r="F96" s="15"/>
      <c r="G96" s="15"/>
      <c r="H96" s="15"/>
      <c r="I96" s="15"/>
      <c r="J96" s="15"/>
      <c r="K96" s="15"/>
    </row>
    <row r="97">
      <c r="A97" s="8" t="str">
        <f>'2.1'!A:A</f>
        <v/>
      </c>
      <c r="B97" s="1" t="str">
        <f>'2.1'!B:B</f>
        <v/>
      </c>
      <c r="C97" s="1" t="str">
        <f>'2.1'!C:C</f>
        <v/>
      </c>
      <c r="D97" s="9"/>
      <c r="E97" s="15"/>
      <c r="F97" s="15"/>
      <c r="G97" s="15"/>
      <c r="H97" s="15"/>
      <c r="I97" s="15"/>
      <c r="J97" s="15"/>
      <c r="K97" s="15"/>
    </row>
    <row r="98">
      <c r="A98" s="8" t="str">
        <f>'2.1'!A:A</f>
        <v/>
      </c>
      <c r="B98" s="1" t="str">
        <f>'2.1'!B:B</f>
        <v/>
      </c>
      <c r="C98" s="1" t="str">
        <f>'2.1'!C:C</f>
        <v/>
      </c>
      <c r="D98" s="9"/>
      <c r="E98" s="15"/>
      <c r="F98" s="15"/>
      <c r="G98" s="15"/>
      <c r="H98" s="15"/>
      <c r="I98" s="15"/>
      <c r="J98" s="15"/>
      <c r="K98" s="15"/>
    </row>
    <row r="99">
      <c r="A99" s="8" t="str">
        <f>'2.1'!A:A</f>
        <v/>
      </c>
      <c r="B99" s="1" t="str">
        <f>'2.1'!B:B</f>
        <v/>
      </c>
      <c r="C99" s="1" t="str">
        <f>'2.1'!C:C</f>
        <v/>
      </c>
      <c r="D99" s="9"/>
      <c r="E99" s="15"/>
      <c r="F99" s="15"/>
      <c r="G99" s="15"/>
      <c r="H99" s="15"/>
      <c r="I99" s="15"/>
      <c r="J99" s="15"/>
      <c r="K99" s="15"/>
    </row>
    <row r="100">
      <c r="A100" s="8" t="str">
        <f>'2.1'!A:A</f>
        <v/>
      </c>
      <c r="B100" s="1" t="str">
        <f>'2.1'!B:B</f>
        <v/>
      </c>
      <c r="C100" s="1" t="str">
        <f>'2.1'!C:C</f>
        <v/>
      </c>
      <c r="D100" s="9"/>
      <c r="E100" s="15"/>
      <c r="F100" s="15"/>
      <c r="G100" s="15"/>
      <c r="H100" s="15"/>
      <c r="I100" s="15"/>
      <c r="J100" s="15"/>
      <c r="K100" s="15"/>
    </row>
    <row r="101">
      <c r="A101" s="8" t="str">
        <f>'2.1'!A:A</f>
        <v/>
      </c>
      <c r="B101" s="1" t="str">
        <f>'2.1'!B:B</f>
        <v/>
      </c>
      <c r="C101" s="1" t="str">
        <f>'2.1'!C:C</f>
        <v/>
      </c>
      <c r="D101" s="9"/>
      <c r="E101" s="15"/>
      <c r="F101" s="15"/>
      <c r="G101" s="15"/>
      <c r="H101" s="15"/>
      <c r="I101" s="15"/>
      <c r="J101" s="15"/>
      <c r="K101" s="15"/>
      <c r="N101" s="1" t="s">
        <v>295</v>
      </c>
      <c r="O101" s="12">
        <f>SUM(O2:O81)</f>
        <v>73</v>
      </c>
    </row>
    <row r="102">
      <c r="C102" s="1"/>
      <c r="E102" s="14">
        <f t="shared" ref="E102:K102" si="3">AVERAGE(E2:E81)</f>
        <v>4.7</v>
      </c>
      <c r="F102" s="14">
        <f t="shared" si="3"/>
        <v>4.725</v>
      </c>
      <c r="G102" s="14">
        <f t="shared" si="3"/>
        <v>4.725</v>
      </c>
      <c r="H102" s="14">
        <f t="shared" si="3"/>
        <v>4.75</v>
      </c>
      <c r="I102" s="14">
        <f t="shared" si="3"/>
        <v>4.75</v>
      </c>
      <c r="J102" s="14">
        <f t="shared" si="3"/>
        <v>4.575</v>
      </c>
      <c r="K102" s="14">
        <f t="shared" si="3"/>
        <v>4.6</v>
      </c>
      <c r="L102" s="16">
        <f>AVERAGE(E102:K102)</f>
        <v>4.689285714</v>
      </c>
      <c r="N102" s="1" t="s">
        <v>296</v>
      </c>
      <c r="O102" s="12">
        <f>(O101*100)/80</f>
        <v>91.25</v>
      </c>
    </row>
    <row r="103">
      <c r="A103" s="8"/>
      <c r="C103" s="1"/>
    </row>
    <row r="104">
      <c r="A104" s="8"/>
      <c r="C104" s="1"/>
    </row>
    <row r="105">
      <c r="A105" s="8"/>
      <c r="C105" s="1"/>
    </row>
    <row r="106">
      <c r="A106" s="8"/>
      <c r="C106" s="1"/>
    </row>
    <row r="107">
      <c r="A107" s="8"/>
      <c r="C107" s="1"/>
    </row>
    <row r="108">
      <c r="A108" s="8"/>
      <c r="C108" s="1"/>
    </row>
    <row r="109">
      <c r="A109" s="8"/>
      <c r="C109" s="1"/>
    </row>
    <row r="110">
      <c r="A110" s="8"/>
      <c r="C110" s="1"/>
    </row>
    <row r="111">
      <c r="A111" s="8"/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</sheetData>
  <mergeCells count="1">
    <mergeCell ref="M1:O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5">
        <v>46213.392109594904</v>
      </c>
      <c r="B2" s="6" t="s">
        <v>140</v>
      </c>
      <c r="C2" s="6" t="s">
        <v>459</v>
      </c>
      <c r="D2" s="6" t="s">
        <v>13</v>
      </c>
      <c r="E2" s="6" t="s">
        <v>14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</row>
    <row r="3">
      <c r="A3" s="5">
        <v>46213.392167569444</v>
      </c>
      <c r="B3" s="6" t="s">
        <v>46</v>
      </c>
      <c r="C3" s="6" t="s">
        <v>459</v>
      </c>
      <c r="D3" s="6" t="s">
        <v>13</v>
      </c>
      <c r="E3" s="6" t="s">
        <v>14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</row>
    <row r="4">
      <c r="A4" s="5">
        <v>46213.39233314815</v>
      </c>
      <c r="B4" s="6" t="s">
        <v>51</v>
      </c>
      <c r="C4" s="6" t="s">
        <v>459</v>
      </c>
      <c r="D4" s="6" t="s">
        <v>13</v>
      </c>
      <c r="E4" s="6" t="s">
        <v>14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</row>
    <row r="5">
      <c r="A5" s="5">
        <v>46213.39236398148</v>
      </c>
      <c r="B5" s="6" t="s">
        <v>133</v>
      </c>
      <c r="C5" s="6" t="s">
        <v>459</v>
      </c>
      <c r="D5" s="6" t="s">
        <v>13</v>
      </c>
      <c r="E5" s="6" t="s">
        <v>14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</row>
    <row r="6">
      <c r="A6" s="5">
        <v>46213.39248451389</v>
      </c>
      <c r="B6" s="6" t="s">
        <v>11</v>
      </c>
      <c r="C6" s="6" t="s">
        <v>31</v>
      </c>
      <c r="D6" s="6" t="s">
        <v>13</v>
      </c>
      <c r="E6" s="6" t="s">
        <v>14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20</v>
      </c>
    </row>
    <row r="7">
      <c r="A7" s="5">
        <v>46213.39287202546</v>
      </c>
      <c r="B7" s="6" t="s">
        <v>98</v>
      </c>
      <c r="C7" s="6" t="s">
        <v>156</v>
      </c>
      <c r="D7" s="6" t="s">
        <v>13</v>
      </c>
      <c r="E7" s="6" t="s">
        <v>14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</row>
    <row r="8">
      <c r="A8" s="5">
        <v>46213.392894351855</v>
      </c>
      <c r="B8" s="6" t="s">
        <v>111</v>
      </c>
      <c r="C8" s="6" t="s">
        <v>468</v>
      </c>
      <c r="D8" s="6" t="s">
        <v>13</v>
      </c>
      <c r="E8" s="6" t="s">
        <v>14</v>
      </c>
      <c r="F8" s="6" t="s">
        <v>16</v>
      </c>
      <c r="G8" s="6" t="s">
        <v>17</v>
      </c>
      <c r="H8" s="6" t="s">
        <v>18</v>
      </c>
      <c r="I8" s="6" t="s">
        <v>19</v>
      </c>
      <c r="J8" s="6" t="s">
        <v>20</v>
      </c>
      <c r="K8" s="6" t="s">
        <v>497</v>
      </c>
    </row>
    <row r="9">
      <c r="A9" s="5">
        <v>46213.39292424769</v>
      </c>
      <c r="B9" s="6" t="s">
        <v>469</v>
      </c>
      <c r="C9" s="6" t="s">
        <v>31</v>
      </c>
      <c r="D9" s="6" t="s">
        <v>13</v>
      </c>
      <c r="E9" s="6" t="s">
        <v>14</v>
      </c>
      <c r="F9" s="6" t="s">
        <v>16</v>
      </c>
      <c r="G9" s="6" t="s">
        <v>17</v>
      </c>
      <c r="H9" s="6" t="s">
        <v>18</v>
      </c>
      <c r="I9" s="6" t="s">
        <v>55</v>
      </c>
      <c r="J9" s="6" t="s">
        <v>56</v>
      </c>
    </row>
    <row r="10">
      <c r="A10" s="5">
        <v>46213.393232013885</v>
      </c>
      <c r="B10" s="6" t="s">
        <v>78</v>
      </c>
      <c r="C10" s="6" t="s">
        <v>459</v>
      </c>
      <c r="D10" s="6" t="s">
        <v>13</v>
      </c>
      <c r="E10" s="6" t="s">
        <v>14</v>
      </c>
      <c r="F10" s="6" t="s">
        <v>16</v>
      </c>
      <c r="G10" s="6" t="s">
        <v>17</v>
      </c>
      <c r="H10" s="6" t="s">
        <v>18</v>
      </c>
      <c r="I10" s="6" t="s">
        <v>19</v>
      </c>
      <c r="J10" s="6" t="s">
        <v>20</v>
      </c>
    </row>
    <row r="11">
      <c r="A11" s="5">
        <v>46213.393495682874</v>
      </c>
      <c r="B11" s="6" t="s">
        <v>21</v>
      </c>
      <c r="C11" s="6" t="s">
        <v>459</v>
      </c>
      <c r="D11" s="6" t="s">
        <v>13</v>
      </c>
      <c r="E11" s="6" t="s">
        <v>14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20</v>
      </c>
    </row>
    <row r="12">
      <c r="A12" s="5">
        <v>46213.39353265046</v>
      </c>
      <c r="B12" s="6" t="s">
        <v>49</v>
      </c>
      <c r="C12" s="6" t="s">
        <v>31</v>
      </c>
      <c r="D12" s="6" t="s">
        <v>13</v>
      </c>
      <c r="E12" s="6" t="s">
        <v>14</v>
      </c>
      <c r="F12" s="6" t="s">
        <v>16</v>
      </c>
      <c r="G12" s="6" t="s">
        <v>17</v>
      </c>
      <c r="H12" s="6" t="s">
        <v>18</v>
      </c>
      <c r="I12" s="6" t="s">
        <v>19</v>
      </c>
      <c r="J12" s="6" t="s">
        <v>20</v>
      </c>
      <c r="K12" s="6" t="s">
        <v>460</v>
      </c>
    </row>
    <row r="13">
      <c r="A13" s="5">
        <v>46213.39357291667</v>
      </c>
      <c r="B13" s="6" t="s">
        <v>25</v>
      </c>
      <c r="C13" s="6" t="s">
        <v>462</v>
      </c>
      <c r="D13" s="6" t="s">
        <v>13</v>
      </c>
      <c r="E13" s="6" t="s">
        <v>14</v>
      </c>
      <c r="F13" s="6" t="s">
        <v>16</v>
      </c>
      <c r="G13" s="6" t="s">
        <v>17</v>
      </c>
      <c r="H13" s="6" t="s">
        <v>18</v>
      </c>
      <c r="I13" s="6" t="s">
        <v>19</v>
      </c>
      <c r="J13" s="6" t="s">
        <v>20</v>
      </c>
      <c r="K13" s="6" t="s">
        <v>463</v>
      </c>
    </row>
    <row r="14">
      <c r="A14" s="5">
        <v>46213.39359486111</v>
      </c>
      <c r="B14" s="6" t="s">
        <v>138</v>
      </c>
      <c r="C14" s="6" t="s">
        <v>459</v>
      </c>
      <c r="D14" s="6" t="s">
        <v>13</v>
      </c>
      <c r="E14" s="6" t="s">
        <v>14</v>
      </c>
      <c r="F14" s="6" t="s">
        <v>16</v>
      </c>
      <c r="G14" s="6" t="s">
        <v>17</v>
      </c>
      <c r="H14" s="6" t="s">
        <v>18</v>
      </c>
      <c r="I14" s="6" t="s">
        <v>55</v>
      </c>
      <c r="J14" s="6" t="s">
        <v>56</v>
      </c>
      <c r="K14" s="6" t="s">
        <v>484</v>
      </c>
    </row>
    <row r="15">
      <c r="A15" s="5">
        <v>46213.3939143287</v>
      </c>
      <c r="B15" s="6" t="s">
        <v>60</v>
      </c>
      <c r="C15" s="6" t="s">
        <v>459</v>
      </c>
      <c r="D15" s="6" t="s">
        <v>13</v>
      </c>
      <c r="E15" s="6" t="s">
        <v>14</v>
      </c>
      <c r="F15" s="6" t="s">
        <v>16</v>
      </c>
      <c r="G15" s="6" t="s">
        <v>17</v>
      </c>
      <c r="H15" s="6" t="s">
        <v>18</v>
      </c>
      <c r="I15" s="6" t="s">
        <v>19</v>
      </c>
      <c r="J15" s="6" t="s">
        <v>20</v>
      </c>
    </row>
    <row r="16">
      <c r="A16" s="5">
        <v>46213.39396810185</v>
      </c>
      <c r="B16" s="6" t="s">
        <v>113</v>
      </c>
      <c r="C16" s="6" t="s">
        <v>466</v>
      </c>
      <c r="D16" s="6" t="s">
        <v>13</v>
      </c>
      <c r="E16" s="6" t="s">
        <v>14</v>
      </c>
      <c r="F16" s="6" t="s">
        <v>16</v>
      </c>
      <c r="G16" s="6" t="s">
        <v>17</v>
      </c>
      <c r="H16" s="6" t="s">
        <v>18</v>
      </c>
      <c r="I16" s="6" t="s">
        <v>19</v>
      </c>
      <c r="J16" s="6" t="s">
        <v>20</v>
      </c>
    </row>
    <row r="17">
      <c r="A17" s="5">
        <v>46213.39410024305</v>
      </c>
      <c r="B17" s="6" t="s">
        <v>136</v>
      </c>
      <c r="C17" s="6" t="s">
        <v>459</v>
      </c>
      <c r="D17" s="6" t="s">
        <v>13</v>
      </c>
      <c r="E17" s="6" t="s">
        <v>14</v>
      </c>
      <c r="F17" s="6" t="s">
        <v>16</v>
      </c>
      <c r="G17" s="6" t="s">
        <v>17</v>
      </c>
      <c r="H17" s="6" t="s">
        <v>18</v>
      </c>
      <c r="I17" s="6" t="s">
        <v>19</v>
      </c>
      <c r="J17" s="6" t="s">
        <v>20</v>
      </c>
    </row>
    <row r="18">
      <c r="A18" s="5">
        <v>46213.394280127315</v>
      </c>
      <c r="B18" s="6" t="s">
        <v>464</v>
      </c>
      <c r="C18" s="6" t="s">
        <v>459</v>
      </c>
      <c r="D18" s="6" t="s">
        <v>13</v>
      </c>
      <c r="E18" s="6" t="s">
        <v>14</v>
      </c>
      <c r="F18" s="6" t="s">
        <v>16</v>
      </c>
      <c r="G18" s="6" t="s">
        <v>17</v>
      </c>
      <c r="H18" s="6" t="s">
        <v>18</v>
      </c>
      <c r="I18" s="6" t="s">
        <v>19</v>
      </c>
      <c r="J18" s="6" t="s">
        <v>20</v>
      </c>
      <c r="K18" s="6" t="s">
        <v>498</v>
      </c>
    </row>
    <row r="19">
      <c r="A19" s="5">
        <v>46213.39442405093</v>
      </c>
      <c r="B19" s="6" t="s">
        <v>74</v>
      </c>
      <c r="C19" s="6" t="s">
        <v>374</v>
      </c>
      <c r="D19" s="6" t="s">
        <v>13</v>
      </c>
      <c r="E19" s="6" t="s">
        <v>14</v>
      </c>
      <c r="F19" s="6" t="s">
        <v>16</v>
      </c>
      <c r="G19" s="6" t="s">
        <v>17</v>
      </c>
      <c r="H19" s="6" t="s">
        <v>18</v>
      </c>
      <c r="I19" s="6" t="s">
        <v>19</v>
      </c>
      <c r="J19" s="6" t="s">
        <v>20</v>
      </c>
    </row>
    <row r="20">
      <c r="A20" s="5">
        <v>46213.394672662034</v>
      </c>
      <c r="B20" s="6" t="s">
        <v>118</v>
      </c>
      <c r="C20" s="6" t="s">
        <v>470</v>
      </c>
      <c r="D20" s="6" t="s">
        <v>13</v>
      </c>
      <c r="E20" s="6" t="s">
        <v>14</v>
      </c>
      <c r="F20" s="6" t="s">
        <v>16</v>
      </c>
      <c r="G20" s="6" t="s">
        <v>17</v>
      </c>
      <c r="H20" s="6" t="s">
        <v>18</v>
      </c>
      <c r="I20" s="6" t="s">
        <v>19</v>
      </c>
      <c r="J20" s="6" t="s">
        <v>20</v>
      </c>
      <c r="K20" s="6" t="s">
        <v>471</v>
      </c>
    </row>
    <row r="21">
      <c r="A21" s="5">
        <v>46213.39478282408</v>
      </c>
      <c r="B21" s="6" t="s">
        <v>57</v>
      </c>
      <c r="C21" s="6" t="s">
        <v>459</v>
      </c>
      <c r="D21" s="6" t="s">
        <v>13</v>
      </c>
      <c r="E21" s="6" t="s">
        <v>14</v>
      </c>
      <c r="F21" s="6" t="s">
        <v>16</v>
      </c>
      <c r="G21" s="6" t="s">
        <v>17</v>
      </c>
      <c r="H21" s="6" t="s">
        <v>18</v>
      </c>
      <c r="I21" s="6" t="s">
        <v>19</v>
      </c>
      <c r="J21" s="6" t="s">
        <v>20</v>
      </c>
    </row>
    <row r="22">
      <c r="A22" s="5">
        <v>46213.394914756944</v>
      </c>
      <c r="B22" s="6" t="s">
        <v>100</v>
      </c>
      <c r="C22" s="6" t="s">
        <v>466</v>
      </c>
      <c r="D22" s="6" t="s">
        <v>13</v>
      </c>
      <c r="E22" s="6" t="s">
        <v>14</v>
      </c>
      <c r="F22" s="6" t="s">
        <v>16</v>
      </c>
      <c r="G22" s="6" t="s">
        <v>17</v>
      </c>
      <c r="H22" s="6" t="s">
        <v>18</v>
      </c>
      <c r="I22" s="6" t="s">
        <v>19</v>
      </c>
      <c r="J22" s="6" t="s">
        <v>20</v>
      </c>
      <c r="K22" s="6" t="s">
        <v>499</v>
      </c>
    </row>
    <row r="23">
      <c r="A23" s="5">
        <v>46213.394975821764</v>
      </c>
      <c r="B23" s="6" t="s">
        <v>90</v>
      </c>
      <c r="C23" s="6" t="s">
        <v>477</v>
      </c>
      <c r="D23" s="6" t="s">
        <v>13</v>
      </c>
      <c r="E23" s="6" t="s">
        <v>14</v>
      </c>
      <c r="F23" s="6" t="s">
        <v>16</v>
      </c>
      <c r="G23" s="6" t="s">
        <v>17</v>
      </c>
      <c r="H23" s="6" t="s">
        <v>18</v>
      </c>
      <c r="I23" s="6" t="s">
        <v>19</v>
      </c>
      <c r="J23" s="6" t="s">
        <v>20</v>
      </c>
      <c r="K23" s="6" t="s">
        <v>36</v>
      </c>
    </row>
    <row r="24">
      <c r="A24" s="5">
        <v>46213.39518414352</v>
      </c>
      <c r="B24" s="6" t="s">
        <v>24</v>
      </c>
      <c r="C24" s="6" t="s">
        <v>459</v>
      </c>
      <c r="D24" s="6" t="s">
        <v>13</v>
      </c>
      <c r="E24" s="6" t="s">
        <v>14</v>
      </c>
      <c r="F24" s="6" t="s">
        <v>16</v>
      </c>
      <c r="G24" s="6" t="s">
        <v>17</v>
      </c>
      <c r="H24" s="6" t="s">
        <v>18</v>
      </c>
      <c r="I24" s="6" t="s">
        <v>19</v>
      </c>
      <c r="J24" s="6" t="s">
        <v>20</v>
      </c>
    </row>
    <row r="25">
      <c r="A25" s="5">
        <v>46213.39550572917</v>
      </c>
      <c r="B25" s="6" t="s">
        <v>115</v>
      </c>
      <c r="C25" s="6" t="s">
        <v>459</v>
      </c>
      <c r="D25" s="6" t="s">
        <v>13</v>
      </c>
      <c r="E25" s="6" t="s">
        <v>14</v>
      </c>
      <c r="F25" s="6" t="s">
        <v>16</v>
      </c>
      <c r="G25" s="6" t="s">
        <v>17</v>
      </c>
      <c r="H25" s="6" t="s">
        <v>18</v>
      </c>
      <c r="I25" s="6" t="s">
        <v>19</v>
      </c>
      <c r="J25" s="6" t="s">
        <v>20</v>
      </c>
    </row>
    <row r="26">
      <c r="A26" s="5">
        <v>46213.395559930555</v>
      </c>
      <c r="B26" s="6" t="s">
        <v>79</v>
      </c>
      <c r="C26" s="6" t="s">
        <v>31</v>
      </c>
      <c r="D26" s="6" t="s">
        <v>13</v>
      </c>
      <c r="E26" s="6" t="s">
        <v>14</v>
      </c>
      <c r="F26" s="6" t="s">
        <v>16</v>
      </c>
      <c r="G26" s="6" t="s">
        <v>17</v>
      </c>
      <c r="H26" s="6" t="s">
        <v>18</v>
      </c>
      <c r="I26" s="6" t="s">
        <v>19</v>
      </c>
      <c r="J26" s="6" t="s">
        <v>20</v>
      </c>
    </row>
    <row r="27">
      <c r="A27" s="5">
        <v>46213.39563967593</v>
      </c>
      <c r="B27" s="6" t="s">
        <v>85</v>
      </c>
      <c r="C27" s="6" t="s">
        <v>459</v>
      </c>
      <c r="D27" s="6" t="s">
        <v>13</v>
      </c>
      <c r="E27" s="6" t="s">
        <v>14</v>
      </c>
      <c r="F27" s="6" t="s">
        <v>54</v>
      </c>
      <c r="G27" s="6" t="s">
        <v>17</v>
      </c>
      <c r="H27" s="6" t="s">
        <v>18</v>
      </c>
      <c r="I27" s="6" t="s">
        <v>19</v>
      </c>
      <c r="J27" s="6" t="s">
        <v>20</v>
      </c>
    </row>
    <row r="28">
      <c r="A28" s="5">
        <v>46213.395965648146</v>
      </c>
      <c r="B28" s="6" t="s">
        <v>210</v>
      </c>
      <c r="C28" s="6" t="s">
        <v>462</v>
      </c>
      <c r="D28" s="6" t="s">
        <v>13</v>
      </c>
      <c r="E28" s="6" t="s">
        <v>14</v>
      </c>
      <c r="F28" s="6" t="s">
        <v>16</v>
      </c>
      <c r="G28" s="6" t="s">
        <v>17</v>
      </c>
      <c r="H28" s="6" t="s">
        <v>18</v>
      </c>
      <c r="I28" s="6" t="s">
        <v>19</v>
      </c>
      <c r="J28" s="6" t="s">
        <v>20</v>
      </c>
      <c r="K28" s="6" t="s">
        <v>500</v>
      </c>
    </row>
    <row r="29">
      <c r="A29" s="5">
        <v>46213.396581249996</v>
      </c>
      <c r="B29" s="6" t="s">
        <v>61</v>
      </c>
      <c r="C29" s="6" t="s">
        <v>459</v>
      </c>
      <c r="D29" s="6" t="s">
        <v>13</v>
      </c>
      <c r="E29" s="6" t="s">
        <v>14</v>
      </c>
      <c r="F29" s="6" t="s">
        <v>16</v>
      </c>
      <c r="G29" s="6" t="s">
        <v>17</v>
      </c>
      <c r="H29" s="6" t="s">
        <v>18</v>
      </c>
      <c r="I29" s="6" t="s">
        <v>19</v>
      </c>
      <c r="J29" s="6" t="s">
        <v>20</v>
      </c>
      <c r="K29" s="6" t="s">
        <v>478</v>
      </c>
    </row>
    <row r="30">
      <c r="A30" s="5">
        <v>46213.39658803241</v>
      </c>
      <c r="B30" s="6" t="s">
        <v>75</v>
      </c>
      <c r="C30" s="6" t="s">
        <v>462</v>
      </c>
      <c r="D30" s="6" t="s">
        <v>13</v>
      </c>
      <c r="E30" s="6" t="s">
        <v>14</v>
      </c>
      <c r="F30" s="6" t="s">
        <v>16</v>
      </c>
      <c r="G30" s="6" t="s">
        <v>17</v>
      </c>
      <c r="H30" s="6" t="s">
        <v>18</v>
      </c>
      <c r="I30" s="6" t="s">
        <v>19</v>
      </c>
      <c r="J30" s="6" t="s">
        <v>20</v>
      </c>
    </row>
    <row r="31">
      <c r="A31" s="5">
        <v>46213.39674423611</v>
      </c>
      <c r="B31" s="6" t="s">
        <v>135</v>
      </c>
      <c r="C31" s="6" t="s">
        <v>31</v>
      </c>
      <c r="D31" s="6" t="s">
        <v>13</v>
      </c>
      <c r="E31" s="6" t="s">
        <v>14</v>
      </c>
      <c r="F31" s="6" t="s">
        <v>16</v>
      </c>
      <c r="G31" s="6" t="s">
        <v>17</v>
      </c>
      <c r="H31" s="6" t="s">
        <v>18</v>
      </c>
      <c r="I31" s="6" t="s">
        <v>19</v>
      </c>
      <c r="J31" s="6" t="s">
        <v>20</v>
      </c>
    </row>
    <row r="32">
      <c r="A32" s="5">
        <v>46213.39688572916</v>
      </c>
      <c r="B32" s="6" t="s">
        <v>72</v>
      </c>
      <c r="C32" s="6" t="s">
        <v>459</v>
      </c>
      <c r="D32" s="6" t="s">
        <v>13</v>
      </c>
      <c r="E32" s="6" t="s">
        <v>14</v>
      </c>
      <c r="F32" s="6" t="s">
        <v>16</v>
      </c>
      <c r="G32" s="6" t="s">
        <v>17</v>
      </c>
      <c r="H32" s="6" t="s">
        <v>18</v>
      </c>
      <c r="I32" s="6" t="s">
        <v>19</v>
      </c>
      <c r="J32" s="6" t="s">
        <v>20</v>
      </c>
      <c r="K32" s="6" t="s">
        <v>501</v>
      </c>
    </row>
    <row r="33">
      <c r="A33" s="5">
        <v>46213.396928773145</v>
      </c>
      <c r="B33" s="6" t="s">
        <v>127</v>
      </c>
      <c r="C33" s="6" t="s">
        <v>31</v>
      </c>
      <c r="D33" s="6" t="s">
        <v>13</v>
      </c>
      <c r="E33" s="6" t="s">
        <v>14</v>
      </c>
      <c r="F33" s="6" t="s">
        <v>16</v>
      </c>
      <c r="G33" s="6" t="s">
        <v>17</v>
      </c>
      <c r="H33" s="6" t="s">
        <v>18</v>
      </c>
      <c r="I33" s="6" t="s">
        <v>19</v>
      </c>
      <c r="J33" s="6" t="s">
        <v>20</v>
      </c>
      <c r="K33" s="6" t="s">
        <v>502</v>
      </c>
    </row>
    <row r="34">
      <c r="A34" s="5">
        <v>46213.39701547453</v>
      </c>
      <c r="B34" s="6" t="s">
        <v>101</v>
      </c>
      <c r="C34" s="6" t="s">
        <v>31</v>
      </c>
      <c r="D34" s="6" t="s">
        <v>13</v>
      </c>
      <c r="E34" s="6" t="s">
        <v>14</v>
      </c>
      <c r="F34" s="6" t="s">
        <v>16</v>
      </c>
      <c r="G34" s="6" t="s">
        <v>17</v>
      </c>
      <c r="H34" s="6" t="s">
        <v>18</v>
      </c>
      <c r="I34" s="6" t="s">
        <v>19</v>
      </c>
      <c r="J34" s="6" t="s">
        <v>20</v>
      </c>
    </row>
    <row r="35">
      <c r="A35" s="5">
        <v>46213.39706762732</v>
      </c>
      <c r="B35" s="6" t="s">
        <v>97</v>
      </c>
      <c r="C35" s="6" t="s">
        <v>31</v>
      </c>
      <c r="D35" s="6" t="s">
        <v>13</v>
      </c>
      <c r="E35" s="6" t="s">
        <v>14</v>
      </c>
      <c r="F35" s="6" t="s">
        <v>16</v>
      </c>
      <c r="G35" s="6" t="s">
        <v>17</v>
      </c>
      <c r="H35" s="6" t="s">
        <v>18</v>
      </c>
      <c r="I35" s="6" t="s">
        <v>19</v>
      </c>
      <c r="J35" s="6" t="s">
        <v>20</v>
      </c>
      <c r="K35" s="6" t="s">
        <v>503</v>
      </c>
    </row>
    <row r="36">
      <c r="A36" s="5">
        <v>46213.39794362268</v>
      </c>
      <c r="B36" s="6" t="s">
        <v>196</v>
      </c>
      <c r="C36" s="6" t="s">
        <v>459</v>
      </c>
      <c r="D36" s="6" t="s">
        <v>13</v>
      </c>
      <c r="E36" s="6" t="s">
        <v>14</v>
      </c>
      <c r="F36" s="6" t="s">
        <v>16</v>
      </c>
      <c r="G36" s="6" t="s">
        <v>17</v>
      </c>
      <c r="H36" s="6" t="s">
        <v>18</v>
      </c>
      <c r="I36" s="6" t="s">
        <v>19</v>
      </c>
      <c r="J36" s="6" t="s">
        <v>20</v>
      </c>
    </row>
    <row r="37">
      <c r="A37" s="5">
        <v>46213.39815262731</v>
      </c>
      <c r="B37" s="6" t="s">
        <v>28</v>
      </c>
      <c r="C37" s="6" t="s">
        <v>459</v>
      </c>
      <c r="D37" s="6" t="s">
        <v>13</v>
      </c>
      <c r="E37" s="6" t="s">
        <v>14</v>
      </c>
      <c r="F37" s="6" t="s">
        <v>16</v>
      </c>
      <c r="G37" s="6" t="s">
        <v>17</v>
      </c>
      <c r="H37" s="6" t="s">
        <v>18</v>
      </c>
      <c r="I37" s="6" t="s">
        <v>19</v>
      </c>
      <c r="J37" s="6" t="s">
        <v>20</v>
      </c>
      <c r="K37" s="34" t="s">
        <v>504</v>
      </c>
    </row>
    <row r="38">
      <c r="A38" s="5">
        <v>46213.39838271991</v>
      </c>
      <c r="B38" s="6" t="s">
        <v>114</v>
      </c>
      <c r="C38" s="6" t="s">
        <v>482</v>
      </c>
      <c r="D38" s="6" t="s">
        <v>13</v>
      </c>
      <c r="E38" s="6" t="s">
        <v>14</v>
      </c>
      <c r="F38" s="6" t="s">
        <v>16</v>
      </c>
      <c r="G38" s="6" t="s">
        <v>17</v>
      </c>
      <c r="H38" s="6" t="s">
        <v>18</v>
      </c>
      <c r="I38" s="6" t="s">
        <v>19</v>
      </c>
      <c r="J38" s="6" t="s">
        <v>20</v>
      </c>
    </row>
    <row r="39">
      <c r="A39" s="5">
        <v>46213.39840576389</v>
      </c>
      <c r="B39" s="6" t="s">
        <v>205</v>
      </c>
      <c r="C39" s="6" t="s">
        <v>31</v>
      </c>
      <c r="D39" s="6" t="s">
        <v>13</v>
      </c>
      <c r="E39" s="6" t="s">
        <v>14</v>
      </c>
      <c r="F39" s="6" t="s">
        <v>16</v>
      </c>
      <c r="G39" s="6" t="s">
        <v>17</v>
      </c>
      <c r="H39" s="6" t="s">
        <v>18</v>
      </c>
      <c r="I39" s="6" t="s">
        <v>19</v>
      </c>
      <c r="J39" s="6" t="s">
        <v>20</v>
      </c>
    </row>
    <row r="40">
      <c r="A40" s="5">
        <v>46213.39873047454</v>
      </c>
      <c r="B40" s="6" t="s">
        <v>105</v>
      </c>
      <c r="C40" s="6" t="s">
        <v>505</v>
      </c>
      <c r="D40" s="6" t="s">
        <v>13</v>
      </c>
      <c r="E40" s="6" t="s">
        <v>14</v>
      </c>
      <c r="F40" s="6" t="s">
        <v>16</v>
      </c>
      <c r="G40" s="6" t="s">
        <v>17</v>
      </c>
      <c r="H40" s="6" t="s">
        <v>18</v>
      </c>
      <c r="I40" s="6" t="s">
        <v>19</v>
      </c>
      <c r="J40" s="6" t="s">
        <v>20</v>
      </c>
    </row>
    <row r="41">
      <c r="A41" s="5">
        <v>46213.39910459491</v>
      </c>
      <c r="B41" s="6" t="s">
        <v>33</v>
      </c>
      <c r="C41" s="6" t="s">
        <v>473</v>
      </c>
      <c r="D41" s="6" t="s">
        <v>13</v>
      </c>
      <c r="E41" s="6" t="s">
        <v>14</v>
      </c>
      <c r="F41" s="6" t="s">
        <v>16</v>
      </c>
      <c r="G41" s="6" t="s">
        <v>17</v>
      </c>
      <c r="H41" s="6" t="s">
        <v>18</v>
      </c>
      <c r="I41" s="6" t="s">
        <v>19</v>
      </c>
      <c r="J41" s="6" t="s">
        <v>20</v>
      </c>
    </row>
    <row r="42">
      <c r="A42" s="5">
        <v>46213.39921679399</v>
      </c>
      <c r="B42" s="6" t="s">
        <v>44</v>
      </c>
      <c r="C42" s="6" t="s">
        <v>459</v>
      </c>
      <c r="D42" s="6" t="s">
        <v>13</v>
      </c>
      <c r="E42" s="6" t="s">
        <v>14</v>
      </c>
      <c r="F42" s="6" t="s">
        <v>16</v>
      </c>
      <c r="G42" s="6" t="s">
        <v>17</v>
      </c>
      <c r="H42" s="6" t="s">
        <v>18</v>
      </c>
      <c r="I42" s="6" t="s">
        <v>19</v>
      </c>
      <c r="J42" s="6" t="s">
        <v>20</v>
      </c>
    </row>
    <row r="43">
      <c r="A43" s="5">
        <v>46213.399312106485</v>
      </c>
      <c r="B43" s="6" t="s">
        <v>88</v>
      </c>
      <c r="C43" s="6" t="s">
        <v>480</v>
      </c>
      <c r="D43" s="6" t="s">
        <v>13</v>
      </c>
      <c r="E43" s="6" t="s">
        <v>14</v>
      </c>
      <c r="F43" s="6" t="s">
        <v>16</v>
      </c>
      <c r="G43" s="6" t="s">
        <v>17</v>
      </c>
      <c r="H43" s="6" t="s">
        <v>18</v>
      </c>
      <c r="I43" s="6" t="s">
        <v>19</v>
      </c>
      <c r="J43" s="6" t="s">
        <v>20</v>
      </c>
      <c r="K43" s="6" t="s">
        <v>169</v>
      </c>
    </row>
    <row r="44">
      <c r="A44" s="5">
        <v>46213.400032453705</v>
      </c>
      <c r="B44" s="6" t="s">
        <v>37</v>
      </c>
      <c r="C44" s="6" t="s">
        <v>486</v>
      </c>
      <c r="D44" s="6" t="s">
        <v>13</v>
      </c>
      <c r="E44" s="6" t="s">
        <v>14</v>
      </c>
      <c r="F44" s="6" t="s">
        <v>16</v>
      </c>
      <c r="G44" s="6" t="s">
        <v>17</v>
      </c>
      <c r="H44" s="6" t="s">
        <v>18</v>
      </c>
      <c r="I44" s="6" t="s">
        <v>19</v>
      </c>
      <c r="J44" s="6" t="s">
        <v>20</v>
      </c>
      <c r="K44" s="6" t="s">
        <v>487</v>
      </c>
    </row>
    <row r="45">
      <c r="A45" s="5">
        <v>46213.400758159725</v>
      </c>
      <c r="B45" s="6" t="s">
        <v>95</v>
      </c>
      <c r="C45" s="6" t="s">
        <v>208</v>
      </c>
      <c r="D45" s="6" t="s">
        <v>13</v>
      </c>
      <c r="E45" s="6" t="s">
        <v>14</v>
      </c>
      <c r="F45" s="6" t="s">
        <v>16</v>
      </c>
      <c r="G45" s="6" t="s">
        <v>17</v>
      </c>
      <c r="H45" s="6" t="s">
        <v>18</v>
      </c>
      <c r="I45" s="6" t="s">
        <v>19</v>
      </c>
      <c r="J45" s="6" t="s">
        <v>20</v>
      </c>
    </row>
    <row r="46">
      <c r="A46" s="5">
        <v>46213.40151994213</v>
      </c>
      <c r="B46" s="6" t="s">
        <v>66</v>
      </c>
      <c r="C46" s="6" t="s">
        <v>475</v>
      </c>
      <c r="D46" s="6" t="s">
        <v>13</v>
      </c>
      <c r="E46" s="6" t="s">
        <v>14</v>
      </c>
      <c r="F46" s="6" t="s">
        <v>16</v>
      </c>
      <c r="G46" s="6" t="s">
        <v>17</v>
      </c>
      <c r="H46" s="6" t="s">
        <v>18</v>
      </c>
      <c r="I46" s="6" t="s">
        <v>19</v>
      </c>
      <c r="J46" s="6" t="s">
        <v>20</v>
      </c>
      <c r="K46" s="6" t="s">
        <v>489</v>
      </c>
    </row>
    <row r="47">
      <c r="A47" s="5">
        <v>46213.401586747685</v>
      </c>
      <c r="B47" s="6" t="s">
        <v>77</v>
      </c>
      <c r="C47" s="6" t="s">
        <v>459</v>
      </c>
      <c r="D47" s="6" t="s">
        <v>13</v>
      </c>
      <c r="E47" s="6" t="s">
        <v>14</v>
      </c>
      <c r="F47" s="6" t="s">
        <v>16</v>
      </c>
      <c r="G47" s="6" t="s">
        <v>17</v>
      </c>
      <c r="H47" s="6" t="s">
        <v>18</v>
      </c>
      <c r="I47" s="6" t="s">
        <v>19</v>
      </c>
      <c r="J47" s="6" t="s">
        <v>20</v>
      </c>
      <c r="K47" s="6" t="s">
        <v>506</v>
      </c>
    </row>
    <row r="48">
      <c r="A48" s="5">
        <v>46213.40213918981</v>
      </c>
      <c r="B48" s="6" t="s">
        <v>83</v>
      </c>
      <c r="C48" s="6" t="s">
        <v>31</v>
      </c>
      <c r="D48" s="6" t="s">
        <v>13</v>
      </c>
      <c r="E48" s="6" t="s">
        <v>14</v>
      </c>
      <c r="F48" s="6" t="s">
        <v>16</v>
      </c>
      <c r="G48" s="6" t="s">
        <v>17</v>
      </c>
      <c r="H48" s="6" t="s">
        <v>18</v>
      </c>
      <c r="I48" s="6" t="s">
        <v>19</v>
      </c>
      <c r="J48" s="6" t="s">
        <v>20</v>
      </c>
    </row>
    <row r="49">
      <c r="A49" s="5">
        <v>46213.40302174768</v>
      </c>
      <c r="B49" s="6" t="s">
        <v>42</v>
      </c>
      <c r="C49" s="6" t="s">
        <v>31</v>
      </c>
      <c r="D49" s="6" t="s">
        <v>13</v>
      </c>
      <c r="E49" s="6" t="s">
        <v>14</v>
      </c>
      <c r="F49" s="6" t="s">
        <v>16</v>
      </c>
      <c r="G49" s="6" t="s">
        <v>17</v>
      </c>
      <c r="H49" s="6" t="s">
        <v>18</v>
      </c>
      <c r="I49" s="6" t="s">
        <v>19</v>
      </c>
      <c r="J49" s="6" t="s">
        <v>20</v>
      </c>
      <c r="K49" s="6" t="s">
        <v>507</v>
      </c>
    </row>
    <row r="50">
      <c r="A50" s="5">
        <v>46213.40368974537</v>
      </c>
      <c r="B50" s="6" t="s">
        <v>71</v>
      </c>
      <c r="C50" s="6" t="s">
        <v>31</v>
      </c>
      <c r="D50" s="6" t="s">
        <v>13</v>
      </c>
      <c r="E50" s="6" t="s">
        <v>14</v>
      </c>
      <c r="F50" s="6" t="s">
        <v>16</v>
      </c>
      <c r="G50" s="6" t="s">
        <v>17</v>
      </c>
      <c r="H50" s="6" t="s">
        <v>18</v>
      </c>
      <c r="I50" s="6" t="s">
        <v>19</v>
      </c>
      <c r="J50" s="6" t="s">
        <v>20</v>
      </c>
    </row>
    <row r="51">
      <c r="A51" s="5">
        <v>46213.40557084491</v>
      </c>
      <c r="B51" s="6" t="s">
        <v>201</v>
      </c>
      <c r="C51" s="6" t="s">
        <v>491</v>
      </c>
      <c r="D51" s="6" t="s">
        <v>13</v>
      </c>
      <c r="E51" s="6" t="s">
        <v>14</v>
      </c>
      <c r="F51" s="6" t="s">
        <v>16</v>
      </c>
      <c r="G51" s="6" t="s">
        <v>17</v>
      </c>
      <c r="H51" s="6" t="s">
        <v>18</v>
      </c>
      <c r="I51" s="6" t="s">
        <v>19</v>
      </c>
      <c r="J51" s="6" t="s">
        <v>20</v>
      </c>
    </row>
    <row r="52">
      <c r="A52" s="5">
        <v>46213.40892793982</v>
      </c>
      <c r="B52" s="6" t="s">
        <v>59</v>
      </c>
      <c r="C52" s="6" t="s">
        <v>492</v>
      </c>
      <c r="D52" s="6" t="s">
        <v>13</v>
      </c>
      <c r="E52" s="6" t="s">
        <v>14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>
      <c r="A53" s="5">
        <v>46213.41051706018</v>
      </c>
      <c r="B53" s="6" t="s">
        <v>126</v>
      </c>
      <c r="C53" s="6" t="s">
        <v>459</v>
      </c>
      <c r="D53" s="6" t="s">
        <v>13</v>
      </c>
      <c r="E53" s="6" t="s">
        <v>14</v>
      </c>
      <c r="F53" s="6" t="s">
        <v>16</v>
      </c>
      <c r="G53" s="6" t="s">
        <v>17</v>
      </c>
      <c r="H53" s="6" t="s">
        <v>18</v>
      </c>
      <c r="I53" s="6" t="s">
        <v>19</v>
      </c>
      <c r="J53" s="6" t="s">
        <v>20</v>
      </c>
    </row>
    <row r="54">
      <c r="A54" s="5">
        <v>46213.41183494213</v>
      </c>
      <c r="B54" s="6" t="s">
        <v>40</v>
      </c>
      <c r="C54" s="6" t="s">
        <v>31</v>
      </c>
      <c r="D54" s="6" t="s">
        <v>13</v>
      </c>
      <c r="E54" s="6" t="s">
        <v>14</v>
      </c>
      <c r="F54" s="6" t="s">
        <v>16</v>
      </c>
      <c r="G54" s="6" t="s">
        <v>17</v>
      </c>
      <c r="H54" s="6" t="s">
        <v>18</v>
      </c>
      <c r="I54" s="6" t="s">
        <v>19</v>
      </c>
      <c r="J54" s="6" t="s">
        <v>20</v>
      </c>
    </row>
    <row r="55">
      <c r="A55" s="5">
        <v>46213.41243650463</v>
      </c>
      <c r="B55" s="6" t="s">
        <v>104</v>
      </c>
      <c r="C55" s="6" t="s">
        <v>493</v>
      </c>
      <c r="D55" s="6" t="s">
        <v>73</v>
      </c>
      <c r="E55" s="6" t="s">
        <v>14</v>
      </c>
      <c r="F55" s="6" t="s">
        <v>16</v>
      </c>
      <c r="G55" s="6" t="s">
        <v>17</v>
      </c>
      <c r="H55" s="6" t="s">
        <v>18</v>
      </c>
      <c r="I55" s="6" t="s">
        <v>19</v>
      </c>
      <c r="J55" s="6" t="s">
        <v>20</v>
      </c>
    </row>
    <row r="56">
      <c r="A56" s="5">
        <v>46213.415036516206</v>
      </c>
      <c r="B56" s="6" t="s">
        <v>112</v>
      </c>
      <c r="C56" s="6" t="s">
        <v>462</v>
      </c>
      <c r="D56" s="6" t="s">
        <v>13</v>
      </c>
      <c r="E56" s="6" t="s">
        <v>14</v>
      </c>
      <c r="F56" s="6" t="s">
        <v>16</v>
      </c>
      <c r="G56" s="6" t="s">
        <v>17</v>
      </c>
      <c r="H56" s="6" t="s">
        <v>18</v>
      </c>
      <c r="I56" s="6" t="s">
        <v>19</v>
      </c>
      <c r="J56" s="6" t="s">
        <v>20</v>
      </c>
    </row>
    <row r="57">
      <c r="A57" s="5">
        <v>46213.41694106482</v>
      </c>
      <c r="B57" s="6" t="s">
        <v>99</v>
      </c>
      <c r="C57" s="6" t="s">
        <v>459</v>
      </c>
      <c r="D57" s="6" t="s">
        <v>13</v>
      </c>
      <c r="E57" s="6" t="s">
        <v>14</v>
      </c>
      <c r="F57" s="6" t="s">
        <v>16</v>
      </c>
      <c r="G57" s="6" t="s">
        <v>17</v>
      </c>
      <c r="H57" s="6" t="s">
        <v>18</v>
      </c>
      <c r="I57" s="6" t="s">
        <v>19</v>
      </c>
      <c r="J57" s="6" t="s">
        <v>20</v>
      </c>
    </row>
    <row r="58">
      <c r="A58" s="5">
        <v>46213.420890856476</v>
      </c>
      <c r="B58" s="6" t="s">
        <v>69</v>
      </c>
      <c r="C58" s="6" t="s">
        <v>459</v>
      </c>
      <c r="D58" s="6" t="s">
        <v>13</v>
      </c>
      <c r="E58" s="6" t="s">
        <v>14</v>
      </c>
      <c r="F58" s="6" t="s">
        <v>16</v>
      </c>
      <c r="G58" s="6" t="s">
        <v>17</v>
      </c>
      <c r="H58" s="6" t="s">
        <v>18</v>
      </c>
      <c r="I58" s="6" t="s">
        <v>19</v>
      </c>
      <c r="J58" s="6" t="s">
        <v>20</v>
      </c>
    </row>
    <row r="59">
      <c r="A59" s="5">
        <v>46213.42550378472</v>
      </c>
      <c r="B59" s="6" t="s">
        <v>103</v>
      </c>
      <c r="C59" s="6" t="s">
        <v>31</v>
      </c>
      <c r="D59" s="6" t="s">
        <v>13</v>
      </c>
      <c r="E59" s="6" t="s">
        <v>14</v>
      </c>
      <c r="F59" s="6" t="s">
        <v>16</v>
      </c>
      <c r="G59" s="6" t="s">
        <v>17</v>
      </c>
      <c r="H59" s="6" t="s">
        <v>18</v>
      </c>
      <c r="I59" s="6" t="s">
        <v>55</v>
      </c>
      <c r="J59" s="6" t="s">
        <v>56</v>
      </c>
      <c r="K59" s="6" t="s">
        <v>92</v>
      </c>
    </row>
    <row r="60">
      <c r="A60" s="5">
        <v>46213.42857265046</v>
      </c>
      <c r="B60" s="6" t="s">
        <v>125</v>
      </c>
      <c r="C60" s="6" t="s">
        <v>31</v>
      </c>
      <c r="D60" s="6" t="s">
        <v>13</v>
      </c>
      <c r="E60" s="6" t="s">
        <v>14</v>
      </c>
      <c r="F60" s="6" t="s">
        <v>16</v>
      </c>
      <c r="G60" s="6" t="s">
        <v>17</v>
      </c>
      <c r="H60" s="6" t="s">
        <v>18</v>
      </c>
      <c r="I60" s="6" t="s">
        <v>19</v>
      </c>
      <c r="J60" s="6" t="s">
        <v>20</v>
      </c>
    </row>
    <row r="61">
      <c r="A61" s="5">
        <v>46213.430001851855</v>
      </c>
      <c r="B61" s="6" t="s">
        <v>178</v>
      </c>
      <c r="C61" s="6" t="s">
        <v>31</v>
      </c>
      <c r="D61" s="6" t="s">
        <v>13</v>
      </c>
      <c r="E61" s="6" t="s">
        <v>14</v>
      </c>
      <c r="F61" s="6" t="s">
        <v>16</v>
      </c>
      <c r="G61" s="6" t="s">
        <v>17</v>
      </c>
      <c r="H61" s="6" t="s">
        <v>18</v>
      </c>
      <c r="I61" s="6" t="s">
        <v>19</v>
      </c>
      <c r="J61" s="6" t="s">
        <v>20</v>
      </c>
    </row>
    <row r="62">
      <c r="A62" s="5">
        <v>46213.43066070601</v>
      </c>
      <c r="B62" s="6" t="s">
        <v>176</v>
      </c>
      <c r="C62" s="6" t="s">
        <v>459</v>
      </c>
      <c r="D62" s="6" t="s">
        <v>13</v>
      </c>
      <c r="E62" s="6" t="s">
        <v>14</v>
      </c>
      <c r="F62" s="6" t="s">
        <v>16</v>
      </c>
      <c r="G62" s="6" t="s">
        <v>17</v>
      </c>
      <c r="H62" s="6" t="s">
        <v>18</v>
      </c>
      <c r="I62" s="6" t="s">
        <v>19</v>
      </c>
      <c r="J62" s="6" t="s">
        <v>20</v>
      </c>
    </row>
    <row r="63">
      <c r="A63" s="5">
        <v>46213.456363460646</v>
      </c>
      <c r="B63" s="6" t="s">
        <v>199</v>
      </c>
      <c r="C63" s="6" t="s">
        <v>459</v>
      </c>
      <c r="D63" s="6" t="s">
        <v>13</v>
      </c>
      <c r="E63" s="6" t="s">
        <v>14</v>
      </c>
      <c r="F63" s="6" t="s">
        <v>16</v>
      </c>
      <c r="G63" s="6" t="s">
        <v>17</v>
      </c>
      <c r="H63" s="6" t="s">
        <v>18</v>
      </c>
      <c r="I63" s="6" t="s">
        <v>19</v>
      </c>
      <c r="J63" s="6" t="s">
        <v>20</v>
      </c>
    </row>
    <row r="64">
      <c r="A64" s="5">
        <v>46213.49907983796</v>
      </c>
      <c r="B64" s="6" t="s">
        <v>130</v>
      </c>
      <c r="C64" s="6" t="s">
        <v>459</v>
      </c>
      <c r="D64" s="6" t="s">
        <v>13</v>
      </c>
      <c r="E64" s="6" t="s">
        <v>14</v>
      </c>
      <c r="F64" s="6" t="s">
        <v>16</v>
      </c>
      <c r="G64" s="6" t="s">
        <v>17</v>
      </c>
      <c r="H64" s="6" t="s">
        <v>18</v>
      </c>
      <c r="I64" s="6" t="s">
        <v>19</v>
      </c>
      <c r="J64" s="6" t="s">
        <v>20</v>
      </c>
    </row>
    <row r="65">
      <c r="A65" s="5">
        <v>46213.5117030324</v>
      </c>
      <c r="B65" s="6" t="s">
        <v>93</v>
      </c>
      <c r="C65" s="6" t="s">
        <v>459</v>
      </c>
      <c r="D65" s="6" t="s">
        <v>13</v>
      </c>
      <c r="E65" s="6" t="s">
        <v>14</v>
      </c>
      <c r="F65" s="6" t="s">
        <v>16</v>
      </c>
      <c r="G65" s="6" t="s">
        <v>17</v>
      </c>
      <c r="H65" s="6" t="s">
        <v>18</v>
      </c>
      <c r="I65" s="6" t="s">
        <v>19</v>
      </c>
      <c r="J65" s="6" t="s">
        <v>20</v>
      </c>
    </row>
    <row r="66">
      <c r="A66" s="5">
        <v>46214.47542430555</v>
      </c>
      <c r="B66" s="6" t="s">
        <v>132</v>
      </c>
      <c r="C66" s="6" t="s">
        <v>180</v>
      </c>
      <c r="D66" s="6" t="s">
        <v>73</v>
      </c>
      <c r="E66" s="6" t="s">
        <v>14</v>
      </c>
      <c r="F66" s="6" t="s">
        <v>16</v>
      </c>
      <c r="G66" s="6" t="s">
        <v>17</v>
      </c>
      <c r="H66" s="6" t="s">
        <v>18</v>
      </c>
      <c r="I66" s="6" t="s">
        <v>19</v>
      </c>
      <c r="J66" s="6" t="s">
        <v>20</v>
      </c>
    </row>
    <row r="67">
      <c r="A67" s="5">
        <v>46217.99872741898</v>
      </c>
      <c r="B67" s="6" t="s">
        <v>203</v>
      </c>
      <c r="C67" s="6" t="s">
        <v>459</v>
      </c>
      <c r="D67" s="6" t="s">
        <v>13</v>
      </c>
      <c r="E67" s="6" t="s">
        <v>14</v>
      </c>
      <c r="F67" s="6" t="s">
        <v>16</v>
      </c>
      <c r="G67" s="6" t="s">
        <v>17</v>
      </c>
      <c r="H67" s="6" t="s">
        <v>18</v>
      </c>
      <c r="I67" s="6" t="s">
        <v>19</v>
      </c>
      <c r="J67" s="6" t="s">
        <v>20</v>
      </c>
    </row>
    <row r="68">
      <c r="A68" s="5">
        <v>46262.4329346875</v>
      </c>
      <c r="B68" s="6" t="s">
        <v>30</v>
      </c>
      <c r="C68" s="6" t="s">
        <v>31</v>
      </c>
      <c r="D68" s="6" t="s">
        <v>13</v>
      </c>
      <c r="E68" s="6" t="s">
        <v>14</v>
      </c>
      <c r="F68" s="6" t="s">
        <v>16</v>
      </c>
      <c r="G68" s="6" t="s">
        <v>17</v>
      </c>
      <c r="H68" s="6" t="s">
        <v>18</v>
      </c>
      <c r="I68" s="6" t="s">
        <v>19</v>
      </c>
      <c r="J68" s="6" t="s">
        <v>20</v>
      </c>
    </row>
    <row r="69">
      <c r="A69" s="5">
        <v>46262.455031087964</v>
      </c>
      <c r="B69" s="6" t="s">
        <v>52</v>
      </c>
      <c r="C69" s="6" t="s">
        <v>53</v>
      </c>
      <c r="D69" s="6" t="s">
        <v>13</v>
      </c>
      <c r="E69" s="6" t="s">
        <v>120</v>
      </c>
      <c r="F69" s="6" t="s">
        <v>54</v>
      </c>
      <c r="G69" s="6" t="s">
        <v>17</v>
      </c>
      <c r="H69" s="6" t="s">
        <v>18</v>
      </c>
      <c r="I69" s="6" t="s">
        <v>19</v>
      </c>
      <c r="J69" s="6" t="s">
        <v>20</v>
      </c>
    </row>
    <row r="70">
      <c r="A70" s="5">
        <v>46262.48838054398</v>
      </c>
      <c r="B70" s="6" t="s">
        <v>63</v>
      </c>
      <c r="C70" s="6" t="s">
        <v>31</v>
      </c>
      <c r="D70" s="6" t="s">
        <v>13</v>
      </c>
      <c r="E70" s="6" t="s">
        <v>14</v>
      </c>
      <c r="F70" s="6" t="s">
        <v>16</v>
      </c>
      <c r="G70" s="6" t="s">
        <v>17</v>
      </c>
      <c r="H70" s="6" t="s">
        <v>18</v>
      </c>
      <c r="I70" s="6" t="s">
        <v>19</v>
      </c>
      <c r="J70" s="6" t="s">
        <v>20</v>
      </c>
      <c r="K70" s="6" t="s">
        <v>496</v>
      </c>
    </row>
    <row r="71">
      <c r="A71" s="5">
        <v>46262.60072737269</v>
      </c>
      <c r="B71" s="6" t="s">
        <v>86</v>
      </c>
      <c r="C71" s="6" t="s">
        <v>480</v>
      </c>
      <c r="D71" s="6" t="s">
        <v>13</v>
      </c>
      <c r="E71" s="6" t="s">
        <v>14</v>
      </c>
      <c r="F71" s="6" t="s">
        <v>16</v>
      </c>
      <c r="G71" s="6" t="s">
        <v>17</v>
      </c>
      <c r="H71" s="6" t="s">
        <v>18</v>
      </c>
      <c r="I71" s="6" t="s">
        <v>19</v>
      </c>
      <c r="J71" s="6" t="s">
        <v>20</v>
      </c>
    </row>
    <row r="72">
      <c r="A72" s="5">
        <v>46263.64092855324</v>
      </c>
      <c r="B72" s="6" t="s">
        <v>80</v>
      </c>
      <c r="C72" s="6" t="s">
        <v>31</v>
      </c>
      <c r="D72" s="6" t="s">
        <v>13</v>
      </c>
      <c r="E72" s="6" t="s">
        <v>14</v>
      </c>
      <c r="F72" s="6" t="s">
        <v>16</v>
      </c>
      <c r="G72" s="6" t="s">
        <v>17</v>
      </c>
      <c r="H72" s="6" t="s">
        <v>18</v>
      </c>
      <c r="I72" s="6" t="s">
        <v>19</v>
      </c>
      <c r="J72" s="6" t="s">
        <v>20</v>
      </c>
      <c r="K72" s="6" t="s">
        <v>508</v>
      </c>
    </row>
    <row r="73">
      <c r="A73" s="5">
        <v>46264.65482621528</v>
      </c>
      <c r="B73" s="6" t="s">
        <v>106</v>
      </c>
      <c r="C73" s="6" t="s">
        <v>509</v>
      </c>
      <c r="D73" s="6" t="s">
        <v>13</v>
      </c>
      <c r="E73" s="6" t="s">
        <v>14</v>
      </c>
      <c r="F73" s="6" t="s">
        <v>16</v>
      </c>
      <c r="G73" s="6" t="s">
        <v>17</v>
      </c>
      <c r="H73" s="6" t="s">
        <v>18</v>
      </c>
      <c r="I73" s="6" t="s">
        <v>19</v>
      </c>
      <c r="J73" s="6" t="s">
        <v>20</v>
      </c>
    </row>
    <row r="74">
      <c r="A74" s="5">
        <v>46264.8812896875</v>
      </c>
      <c r="B74" s="6" t="s">
        <v>108</v>
      </c>
      <c r="C74" s="6" t="s">
        <v>109</v>
      </c>
      <c r="D74" s="6" t="s">
        <v>13</v>
      </c>
      <c r="E74" s="6" t="s">
        <v>14</v>
      </c>
      <c r="F74" s="6" t="s">
        <v>16</v>
      </c>
      <c r="G74" s="6" t="s">
        <v>17</v>
      </c>
      <c r="H74" s="6" t="s">
        <v>18</v>
      </c>
      <c r="I74" s="6" t="s">
        <v>19</v>
      </c>
      <c r="J74" s="6" t="s">
        <v>20</v>
      </c>
    </row>
    <row r="75">
      <c r="A75" s="5">
        <v>46265.738341689816</v>
      </c>
      <c r="B75" s="6" t="s">
        <v>116</v>
      </c>
      <c r="C75" s="6" t="s">
        <v>510</v>
      </c>
      <c r="D75" s="6" t="s">
        <v>13</v>
      </c>
      <c r="E75" s="6" t="s">
        <v>14</v>
      </c>
      <c r="F75" s="6" t="s">
        <v>16</v>
      </c>
      <c r="G75" s="6" t="s">
        <v>17</v>
      </c>
      <c r="H75" s="6" t="s">
        <v>18</v>
      </c>
      <c r="I75" s="6" t="s">
        <v>19</v>
      </c>
      <c r="J75" s="6" t="s">
        <v>20</v>
      </c>
    </row>
    <row r="76">
      <c r="A76" s="5">
        <v>46266.684092337964</v>
      </c>
      <c r="B76" s="6" t="s">
        <v>121</v>
      </c>
      <c r="C76" s="6" t="s">
        <v>466</v>
      </c>
      <c r="D76" s="6" t="s">
        <v>13</v>
      </c>
      <c r="E76" s="6" t="s">
        <v>14</v>
      </c>
      <c r="F76" s="6" t="s">
        <v>16</v>
      </c>
      <c r="G76" s="6" t="s">
        <v>17</v>
      </c>
      <c r="H76" s="6" t="s">
        <v>18</v>
      </c>
      <c r="I76" s="6" t="s">
        <v>19</v>
      </c>
      <c r="J76" s="6" t="s">
        <v>20</v>
      </c>
    </row>
    <row r="77">
      <c r="A77" s="5">
        <v>46266.68890851852</v>
      </c>
      <c r="B77" s="6" t="s">
        <v>124</v>
      </c>
      <c r="C77" s="6" t="s">
        <v>31</v>
      </c>
      <c r="D77" s="6" t="s">
        <v>13</v>
      </c>
      <c r="E77" s="6" t="s">
        <v>14</v>
      </c>
      <c r="F77" s="6" t="s">
        <v>16</v>
      </c>
      <c r="G77" s="6" t="s">
        <v>17</v>
      </c>
      <c r="H77" s="6" t="s">
        <v>18</v>
      </c>
      <c r="I77" s="6" t="s">
        <v>19</v>
      </c>
      <c r="J77" s="6" t="s">
        <v>20</v>
      </c>
    </row>
    <row r="78">
      <c r="A78" s="5">
        <v>46267.31144444444</v>
      </c>
      <c r="B78" s="6" t="s">
        <v>129</v>
      </c>
      <c r="C78" s="6" t="s">
        <v>31</v>
      </c>
      <c r="D78" s="6" t="s">
        <v>13</v>
      </c>
      <c r="E78" s="6" t="s">
        <v>14</v>
      </c>
      <c r="F78" s="6" t="s">
        <v>16</v>
      </c>
      <c r="G78" s="6" t="s">
        <v>17</v>
      </c>
      <c r="H78" s="6" t="s">
        <v>18</v>
      </c>
      <c r="I78" s="6" t="s">
        <v>19</v>
      </c>
      <c r="J78" s="6" t="s">
        <v>20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1" t="s">
        <v>0</v>
      </c>
      <c r="B1" s="1" t="s">
        <v>1</v>
      </c>
      <c r="C1" s="3" t="s">
        <v>2</v>
      </c>
      <c r="D1" s="4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1"/>
      <c r="M1" s="7" t="s">
        <v>15</v>
      </c>
    </row>
    <row r="2">
      <c r="A2" s="8">
        <f>'2.2'!A:A</f>
        <v>46213.39211</v>
      </c>
      <c r="B2" s="1" t="str">
        <f>'2.2'!B:B</f>
        <v>bnco1040@signalschool.ac.th</v>
      </c>
      <c r="C2" s="1" t="str">
        <f>'2.2'!C:C</f>
        <v>พ.ต. ไมตรี  บุญเหลื่อม</v>
      </c>
      <c r="D2" s="9">
        <v>1.0</v>
      </c>
      <c r="E2" s="10">
        <f>IFERROR(vlookup('2.2'!D:D,lookup!$A$2:$B$4,2,false),0)</f>
        <v>5</v>
      </c>
      <c r="F2" s="10">
        <f>IFERROR(vlookup('2.2'!E:E,lookup!$A$6:$B$8,2,false),0)</f>
        <v>5</v>
      </c>
      <c r="G2" s="10">
        <f>IFERROR(vlookup('2.2'!F:F,lookup!$A$10:$B$12,2,false),0)</f>
        <v>5</v>
      </c>
      <c r="H2" s="10">
        <f>IFERROR(vlookup('2.2'!G:G,lookup!$A$14:$B$16,2,false),0)</f>
        <v>5</v>
      </c>
      <c r="I2" s="10">
        <f>IFERROR(vlookup('2.2'!H:H,lookup!$A$18:$B$20,2,false),0)</f>
        <v>5</v>
      </c>
      <c r="J2" s="10">
        <f>IFERROR(vlookup('2.2'!I:I,lookup!$A$22:$B$24,2,false),0)</f>
        <v>5</v>
      </c>
      <c r="K2" s="10">
        <f>IFERROR(vlookup('2.2'!J:J,lookup!$A$26:$B$28,2,false),0)</f>
        <v>5</v>
      </c>
      <c r="L2" s="1"/>
      <c r="M2" s="10">
        <v>1.0</v>
      </c>
      <c r="N2" s="11" t="str">
        <f t="shared" ref="N2:N81" si="1">CONCAT(R2,"@signalschool.ac.th")</f>
        <v>bnco1001@signalschool.ac.th</v>
      </c>
      <c r="O2" s="12">
        <f t="shared" ref="O2:O81" si="2">IFERROR(VLOOKUP(N2,B$2:D$81,3,FALSE),0)</f>
        <v>1</v>
      </c>
      <c r="R2" s="6" t="s">
        <v>91</v>
      </c>
    </row>
    <row r="3">
      <c r="A3" s="8">
        <f>'2.2'!A:A</f>
        <v>46213.39217</v>
      </c>
      <c r="B3" s="1" t="str">
        <f>'2.2'!B:B</f>
        <v>bnco1018@signalschool.ac.th</v>
      </c>
      <c r="C3" s="1" t="str">
        <f>'2.2'!C:C</f>
        <v>พ.ต. ไมตรี  บุญเหลื่อม</v>
      </c>
      <c r="D3" s="9">
        <v>1.0</v>
      </c>
      <c r="E3" s="10">
        <f>IFERROR(vlookup('2.2'!D:D,lookup!$A$2:$B$4,2,false),0)</f>
        <v>5</v>
      </c>
      <c r="F3" s="10">
        <f>IFERROR(vlookup('2.2'!E:E,lookup!$A$6:$B$8,2,false),0)</f>
        <v>5</v>
      </c>
      <c r="G3" s="10">
        <f>IFERROR(vlookup('2.2'!F:F,lookup!$A$10:$B$12,2,false),0)</f>
        <v>5</v>
      </c>
      <c r="H3" s="10">
        <f>IFERROR(vlookup('2.2'!G:G,lookup!$A$14:$B$16,2,false),0)</f>
        <v>5</v>
      </c>
      <c r="I3" s="10">
        <f>IFERROR(vlookup('2.2'!H:H,lookup!$A$18:$B$20,2,false),0)</f>
        <v>5</v>
      </c>
      <c r="J3" s="10">
        <f>IFERROR(vlookup('2.2'!I:I,lookup!$A$22:$B$24,2,false),0)</f>
        <v>5</v>
      </c>
      <c r="K3" s="10">
        <f>IFERROR(vlookup('2.2'!J:J,lookup!$A$26:$B$28,2,false),0)</f>
        <v>5</v>
      </c>
      <c r="L3" s="1"/>
      <c r="M3" s="10">
        <v>2.0</v>
      </c>
      <c r="N3" s="11" t="str">
        <f t="shared" si="1"/>
        <v>bnco1002@signalschool.ac.th</v>
      </c>
      <c r="O3" s="12">
        <f t="shared" si="2"/>
        <v>1</v>
      </c>
      <c r="R3" s="6" t="s">
        <v>123</v>
      </c>
    </row>
    <row r="4">
      <c r="A4" s="8">
        <f>'2.2'!A:A</f>
        <v>46213.39233</v>
      </c>
      <c r="B4" s="1" t="str">
        <f>'2.2'!B:B</f>
        <v>bnco1035@signalschool.ac.th</v>
      </c>
      <c r="C4" s="1" t="str">
        <f>'2.2'!C:C</f>
        <v>พ.ต. ไมตรี  บุญเหลื่อม</v>
      </c>
      <c r="D4" s="9">
        <v>1.0</v>
      </c>
      <c r="E4" s="10">
        <f>IFERROR(vlookup('2.2'!D:D,lookup!$A$2:$B$4,2,false),0)</f>
        <v>5</v>
      </c>
      <c r="F4" s="10">
        <f>IFERROR(vlookup('2.2'!E:E,lookup!$A$6:$B$8,2,false),0)</f>
        <v>5</v>
      </c>
      <c r="G4" s="10">
        <f>IFERROR(vlookup('2.2'!F:F,lookup!$A$10:$B$12,2,false),0)</f>
        <v>5</v>
      </c>
      <c r="H4" s="10">
        <f>IFERROR(vlookup('2.2'!G:G,lookup!$A$14:$B$16,2,false),0)</f>
        <v>5</v>
      </c>
      <c r="I4" s="10">
        <f>IFERROR(vlookup('2.2'!H:H,lookup!$A$18:$B$20,2,false),0)</f>
        <v>5</v>
      </c>
      <c r="J4" s="10">
        <f>IFERROR(vlookup('2.2'!I:I,lookup!$A$22:$B$24,2,false),0)</f>
        <v>5</v>
      </c>
      <c r="K4" s="10">
        <f>IFERROR(vlookup('2.2'!J:J,lookup!$A$26:$B$28,2,false),0)</f>
        <v>5</v>
      </c>
      <c r="L4" s="1"/>
      <c r="M4" s="10">
        <v>3.0</v>
      </c>
      <c r="N4" s="11" t="str">
        <f t="shared" si="1"/>
        <v>bnco1003@signalschool.ac.th</v>
      </c>
      <c r="O4" s="12">
        <f t="shared" si="2"/>
        <v>1</v>
      </c>
      <c r="R4" s="6" t="s">
        <v>141</v>
      </c>
    </row>
    <row r="5">
      <c r="A5" s="8">
        <f>'2.2'!A:A</f>
        <v>46213.39236</v>
      </c>
      <c r="B5" s="1" t="str">
        <f>'2.2'!B:B</f>
        <v>bnco1001@signalschool.ac.th</v>
      </c>
      <c r="C5" s="1" t="str">
        <f>'2.2'!C:C</f>
        <v>พ.ต. ไมตรี  บุญเหลื่อม</v>
      </c>
      <c r="D5" s="9">
        <v>1.0</v>
      </c>
      <c r="E5" s="10">
        <f>IFERROR(vlookup('2.2'!D:D,lookup!$A$2:$B$4,2,false),0)</f>
        <v>5</v>
      </c>
      <c r="F5" s="10">
        <f>IFERROR(vlookup('2.2'!E:E,lookup!$A$6:$B$8,2,false),0)</f>
        <v>5</v>
      </c>
      <c r="G5" s="10">
        <f>IFERROR(vlookup('2.2'!F:F,lookup!$A$10:$B$12,2,false),0)</f>
        <v>5</v>
      </c>
      <c r="H5" s="10">
        <f>IFERROR(vlookup('2.2'!G:G,lookup!$A$14:$B$16,2,false),0)</f>
        <v>5</v>
      </c>
      <c r="I5" s="10">
        <f>IFERROR(vlookup('2.2'!H:H,lookup!$A$18:$B$20,2,false),0)</f>
        <v>5</v>
      </c>
      <c r="J5" s="10">
        <f>IFERROR(vlookup('2.2'!I:I,lookup!$A$22:$B$24,2,false),0)</f>
        <v>5</v>
      </c>
      <c r="K5" s="10">
        <f>IFERROR(vlookup('2.2'!J:J,lookup!$A$26:$B$28,2,false),0)</f>
        <v>5</v>
      </c>
      <c r="L5" s="1"/>
      <c r="M5" s="10">
        <v>4.0</v>
      </c>
      <c r="N5" s="11" t="str">
        <f t="shared" si="1"/>
        <v>bnco1004@signalschool.ac.th</v>
      </c>
      <c r="O5" s="12">
        <f t="shared" si="2"/>
        <v>1</v>
      </c>
      <c r="R5" s="6" t="s">
        <v>143</v>
      </c>
    </row>
    <row r="6">
      <c r="A6" s="8">
        <f>'2.2'!A:A</f>
        <v>46213.39248</v>
      </c>
      <c r="B6" s="1" t="str">
        <f>'2.2'!B:B</f>
        <v>bnco1013@signalschool.ac.th</v>
      </c>
      <c r="C6" s="1" t="str">
        <f>'2.2'!C:C</f>
        <v>พ.ต.ไมตรี บุญเหลื่อม</v>
      </c>
      <c r="D6" s="9">
        <v>1.0</v>
      </c>
      <c r="E6" s="10">
        <f>IFERROR(vlookup('2.2'!D:D,lookup!$A$2:$B$4,2,false),0)</f>
        <v>5</v>
      </c>
      <c r="F6" s="10">
        <f>IFERROR(vlookup('2.2'!E:E,lookup!$A$6:$B$8,2,false),0)</f>
        <v>5</v>
      </c>
      <c r="G6" s="10">
        <f>IFERROR(vlookup('2.2'!F:F,lookup!$A$10:$B$12,2,false),0)</f>
        <v>5</v>
      </c>
      <c r="H6" s="10">
        <f>IFERROR(vlookup('2.2'!G:G,lookup!$A$14:$B$16,2,false),0)</f>
        <v>5</v>
      </c>
      <c r="I6" s="10">
        <f>IFERROR(vlookup('2.2'!H:H,lookup!$A$18:$B$20,2,false),0)</f>
        <v>5</v>
      </c>
      <c r="J6" s="10">
        <f>IFERROR(vlookup('2.2'!I:I,lookup!$A$22:$B$24,2,false),0)</f>
        <v>5</v>
      </c>
      <c r="K6" s="10">
        <f>IFERROR(vlookup('2.2'!J:J,lookup!$A$26:$B$28,2,false),0)</f>
        <v>5</v>
      </c>
      <c r="L6" s="1"/>
      <c r="M6" s="10">
        <v>5.0</v>
      </c>
      <c r="N6" s="11" t="str">
        <f t="shared" si="1"/>
        <v>bnco1005@signalschool.ac.th</v>
      </c>
      <c r="O6" s="12">
        <f t="shared" si="2"/>
        <v>0</v>
      </c>
      <c r="R6" s="6" t="s">
        <v>144</v>
      </c>
    </row>
    <row r="7">
      <c r="A7" s="8">
        <f>'2.2'!A:A</f>
        <v>46213.39287</v>
      </c>
      <c r="B7" s="1" t="str">
        <f>'2.2'!B:B</f>
        <v>bnco1014@signalschool.ac.th</v>
      </c>
      <c r="C7" s="1" t="str">
        <f>'2.2'!C:C</f>
        <v>ส.อ.พงษ์พิสิทธิ์ สุธาทัศน์</v>
      </c>
      <c r="D7" s="9">
        <v>1.0</v>
      </c>
      <c r="E7" s="10">
        <f>IFERROR(vlookup('2.2'!D:D,lookup!$A$2:$B$4,2,false),0)</f>
        <v>5</v>
      </c>
      <c r="F7" s="10">
        <f>IFERROR(vlookup('2.2'!E:E,lookup!$A$6:$B$8,2,false),0)</f>
        <v>5</v>
      </c>
      <c r="G7" s="10">
        <f>IFERROR(vlookup('2.2'!F:F,lookup!$A$10:$B$12,2,false),0)</f>
        <v>5</v>
      </c>
      <c r="H7" s="10">
        <f>IFERROR(vlookup('2.2'!G:G,lookup!$A$14:$B$16,2,false),0)</f>
        <v>5</v>
      </c>
      <c r="I7" s="10">
        <f>IFERROR(vlookup('2.2'!H:H,lookup!$A$18:$B$20,2,false),0)</f>
        <v>5</v>
      </c>
      <c r="J7" s="10">
        <f>IFERROR(vlookup('2.2'!I:I,lookup!$A$22:$B$24,2,false),0)</f>
        <v>5</v>
      </c>
      <c r="K7" s="10">
        <f>IFERROR(vlookup('2.2'!J:J,lookup!$A$26:$B$28,2,false),0)</f>
        <v>5</v>
      </c>
      <c r="L7" s="1"/>
      <c r="M7" s="10">
        <v>6.0</v>
      </c>
      <c r="N7" s="11" t="str">
        <f t="shared" si="1"/>
        <v>bnco1006@signalschool.ac.th</v>
      </c>
      <c r="O7" s="12">
        <f t="shared" si="2"/>
        <v>1</v>
      </c>
      <c r="R7" s="6" t="s">
        <v>145</v>
      </c>
    </row>
    <row r="8">
      <c r="A8" s="8">
        <f>'2.2'!A:A</f>
        <v>46213.39289</v>
      </c>
      <c r="B8" s="1" t="str">
        <f>'2.2'!B:B</f>
        <v>bnco1059@signalschool.ac.th</v>
      </c>
      <c r="C8" s="1" t="str">
        <f>'2.2'!C:C</f>
        <v>ส.อ.ภากร  จรรยาประเสริฐ</v>
      </c>
      <c r="D8" s="9">
        <v>1.0</v>
      </c>
      <c r="E8" s="10">
        <f>IFERROR(vlookup('2.2'!D:D,lookup!$A$2:$B$4,2,false),0)</f>
        <v>5</v>
      </c>
      <c r="F8" s="10">
        <f>IFERROR(vlookup('2.2'!E:E,lookup!$A$6:$B$8,2,false),0)</f>
        <v>5</v>
      </c>
      <c r="G8" s="10">
        <f>IFERROR(vlookup('2.2'!F:F,lookup!$A$10:$B$12,2,false),0)</f>
        <v>5</v>
      </c>
      <c r="H8" s="10">
        <f>IFERROR(vlookup('2.2'!G:G,lookup!$A$14:$B$16,2,false),0)</f>
        <v>5</v>
      </c>
      <c r="I8" s="10">
        <f>IFERROR(vlookup('2.2'!H:H,lookup!$A$18:$B$20,2,false),0)</f>
        <v>5</v>
      </c>
      <c r="J8" s="10">
        <f>IFERROR(vlookup('2.2'!I:I,lookup!$A$22:$B$24,2,false),0)</f>
        <v>5</v>
      </c>
      <c r="K8" s="10">
        <f>IFERROR(vlookup('2.2'!J:J,lookup!$A$26:$B$28,2,false),0)</f>
        <v>5</v>
      </c>
      <c r="L8" s="1"/>
      <c r="M8" s="10">
        <v>7.0</v>
      </c>
      <c r="N8" s="11" t="str">
        <f t="shared" si="1"/>
        <v>bnco1007@signalschool.ac.th</v>
      </c>
      <c r="O8" s="12">
        <f t="shared" si="2"/>
        <v>0</v>
      </c>
      <c r="R8" s="6" t="s">
        <v>155</v>
      </c>
    </row>
    <row r="9">
      <c r="A9" s="8">
        <f>'2.2'!A:A</f>
        <v>46213.39292</v>
      </c>
      <c r="B9" s="1" t="str">
        <f>'2.2'!B:B</f>
        <v>anusonroddara861@gmail.com</v>
      </c>
      <c r="C9" s="1" t="str">
        <f>'2.2'!C:C</f>
        <v>พ.ต.ไมตรี บุญเหลื่อม</v>
      </c>
      <c r="D9" s="9">
        <v>1.0</v>
      </c>
      <c r="E9" s="10">
        <f>IFERROR(vlookup('2.2'!D:D,lookup!$A$2:$B$4,2,false),0)</f>
        <v>5</v>
      </c>
      <c r="F9" s="10">
        <f>IFERROR(vlookup('2.2'!E:E,lookup!$A$6:$B$8,2,false),0)</f>
        <v>5</v>
      </c>
      <c r="G9" s="10">
        <f>IFERROR(vlookup('2.2'!F:F,lookup!$A$10:$B$12,2,false),0)</f>
        <v>5</v>
      </c>
      <c r="H9" s="10">
        <f>IFERROR(vlookup('2.2'!G:G,lookup!$A$14:$B$16,2,false),0)</f>
        <v>5</v>
      </c>
      <c r="I9" s="10">
        <f>IFERROR(vlookup('2.2'!H:H,lookup!$A$18:$B$20,2,false),0)</f>
        <v>5</v>
      </c>
      <c r="J9" s="10">
        <f>IFERROR(vlookup('2.2'!I:I,lookup!$A$22:$B$24,2,false),0)</f>
        <v>3</v>
      </c>
      <c r="K9" s="10">
        <f>IFERROR(vlookup('2.2'!J:J,lookup!$A$26:$B$28,2,false),0)</f>
        <v>3</v>
      </c>
      <c r="L9" s="1"/>
      <c r="M9" s="10">
        <v>8.0</v>
      </c>
      <c r="N9" s="11" t="str">
        <f t="shared" si="1"/>
        <v>bnco1008@signalschool.ac.th</v>
      </c>
      <c r="O9" s="12">
        <f t="shared" si="2"/>
        <v>1</v>
      </c>
      <c r="R9" s="6" t="s">
        <v>166</v>
      </c>
    </row>
    <row r="10">
      <c r="A10" s="8">
        <f>'2.2'!A:A</f>
        <v>46213.39323</v>
      </c>
      <c r="B10" s="1" t="str">
        <f>'2.2'!B:B</f>
        <v>bnco1049@signalschool.ac.th</v>
      </c>
      <c r="C10" s="1" t="str">
        <f>'2.2'!C:C</f>
        <v>พ.ต. ไมตรี  บุญเหลื่อม</v>
      </c>
      <c r="D10" s="9">
        <v>1.0</v>
      </c>
      <c r="E10" s="10">
        <f>IFERROR(vlookup('2.2'!D:D,lookup!$A$2:$B$4,2,false),0)</f>
        <v>5</v>
      </c>
      <c r="F10" s="10">
        <f>IFERROR(vlookup('2.2'!E:E,lookup!$A$6:$B$8,2,false),0)</f>
        <v>5</v>
      </c>
      <c r="G10" s="10">
        <f>IFERROR(vlookup('2.2'!F:F,lookup!$A$10:$B$12,2,false),0)</f>
        <v>5</v>
      </c>
      <c r="H10" s="10">
        <f>IFERROR(vlookup('2.2'!G:G,lookup!$A$14:$B$16,2,false),0)</f>
        <v>5</v>
      </c>
      <c r="I10" s="10">
        <f>IFERROR(vlookup('2.2'!H:H,lookup!$A$18:$B$20,2,false),0)</f>
        <v>5</v>
      </c>
      <c r="J10" s="10">
        <f>IFERROR(vlookup('2.2'!I:I,lookup!$A$22:$B$24,2,false),0)</f>
        <v>5</v>
      </c>
      <c r="K10" s="10">
        <f>IFERROR(vlookup('2.2'!J:J,lookup!$A$26:$B$28,2,false),0)</f>
        <v>5</v>
      </c>
      <c r="L10" s="1"/>
      <c r="M10" s="10">
        <v>9.0</v>
      </c>
      <c r="N10" s="11" t="str">
        <f t="shared" si="1"/>
        <v>bnco1009@signalschool.ac.th</v>
      </c>
      <c r="O10" s="12">
        <f t="shared" si="2"/>
        <v>1</v>
      </c>
      <c r="R10" s="6" t="s">
        <v>175</v>
      </c>
    </row>
    <row r="11">
      <c r="A11" s="8">
        <f>'2.2'!A:A</f>
        <v>46213.3935</v>
      </c>
      <c r="B11" s="1" t="str">
        <f>'2.2'!B:B</f>
        <v>bnco1058@signalschool.ac.th</v>
      </c>
      <c r="C11" s="1" t="str">
        <f>'2.2'!C:C</f>
        <v>พ.ต. ไมตรี  บุญเหลื่อม</v>
      </c>
      <c r="D11" s="9">
        <v>1.0</v>
      </c>
      <c r="E11" s="10">
        <f>IFERROR(vlookup('2.2'!D:D,lookup!$A$2:$B$4,2,false),0)</f>
        <v>5</v>
      </c>
      <c r="F11" s="10">
        <f>IFERROR(vlookup('2.2'!E:E,lookup!$A$6:$B$8,2,false),0)</f>
        <v>5</v>
      </c>
      <c r="G11" s="10">
        <f>IFERROR(vlookup('2.2'!F:F,lookup!$A$10:$B$12,2,false),0)</f>
        <v>5</v>
      </c>
      <c r="H11" s="10">
        <f>IFERROR(vlookup('2.2'!G:G,lookup!$A$14:$B$16,2,false),0)</f>
        <v>5</v>
      </c>
      <c r="I11" s="10">
        <f>IFERROR(vlookup('2.2'!H:H,lookup!$A$18:$B$20,2,false),0)</f>
        <v>5</v>
      </c>
      <c r="J11" s="10">
        <f>IFERROR(vlookup('2.2'!I:I,lookup!$A$22:$B$24,2,false),0)</f>
        <v>5</v>
      </c>
      <c r="K11" s="10">
        <f>IFERROR(vlookup('2.2'!J:J,lookup!$A$26:$B$28,2,false),0)</f>
        <v>5</v>
      </c>
      <c r="L11" s="1"/>
      <c r="M11" s="10">
        <v>10.0</v>
      </c>
      <c r="N11" s="11" t="str">
        <f t="shared" si="1"/>
        <v>bnco1010@signalschool.ac.th</v>
      </c>
      <c r="O11" s="12">
        <f t="shared" si="2"/>
        <v>1</v>
      </c>
      <c r="R11" s="6" t="s">
        <v>192</v>
      </c>
    </row>
    <row r="12">
      <c r="A12" s="8">
        <f>'2.2'!A:A</f>
        <v>46213.39353</v>
      </c>
      <c r="B12" s="1" t="str">
        <f>'2.2'!B:B</f>
        <v>bnco1038@signalschool.ac.th</v>
      </c>
      <c r="C12" s="1" t="str">
        <f>'2.2'!C:C</f>
        <v>พ.ต.ไมตรี บุญเหลื่อม</v>
      </c>
      <c r="D12" s="9">
        <v>1.0</v>
      </c>
      <c r="E12" s="10">
        <f>IFERROR(vlookup('2.2'!D:D,lookup!$A$2:$B$4,2,false),0)</f>
        <v>5</v>
      </c>
      <c r="F12" s="10">
        <f>IFERROR(vlookup('2.2'!E:E,lookup!$A$6:$B$8,2,false),0)</f>
        <v>5</v>
      </c>
      <c r="G12" s="10">
        <f>IFERROR(vlookup('2.2'!F:F,lookup!$A$10:$B$12,2,false),0)</f>
        <v>5</v>
      </c>
      <c r="H12" s="10">
        <f>IFERROR(vlookup('2.2'!G:G,lookup!$A$14:$B$16,2,false),0)</f>
        <v>5</v>
      </c>
      <c r="I12" s="10">
        <f>IFERROR(vlookup('2.2'!H:H,lookup!$A$18:$B$20,2,false),0)</f>
        <v>5</v>
      </c>
      <c r="J12" s="10">
        <f>IFERROR(vlookup('2.2'!I:I,lookup!$A$22:$B$24,2,false),0)</f>
        <v>5</v>
      </c>
      <c r="K12" s="10">
        <f>IFERROR(vlookup('2.2'!J:J,lookup!$A$26:$B$28,2,false),0)</f>
        <v>5</v>
      </c>
      <c r="L12" s="1"/>
      <c r="M12" s="10">
        <v>11.0</v>
      </c>
      <c r="N12" s="11" t="str">
        <f t="shared" si="1"/>
        <v>bnco1011@signalschool.ac.th</v>
      </c>
      <c r="O12" s="12">
        <f t="shared" si="2"/>
        <v>1</v>
      </c>
      <c r="R12" s="6" t="s">
        <v>209</v>
      </c>
    </row>
    <row r="13">
      <c r="A13" s="8">
        <f>'2.2'!A:A</f>
        <v>46213.39357</v>
      </c>
      <c r="B13" s="1" t="str">
        <f>'2.2'!B:B</f>
        <v>bnco1056@signalschool.ac.th</v>
      </c>
      <c r="C13" s="1" t="str">
        <f>'2.2'!C:C</f>
        <v>พ.ต. ไมตรี บุญเหลื่อม</v>
      </c>
      <c r="D13" s="9">
        <v>1.0</v>
      </c>
      <c r="E13" s="10">
        <f>IFERROR(vlookup('2.2'!D:D,lookup!$A$2:$B$4,2,false),0)</f>
        <v>5</v>
      </c>
      <c r="F13" s="10">
        <f>IFERROR(vlookup('2.2'!E:E,lookup!$A$6:$B$8,2,false),0)</f>
        <v>5</v>
      </c>
      <c r="G13" s="10">
        <f>IFERROR(vlookup('2.2'!F:F,lookup!$A$10:$B$12,2,false),0)</f>
        <v>5</v>
      </c>
      <c r="H13" s="10">
        <f>IFERROR(vlookup('2.2'!G:G,lookup!$A$14:$B$16,2,false),0)</f>
        <v>5</v>
      </c>
      <c r="I13" s="10">
        <f>IFERROR(vlookup('2.2'!H:H,lookup!$A$18:$B$20,2,false),0)</f>
        <v>5</v>
      </c>
      <c r="J13" s="10">
        <f>IFERROR(vlookup('2.2'!I:I,lookup!$A$22:$B$24,2,false),0)</f>
        <v>5</v>
      </c>
      <c r="K13" s="10">
        <f>IFERROR(vlookup('2.2'!J:J,lookup!$A$26:$B$28,2,false),0)</f>
        <v>5</v>
      </c>
      <c r="L13" s="1"/>
      <c r="M13" s="10">
        <v>12.0</v>
      </c>
      <c r="N13" s="11" t="str">
        <f t="shared" si="1"/>
        <v>bnco1012@signalschool.ac.th</v>
      </c>
      <c r="O13" s="12">
        <f t="shared" si="2"/>
        <v>1</v>
      </c>
      <c r="R13" s="6" t="s">
        <v>213</v>
      </c>
    </row>
    <row r="14">
      <c r="A14" s="8">
        <f>'2.2'!A:A</f>
        <v>46213.39359</v>
      </c>
      <c r="B14" s="1" t="str">
        <f>'2.2'!B:B</f>
        <v>bnco1026@signalschool.ac.th</v>
      </c>
      <c r="C14" s="1" t="str">
        <f>'2.2'!C:C</f>
        <v>พ.ต. ไมตรี  บุญเหลื่อม</v>
      </c>
      <c r="D14" s="9">
        <v>1.0</v>
      </c>
      <c r="E14" s="10">
        <f>IFERROR(vlookup('2.2'!D:D,lookup!$A$2:$B$4,2,false),0)</f>
        <v>5</v>
      </c>
      <c r="F14" s="10">
        <f>IFERROR(vlookup('2.2'!E:E,lookup!$A$6:$B$8,2,false),0)</f>
        <v>5</v>
      </c>
      <c r="G14" s="10">
        <f>IFERROR(vlookup('2.2'!F:F,lookup!$A$10:$B$12,2,false),0)</f>
        <v>5</v>
      </c>
      <c r="H14" s="10">
        <f>IFERROR(vlookup('2.2'!G:G,lookup!$A$14:$B$16,2,false),0)</f>
        <v>5</v>
      </c>
      <c r="I14" s="10">
        <f>IFERROR(vlookup('2.2'!H:H,lookup!$A$18:$B$20,2,false),0)</f>
        <v>5</v>
      </c>
      <c r="J14" s="10">
        <f>IFERROR(vlookup('2.2'!I:I,lookup!$A$22:$B$24,2,false),0)</f>
        <v>3</v>
      </c>
      <c r="K14" s="10">
        <f>IFERROR(vlookup('2.2'!J:J,lookup!$A$26:$B$28,2,false),0)</f>
        <v>3</v>
      </c>
      <c r="L14" s="1"/>
      <c r="M14" s="10">
        <v>13.0</v>
      </c>
      <c r="N14" s="11" t="str">
        <f t="shared" si="1"/>
        <v>bnco1013@signalschool.ac.th</v>
      </c>
      <c r="O14" s="12">
        <f t="shared" si="2"/>
        <v>1</v>
      </c>
      <c r="R14" s="6" t="s">
        <v>214</v>
      </c>
    </row>
    <row r="15">
      <c r="A15" s="8">
        <f>'2.2'!A:A</f>
        <v>46213.39391</v>
      </c>
      <c r="B15" s="1" t="str">
        <f>'2.2'!B:B</f>
        <v>bnco1003@signalschool.ac.th</v>
      </c>
      <c r="C15" s="1" t="str">
        <f>'2.2'!C:C</f>
        <v>พ.ต. ไมตรี  บุญเหลื่อม</v>
      </c>
      <c r="D15" s="9">
        <v>1.0</v>
      </c>
      <c r="E15" s="10">
        <f>IFERROR(vlookup('2.2'!D:D,lookup!$A$2:$B$4,2,false),0)</f>
        <v>5</v>
      </c>
      <c r="F15" s="10">
        <f>IFERROR(vlookup('2.2'!E:E,lookup!$A$6:$B$8,2,false),0)</f>
        <v>5</v>
      </c>
      <c r="G15" s="10">
        <f>IFERROR(vlookup('2.2'!F:F,lookup!$A$10:$B$12,2,false),0)</f>
        <v>5</v>
      </c>
      <c r="H15" s="10">
        <f>IFERROR(vlookup('2.2'!G:G,lookup!$A$14:$B$16,2,false),0)</f>
        <v>5</v>
      </c>
      <c r="I15" s="10">
        <f>IFERROR(vlookup('2.2'!H:H,lookup!$A$18:$B$20,2,false),0)</f>
        <v>5</v>
      </c>
      <c r="J15" s="10">
        <f>IFERROR(vlookup('2.2'!I:I,lookup!$A$22:$B$24,2,false),0)</f>
        <v>5</v>
      </c>
      <c r="K15" s="10">
        <f>IFERROR(vlookup('2.2'!J:J,lookup!$A$26:$B$28,2,false),0)</f>
        <v>5</v>
      </c>
      <c r="L15" s="1"/>
      <c r="M15" s="10">
        <v>14.0</v>
      </c>
      <c r="N15" s="11" t="str">
        <f t="shared" si="1"/>
        <v>bnco1014@signalschool.ac.th</v>
      </c>
      <c r="O15" s="12">
        <f t="shared" si="2"/>
        <v>1</v>
      </c>
      <c r="R15" s="6" t="s">
        <v>215</v>
      </c>
    </row>
    <row r="16">
      <c r="A16" s="8">
        <f>'2.2'!A:A</f>
        <v>46213.39397</v>
      </c>
      <c r="B16" s="1" t="str">
        <f>'2.2'!B:B</f>
        <v>bnco1024@signalschool.ac.th</v>
      </c>
      <c r="C16" s="1" t="str">
        <f>'2.2'!C:C</f>
        <v>พ.ต.ไมตรี  บุญเหลื่อม</v>
      </c>
      <c r="D16" s="9">
        <v>1.0</v>
      </c>
      <c r="E16" s="10">
        <f>IFERROR(vlookup('2.2'!D:D,lookup!$A$2:$B$4,2,false),0)</f>
        <v>5</v>
      </c>
      <c r="F16" s="10">
        <f>IFERROR(vlookup('2.2'!E:E,lookup!$A$6:$B$8,2,false),0)</f>
        <v>5</v>
      </c>
      <c r="G16" s="10">
        <f>IFERROR(vlookup('2.2'!F:F,lookup!$A$10:$B$12,2,false),0)</f>
        <v>5</v>
      </c>
      <c r="H16" s="10">
        <f>IFERROR(vlookup('2.2'!G:G,lookup!$A$14:$B$16,2,false),0)</f>
        <v>5</v>
      </c>
      <c r="I16" s="10">
        <f>IFERROR(vlookup('2.2'!H:H,lookup!$A$18:$B$20,2,false),0)</f>
        <v>5</v>
      </c>
      <c r="J16" s="10">
        <f>IFERROR(vlookup('2.2'!I:I,lookup!$A$22:$B$24,2,false),0)</f>
        <v>5</v>
      </c>
      <c r="K16" s="10">
        <f>IFERROR(vlookup('2.2'!J:J,lookup!$A$26:$B$28,2,false),0)</f>
        <v>5</v>
      </c>
      <c r="L16" s="1"/>
      <c r="M16" s="10">
        <v>15.0</v>
      </c>
      <c r="N16" s="11" t="str">
        <f t="shared" si="1"/>
        <v>bnco1015@signalschool.ac.th</v>
      </c>
      <c r="O16" s="12">
        <f t="shared" si="2"/>
        <v>1</v>
      </c>
      <c r="R16" s="6" t="s">
        <v>221</v>
      </c>
    </row>
    <row r="17">
      <c r="A17" s="8">
        <f>'2.2'!A:A</f>
        <v>46213.3941</v>
      </c>
      <c r="B17" s="1" t="str">
        <f>'2.2'!B:B</f>
        <v>bnco1043@signalschool.ac.th</v>
      </c>
      <c r="C17" s="1" t="str">
        <f>'2.2'!C:C</f>
        <v>พ.ต. ไมตรี  บุญเหลื่อม</v>
      </c>
      <c r="D17" s="9">
        <v>1.0</v>
      </c>
      <c r="E17" s="10">
        <f>IFERROR(vlookup('2.2'!D:D,lookup!$A$2:$B$4,2,false),0)</f>
        <v>5</v>
      </c>
      <c r="F17" s="10">
        <f>IFERROR(vlookup('2.2'!E:E,lookup!$A$6:$B$8,2,false),0)</f>
        <v>5</v>
      </c>
      <c r="G17" s="10">
        <f>IFERROR(vlookup('2.2'!F:F,lookup!$A$10:$B$12,2,false),0)</f>
        <v>5</v>
      </c>
      <c r="H17" s="10">
        <f>IFERROR(vlookup('2.2'!G:G,lookup!$A$14:$B$16,2,false),0)</f>
        <v>5</v>
      </c>
      <c r="I17" s="10">
        <f>IFERROR(vlookup('2.2'!H:H,lookup!$A$18:$B$20,2,false),0)</f>
        <v>5</v>
      </c>
      <c r="J17" s="10">
        <f>IFERROR(vlookup('2.2'!I:I,lookup!$A$22:$B$24,2,false),0)</f>
        <v>5</v>
      </c>
      <c r="K17" s="10">
        <f>IFERROR(vlookup('2.2'!J:J,lookup!$A$26:$B$28,2,false),0)</f>
        <v>5</v>
      </c>
      <c r="L17" s="1"/>
      <c r="M17" s="10">
        <v>16.0</v>
      </c>
      <c r="N17" s="11" t="str">
        <f t="shared" si="1"/>
        <v>bnco1016@signalschool.ac.th</v>
      </c>
      <c r="O17" s="12">
        <f t="shared" si="2"/>
        <v>1</v>
      </c>
      <c r="R17" s="6" t="s">
        <v>223</v>
      </c>
    </row>
    <row r="18">
      <c r="A18" s="8">
        <f>'2.2'!A:A</f>
        <v>46213.39428</v>
      </c>
      <c r="B18" s="1" t="str">
        <f>'2.2'!B:B</f>
        <v>earthtynattapon@gmail.com</v>
      </c>
      <c r="C18" s="1" t="str">
        <f>'2.2'!C:C</f>
        <v>พ.ต. ไมตรี  บุญเหลื่อม</v>
      </c>
      <c r="D18" s="9">
        <v>1.0</v>
      </c>
      <c r="E18" s="10">
        <f>IFERROR(vlookup('2.2'!D:D,lookup!$A$2:$B$4,2,false),0)</f>
        <v>5</v>
      </c>
      <c r="F18" s="10">
        <f>IFERROR(vlookup('2.2'!E:E,lookup!$A$6:$B$8,2,false),0)</f>
        <v>5</v>
      </c>
      <c r="G18" s="10">
        <f>IFERROR(vlookup('2.2'!F:F,lookup!$A$10:$B$12,2,false),0)</f>
        <v>5</v>
      </c>
      <c r="H18" s="10">
        <f>IFERROR(vlookup('2.2'!G:G,lookup!$A$14:$B$16,2,false),0)</f>
        <v>5</v>
      </c>
      <c r="I18" s="10">
        <f>IFERROR(vlookup('2.2'!H:H,lookup!$A$18:$B$20,2,false),0)</f>
        <v>5</v>
      </c>
      <c r="J18" s="10">
        <f>IFERROR(vlookup('2.2'!I:I,lookup!$A$22:$B$24,2,false),0)</f>
        <v>5</v>
      </c>
      <c r="K18" s="10">
        <f>IFERROR(vlookup('2.2'!J:J,lookup!$A$26:$B$28,2,false),0)</f>
        <v>5</v>
      </c>
      <c r="L18" s="1"/>
      <c r="M18" s="10">
        <v>17.0</v>
      </c>
      <c r="N18" s="11" t="str">
        <f t="shared" si="1"/>
        <v>bnco1017@signalschool.ac.th</v>
      </c>
      <c r="O18" s="12">
        <f t="shared" si="2"/>
        <v>1</v>
      </c>
      <c r="R18" s="6" t="s">
        <v>229</v>
      </c>
    </row>
    <row r="19">
      <c r="A19" s="8">
        <f>'2.2'!A:A</f>
        <v>46213.39442</v>
      </c>
      <c r="B19" s="1" t="str">
        <f>'2.2'!B:B</f>
        <v>bnco1069@signalschool.ac.th</v>
      </c>
      <c r="C19" s="1" t="str">
        <f>'2.2'!C:C</f>
        <v>ส.อ.วรเดช  จิตตารมย์</v>
      </c>
      <c r="D19" s="9">
        <v>1.0</v>
      </c>
      <c r="E19" s="10">
        <f>IFERROR(vlookup('2.2'!D:D,lookup!$A$2:$B$4,2,false),0)</f>
        <v>5</v>
      </c>
      <c r="F19" s="10">
        <f>IFERROR(vlookup('2.2'!E:E,lookup!$A$6:$B$8,2,false),0)</f>
        <v>5</v>
      </c>
      <c r="G19" s="10">
        <f>IFERROR(vlookup('2.2'!F:F,lookup!$A$10:$B$12,2,false),0)</f>
        <v>5</v>
      </c>
      <c r="H19" s="10">
        <f>IFERROR(vlookup('2.2'!G:G,lookup!$A$14:$B$16,2,false),0)</f>
        <v>5</v>
      </c>
      <c r="I19" s="10">
        <f>IFERROR(vlookup('2.2'!H:H,lookup!$A$18:$B$20,2,false),0)</f>
        <v>5</v>
      </c>
      <c r="J19" s="10">
        <f>IFERROR(vlookup('2.2'!I:I,lookup!$A$22:$B$24,2,false),0)</f>
        <v>5</v>
      </c>
      <c r="K19" s="10">
        <f>IFERROR(vlookup('2.2'!J:J,lookup!$A$26:$B$28,2,false),0)</f>
        <v>5</v>
      </c>
      <c r="L19" s="1"/>
      <c r="M19" s="10">
        <v>18.0</v>
      </c>
      <c r="N19" s="11" t="str">
        <f t="shared" si="1"/>
        <v>bnco1018@signalschool.ac.th</v>
      </c>
      <c r="O19" s="12">
        <f t="shared" si="2"/>
        <v>1</v>
      </c>
      <c r="R19" s="6" t="s">
        <v>232</v>
      </c>
    </row>
    <row r="20">
      <c r="A20" s="8">
        <f>'2.2'!A:A</f>
        <v>46213.39467</v>
      </c>
      <c r="B20" s="1" t="str">
        <f>'2.2'!B:B</f>
        <v>bnco1004@signalschool.ac.th</v>
      </c>
      <c r="C20" s="1" t="str">
        <f>'2.2'!C:C</f>
        <v>พ ต ไมตรี บุญเหลื่อม</v>
      </c>
      <c r="D20" s="9">
        <v>1.0</v>
      </c>
      <c r="E20" s="10">
        <f>IFERROR(vlookup('2.2'!D:D,lookup!$A$2:$B$4,2,false),0)</f>
        <v>5</v>
      </c>
      <c r="F20" s="10">
        <f>IFERROR(vlookup('2.2'!E:E,lookup!$A$6:$B$8,2,false),0)</f>
        <v>5</v>
      </c>
      <c r="G20" s="10">
        <f>IFERROR(vlookup('2.2'!F:F,lookup!$A$10:$B$12,2,false),0)</f>
        <v>5</v>
      </c>
      <c r="H20" s="10">
        <f>IFERROR(vlookup('2.2'!G:G,lookup!$A$14:$B$16,2,false),0)</f>
        <v>5</v>
      </c>
      <c r="I20" s="10">
        <f>IFERROR(vlookup('2.2'!H:H,lookup!$A$18:$B$20,2,false),0)</f>
        <v>5</v>
      </c>
      <c r="J20" s="10">
        <f>IFERROR(vlookup('2.2'!I:I,lookup!$A$22:$B$24,2,false),0)</f>
        <v>5</v>
      </c>
      <c r="K20" s="10">
        <f>IFERROR(vlookup('2.2'!J:J,lookup!$A$26:$B$28,2,false),0)</f>
        <v>5</v>
      </c>
      <c r="L20" s="1"/>
      <c r="M20" s="10">
        <v>19.0</v>
      </c>
      <c r="N20" s="11" t="str">
        <f t="shared" si="1"/>
        <v>bnco1019@signalschool.ac.th</v>
      </c>
      <c r="O20" s="12">
        <f t="shared" si="2"/>
        <v>1</v>
      </c>
      <c r="R20" s="6" t="s">
        <v>233</v>
      </c>
    </row>
    <row r="21">
      <c r="A21" s="8">
        <f>'2.2'!A:A</f>
        <v>46213.39478</v>
      </c>
      <c r="B21" s="1" t="str">
        <f>'2.2'!B:B</f>
        <v>bnco1036@signalschool.ac.th</v>
      </c>
      <c r="C21" s="1" t="str">
        <f>'2.2'!C:C</f>
        <v>พ.ต. ไมตรี  บุญเหลื่อม</v>
      </c>
      <c r="D21" s="9">
        <v>1.0</v>
      </c>
      <c r="E21" s="10">
        <f>IFERROR(vlookup('2.2'!D:D,lookup!$A$2:$B$4,2,false),0)</f>
        <v>5</v>
      </c>
      <c r="F21" s="10">
        <f>IFERROR(vlookup('2.2'!E:E,lookup!$A$6:$B$8,2,false),0)</f>
        <v>5</v>
      </c>
      <c r="G21" s="10">
        <f>IFERROR(vlookup('2.2'!F:F,lookup!$A$10:$B$12,2,false),0)</f>
        <v>5</v>
      </c>
      <c r="H21" s="10">
        <f>IFERROR(vlookup('2.2'!G:G,lookup!$A$14:$B$16,2,false),0)</f>
        <v>5</v>
      </c>
      <c r="I21" s="10">
        <f>IFERROR(vlookup('2.2'!H:H,lookup!$A$18:$B$20,2,false),0)</f>
        <v>5</v>
      </c>
      <c r="J21" s="10">
        <f>IFERROR(vlookup('2.2'!I:I,lookup!$A$22:$B$24,2,false),0)</f>
        <v>5</v>
      </c>
      <c r="K21" s="10">
        <f>IFERROR(vlookup('2.2'!J:J,lookup!$A$26:$B$28,2,false),0)</f>
        <v>5</v>
      </c>
      <c r="L21" s="1"/>
      <c r="M21" s="10">
        <v>20.0</v>
      </c>
      <c r="N21" s="11" t="str">
        <f t="shared" si="1"/>
        <v>bnco1020@signalschool.ac.th</v>
      </c>
      <c r="O21" s="12">
        <f t="shared" si="2"/>
        <v>1</v>
      </c>
      <c r="R21" s="6" t="s">
        <v>234</v>
      </c>
    </row>
    <row r="22">
      <c r="A22" s="8">
        <f>'2.2'!A:A</f>
        <v>46213.39491</v>
      </c>
      <c r="B22" s="1" t="str">
        <f>'2.2'!B:B</f>
        <v>bnco1071@signalschool.ac.th</v>
      </c>
      <c r="C22" s="1" t="str">
        <f>'2.2'!C:C</f>
        <v>พ.ต.ไมตรี  บุญเหลื่อม</v>
      </c>
      <c r="D22" s="9">
        <v>1.0</v>
      </c>
      <c r="E22" s="10">
        <f>IFERROR(vlookup('2.2'!D:D,lookup!$A$2:$B$4,2,false),0)</f>
        <v>5</v>
      </c>
      <c r="F22" s="10">
        <f>IFERROR(vlookup('2.2'!E:E,lookup!$A$6:$B$8,2,false),0)</f>
        <v>5</v>
      </c>
      <c r="G22" s="10">
        <f>IFERROR(vlookup('2.2'!F:F,lookup!$A$10:$B$12,2,false),0)</f>
        <v>5</v>
      </c>
      <c r="H22" s="10">
        <f>IFERROR(vlookup('2.2'!G:G,lookup!$A$14:$B$16,2,false),0)</f>
        <v>5</v>
      </c>
      <c r="I22" s="10">
        <f>IFERROR(vlookup('2.2'!H:H,lookup!$A$18:$B$20,2,false),0)</f>
        <v>5</v>
      </c>
      <c r="J22" s="10">
        <f>IFERROR(vlookup('2.2'!I:I,lookup!$A$22:$B$24,2,false),0)</f>
        <v>5</v>
      </c>
      <c r="K22" s="10">
        <f>IFERROR(vlookup('2.2'!J:J,lookup!$A$26:$B$28,2,false),0)</f>
        <v>5</v>
      </c>
      <c r="L22" s="1"/>
      <c r="M22" s="10">
        <v>21.0</v>
      </c>
      <c r="N22" s="11" t="str">
        <f t="shared" si="1"/>
        <v>bnco1021@signalschool.ac.th</v>
      </c>
      <c r="O22" s="12">
        <f t="shared" si="2"/>
        <v>1</v>
      </c>
      <c r="R22" s="6" t="s">
        <v>235</v>
      </c>
    </row>
    <row r="23">
      <c r="A23" s="8">
        <f>'2.2'!A:A</f>
        <v>46213.39498</v>
      </c>
      <c r="B23" s="1" t="str">
        <f>'2.2'!B:B</f>
        <v>bnco1064@signalschool.ac.th</v>
      </c>
      <c r="C23" s="1" t="str">
        <f>'2.2'!C:C</f>
        <v>ส.อ.ชัยวัฒน์  สมอ่อน</v>
      </c>
      <c r="D23" s="9">
        <v>1.0</v>
      </c>
      <c r="E23" s="10">
        <f>IFERROR(vlookup('2.2'!D:D,lookup!$A$2:$B$4,2,false),0)</f>
        <v>5</v>
      </c>
      <c r="F23" s="10">
        <f>IFERROR(vlookup('2.2'!E:E,lookup!$A$6:$B$8,2,false),0)</f>
        <v>5</v>
      </c>
      <c r="G23" s="10">
        <f>IFERROR(vlookup('2.2'!F:F,lookup!$A$10:$B$12,2,false),0)</f>
        <v>5</v>
      </c>
      <c r="H23" s="10">
        <f>IFERROR(vlookup('2.2'!G:G,lookup!$A$14:$B$16,2,false),0)</f>
        <v>5</v>
      </c>
      <c r="I23" s="10">
        <f>IFERROR(vlookup('2.2'!H:H,lookup!$A$18:$B$20,2,false),0)</f>
        <v>5</v>
      </c>
      <c r="J23" s="10">
        <f>IFERROR(vlookup('2.2'!I:I,lookup!$A$22:$B$24,2,false),0)</f>
        <v>5</v>
      </c>
      <c r="K23" s="10">
        <f>IFERROR(vlookup('2.2'!J:J,lookup!$A$26:$B$28,2,false),0)</f>
        <v>5</v>
      </c>
      <c r="L23" s="1"/>
      <c r="M23" s="10">
        <v>22.0</v>
      </c>
      <c r="N23" s="11" t="str">
        <f t="shared" si="1"/>
        <v>bnco1022@signalschool.ac.th</v>
      </c>
      <c r="O23" s="12">
        <f t="shared" si="2"/>
        <v>1</v>
      </c>
      <c r="R23" s="6" t="s">
        <v>236</v>
      </c>
    </row>
    <row r="24">
      <c r="A24" s="8">
        <f>'2.2'!A:A</f>
        <v>46213.39518</v>
      </c>
      <c r="B24" s="1" t="str">
        <f>'2.2'!B:B</f>
        <v>bnco1009@signalschool.ac.th</v>
      </c>
      <c r="C24" s="1" t="str">
        <f>'2.2'!C:C</f>
        <v>พ.ต. ไมตรี  บุญเหลื่อม</v>
      </c>
      <c r="D24" s="9">
        <v>1.0</v>
      </c>
      <c r="E24" s="10">
        <f>IFERROR(vlookup('2.2'!D:D,lookup!$A$2:$B$4,2,false),0)</f>
        <v>5</v>
      </c>
      <c r="F24" s="10">
        <f>IFERROR(vlookup('2.2'!E:E,lookup!$A$6:$B$8,2,false),0)</f>
        <v>5</v>
      </c>
      <c r="G24" s="10">
        <f>IFERROR(vlookup('2.2'!F:F,lookup!$A$10:$B$12,2,false),0)</f>
        <v>5</v>
      </c>
      <c r="H24" s="10">
        <f>IFERROR(vlookup('2.2'!G:G,lookup!$A$14:$B$16,2,false),0)</f>
        <v>5</v>
      </c>
      <c r="I24" s="10">
        <f>IFERROR(vlookup('2.2'!H:H,lookup!$A$18:$B$20,2,false),0)</f>
        <v>5</v>
      </c>
      <c r="J24" s="10">
        <f>IFERROR(vlookup('2.2'!I:I,lookup!$A$22:$B$24,2,false),0)</f>
        <v>5</v>
      </c>
      <c r="K24" s="10">
        <f>IFERROR(vlookup('2.2'!J:J,lookup!$A$26:$B$28,2,false),0)</f>
        <v>5</v>
      </c>
      <c r="L24" s="1"/>
      <c r="M24" s="10">
        <v>23.0</v>
      </c>
      <c r="N24" s="11" t="str">
        <f t="shared" si="1"/>
        <v>bnco1023@signalschool.ac.th</v>
      </c>
      <c r="O24" s="12">
        <f t="shared" si="2"/>
        <v>1</v>
      </c>
      <c r="R24" s="6" t="s">
        <v>237</v>
      </c>
    </row>
    <row r="25">
      <c r="A25" s="8">
        <f>'2.2'!A:A</f>
        <v>46213.39551</v>
      </c>
      <c r="B25" s="1" t="str">
        <f>'2.2'!B:B</f>
        <v>bnco1078@signalschool.ac.th</v>
      </c>
      <c r="C25" s="1" t="str">
        <f>'2.2'!C:C</f>
        <v>พ.ต. ไมตรี  บุญเหลื่อม</v>
      </c>
      <c r="D25" s="9">
        <v>1.0</v>
      </c>
      <c r="E25" s="10">
        <f>IFERROR(vlookup('2.2'!D:D,lookup!$A$2:$B$4,2,false),0)</f>
        <v>5</v>
      </c>
      <c r="F25" s="10">
        <f>IFERROR(vlookup('2.2'!E:E,lookup!$A$6:$B$8,2,false),0)</f>
        <v>5</v>
      </c>
      <c r="G25" s="10">
        <f>IFERROR(vlookup('2.2'!F:F,lookup!$A$10:$B$12,2,false),0)</f>
        <v>5</v>
      </c>
      <c r="H25" s="10">
        <f>IFERROR(vlookup('2.2'!G:G,lookup!$A$14:$B$16,2,false),0)</f>
        <v>5</v>
      </c>
      <c r="I25" s="10">
        <f>IFERROR(vlookup('2.2'!H:H,lookup!$A$18:$B$20,2,false),0)</f>
        <v>5</v>
      </c>
      <c r="J25" s="10">
        <f>IFERROR(vlookup('2.2'!I:I,lookup!$A$22:$B$24,2,false),0)</f>
        <v>5</v>
      </c>
      <c r="K25" s="10">
        <f>IFERROR(vlookup('2.2'!J:J,lookup!$A$26:$B$28,2,false),0)</f>
        <v>5</v>
      </c>
      <c r="L25" s="1"/>
      <c r="M25" s="10">
        <v>24.0</v>
      </c>
      <c r="N25" s="11" t="str">
        <f t="shared" si="1"/>
        <v>bnco1024@signalschool.ac.th</v>
      </c>
      <c r="O25" s="12">
        <f t="shared" si="2"/>
        <v>1</v>
      </c>
      <c r="R25" s="6" t="s">
        <v>238</v>
      </c>
    </row>
    <row r="26">
      <c r="A26" s="8">
        <f>'2.2'!A:A</f>
        <v>46213.39556</v>
      </c>
      <c r="B26" s="1" t="str">
        <f>'2.2'!B:B</f>
        <v>bnco1008@signalschool.ac.th</v>
      </c>
      <c r="C26" s="1" t="str">
        <f>'2.2'!C:C</f>
        <v>พ.ต.ไมตรี บุญเหลื่อม</v>
      </c>
      <c r="D26" s="9">
        <v>1.0</v>
      </c>
      <c r="E26" s="10">
        <f>IFERROR(vlookup('2.2'!D:D,lookup!$A$2:$B$4,2,false),0)</f>
        <v>5</v>
      </c>
      <c r="F26" s="10">
        <f>IFERROR(vlookup('2.2'!E:E,lookup!$A$6:$B$8,2,false),0)</f>
        <v>5</v>
      </c>
      <c r="G26" s="10">
        <f>IFERROR(vlookup('2.2'!F:F,lookup!$A$10:$B$12,2,false),0)</f>
        <v>5</v>
      </c>
      <c r="H26" s="10">
        <f>IFERROR(vlookup('2.2'!G:G,lookup!$A$14:$B$16,2,false),0)</f>
        <v>5</v>
      </c>
      <c r="I26" s="10">
        <f>IFERROR(vlookup('2.2'!H:H,lookup!$A$18:$B$20,2,false),0)</f>
        <v>5</v>
      </c>
      <c r="J26" s="10">
        <f>IFERROR(vlookup('2.2'!I:I,lookup!$A$22:$B$24,2,false),0)</f>
        <v>5</v>
      </c>
      <c r="K26" s="10">
        <f>IFERROR(vlookup('2.2'!J:J,lookup!$A$26:$B$28,2,false),0)</f>
        <v>5</v>
      </c>
      <c r="L26" s="1"/>
      <c r="M26" s="10">
        <v>25.0</v>
      </c>
      <c r="N26" s="11" t="str">
        <f t="shared" si="1"/>
        <v>bnco1025@signalschool.ac.th</v>
      </c>
      <c r="O26" s="12">
        <f t="shared" si="2"/>
        <v>1</v>
      </c>
      <c r="R26" s="6" t="s">
        <v>239</v>
      </c>
    </row>
    <row r="27">
      <c r="A27" s="8">
        <f>'2.2'!A:A</f>
        <v>46213.39564</v>
      </c>
      <c r="B27" s="1" t="str">
        <f>'2.2'!B:B</f>
        <v>bnco1039@signalschool.ac.th</v>
      </c>
      <c r="C27" s="1" t="str">
        <f>'2.2'!C:C</f>
        <v>พ.ต. ไมตรี  บุญเหลื่อม</v>
      </c>
      <c r="D27" s="9">
        <v>1.0</v>
      </c>
      <c r="E27" s="10">
        <f>IFERROR(vlookup('2.2'!D:D,lookup!$A$2:$B$4,2,false),0)</f>
        <v>5</v>
      </c>
      <c r="F27" s="10">
        <f>IFERROR(vlookup('2.2'!E:E,lookup!$A$6:$B$8,2,false),0)</f>
        <v>5</v>
      </c>
      <c r="G27" s="10">
        <f>IFERROR(vlookup('2.2'!F:F,lookup!$A$10:$B$12,2,false),0)</f>
        <v>3</v>
      </c>
      <c r="H27" s="10">
        <f>IFERROR(vlookup('2.2'!G:G,lookup!$A$14:$B$16,2,false),0)</f>
        <v>5</v>
      </c>
      <c r="I27" s="10">
        <f>IFERROR(vlookup('2.2'!H:H,lookup!$A$18:$B$20,2,false),0)</f>
        <v>5</v>
      </c>
      <c r="J27" s="10">
        <f>IFERROR(vlookup('2.2'!I:I,lookup!$A$22:$B$24,2,false),0)</f>
        <v>5</v>
      </c>
      <c r="K27" s="10">
        <f>IFERROR(vlookup('2.2'!J:J,lookup!$A$26:$B$28,2,false),0)</f>
        <v>5</v>
      </c>
      <c r="L27" s="1"/>
      <c r="M27" s="10">
        <v>26.0</v>
      </c>
      <c r="N27" s="11" t="str">
        <f t="shared" si="1"/>
        <v>bnco1026@signalschool.ac.th</v>
      </c>
      <c r="O27" s="12">
        <f t="shared" si="2"/>
        <v>1</v>
      </c>
      <c r="R27" s="6" t="s">
        <v>240</v>
      </c>
    </row>
    <row r="28">
      <c r="A28" s="8">
        <f>'2.2'!A:A</f>
        <v>46213.39597</v>
      </c>
      <c r="B28" s="1" t="str">
        <f>'2.2'!B:B</f>
        <v>bnco1033@signalschool.ac.th</v>
      </c>
      <c r="C28" s="1" t="str">
        <f>'2.2'!C:C</f>
        <v>พ.ต. ไมตรี บุญเหลื่อม</v>
      </c>
      <c r="D28" s="9">
        <v>1.0</v>
      </c>
      <c r="E28" s="10">
        <f>IFERROR(vlookup('2.2'!D:D,lookup!$A$2:$B$4,2,false),0)</f>
        <v>5</v>
      </c>
      <c r="F28" s="10">
        <f>IFERROR(vlookup('2.2'!E:E,lookup!$A$6:$B$8,2,false),0)</f>
        <v>5</v>
      </c>
      <c r="G28" s="10">
        <f>IFERROR(vlookup('2.2'!F:F,lookup!$A$10:$B$12,2,false),0)</f>
        <v>5</v>
      </c>
      <c r="H28" s="10">
        <f>IFERROR(vlookup('2.2'!G:G,lookup!$A$14:$B$16,2,false),0)</f>
        <v>5</v>
      </c>
      <c r="I28" s="10">
        <f>IFERROR(vlookup('2.2'!H:H,lookup!$A$18:$B$20,2,false),0)</f>
        <v>5</v>
      </c>
      <c r="J28" s="10">
        <f>IFERROR(vlookup('2.2'!I:I,lookup!$A$22:$B$24,2,false),0)</f>
        <v>5</v>
      </c>
      <c r="K28" s="10">
        <f>IFERROR(vlookup('2.2'!J:J,lookup!$A$26:$B$28,2,false),0)</f>
        <v>5</v>
      </c>
      <c r="L28" s="1"/>
      <c r="M28" s="10">
        <v>27.0</v>
      </c>
      <c r="N28" s="11" t="str">
        <f t="shared" si="1"/>
        <v>bnco1027@signalschool.ac.th</v>
      </c>
      <c r="O28" s="12">
        <f t="shared" si="2"/>
        <v>1</v>
      </c>
      <c r="R28" s="6" t="s">
        <v>241</v>
      </c>
    </row>
    <row r="29">
      <c r="A29" s="8">
        <f>'2.2'!A:A</f>
        <v>46213.39658</v>
      </c>
      <c r="B29" s="1" t="str">
        <f>'2.2'!B:B</f>
        <v>bnco1079@signalschool.ac.th</v>
      </c>
      <c r="C29" s="1" t="str">
        <f>'2.2'!C:C</f>
        <v>พ.ต. ไมตรี  บุญเหลื่อม</v>
      </c>
      <c r="D29" s="9">
        <v>1.0</v>
      </c>
      <c r="E29" s="10">
        <f>IFERROR(vlookup('2.2'!D:D,lookup!$A$2:$B$4,2,false),0)</f>
        <v>5</v>
      </c>
      <c r="F29" s="10">
        <f>IFERROR(vlookup('2.2'!E:E,lookup!$A$6:$B$8,2,false),0)</f>
        <v>5</v>
      </c>
      <c r="G29" s="10">
        <f>IFERROR(vlookup('2.2'!F:F,lookup!$A$10:$B$12,2,false),0)</f>
        <v>5</v>
      </c>
      <c r="H29" s="10">
        <f>IFERROR(vlookup('2.2'!G:G,lookup!$A$14:$B$16,2,false),0)</f>
        <v>5</v>
      </c>
      <c r="I29" s="10">
        <f>IFERROR(vlookup('2.2'!H:H,lookup!$A$18:$B$20,2,false),0)</f>
        <v>5</v>
      </c>
      <c r="J29" s="10">
        <f>IFERROR(vlookup('2.2'!I:I,lookup!$A$22:$B$24,2,false),0)</f>
        <v>5</v>
      </c>
      <c r="K29" s="10">
        <f>IFERROR(vlookup('2.2'!J:J,lookup!$A$26:$B$28,2,false),0)</f>
        <v>5</v>
      </c>
      <c r="L29" s="1"/>
      <c r="M29" s="10">
        <v>28.0</v>
      </c>
      <c r="N29" s="11" t="str">
        <f t="shared" si="1"/>
        <v>bnco1028@signalschool.ac.th</v>
      </c>
      <c r="O29" s="12">
        <f t="shared" si="2"/>
        <v>0</v>
      </c>
      <c r="R29" s="6" t="s">
        <v>242</v>
      </c>
    </row>
    <row r="30">
      <c r="A30" s="8">
        <f>'2.2'!A:A</f>
        <v>46213.39659</v>
      </c>
      <c r="B30" s="1" t="str">
        <f>'2.2'!B:B</f>
        <v>bnco1044@signalschool.ac.th</v>
      </c>
      <c r="C30" s="1" t="str">
        <f>'2.2'!C:C</f>
        <v>พ.ต. ไมตรี บุญเหลื่อม</v>
      </c>
      <c r="D30" s="9">
        <v>1.0</v>
      </c>
      <c r="E30" s="10">
        <f>IFERROR(vlookup('2.2'!D:D,lookup!$A$2:$B$4,2,false),0)</f>
        <v>5</v>
      </c>
      <c r="F30" s="10">
        <f>IFERROR(vlookup('2.2'!E:E,lookup!$A$6:$B$8,2,false),0)</f>
        <v>5</v>
      </c>
      <c r="G30" s="10">
        <f>IFERROR(vlookup('2.2'!F:F,lookup!$A$10:$B$12,2,false),0)</f>
        <v>5</v>
      </c>
      <c r="H30" s="10">
        <f>IFERROR(vlookup('2.2'!G:G,lookup!$A$14:$B$16,2,false),0)</f>
        <v>5</v>
      </c>
      <c r="I30" s="10">
        <f>IFERROR(vlookup('2.2'!H:H,lookup!$A$18:$B$20,2,false),0)</f>
        <v>5</v>
      </c>
      <c r="J30" s="10">
        <f>IFERROR(vlookup('2.2'!I:I,lookup!$A$22:$B$24,2,false),0)</f>
        <v>5</v>
      </c>
      <c r="K30" s="10">
        <f>IFERROR(vlookup('2.2'!J:J,lookup!$A$26:$B$28,2,false),0)</f>
        <v>5</v>
      </c>
      <c r="L30" s="1"/>
      <c r="M30" s="10">
        <v>29.0</v>
      </c>
      <c r="N30" s="11" t="str">
        <f t="shared" si="1"/>
        <v>bnco1029@signalschool.ac.th</v>
      </c>
      <c r="O30" s="12">
        <f t="shared" si="2"/>
        <v>0</v>
      </c>
      <c r="R30" s="6" t="s">
        <v>243</v>
      </c>
    </row>
    <row r="31">
      <c r="A31" s="8">
        <f>'2.2'!A:A</f>
        <v>46213.39674</v>
      </c>
      <c r="B31" s="1" t="str">
        <f>'2.2'!B:B</f>
        <v>bnco1011@signalschool.ac.th</v>
      </c>
      <c r="C31" s="1" t="str">
        <f>'2.2'!C:C</f>
        <v>พ.ต.ไมตรี บุญเหลื่อม</v>
      </c>
      <c r="D31" s="9">
        <v>1.0</v>
      </c>
      <c r="E31" s="10">
        <f>IFERROR(vlookup('2.2'!D:D,lookup!$A$2:$B$4,2,false),0)</f>
        <v>5</v>
      </c>
      <c r="F31" s="10">
        <f>IFERROR(vlookup('2.2'!E:E,lookup!$A$6:$B$8,2,false),0)</f>
        <v>5</v>
      </c>
      <c r="G31" s="10">
        <f>IFERROR(vlookup('2.2'!F:F,lookup!$A$10:$B$12,2,false),0)</f>
        <v>5</v>
      </c>
      <c r="H31" s="10">
        <f>IFERROR(vlookup('2.2'!G:G,lookup!$A$14:$B$16,2,false),0)</f>
        <v>5</v>
      </c>
      <c r="I31" s="10">
        <f>IFERROR(vlookup('2.2'!H:H,lookup!$A$18:$B$20,2,false),0)</f>
        <v>5</v>
      </c>
      <c r="J31" s="10">
        <f>IFERROR(vlookup('2.2'!I:I,lookup!$A$22:$B$24,2,false),0)</f>
        <v>5</v>
      </c>
      <c r="K31" s="10">
        <f>IFERROR(vlookup('2.2'!J:J,lookup!$A$26:$B$28,2,false),0)</f>
        <v>5</v>
      </c>
      <c r="L31" s="1"/>
      <c r="M31" s="10">
        <v>30.0</v>
      </c>
      <c r="N31" s="11" t="str">
        <f t="shared" si="1"/>
        <v>bnco1030@signalschool.ac.th</v>
      </c>
      <c r="O31" s="12">
        <f t="shared" si="2"/>
        <v>1</v>
      </c>
      <c r="R31" s="6" t="s">
        <v>244</v>
      </c>
    </row>
    <row r="32">
      <c r="A32" s="8">
        <f>'2.2'!A:A</f>
        <v>46213.39689</v>
      </c>
      <c r="B32" s="1" t="str">
        <f>'2.2'!B:B</f>
        <v>bnco1066@signalschool.ac.th</v>
      </c>
      <c r="C32" s="1" t="str">
        <f>'2.2'!C:C</f>
        <v>พ.ต. ไมตรี  บุญเหลื่อม</v>
      </c>
      <c r="D32" s="9">
        <v>1.0</v>
      </c>
      <c r="E32" s="10">
        <f>IFERROR(vlookup('2.2'!D:D,lookup!$A$2:$B$4,2,false),0)</f>
        <v>5</v>
      </c>
      <c r="F32" s="10">
        <f>IFERROR(vlookup('2.2'!E:E,lookup!$A$6:$B$8,2,false),0)</f>
        <v>5</v>
      </c>
      <c r="G32" s="10">
        <f>IFERROR(vlookup('2.2'!F:F,lookup!$A$10:$B$12,2,false),0)</f>
        <v>5</v>
      </c>
      <c r="H32" s="10">
        <f>IFERROR(vlookup('2.2'!G:G,lookup!$A$14:$B$16,2,false),0)</f>
        <v>5</v>
      </c>
      <c r="I32" s="10">
        <f>IFERROR(vlookup('2.2'!H:H,lookup!$A$18:$B$20,2,false),0)</f>
        <v>5</v>
      </c>
      <c r="J32" s="10">
        <f>IFERROR(vlookup('2.2'!I:I,lookup!$A$22:$B$24,2,false),0)</f>
        <v>5</v>
      </c>
      <c r="K32" s="10">
        <f>IFERROR(vlookup('2.2'!J:J,lookup!$A$26:$B$28,2,false),0)</f>
        <v>5</v>
      </c>
      <c r="L32" s="1"/>
      <c r="M32" s="10">
        <v>31.0</v>
      </c>
      <c r="N32" s="11" t="str">
        <f t="shared" si="1"/>
        <v>bnco1031@signalschool.ac.th</v>
      </c>
      <c r="O32" s="12">
        <f t="shared" si="2"/>
        <v>1</v>
      </c>
      <c r="R32" s="6" t="s">
        <v>245</v>
      </c>
    </row>
    <row r="33">
      <c r="A33" s="8">
        <f>'2.2'!A:A</f>
        <v>46213.39693</v>
      </c>
      <c r="B33" s="1" t="str">
        <f>'2.2'!B:B</f>
        <v>bnco1019@signalschool.ac.th</v>
      </c>
      <c r="C33" s="1" t="str">
        <f>'2.2'!C:C</f>
        <v>พ.ต.ไมตรี บุญเหลื่อม</v>
      </c>
      <c r="D33" s="9">
        <v>1.0</v>
      </c>
      <c r="E33" s="10">
        <f>IFERROR(vlookup('2.2'!D:D,lookup!$A$2:$B$4,2,false),0)</f>
        <v>5</v>
      </c>
      <c r="F33" s="10">
        <f>IFERROR(vlookup('2.2'!E:E,lookup!$A$6:$B$8,2,false),0)</f>
        <v>5</v>
      </c>
      <c r="G33" s="10">
        <f>IFERROR(vlookup('2.2'!F:F,lookup!$A$10:$B$12,2,false),0)</f>
        <v>5</v>
      </c>
      <c r="H33" s="10">
        <f>IFERROR(vlookup('2.2'!G:G,lookup!$A$14:$B$16,2,false),0)</f>
        <v>5</v>
      </c>
      <c r="I33" s="10">
        <f>IFERROR(vlookup('2.2'!H:H,lookup!$A$18:$B$20,2,false),0)</f>
        <v>5</v>
      </c>
      <c r="J33" s="10">
        <f>IFERROR(vlookup('2.2'!I:I,lookup!$A$22:$B$24,2,false),0)</f>
        <v>5</v>
      </c>
      <c r="K33" s="10">
        <f>IFERROR(vlookup('2.2'!J:J,lookup!$A$26:$B$28,2,false),0)</f>
        <v>5</v>
      </c>
      <c r="L33" s="1"/>
      <c r="M33" s="10">
        <v>32.0</v>
      </c>
      <c r="N33" s="11" t="str">
        <f t="shared" si="1"/>
        <v>bnco1032@signalschool.ac.th</v>
      </c>
      <c r="O33" s="12">
        <f t="shared" si="2"/>
        <v>1</v>
      </c>
      <c r="R33" s="6" t="s">
        <v>246</v>
      </c>
    </row>
    <row r="34">
      <c r="A34" s="8">
        <f>'2.2'!A:A</f>
        <v>46213.39702</v>
      </c>
      <c r="B34" s="1" t="str">
        <f>'2.2'!B:B</f>
        <v>bnco1061@signalschool.ac.th</v>
      </c>
      <c r="C34" s="1" t="str">
        <f>'2.2'!C:C</f>
        <v>พ.ต.ไมตรี บุญเหลื่อม</v>
      </c>
      <c r="D34" s="9">
        <v>1.0</v>
      </c>
      <c r="E34" s="10">
        <f>IFERROR(vlookup('2.2'!D:D,lookup!$A$2:$B$4,2,false),0)</f>
        <v>5</v>
      </c>
      <c r="F34" s="10">
        <f>IFERROR(vlookup('2.2'!E:E,lookup!$A$6:$B$8,2,false),0)</f>
        <v>5</v>
      </c>
      <c r="G34" s="10">
        <f>IFERROR(vlookup('2.2'!F:F,lookup!$A$10:$B$12,2,false),0)</f>
        <v>5</v>
      </c>
      <c r="H34" s="10">
        <f>IFERROR(vlookup('2.2'!G:G,lookup!$A$14:$B$16,2,false),0)</f>
        <v>5</v>
      </c>
      <c r="I34" s="10">
        <f>IFERROR(vlookup('2.2'!H:H,lookup!$A$18:$B$20,2,false),0)</f>
        <v>5</v>
      </c>
      <c r="J34" s="10">
        <f>IFERROR(vlookup('2.2'!I:I,lookup!$A$22:$B$24,2,false),0)</f>
        <v>5</v>
      </c>
      <c r="K34" s="10">
        <f>IFERROR(vlookup('2.2'!J:J,lookup!$A$26:$B$28,2,false),0)</f>
        <v>5</v>
      </c>
      <c r="L34" s="1"/>
      <c r="M34" s="10">
        <v>33.0</v>
      </c>
      <c r="N34" s="11" t="str">
        <f t="shared" si="1"/>
        <v>bnco1033@signalschool.ac.th</v>
      </c>
      <c r="O34" s="12">
        <f t="shared" si="2"/>
        <v>1</v>
      </c>
      <c r="R34" s="6" t="s">
        <v>247</v>
      </c>
    </row>
    <row r="35">
      <c r="A35" s="8">
        <f>'2.2'!A:A</f>
        <v>46213.39707</v>
      </c>
      <c r="B35" s="1" t="str">
        <f>'2.2'!B:B</f>
        <v>bnco1072@signalschool.ac.th</v>
      </c>
      <c r="C35" s="1" t="str">
        <f>'2.2'!C:C</f>
        <v>พ.ต.ไมตรี บุญเหลื่อม</v>
      </c>
      <c r="D35" s="9">
        <v>1.0</v>
      </c>
      <c r="E35" s="10">
        <f>IFERROR(vlookup('2.2'!D:D,lookup!$A$2:$B$4,2,false),0)</f>
        <v>5</v>
      </c>
      <c r="F35" s="10">
        <f>IFERROR(vlookup('2.2'!E:E,lookup!$A$6:$B$8,2,false),0)</f>
        <v>5</v>
      </c>
      <c r="G35" s="10">
        <f>IFERROR(vlookup('2.2'!F:F,lookup!$A$10:$B$12,2,false),0)</f>
        <v>5</v>
      </c>
      <c r="H35" s="10">
        <f>IFERROR(vlookup('2.2'!G:G,lookup!$A$14:$B$16,2,false),0)</f>
        <v>5</v>
      </c>
      <c r="I35" s="10">
        <f>IFERROR(vlookup('2.2'!H:H,lookup!$A$18:$B$20,2,false),0)</f>
        <v>5</v>
      </c>
      <c r="J35" s="10">
        <f>IFERROR(vlookup('2.2'!I:I,lookup!$A$22:$B$24,2,false),0)</f>
        <v>5</v>
      </c>
      <c r="K35" s="10">
        <f>IFERROR(vlookup('2.2'!J:J,lookup!$A$26:$B$28,2,false),0)</f>
        <v>5</v>
      </c>
      <c r="L35" s="1"/>
      <c r="M35" s="10">
        <v>34.0</v>
      </c>
      <c r="N35" s="11" t="str">
        <f t="shared" si="1"/>
        <v>bnco1034@signalschool.ac.th</v>
      </c>
      <c r="O35" s="12">
        <f t="shared" si="2"/>
        <v>1</v>
      </c>
      <c r="R35" s="6" t="s">
        <v>248</v>
      </c>
    </row>
    <row r="36">
      <c r="A36" s="8">
        <f>'2.2'!A:A</f>
        <v>46213.39794</v>
      </c>
      <c r="B36" s="1" t="str">
        <f>'2.2'!B:B</f>
        <v>bnco1074@signalschool.ac.th</v>
      </c>
      <c r="C36" s="1" t="str">
        <f>'2.2'!C:C</f>
        <v>พ.ต. ไมตรี  บุญเหลื่อม</v>
      </c>
      <c r="D36" s="9">
        <v>1.0</v>
      </c>
      <c r="E36" s="10">
        <f>IFERROR(vlookup('2.2'!D:D,lookup!$A$2:$B$4,2,false),0)</f>
        <v>5</v>
      </c>
      <c r="F36" s="10">
        <f>IFERROR(vlookup('2.2'!E:E,lookup!$A$6:$B$8,2,false),0)</f>
        <v>5</v>
      </c>
      <c r="G36" s="10">
        <f>IFERROR(vlookup('2.2'!F:F,lookup!$A$10:$B$12,2,false),0)</f>
        <v>5</v>
      </c>
      <c r="H36" s="10">
        <f>IFERROR(vlookup('2.2'!G:G,lookup!$A$14:$B$16,2,false),0)</f>
        <v>5</v>
      </c>
      <c r="I36" s="10">
        <f>IFERROR(vlookup('2.2'!H:H,lookup!$A$18:$B$20,2,false),0)</f>
        <v>5</v>
      </c>
      <c r="J36" s="10">
        <f>IFERROR(vlookup('2.2'!I:I,lookup!$A$22:$B$24,2,false),0)</f>
        <v>5</v>
      </c>
      <c r="K36" s="10">
        <f>IFERROR(vlookup('2.2'!J:J,lookup!$A$26:$B$28,2,false),0)</f>
        <v>5</v>
      </c>
      <c r="L36" s="1"/>
      <c r="M36" s="10">
        <v>35.0</v>
      </c>
      <c r="N36" s="11" t="str">
        <f t="shared" si="1"/>
        <v>bnco1035@signalschool.ac.th</v>
      </c>
      <c r="O36" s="12">
        <f t="shared" si="2"/>
        <v>1</v>
      </c>
      <c r="R36" s="6" t="s">
        <v>249</v>
      </c>
    </row>
    <row r="37">
      <c r="A37" s="8">
        <f>'2.2'!A:A</f>
        <v>46213.39815</v>
      </c>
      <c r="B37" s="1" t="str">
        <f>'2.2'!B:B</f>
        <v>bnco1062@signalschool.ac.th</v>
      </c>
      <c r="C37" s="1" t="str">
        <f>'2.2'!C:C</f>
        <v>พ.ต. ไมตรี  บุญเหลื่อม</v>
      </c>
      <c r="D37" s="9">
        <v>1.0</v>
      </c>
      <c r="E37" s="10">
        <f>IFERROR(vlookup('2.2'!D:D,lookup!$A$2:$B$4,2,false),0)</f>
        <v>5</v>
      </c>
      <c r="F37" s="10">
        <f>IFERROR(vlookup('2.2'!E:E,lookup!$A$6:$B$8,2,false),0)</f>
        <v>5</v>
      </c>
      <c r="G37" s="10">
        <f>IFERROR(vlookup('2.2'!F:F,lookup!$A$10:$B$12,2,false),0)</f>
        <v>5</v>
      </c>
      <c r="H37" s="10">
        <f>IFERROR(vlookup('2.2'!G:G,lookup!$A$14:$B$16,2,false),0)</f>
        <v>5</v>
      </c>
      <c r="I37" s="10">
        <f>IFERROR(vlookup('2.2'!H:H,lookup!$A$18:$B$20,2,false),0)</f>
        <v>5</v>
      </c>
      <c r="J37" s="10">
        <f>IFERROR(vlookup('2.2'!I:I,lookup!$A$22:$B$24,2,false),0)</f>
        <v>5</v>
      </c>
      <c r="K37" s="10">
        <f>IFERROR(vlookup('2.2'!J:J,lookup!$A$26:$B$28,2,false),0)</f>
        <v>5</v>
      </c>
      <c r="L37" s="1"/>
      <c r="M37" s="10">
        <v>36.0</v>
      </c>
      <c r="N37" s="11" t="str">
        <f t="shared" si="1"/>
        <v>bnco1036@signalschool.ac.th</v>
      </c>
      <c r="O37" s="12">
        <f t="shared" si="2"/>
        <v>1</v>
      </c>
      <c r="R37" s="6" t="s">
        <v>250</v>
      </c>
    </row>
    <row r="38">
      <c r="A38" s="8">
        <f>'2.2'!A:A</f>
        <v>46213.39838</v>
      </c>
      <c r="B38" s="1" t="str">
        <f>'2.2'!B:B</f>
        <v>bnco1073@signalschool.ac.th</v>
      </c>
      <c r="C38" s="1" t="str">
        <f>'2.2'!C:C</f>
        <v>ส.อ. ธีรโชติ สีหะวงษ์</v>
      </c>
      <c r="D38" s="9">
        <v>1.0</v>
      </c>
      <c r="E38" s="10">
        <f>IFERROR(vlookup('2.2'!D:D,lookup!$A$2:$B$4,2,false),0)</f>
        <v>5</v>
      </c>
      <c r="F38" s="10">
        <f>IFERROR(vlookup('2.2'!E:E,lookup!$A$6:$B$8,2,false),0)</f>
        <v>5</v>
      </c>
      <c r="G38" s="10">
        <f>IFERROR(vlookup('2.2'!F:F,lookup!$A$10:$B$12,2,false),0)</f>
        <v>5</v>
      </c>
      <c r="H38" s="10">
        <f>IFERROR(vlookup('2.2'!G:G,lookup!$A$14:$B$16,2,false),0)</f>
        <v>5</v>
      </c>
      <c r="I38" s="10">
        <f>IFERROR(vlookup('2.2'!H:H,lookup!$A$18:$B$20,2,false),0)</f>
        <v>5</v>
      </c>
      <c r="J38" s="10">
        <f>IFERROR(vlookup('2.2'!I:I,lookup!$A$22:$B$24,2,false),0)</f>
        <v>5</v>
      </c>
      <c r="K38" s="10">
        <f>IFERROR(vlookup('2.2'!J:J,lookup!$A$26:$B$28,2,false),0)</f>
        <v>5</v>
      </c>
      <c r="L38" s="1"/>
      <c r="M38" s="10">
        <v>37.0</v>
      </c>
      <c r="N38" s="11" t="str">
        <f t="shared" si="1"/>
        <v>bnco1037@signalschool.ac.th</v>
      </c>
      <c r="O38" s="12">
        <f t="shared" si="2"/>
        <v>1</v>
      </c>
      <c r="R38" s="6" t="s">
        <v>251</v>
      </c>
    </row>
    <row r="39">
      <c r="A39" s="8">
        <f>'2.2'!A:A</f>
        <v>46213.39841</v>
      </c>
      <c r="B39" s="1" t="str">
        <f>'2.2'!B:B</f>
        <v>bnco1025@signalschool.ac.th</v>
      </c>
      <c r="C39" s="1" t="str">
        <f>'2.2'!C:C</f>
        <v>พ.ต.ไมตรี บุญเหลื่อม</v>
      </c>
      <c r="D39" s="9">
        <v>1.0</v>
      </c>
      <c r="E39" s="10">
        <f>IFERROR(vlookup('2.2'!D:D,lookup!$A$2:$B$4,2,false),0)</f>
        <v>5</v>
      </c>
      <c r="F39" s="10">
        <f>IFERROR(vlookup('2.2'!E:E,lookup!$A$6:$B$8,2,false),0)</f>
        <v>5</v>
      </c>
      <c r="G39" s="10">
        <f>IFERROR(vlookup('2.2'!F:F,lookup!$A$10:$B$12,2,false),0)</f>
        <v>5</v>
      </c>
      <c r="H39" s="10">
        <f>IFERROR(vlookup('2.2'!G:G,lookup!$A$14:$B$16,2,false),0)</f>
        <v>5</v>
      </c>
      <c r="I39" s="10">
        <f>IFERROR(vlookup('2.2'!H:H,lookup!$A$18:$B$20,2,false),0)</f>
        <v>5</v>
      </c>
      <c r="J39" s="10">
        <f>IFERROR(vlookup('2.2'!I:I,lookup!$A$22:$B$24,2,false),0)</f>
        <v>5</v>
      </c>
      <c r="K39" s="10">
        <f>IFERROR(vlookup('2.2'!J:J,lookup!$A$26:$B$28,2,false),0)</f>
        <v>5</v>
      </c>
      <c r="L39" s="1"/>
      <c r="M39" s="10">
        <v>38.0</v>
      </c>
      <c r="N39" s="11" t="str">
        <f t="shared" si="1"/>
        <v>bnco1038@signalschool.ac.th</v>
      </c>
      <c r="O39" s="12">
        <f t="shared" si="2"/>
        <v>1</v>
      </c>
      <c r="R39" s="6" t="s">
        <v>252</v>
      </c>
    </row>
    <row r="40">
      <c r="A40" s="8">
        <f>'2.2'!A:A</f>
        <v>46213.39873</v>
      </c>
      <c r="B40" s="1" t="str">
        <f>'2.2'!B:B</f>
        <v>bnco1015@signalschool.ac.th</v>
      </c>
      <c r="C40" s="1" t="str">
        <f>'2.2'!C:C</f>
        <v>พ.ต.ไมตรี  บุญเลื่อม</v>
      </c>
      <c r="D40" s="9">
        <v>1.0</v>
      </c>
      <c r="E40" s="10">
        <f>IFERROR(vlookup('2.2'!D:D,lookup!$A$2:$B$4,2,false),0)</f>
        <v>5</v>
      </c>
      <c r="F40" s="10">
        <f>IFERROR(vlookup('2.2'!E:E,lookup!$A$6:$B$8,2,false),0)</f>
        <v>5</v>
      </c>
      <c r="G40" s="10">
        <f>IFERROR(vlookup('2.2'!F:F,lookup!$A$10:$B$12,2,false),0)</f>
        <v>5</v>
      </c>
      <c r="H40" s="10">
        <f>IFERROR(vlookup('2.2'!G:G,lookup!$A$14:$B$16,2,false),0)</f>
        <v>5</v>
      </c>
      <c r="I40" s="10">
        <f>IFERROR(vlookup('2.2'!H:H,lookup!$A$18:$B$20,2,false),0)</f>
        <v>5</v>
      </c>
      <c r="J40" s="10">
        <f>IFERROR(vlookup('2.2'!I:I,lookup!$A$22:$B$24,2,false),0)</f>
        <v>5</v>
      </c>
      <c r="K40" s="10">
        <f>IFERROR(vlookup('2.2'!J:J,lookup!$A$26:$B$28,2,false),0)</f>
        <v>5</v>
      </c>
      <c r="L40" s="1"/>
      <c r="M40" s="10">
        <v>39.0</v>
      </c>
      <c r="N40" s="11" t="str">
        <f t="shared" si="1"/>
        <v>bnco1039@signalschool.ac.th</v>
      </c>
      <c r="O40" s="12">
        <f t="shared" si="2"/>
        <v>1</v>
      </c>
      <c r="R40" s="6" t="s">
        <v>253</v>
      </c>
    </row>
    <row r="41">
      <c r="A41" s="8">
        <f>'2.2'!A:A</f>
        <v>46213.3991</v>
      </c>
      <c r="B41" s="1" t="str">
        <f>'2.2'!B:B</f>
        <v>bnco1012@signalschool.ac.th</v>
      </c>
      <c r="C41" s="1" t="str">
        <f>'2.2'!C:C</f>
        <v>ส.อ.ทนงศักดิ์  ยุงรัมย์</v>
      </c>
      <c r="D41" s="9">
        <v>1.0</v>
      </c>
      <c r="E41" s="10">
        <f>IFERROR(vlookup('2.2'!D:D,lookup!$A$2:$B$4,2,false),0)</f>
        <v>5</v>
      </c>
      <c r="F41" s="10">
        <f>IFERROR(vlookup('2.2'!E:E,lookup!$A$6:$B$8,2,false),0)</f>
        <v>5</v>
      </c>
      <c r="G41" s="10">
        <f>IFERROR(vlookup('2.2'!F:F,lookup!$A$10:$B$12,2,false),0)</f>
        <v>5</v>
      </c>
      <c r="H41" s="10">
        <f>IFERROR(vlookup('2.2'!G:G,lookup!$A$14:$B$16,2,false),0)</f>
        <v>5</v>
      </c>
      <c r="I41" s="10">
        <f>IFERROR(vlookup('2.2'!H:H,lookup!$A$18:$B$20,2,false),0)</f>
        <v>5</v>
      </c>
      <c r="J41" s="10">
        <f>IFERROR(vlookup('2.2'!I:I,lookup!$A$22:$B$24,2,false),0)</f>
        <v>5</v>
      </c>
      <c r="K41" s="10">
        <f>IFERROR(vlookup('2.2'!J:J,lookup!$A$26:$B$28,2,false),0)</f>
        <v>5</v>
      </c>
      <c r="L41" s="1"/>
      <c r="M41" s="10">
        <v>40.0</v>
      </c>
      <c r="N41" s="11" t="str">
        <f t="shared" si="1"/>
        <v>bnco1040@signalschool.ac.th</v>
      </c>
      <c r="O41" s="12">
        <f t="shared" si="2"/>
        <v>1</v>
      </c>
      <c r="R41" s="6" t="s">
        <v>254</v>
      </c>
    </row>
    <row r="42">
      <c r="A42" s="8">
        <f>'2.2'!A:A</f>
        <v>46213.39922</v>
      </c>
      <c r="B42" s="1" t="str">
        <f>'2.2'!B:B</f>
        <v>bnco1052@signalschool.ac.th</v>
      </c>
      <c r="C42" s="1" t="str">
        <f>'2.2'!C:C</f>
        <v>พ.ต. ไมตรี  บุญเหลื่อม</v>
      </c>
      <c r="D42" s="9">
        <v>1.0</v>
      </c>
      <c r="E42" s="10">
        <f>IFERROR(vlookup('2.2'!D:D,lookup!$A$2:$B$4,2,false),0)</f>
        <v>5</v>
      </c>
      <c r="F42" s="10">
        <f>IFERROR(vlookup('2.2'!E:E,lookup!$A$6:$B$8,2,false),0)</f>
        <v>5</v>
      </c>
      <c r="G42" s="10">
        <f>IFERROR(vlookup('2.2'!F:F,lookup!$A$10:$B$12,2,false),0)</f>
        <v>5</v>
      </c>
      <c r="H42" s="10">
        <f>IFERROR(vlookup('2.2'!G:G,lookup!$A$14:$B$16,2,false),0)</f>
        <v>5</v>
      </c>
      <c r="I42" s="10">
        <f>IFERROR(vlookup('2.2'!H:H,lookup!$A$18:$B$20,2,false),0)</f>
        <v>5</v>
      </c>
      <c r="J42" s="10">
        <f>IFERROR(vlookup('2.2'!I:I,lookup!$A$22:$B$24,2,false),0)</f>
        <v>5</v>
      </c>
      <c r="K42" s="10">
        <f>IFERROR(vlookup('2.2'!J:J,lookup!$A$26:$B$28,2,false),0)</f>
        <v>5</v>
      </c>
      <c r="L42" s="1"/>
      <c r="M42" s="10">
        <v>41.0</v>
      </c>
      <c r="N42" s="11" t="str">
        <f t="shared" si="1"/>
        <v>bnco1041@signalschool.ac.th</v>
      </c>
      <c r="O42" s="12">
        <f t="shared" si="2"/>
        <v>1</v>
      </c>
      <c r="R42" s="6" t="s">
        <v>255</v>
      </c>
    </row>
    <row r="43">
      <c r="A43" s="8">
        <f>'2.2'!A:A</f>
        <v>46213.39931</v>
      </c>
      <c r="B43" s="1" t="str">
        <f>'2.2'!B:B</f>
        <v>bnco1080@signalschool.ac.th</v>
      </c>
      <c r="C43" s="1" t="str">
        <f>'2.2'!C:C</f>
        <v>พ.ต.ไมตรี  บุญเหลื่ยม</v>
      </c>
      <c r="D43" s="9">
        <v>1.0</v>
      </c>
      <c r="E43" s="10">
        <f>IFERROR(vlookup('2.2'!D:D,lookup!$A$2:$B$4,2,false),0)</f>
        <v>5</v>
      </c>
      <c r="F43" s="10">
        <f>IFERROR(vlookup('2.2'!E:E,lookup!$A$6:$B$8,2,false),0)</f>
        <v>5</v>
      </c>
      <c r="G43" s="10">
        <f>IFERROR(vlookup('2.2'!F:F,lookup!$A$10:$B$12,2,false),0)</f>
        <v>5</v>
      </c>
      <c r="H43" s="10">
        <f>IFERROR(vlookup('2.2'!G:G,lookup!$A$14:$B$16,2,false),0)</f>
        <v>5</v>
      </c>
      <c r="I43" s="10">
        <f>IFERROR(vlookup('2.2'!H:H,lookup!$A$18:$B$20,2,false),0)</f>
        <v>5</v>
      </c>
      <c r="J43" s="10">
        <f>IFERROR(vlookup('2.2'!I:I,lookup!$A$22:$B$24,2,false),0)</f>
        <v>5</v>
      </c>
      <c r="K43" s="10">
        <f>IFERROR(vlookup('2.2'!J:J,lookup!$A$26:$B$28,2,false),0)</f>
        <v>5</v>
      </c>
      <c r="L43" s="1"/>
      <c r="M43" s="10">
        <v>42.0</v>
      </c>
      <c r="N43" s="11" t="str">
        <f t="shared" si="1"/>
        <v>bnco1042@signalschool.ac.th</v>
      </c>
      <c r="O43" s="12">
        <f t="shared" si="2"/>
        <v>1</v>
      </c>
      <c r="R43" s="6" t="s">
        <v>256</v>
      </c>
    </row>
    <row r="44">
      <c r="A44" s="8">
        <f>'2.2'!A:A</f>
        <v>46213.40003</v>
      </c>
      <c r="B44" s="1" t="str">
        <f>'2.2'!B:B</f>
        <v>bnco1006@signalschool.ac.th</v>
      </c>
      <c r="C44" s="1" t="str">
        <f>'2.2'!C:C</f>
        <v>ส.อ.ณัฐพงค์ ขอบพิมาย</v>
      </c>
      <c r="D44" s="9">
        <v>1.0</v>
      </c>
      <c r="E44" s="10">
        <f>IFERROR(vlookup('2.2'!D:D,lookup!$A$2:$B$4,2,false),0)</f>
        <v>5</v>
      </c>
      <c r="F44" s="10">
        <f>IFERROR(vlookup('2.2'!E:E,lookup!$A$6:$B$8,2,false),0)</f>
        <v>5</v>
      </c>
      <c r="G44" s="10">
        <f>IFERROR(vlookup('2.2'!F:F,lookup!$A$10:$B$12,2,false),0)</f>
        <v>5</v>
      </c>
      <c r="H44" s="10">
        <f>IFERROR(vlookup('2.2'!G:G,lookup!$A$14:$B$16,2,false),0)</f>
        <v>5</v>
      </c>
      <c r="I44" s="10">
        <f>IFERROR(vlookup('2.2'!H:H,lookup!$A$18:$B$20,2,false),0)</f>
        <v>5</v>
      </c>
      <c r="J44" s="10">
        <f>IFERROR(vlookup('2.2'!I:I,lookup!$A$22:$B$24,2,false),0)</f>
        <v>5</v>
      </c>
      <c r="K44" s="10">
        <f>IFERROR(vlookup('2.2'!J:J,lookup!$A$26:$B$28,2,false),0)</f>
        <v>5</v>
      </c>
      <c r="L44" s="1"/>
      <c r="M44" s="10">
        <v>43.0</v>
      </c>
      <c r="N44" s="11" t="str">
        <f t="shared" si="1"/>
        <v>bnco1043@signalschool.ac.th</v>
      </c>
      <c r="O44" s="12">
        <f t="shared" si="2"/>
        <v>1</v>
      </c>
      <c r="R44" s="6" t="s">
        <v>257</v>
      </c>
    </row>
    <row r="45">
      <c r="A45" s="8">
        <f>'2.2'!A:A</f>
        <v>46213.40076</v>
      </c>
      <c r="B45" s="1" t="str">
        <f>'2.2'!B:B</f>
        <v>bnco1027@signalschool.ac.th</v>
      </c>
      <c r="C45" s="1" t="str">
        <f>'2.2'!C:C</f>
        <v>ส.อ.ไวยวุฒิ จิตต์นิยม</v>
      </c>
      <c r="D45" s="9">
        <v>1.0</v>
      </c>
      <c r="E45" s="10">
        <f>IFERROR(vlookup('2.2'!D:D,lookup!$A$2:$B$4,2,false),0)</f>
        <v>5</v>
      </c>
      <c r="F45" s="10">
        <f>IFERROR(vlookup('2.2'!E:E,lookup!$A$6:$B$8,2,false),0)</f>
        <v>5</v>
      </c>
      <c r="G45" s="10">
        <f>IFERROR(vlookup('2.2'!F:F,lookup!$A$10:$B$12,2,false),0)</f>
        <v>5</v>
      </c>
      <c r="H45" s="10">
        <f>IFERROR(vlookup('2.2'!G:G,lookup!$A$14:$B$16,2,false),0)</f>
        <v>5</v>
      </c>
      <c r="I45" s="10">
        <f>IFERROR(vlookup('2.2'!H:H,lookup!$A$18:$B$20,2,false),0)</f>
        <v>5</v>
      </c>
      <c r="J45" s="10">
        <f>IFERROR(vlookup('2.2'!I:I,lookup!$A$22:$B$24,2,false),0)</f>
        <v>5</v>
      </c>
      <c r="K45" s="10">
        <f>IFERROR(vlookup('2.2'!J:J,lookup!$A$26:$B$28,2,false),0)</f>
        <v>5</v>
      </c>
      <c r="L45" s="1"/>
      <c r="M45" s="10">
        <v>44.0</v>
      </c>
      <c r="N45" s="11" t="str">
        <f t="shared" si="1"/>
        <v>bnco1044@signalschool.ac.th</v>
      </c>
      <c r="O45" s="12">
        <f t="shared" si="2"/>
        <v>1</v>
      </c>
      <c r="R45" s="6" t="s">
        <v>258</v>
      </c>
    </row>
    <row r="46">
      <c r="A46" s="8">
        <f>'2.2'!A:A</f>
        <v>46213.40152</v>
      </c>
      <c r="B46" s="1" t="str">
        <f>'2.2'!B:B</f>
        <v>bnco1060@signalschool.ac.th</v>
      </c>
      <c r="C46" s="1" t="str">
        <f>'2.2'!C:C</f>
        <v>พันตรี ไมตรี บุญเหลื่อม</v>
      </c>
      <c r="D46" s="9">
        <v>1.0</v>
      </c>
      <c r="E46" s="10">
        <f>IFERROR(vlookup('2.2'!D:D,lookup!$A$2:$B$4,2,false),0)</f>
        <v>5</v>
      </c>
      <c r="F46" s="10">
        <f>IFERROR(vlookup('2.2'!E:E,lookup!$A$6:$B$8,2,false),0)</f>
        <v>5</v>
      </c>
      <c r="G46" s="10">
        <f>IFERROR(vlookup('2.2'!F:F,lookup!$A$10:$B$12,2,false),0)</f>
        <v>5</v>
      </c>
      <c r="H46" s="10">
        <f>IFERROR(vlookup('2.2'!G:G,lookup!$A$14:$B$16,2,false),0)</f>
        <v>5</v>
      </c>
      <c r="I46" s="10">
        <f>IFERROR(vlookup('2.2'!H:H,lookup!$A$18:$B$20,2,false),0)</f>
        <v>5</v>
      </c>
      <c r="J46" s="10">
        <f>IFERROR(vlookup('2.2'!I:I,lookup!$A$22:$B$24,2,false),0)</f>
        <v>5</v>
      </c>
      <c r="K46" s="10">
        <f>IFERROR(vlookup('2.2'!J:J,lookup!$A$26:$B$28,2,false),0)</f>
        <v>5</v>
      </c>
      <c r="L46" s="1"/>
      <c r="M46" s="10">
        <v>45.0</v>
      </c>
      <c r="N46" s="11" t="str">
        <f t="shared" si="1"/>
        <v>bnco1045@signalschool.ac.th</v>
      </c>
      <c r="O46" s="12">
        <f t="shared" si="2"/>
        <v>1</v>
      </c>
      <c r="R46" s="6" t="s">
        <v>259</v>
      </c>
    </row>
    <row r="47">
      <c r="A47" s="8">
        <f>'2.2'!A:A</f>
        <v>46213.40159</v>
      </c>
      <c r="B47" s="1" t="str">
        <f>'2.2'!B:B</f>
        <v>bnco1068@signalschool.ac.th</v>
      </c>
      <c r="C47" s="1" t="str">
        <f>'2.2'!C:C</f>
        <v>พ.ต. ไมตรี  บุญเหลื่อม</v>
      </c>
      <c r="D47" s="9">
        <v>1.0</v>
      </c>
      <c r="E47" s="10">
        <f>IFERROR(vlookup('2.2'!D:D,lookup!$A$2:$B$4,2,false),0)</f>
        <v>5</v>
      </c>
      <c r="F47" s="10">
        <f>IFERROR(vlookup('2.2'!E:E,lookup!$A$6:$B$8,2,false),0)</f>
        <v>5</v>
      </c>
      <c r="G47" s="10">
        <f>IFERROR(vlookup('2.2'!F:F,lookup!$A$10:$B$12,2,false),0)</f>
        <v>5</v>
      </c>
      <c r="H47" s="10">
        <f>IFERROR(vlookup('2.2'!G:G,lookup!$A$14:$B$16,2,false),0)</f>
        <v>5</v>
      </c>
      <c r="I47" s="10">
        <f>IFERROR(vlookup('2.2'!H:H,lookup!$A$18:$B$20,2,false),0)</f>
        <v>5</v>
      </c>
      <c r="J47" s="10">
        <f>IFERROR(vlookup('2.2'!I:I,lookup!$A$22:$B$24,2,false),0)</f>
        <v>5</v>
      </c>
      <c r="K47" s="10">
        <f>IFERROR(vlookup('2.2'!J:J,lookup!$A$26:$B$28,2,false),0)</f>
        <v>5</v>
      </c>
      <c r="L47" s="1"/>
      <c r="M47" s="10">
        <v>46.0</v>
      </c>
      <c r="N47" s="11" t="str">
        <f t="shared" si="1"/>
        <v>bnco1046@signalschool.ac.th</v>
      </c>
      <c r="O47" s="12">
        <f t="shared" si="2"/>
        <v>1</v>
      </c>
      <c r="R47" s="6" t="s">
        <v>260</v>
      </c>
    </row>
    <row r="48">
      <c r="A48" s="8">
        <f>'2.2'!A:A</f>
        <v>46213.40214</v>
      </c>
      <c r="B48" s="1" t="str">
        <f>'2.2'!B:B</f>
        <v>bnco1067@signalschool.ac.th</v>
      </c>
      <c r="C48" s="1" t="str">
        <f>'2.2'!C:C</f>
        <v>พ.ต.ไมตรี บุญเหลื่อม</v>
      </c>
      <c r="D48" s="9">
        <v>1.0</v>
      </c>
      <c r="E48" s="10">
        <f>IFERROR(vlookup('2.2'!D:D,lookup!$A$2:$B$4,2,false),0)</f>
        <v>5</v>
      </c>
      <c r="F48" s="10">
        <f>IFERROR(vlookup('2.2'!E:E,lookup!$A$6:$B$8,2,false),0)</f>
        <v>5</v>
      </c>
      <c r="G48" s="10">
        <f>IFERROR(vlookup('2.2'!F:F,lookup!$A$10:$B$12,2,false),0)</f>
        <v>5</v>
      </c>
      <c r="H48" s="10">
        <f>IFERROR(vlookup('2.2'!G:G,lookup!$A$14:$B$16,2,false),0)</f>
        <v>5</v>
      </c>
      <c r="I48" s="10">
        <f>IFERROR(vlookup('2.2'!H:H,lookup!$A$18:$B$20,2,false),0)</f>
        <v>5</v>
      </c>
      <c r="J48" s="10">
        <f>IFERROR(vlookup('2.2'!I:I,lookup!$A$22:$B$24,2,false),0)</f>
        <v>5</v>
      </c>
      <c r="K48" s="10">
        <f>IFERROR(vlookup('2.2'!J:J,lookup!$A$26:$B$28,2,false),0)</f>
        <v>5</v>
      </c>
      <c r="L48" s="1"/>
      <c r="M48" s="10">
        <v>47.0</v>
      </c>
      <c r="N48" s="11" t="str">
        <f t="shared" si="1"/>
        <v>bnco1047@signalschool.ac.th</v>
      </c>
      <c r="O48" s="12">
        <f t="shared" si="2"/>
        <v>1</v>
      </c>
      <c r="R48" s="6" t="s">
        <v>261</v>
      </c>
    </row>
    <row r="49">
      <c r="A49" s="8">
        <f>'2.2'!A:A</f>
        <v>46213.40302</v>
      </c>
      <c r="B49" s="1" t="str">
        <f>'2.2'!B:B</f>
        <v>bnco1050@signalschool.ac.th</v>
      </c>
      <c r="C49" s="1" t="str">
        <f>'2.2'!C:C</f>
        <v>พ.ต.ไมตรี บุญเหลื่อม</v>
      </c>
      <c r="D49" s="9">
        <v>1.0</v>
      </c>
      <c r="E49" s="10">
        <f>IFERROR(vlookup('2.2'!D:D,lookup!$A$2:$B$4,2,false),0)</f>
        <v>5</v>
      </c>
      <c r="F49" s="10">
        <f>IFERROR(vlookup('2.2'!E:E,lookup!$A$6:$B$8,2,false),0)</f>
        <v>5</v>
      </c>
      <c r="G49" s="10">
        <f>IFERROR(vlookup('2.2'!F:F,lookup!$A$10:$B$12,2,false),0)</f>
        <v>5</v>
      </c>
      <c r="H49" s="10">
        <f>IFERROR(vlookup('2.2'!G:G,lookup!$A$14:$B$16,2,false),0)</f>
        <v>5</v>
      </c>
      <c r="I49" s="10">
        <f>IFERROR(vlookup('2.2'!H:H,lookup!$A$18:$B$20,2,false),0)</f>
        <v>5</v>
      </c>
      <c r="J49" s="10">
        <f>IFERROR(vlookup('2.2'!I:I,lookup!$A$22:$B$24,2,false),0)</f>
        <v>5</v>
      </c>
      <c r="K49" s="10">
        <f>IFERROR(vlookup('2.2'!J:J,lookup!$A$26:$B$28,2,false),0)</f>
        <v>5</v>
      </c>
      <c r="L49" s="1"/>
      <c r="M49" s="10">
        <v>48.0</v>
      </c>
      <c r="N49" s="11" t="str">
        <f t="shared" si="1"/>
        <v>bnco1048@signalschool.ac.th</v>
      </c>
      <c r="O49" s="12">
        <f t="shared" si="2"/>
        <v>1</v>
      </c>
      <c r="R49" s="6" t="s">
        <v>262</v>
      </c>
    </row>
    <row r="50">
      <c r="A50" s="8">
        <f>'2.2'!A:A</f>
        <v>46213.40369</v>
      </c>
      <c r="B50" s="1" t="str">
        <f>'2.2'!B:B</f>
        <v>bnco1063@signalschool.ac.th</v>
      </c>
      <c r="C50" s="1" t="str">
        <f>'2.2'!C:C</f>
        <v>พ.ต.ไมตรี บุญเหลื่อม</v>
      </c>
      <c r="D50" s="9">
        <v>1.0</v>
      </c>
      <c r="E50" s="10">
        <f>IFERROR(vlookup('2.2'!D:D,lookup!$A$2:$B$4,2,false),0)</f>
        <v>5</v>
      </c>
      <c r="F50" s="10">
        <f>IFERROR(vlookup('2.2'!E:E,lookup!$A$6:$B$8,2,false),0)</f>
        <v>5</v>
      </c>
      <c r="G50" s="10">
        <f>IFERROR(vlookup('2.2'!F:F,lookup!$A$10:$B$12,2,false),0)</f>
        <v>5</v>
      </c>
      <c r="H50" s="10">
        <f>IFERROR(vlookup('2.2'!G:G,lookup!$A$14:$B$16,2,false),0)</f>
        <v>5</v>
      </c>
      <c r="I50" s="10">
        <f>IFERROR(vlookup('2.2'!H:H,lookup!$A$18:$B$20,2,false),0)</f>
        <v>5</v>
      </c>
      <c r="J50" s="10">
        <f>IFERROR(vlookup('2.2'!I:I,lookup!$A$22:$B$24,2,false),0)</f>
        <v>5</v>
      </c>
      <c r="K50" s="10">
        <f>IFERROR(vlookup('2.2'!J:J,lookup!$A$26:$B$28,2,false),0)</f>
        <v>5</v>
      </c>
      <c r="L50" s="1"/>
      <c r="M50" s="10">
        <v>49.0</v>
      </c>
      <c r="N50" s="11" t="str">
        <f t="shared" si="1"/>
        <v>bnco1049@signalschool.ac.th</v>
      </c>
      <c r="O50" s="12">
        <f t="shared" si="2"/>
        <v>1</v>
      </c>
      <c r="R50" s="6" t="s">
        <v>263</v>
      </c>
    </row>
    <row r="51">
      <c r="A51" s="8">
        <f>'2.2'!A:A</f>
        <v>46213.40557</v>
      </c>
      <c r="B51" s="1" t="str">
        <f>'2.2'!B:B</f>
        <v>bnco1037@signalschool.ac.th</v>
      </c>
      <c r="C51" s="1" t="str">
        <f>'2.2'!C:C</f>
        <v>ส.อ.ตรีทศพล สุขวัฒนา</v>
      </c>
      <c r="D51" s="9">
        <v>1.0</v>
      </c>
      <c r="E51" s="10">
        <f>IFERROR(vlookup('2.2'!D:D,lookup!$A$2:$B$4,2,false),0)</f>
        <v>5</v>
      </c>
      <c r="F51" s="10">
        <f>IFERROR(vlookup('2.2'!E:E,lookup!$A$6:$B$8,2,false),0)</f>
        <v>5</v>
      </c>
      <c r="G51" s="10">
        <f>IFERROR(vlookup('2.2'!F:F,lookup!$A$10:$B$12,2,false),0)</f>
        <v>5</v>
      </c>
      <c r="H51" s="10">
        <f>IFERROR(vlookup('2.2'!G:G,lookup!$A$14:$B$16,2,false),0)</f>
        <v>5</v>
      </c>
      <c r="I51" s="10">
        <f>IFERROR(vlookup('2.2'!H:H,lookup!$A$18:$B$20,2,false),0)</f>
        <v>5</v>
      </c>
      <c r="J51" s="10">
        <f>IFERROR(vlookup('2.2'!I:I,lookup!$A$22:$B$24,2,false),0)</f>
        <v>5</v>
      </c>
      <c r="K51" s="10">
        <f>IFERROR(vlookup('2.2'!J:J,lookup!$A$26:$B$28,2,false),0)</f>
        <v>5</v>
      </c>
      <c r="L51" s="1"/>
      <c r="M51" s="10">
        <v>50.0</v>
      </c>
      <c r="N51" s="11" t="str">
        <f t="shared" si="1"/>
        <v>bnco1050@signalschool.ac.th</v>
      </c>
      <c r="O51" s="12">
        <f t="shared" si="2"/>
        <v>1</v>
      </c>
      <c r="R51" s="6" t="s">
        <v>264</v>
      </c>
    </row>
    <row r="52">
      <c r="A52" s="8">
        <f>'2.2'!A:A</f>
        <v>46213.40893</v>
      </c>
      <c r="B52" s="1" t="str">
        <f>'2.2'!B:B</f>
        <v>bnco1042@signalschool.ac.th</v>
      </c>
      <c r="C52" s="1" t="str">
        <f>'2.2'!C:C</f>
        <v>ส.อ.อภิเษก  แววดี</v>
      </c>
      <c r="D52" s="9">
        <v>1.0</v>
      </c>
      <c r="E52" s="10">
        <f>IFERROR(vlookup('2.2'!D:D,lookup!$A$2:$B$4,2,false),0)</f>
        <v>5</v>
      </c>
      <c r="F52" s="10">
        <f>IFERROR(vlookup('2.2'!E:E,lookup!$A$6:$B$8,2,false),0)</f>
        <v>5</v>
      </c>
      <c r="G52" s="10">
        <f>IFERROR(vlookup('2.2'!F:F,lookup!$A$10:$B$12,2,false),0)</f>
        <v>5</v>
      </c>
      <c r="H52" s="10">
        <f>IFERROR(vlookup('2.2'!G:G,lookup!$A$14:$B$16,2,false),0)</f>
        <v>5</v>
      </c>
      <c r="I52" s="10">
        <f>IFERROR(vlookup('2.2'!H:H,lookup!$A$18:$B$20,2,false),0)</f>
        <v>5</v>
      </c>
      <c r="J52" s="10">
        <f>IFERROR(vlookup('2.2'!I:I,lookup!$A$22:$B$24,2,false),0)</f>
        <v>5</v>
      </c>
      <c r="K52" s="10">
        <f>IFERROR(vlookup('2.2'!J:J,lookup!$A$26:$B$28,2,false),0)</f>
        <v>5</v>
      </c>
      <c r="L52" s="1"/>
      <c r="M52" s="10">
        <v>51.0</v>
      </c>
      <c r="N52" s="11" t="str">
        <f t="shared" si="1"/>
        <v>bnco1051@signalschool.ac.th</v>
      </c>
      <c r="O52" s="12">
        <f t="shared" si="2"/>
        <v>1</v>
      </c>
      <c r="R52" s="6" t="s">
        <v>265</v>
      </c>
    </row>
    <row r="53">
      <c r="A53" s="8">
        <f>'2.2'!A:A</f>
        <v>46213.41052</v>
      </c>
      <c r="B53" s="1" t="str">
        <f>'2.2'!B:B</f>
        <v>bnco1017@signalschool.ac.th</v>
      </c>
      <c r="C53" s="1" t="str">
        <f>'2.2'!C:C</f>
        <v>พ.ต. ไมตรี  บุญเหลื่อม</v>
      </c>
      <c r="D53" s="9">
        <v>1.0</v>
      </c>
      <c r="E53" s="10">
        <f>IFERROR(vlookup('2.2'!D:D,lookup!$A$2:$B$4,2,false),0)</f>
        <v>5</v>
      </c>
      <c r="F53" s="10">
        <f>IFERROR(vlookup('2.2'!E:E,lookup!$A$6:$B$8,2,false),0)</f>
        <v>5</v>
      </c>
      <c r="G53" s="10">
        <f>IFERROR(vlookup('2.2'!F:F,lookup!$A$10:$B$12,2,false),0)</f>
        <v>5</v>
      </c>
      <c r="H53" s="10">
        <f>IFERROR(vlookup('2.2'!G:G,lookup!$A$14:$B$16,2,false),0)</f>
        <v>5</v>
      </c>
      <c r="I53" s="10">
        <f>IFERROR(vlookup('2.2'!H:H,lookup!$A$18:$B$20,2,false),0)</f>
        <v>5</v>
      </c>
      <c r="J53" s="10">
        <f>IFERROR(vlookup('2.2'!I:I,lookup!$A$22:$B$24,2,false),0)</f>
        <v>5</v>
      </c>
      <c r="K53" s="10">
        <f>IFERROR(vlookup('2.2'!J:J,lookup!$A$26:$B$28,2,false),0)</f>
        <v>5</v>
      </c>
      <c r="L53" s="1"/>
      <c r="M53" s="10">
        <v>52.0</v>
      </c>
      <c r="N53" s="11" t="str">
        <f t="shared" si="1"/>
        <v>bnco1052@signalschool.ac.th</v>
      </c>
      <c r="O53" s="12">
        <f t="shared" si="2"/>
        <v>1</v>
      </c>
      <c r="R53" s="6" t="s">
        <v>266</v>
      </c>
    </row>
    <row r="54">
      <c r="A54" s="8">
        <f>'2.2'!A:A</f>
        <v>46213.41183</v>
      </c>
      <c r="B54" s="1" t="str">
        <f>'2.2'!B:B</f>
        <v>bnco1051@signalschool.ac.th</v>
      </c>
      <c r="C54" s="1" t="str">
        <f>'2.2'!C:C</f>
        <v>พ.ต.ไมตรี บุญเหลื่อม</v>
      </c>
      <c r="D54" s="9">
        <v>1.0</v>
      </c>
      <c r="E54" s="10">
        <f>IFERROR(vlookup('2.2'!D:D,lookup!$A$2:$B$4,2,false),0)</f>
        <v>5</v>
      </c>
      <c r="F54" s="10">
        <f>IFERROR(vlookup('2.2'!E:E,lookup!$A$6:$B$8,2,false),0)</f>
        <v>5</v>
      </c>
      <c r="G54" s="10">
        <f>IFERROR(vlookup('2.2'!F:F,lookup!$A$10:$B$12,2,false),0)</f>
        <v>5</v>
      </c>
      <c r="H54" s="10">
        <f>IFERROR(vlookup('2.2'!G:G,lookup!$A$14:$B$16,2,false),0)</f>
        <v>5</v>
      </c>
      <c r="I54" s="10">
        <f>IFERROR(vlookup('2.2'!H:H,lookup!$A$18:$B$20,2,false),0)</f>
        <v>5</v>
      </c>
      <c r="J54" s="10">
        <f>IFERROR(vlookup('2.2'!I:I,lookup!$A$22:$B$24,2,false),0)</f>
        <v>5</v>
      </c>
      <c r="K54" s="10">
        <f>IFERROR(vlookup('2.2'!J:J,lookup!$A$26:$B$28,2,false),0)</f>
        <v>5</v>
      </c>
      <c r="L54" s="1"/>
      <c r="M54" s="10">
        <v>53.0</v>
      </c>
      <c r="N54" s="11" t="str">
        <f t="shared" si="1"/>
        <v>bnco1053@signalschool.ac.th</v>
      </c>
      <c r="O54" s="12">
        <f t="shared" si="2"/>
        <v>1</v>
      </c>
      <c r="R54" s="6" t="s">
        <v>267</v>
      </c>
    </row>
    <row r="55">
      <c r="A55" s="8">
        <f>'2.2'!A:A</f>
        <v>46213.41244</v>
      </c>
      <c r="B55" s="1" t="str">
        <f>'2.2'!B:B</f>
        <v>bnco1023@signalschool.ac.th</v>
      </c>
      <c r="C55" s="1" t="str">
        <f>'2.2'!C:C</f>
        <v>ส.อ.วีรภัทร ป้อมบุญมี</v>
      </c>
      <c r="D55" s="9">
        <v>1.0</v>
      </c>
      <c r="E55" s="10">
        <f>IFERROR(vlookup('2.2'!D:D,lookup!$A$2:$B$4,2,false),0)</f>
        <v>3</v>
      </c>
      <c r="F55" s="10">
        <f>IFERROR(vlookup('2.2'!E:E,lookup!$A$6:$B$8,2,false),0)</f>
        <v>5</v>
      </c>
      <c r="G55" s="10">
        <f>IFERROR(vlookup('2.2'!F:F,lookup!$A$10:$B$12,2,false),0)</f>
        <v>5</v>
      </c>
      <c r="H55" s="10">
        <f>IFERROR(vlookup('2.2'!G:G,lookup!$A$14:$B$16,2,false),0)</f>
        <v>5</v>
      </c>
      <c r="I55" s="10">
        <f>IFERROR(vlookup('2.2'!H:H,lookup!$A$18:$B$20,2,false),0)</f>
        <v>5</v>
      </c>
      <c r="J55" s="10">
        <f>IFERROR(vlookup('2.2'!I:I,lookup!$A$22:$B$24,2,false),0)</f>
        <v>5</v>
      </c>
      <c r="K55" s="10">
        <f>IFERROR(vlookup('2.2'!J:J,lookup!$A$26:$B$28,2,false),0)</f>
        <v>5</v>
      </c>
      <c r="L55" s="1"/>
      <c r="M55" s="10">
        <v>54.0</v>
      </c>
      <c r="N55" s="11" t="str">
        <f t="shared" si="1"/>
        <v>bnco1054@signalschool.ac.th</v>
      </c>
      <c r="O55" s="12">
        <f t="shared" si="2"/>
        <v>1</v>
      </c>
      <c r="R55" s="6" t="s">
        <v>268</v>
      </c>
    </row>
    <row r="56">
      <c r="A56" s="8">
        <f>'2.2'!A:A</f>
        <v>46213.41504</v>
      </c>
      <c r="B56" s="1" t="str">
        <f>'2.2'!B:B</f>
        <v>bnco1046@signalschool.ac.th</v>
      </c>
      <c r="C56" s="1" t="str">
        <f>'2.2'!C:C</f>
        <v>พ.ต. ไมตรี บุญเหลื่อม</v>
      </c>
      <c r="D56" s="9">
        <v>1.0</v>
      </c>
      <c r="E56" s="10">
        <f>IFERROR(vlookup('2.2'!D:D,lookup!$A$2:$B$4,2,false),0)</f>
        <v>5</v>
      </c>
      <c r="F56" s="10">
        <f>IFERROR(vlookup('2.2'!E:E,lookup!$A$6:$B$8,2,false),0)</f>
        <v>5</v>
      </c>
      <c r="G56" s="10">
        <f>IFERROR(vlookup('2.2'!F:F,lookup!$A$10:$B$12,2,false),0)</f>
        <v>5</v>
      </c>
      <c r="H56" s="10">
        <f>IFERROR(vlookup('2.2'!G:G,lookup!$A$14:$B$16,2,false),0)</f>
        <v>5</v>
      </c>
      <c r="I56" s="10">
        <f>IFERROR(vlookup('2.2'!H:H,lookup!$A$18:$B$20,2,false),0)</f>
        <v>5</v>
      </c>
      <c r="J56" s="10">
        <f>IFERROR(vlookup('2.2'!I:I,lookup!$A$22:$B$24,2,false),0)</f>
        <v>5</v>
      </c>
      <c r="K56" s="10">
        <f>IFERROR(vlookup('2.2'!J:J,lookup!$A$26:$B$28,2,false),0)</f>
        <v>5</v>
      </c>
      <c r="L56" s="13"/>
      <c r="M56" s="10">
        <v>55.0</v>
      </c>
      <c r="N56" s="11" t="str">
        <f t="shared" si="1"/>
        <v>bnco1055@signalschool.ac.th</v>
      </c>
      <c r="O56" s="12">
        <f t="shared" si="2"/>
        <v>1</v>
      </c>
      <c r="R56" s="6" t="s">
        <v>269</v>
      </c>
    </row>
    <row r="57">
      <c r="A57" s="8">
        <f>'2.2'!A:A</f>
        <v>46213.41694</v>
      </c>
      <c r="B57" s="1" t="str">
        <f>'2.2'!B:B</f>
        <v>bnco1076@signalschool.ac.th</v>
      </c>
      <c r="C57" s="1" t="str">
        <f>'2.2'!C:C</f>
        <v>พ.ต. ไมตรี  บุญเหลื่อม</v>
      </c>
      <c r="D57" s="9">
        <v>1.0</v>
      </c>
      <c r="E57" s="10">
        <f>IFERROR(vlookup('2.2'!D:D,lookup!$A$2:$B$4,2,false),0)</f>
        <v>5</v>
      </c>
      <c r="F57" s="10">
        <f>IFERROR(vlookup('2.2'!E:E,lookup!$A$6:$B$8,2,false),0)</f>
        <v>5</v>
      </c>
      <c r="G57" s="10">
        <f>IFERROR(vlookup('2.2'!F:F,lookup!$A$10:$B$12,2,false),0)</f>
        <v>5</v>
      </c>
      <c r="H57" s="10">
        <f>IFERROR(vlookup('2.2'!G:G,lookup!$A$14:$B$16,2,false),0)</f>
        <v>5</v>
      </c>
      <c r="I57" s="10">
        <f>IFERROR(vlookup('2.2'!H:H,lookup!$A$18:$B$20,2,false),0)</f>
        <v>5</v>
      </c>
      <c r="J57" s="10">
        <f>IFERROR(vlookup('2.2'!I:I,lookup!$A$22:$B$24,2,false),0)</f>
        <v>5</v>
      </c>
      <c r="K57" s="10">
        <f>IFERROR(vlookup('2.2'!J:J,lookup!$A$26:$B$28,2,false),0)</f>
        <v>5</v>
      </c>
      <c r="L57" s="13"/>
      <c r="M57" s="10">
        <v>56.0</v>
      </c>
      <c r="N57" s="11" t="str">
        <f t="shared" si="1"/>
        <v>bnco1056@signalschool.ac.th</v>
      </c>
      <c r="O57" s="12">
        <f t="shared" si="2"/>
        <v>1</v>
      </c>
      <c r="R57" s="6" t="s">
        <v>270</v>
      </c>
    </row>
    <row r="58">
      <c r="A58" s="8">
        <f>'2.2'!A:A</f>
        <v>46213.42089</v>
      </c>
      <c r="B58" s="1" t="str">
        <f>'2.2'!B:B</f>
        <v>bnco1031@signalschool.ac.th</v>
      </c>
      <c r="C58" s="1" t="str">
        <f>'2.2'!C:C</f>
        <v>พ.ต. ไมตรี  บุญเหลื่อม</v>
      </c>
      <c r="D58" s="9">
        <v>1.0</v>
      </c>
      <c r="E58" s="10">
        <f>IFERROR(vlookup('2.2'!D:D,lookup!$A$2:$B$4,2,false),0)</f>
        <v>5</v>
      </c>
      <c r="F58" s="10">
        <f>IFERROR(vlookup('2.2'!E:E,lookup!$A$6:$B$8,2,false),0)</f>
        <v>5</v>
      </c>
      <c r="G58" s="10">
        <f>IFERROR(vlookup('2.2'!F:F,lookup!$A$10:$B$12,2,false),0)</f>
        <v>5</v>
      </c>
      <c r="H58" s="10">
        <f>IFERROR(vlookup('2.2'!G:G,lookup!$A$14:$B$16,2,false),0)</f>
        <v>5</v>
      </c>
      <c r="I58" s="10">
        <f>IFERROR(vlookup('2.2'!H:H,lookup!$A$18:$B$20,2,false),0)</f>
        <v>5</v>
      </c>
      <c r="J58" s="10">
        <f>IFERROR(vlookup('2.2'!I:I,lookup!$A$22:$B$24,2,false),0)</f>
        <v>5</v>
      </c>
      <c r="K58" s="10">
        <f>IFERROR(vlookup('2.2'!J:J,lookup!$A$26:$B$28,2,false),0)</f>
        <v>5</v>
      </c>
      <c r="L58" s="13"/>
      <c r="M58" s="10">
        <v>57.0</v>
      </c>
      <c r="N58" s="11" t="str">
        <f t="shared" si="1"/>
        <v>bnco1057@signalschool.ac.th</v>
      </c>
      <c r="O58" s="12">
        <f t="shared" si="2"/>
        <v>1</v>
      </c>
      <c r="R58" s="6" t="s">
        <v>271</v>
      </c>
    </row>
    <row r="59">
      <c r="A59" s="8">
        <f>'2.2'!A:A</f>
        <v>46213.4255</v>
      </c>
      <c r="B59" s="1" t="str">
        <f>'2.2'!B:B</f>
        <v>bnco1054@signalschool.ac.th</v>
      </c>
      <c r="C59" s="1" t="str">
        <f>'2.2'!C:C</f>
        <v>พ.ต.ไมตรี บุญเหลื่อม</v>
      </c>
      <c r="D59" s="9">
        <v>1.0</v>
      </c>
      <c r="E59" s="10">
        <f>IFERROR(vlookup('2.2'!D:D,lookup!$A$2:$B$4,2,false),0)</f>
        <v>5</v>
      </c>
      <c r="F59" s="10">
        <f>IFERROR(vlookup('2.2'!E:E,lookup!$A$6:$B$8,2,false),0)</f>
        <v>5</v>
      </c>
      <c r="G59" s="10">
        <f>IFERROR(vlookup('2.2'!F:F,lookup!$A$10:$B$12,2,false),0)</f>
        <v>5</v>
      </c>
      <c r="H59" s="10">
        <f>IFERROR(vlookup('2.2'!G:G,lookup!$A$14:$B$16,2,false),0)</f>
        <v>5</v>
      </c>
      <c r="I59" s="10">
        <f>IFERROR(vlookup('2.2'!H:H,lookup!$A$18:$B$20,2,false),0)</f>
        <v>5</v>
      </c>
      <c r="J59" s="10">
        <f>IFERROR(vlookup('2.2'!I:I,lookup!$A$22:$B$24,2,false),0)</f>
        <v>3</v>
      </c>
      <c r="K59" s="10">
        <f>IFERROR(vlookup('2.2'!J:J,lookup!$A$26:$B$28,2,false),0)</f>
        <v>3</v>
      </c>
      <c r="L59" s="14"/>
      <c r="M59" s="10">
        <v>58.0</v>
      </c>
      <c r="N59" s="11" t="str">
        <f t="shared" si="1"/>
        <v>bnco1058@signalschool.ac.th</v>
      </c>
      <c r="O59" s="12">
        <f t="shared" si="2"/>
        <v>1</v>
      </c>
      <c r="R59" s="6" t="s">
        <v>272</v>
      </c>
    </row>
    <row r="60">
      <c r="A60" s="8">
        <f>'2.2'!A:A</f>
        <v>46213.42857</v>
      </c>
      <c r="B60" s="1" t="str">
        <f>'2.2'!B:B</f>
        <v>bnco1055@signalschool.ac.th</v>
      </c>
      <c r="C60" s="1" t="str">
        <f>'2.2'!C:C</f>
        <v>พ.ต.ไมตรี บุญเหลื่อม</v>
      </c>
      <c r="D60" s="9">
        <v>1.0</v>
      </c>
      <c r="E60" s="10">
        <f>IFERROR(vlookup('2.2'!D:D,lookup!$A$2:$B$4,2,false),0)</f>
        <v>5</v>
      </c>
      <c r="F60" s="10">
        <f>IFERROR(vlookup('2.2'!E:E,lookup!$A$6:$B$8,2,false),0)</f>
        <v>5</v>
      </c>
      <c r="G60" s="10">
        <f>IFERROR(vlookup('2.2'!F:F,lookup!$A$10:$B$12,2,false),0)</f>
        <v>5</v>
      </c>
      <c r="H60" s="10">
        <f>IFERROR(vlookup('2.2'!G:G,lookup!$A$14:$B$16,2,false),0)</f>
        <v>5</v>
      </c>
      <c r="I60" s="10">
        <f>IFERROR(vlookup('2.2'!H:H,lookup!$A$18:$B$20,2,false),0)</f>
        <v>5</v>
      </c>
      <c r="J60" s="10">
        <f>IFERROR(vlookup('2.2'!I:I,lookup!$A$22:$B$24,2,false),0)</f>
        <v>5</v>
      </c>
      <c r="K60" s="10">
        <f>IFERROR(vlookup('2.2'!J:J,lookup!$A$26:$B$28,2,false),0)</f>
        <v>5</v>
      </c>
      <c r="L60" s="10"/>
      <c r="M60" s="10">
        <v>59.0</v>
      </c>
      <c r="N60" s="11" t="str">
        <f t="shared" si="1"/>
        <v>bnco1059@signalschool.ac.th</v>
      </c>
      <c r="O60" s="12">
        <f t="shared" si="2"/>
        <v>1</v>
      </c>
      <c r="R60" s="6" t="s">
        <v>273</v>
      </c>
    </row>
    <row r="61">
      <c r="A61" s="8">
        <f>'2.2'!A:A</f>
        <v>46213.43</v>
      </c>
      <c r="B61" s="1" t="str">
        <f>'2.2'!B:B</f>
        <v>bnco1030@signalschool.ac.th</v>
      </c>
      <c r="C61" s="1" t="str">
        <f>'2.2'!C:C</f>
        <v>พ.ต.ไมตรี บุญเหลื่อม</v>
      </c>
      <c r="D61" s="9">
        <v>1.0</v>
      </c>
      <c r="E61" s="10">
        <f>IFERROR(vlookup('2.2'!D:D,lookup!$A$2:$B$4,2,false),0)</f>
        <v>5</v>
      </c>
      <c r="F61" s="10">
        <f>IFERROR(vlookup('2.2'!E:E,lookup!$A$6:$B$8,2,false),0)</f>
        <v>5</v>
      </c>
      <c r="G61" s="10">
        <f>IFERROR(vlookup('2.2'!F:F,lookup!$A$10:$B$12,2,false),0)</f>
        <v>5</v>
      </c>
      <c r="H61" s="10">
        <f>IFERROR(vlookup('2.2'!G:G,lookup!$A$14:$B$16,2,false),0)</f>
        <v>5</v>
      </c>
      <c r="I61" s="10">
        <f>IFERROR(vlookup('2.2'!H:H,lookup!$A$18:$B$20,2,false),0)</f>
        <v>5</v>
      </c>
      <c r="J61" s="10">
        <f>IFERROR(vlookup('2.2'!I:I,lookup!$A$22:$B$24,2,false),0)</f>
        <v>5</v>
      </c>
      <c r="K61" s="10">
        <f>IFERROR(vlookup('2.2'!J:J,lookup!$A$26:$B$28,2,false),0)</f>
        <v>5</v>
      </c>
      <c r="M61" s="10">
        <v>60.0</v>
      </c>
      <c r="N61" s="11" t="str">
        <f t="shared" si="1"/>
        <v>bnco1060@signalschool.ac.th</v>
      </c>
      <c r="O61" s="12">
        <f t="shared" si="2"/>
        <v>1</v>
      </c>
      <c r="R61" s="6" t="s">
        <v>274</v>
      </c>
    </row>
    <row r="62">
      <c r="A62" s="8">
        <f>'2.2'!A:A</f>
        <v>46213.43066</v>
      </c>
      <c r="B62" s="1" t="str">
        <f>'2.2'!B:B</f>
        <v>bnco1010@signalschool.ac.th</v>
      </c>
      <c r="C62" s="1" t="str">
        <f>'2.2'!C:C</f>
        <v>พ.ต. ไมตรี  บุญเหลื่อม</v>
      </c>
      <c r="D62" s="9">
        <v>1.0</v>
      </c>
      <c r="E62" s="10">
        <f>IFERROR(vlookup('2.2'!D:D,lookup!$A$2:$B$4,2,false),0)</f>
        <v>5</v>
      </c>
      <c r="F62" s="10">
        <f>IFERROR(vlookup('2.2'!E:E,lookup!$A$6:$B$8,2,false),0)</f>
        <v>5</v>
      </c>
      <c r="G62" s="10">
        <f>IFERROR(vlookup('2.2'!F:F,lookup!$A$10:$B$12,2,false),0)</f>
        <v>5</v>
      </c>
      <c r="H62" s="10">
        <f>IFERROR(vlookup('2.2'!G:G,lookup!$A$14:$B$16,2,false),0)</f>
        <v>5</v>
      </c>
      <c r="I62" s="10">
        <f>IFERROR(vlookup('2.2'!H:H,lookup!$A$18:$B$20,2,false),0)</f>
        <v>5</v>
      </c>
      <c r="J62" s="10">
        <f>IFERROR(vlookup('2.2'!I:I,lookup!$A$22:$B$24,2,false),0)</f>
        <v>5</v>
      </c>
      <c r="K62" s="10">
        <f>IFERROR(vlookup('2.2'!J:J,lookup!$A$26:$B$28,2,false),0)</f>
        <v>5</v>
      </c>
      <c r="M62" s="10">
        <v>61.0</v>
      </c>
      <c r="N62" s="11" t="str">
        <f t="shared" si="1"/>
        <v>bnco1061@signalschool.ac.th</v>
      </c>
      <c r="O62" s="12">
        <f t="shared" si="2"/>
        <v>1</v>
      </c>
      <c r="R62" s="6" t="s">
        <v>275</v>
      </c>
    </row>
    <row r="63">
      <c r="A63" s="8">
        <f>'2.2'!A:A</f>
        <v>46213.45636</v>
      </c>
      <c r="B63" s="1" t="str">
        <f>'2.2'!B:B</f>
        <v>bnco1048@signalschool.ac.th</v>
      </c>
      <c r="C63" s="1" t="str">
        <f>'2.2'!C:C</f>
        <v>พ.ต. ไมตรี  บุญเหลื่อม</v>
      </c>
      <c r="D63" s="9">
        <v>1.0</v>
      </c>
      <c r="E63" s="10">
        <f>IFERROR(vlookup('2.2'!D:D,lookup!$A$2:$B$4,2,false),0)</f>
        <v>5</v>
      </c>
      <c r="F63" s="10">
        <f>IFERROR(vlookup('2.2'!E:E,lookup!$A$6:$B$8,2,false),0)</f>
        <v>5</v>
      </c>
      <c r="G63" s="10">
        <f>IFERROR(vlookup('2.2'!F:F,lookup!$A$10:$B$12,2,false),0)</f>
        <v>5</v>
      </c>
      <c r="H63" s="10">
        <f>IFERROR(vlookup('2.2'!G:G,lookup!$A$14:$B$16,2,false),0)</f>
        <v>5</v>
      </c>
      <c r="I63" s="10">
        <f>IFERROR(vlookup('2.2'!H:H,lookup!$A$18:$B$20,2,false),0)</f>
        <v>5</v>
      </c>
      <c r="J63" s="10">
        <f>IFERROR(vlookup('2.2'!I:I,lookup!$A$22:$B$24,2,false),0)</f>
        <v>5</v>
      </c>
      <c r="K63" s="10">
        <f>IFERROR(vlookup('2.2'!J:J,lookup!$A$26:$B$28,2,false),0)</f>
        <v>5</v>
      </c>
      <c r="M63" s="10">
        <v>62.0</v>
      </c>
      <c r="N63" s="11" t="str">
        <f t="shared" si="1"/>
        <v>bnco1062@signalschool.ac.th</v>
      </c>
      <c r="O63" s="12">
        <f t="shared" si="2"/>
        <v>1</v>
      </c>
      <c r="R63" s="6" t="s">
        <v>276</v>
      </c>
    </row>
    <row r="64">
      <c r="A64" s="8">
        <f>'2.2'!A:A</f>
        <v>46213.49908</v>
      </c>
      <c r="B64" s="1" t="str">
        <f>'2.2'!B:B</f>
        <v>bnco1020@signalschool.ac.th</v>
      </c>
      <c r="C64" s="1" t="str">
        <f>'2.2'!C:C</f>
        <v>พ.ต. ไมตรี  บุญเหลื่อม</v>
      </c>
      <c r="D64" s="9">
        <v>1.0</v>
      </c>
      <c r="E64" s="10">
        <f>IFERROR(vlookup('2.2'!D:D,lookup!$A$2:$B$4,2,false),0)</f>
        <v>5</v>
      </c>
      <c r="F64" s="10">
        <f>IFERROR(vlookup('2.2'!E:E,lookup!$A$6:$B$8,2,false),0)</f>
        <v>5</v>
      </c>
      <c r="G64" s="10">
        <f>IFERROR(vlookup('2.2'!F:F,lookup!$A$10:$B$12,2,false),0)</f>
        <v>5</v>
      </c>
      <c r="H64" s="10">
        <f>IFERROR(vlookup('2.2'!G:G,lookup!$A$14:$B$16,2,false),0)</f>
        <v>5</v>
      </c>
      <c r="I64" s="10">
        <f>IFERROR(vlookup('2.2'!H:H,lookup!$A$18:$B$20,2,false),0)</f>
        <v>5</v>
      </c>
      <c r="J64" s="10">
        <f>IFERROR(vlookup('2.2'!I:I,lookup!$A$22:$B$24,2,false),0)</f>
        <v>5</v>
      </c>
      <c r="K64" s="10">
        <f>IFERROR(vlookup('2.2'!J:J,lookup!$A$26:$B$28,2,false),0)</f>
        <v>5</v>
      </c>
      <c r="M64" s="10">
        <v>63.0</v>
      </c>
      <c r="N64" s="11" t="str">
        <f t="shared" si="1"/>
        <v>bnco1063@signalschool.ac.th</v>
      </c>
      <c r="O64" s="12">
        <f t="shared" si="2"/>
        <v>1</v>
      </c>
      <c r="R64" s="6" t="s">
        <v>277</v>
      </c>
    </row>
    <row r="65">
      <c r="A65" s="8">
        <f>'2.2'!A:A</f>
        <v>46213.5117</v>
      </c>
      <c r="B65" s="1" t="str">
        <f>'2.2'!B:B</f>
        <v>bnco1021@signalschool.ac.th</v>
      </c>
      <c r="C65" s="1" t="str">
        <f>'2.2'!C:C</f>
        <v>พ.ต. ไมตรี  บุญเหลื่อม</v>
      </c>
      <c r="D65" s="9">
        <v>1.0</v>
      </c>
      <c r="E65" s="10">
        <f>IFERROR(vlookup('2.2'!D:D,lookup!$A$2:$B$4,2,false),0)</f>
        <v>5</v>
      </c>
      <c r="F65" s="10">
        <f>IFERROR(vlookup('2.2'!E:E,lookup!$A$6:$B$8,2,false),0)</f>
        <v>5</v>
      </c>
      <c r="G65" s="10">
        <f>IFERROR(vlookup('2.2'!F:F,lookup!$A$10:$B$12,2,false),0)</f>
        <v>5</v>
      </c>
      <c r="H65" s="10">
        <f>IFERROR(vlookup('2.2'!G:G,lookup!$A$14:$B$16,2,false),0)</f>
        <v>5</v>
      </c>
      <c r="I65" s="10">
        <f>IFERROR(vlookup('2.2'!H:H,lookup!$A$18:$B$20,2,false),0)</f>
        <v>5</v>
      </c>
      <c r="J65" s="10">
        <f>IFERROR(vlookup('2.2'!I:I,lookup!$A$22:$B$24,2,false),0)</f>
        <v>5</v>
      </c>
      <c r="K65" s="10">
        <f>IFERROR(vlookup('2.2'!J:J,lookup!$A$26:$B$28,2,false),0)</f>
        <v>5</v>
      </c>
      <c r="M65" s="10">
        <v>64.0</v>
      </c>
      <c r="N65" s="11" t="str">
        <f t="shared" si="1"/>
        <v>bnco1064@signalschool.ac.th</v>
      </c>
      <c r="O65" s="12">
        <f t="shared" si="2"/>
        <v>1</v>
      </c>
      <c r="R65" s="6" t="s">
        <v>278</v>
      </c>
    </row>
    <row r="66">
      <c r="A66" s="8">
        <f>'2.2'!A:A</f>
        <v>46214.47542</v>
      </c>
      <c r="B66" s="1" t="str">
        <f>'2.2'!B:B</f>
        <v>bnco1034@signalschool.ac.th</v>
      </c>
      <c r="C66" s="1" t="str">
        <f>'2.2'!C:C</f>
        <v>ส.อ.ภัคณวัตร ฮวดประสิทธิ์ </v>
      </c>
      <c r="D66" s="9">
        <v>1.0</v>
      </c>
      <c r="E66" s="10">
        <f>IFERROR(vlookup('2.2'!D:D,lookup!$A$2:$B$4,2,false),0)</f>
        <v>3</v>
      </c>
      <c r="F66" s="10">
        <f>IFERROR(vlookup('2.2'!E:E,lookup!$A$6:$B$8,2,false),0)</f>
        <v>5</v>
      </c>
      <c r="G66" s="10">
        <f>IFERROR(vlookup('2.2'!F:F,lookup!$A$10:$B$12,2,false),0)</f>
        <v>5</v>
      </c>
      <c r="H66" s="10">
        <f>IFERROR(vlookup('2.2'!G:G,lookup!$A$14:$B$16,2,false),0)</f>
        <v>5</v>
      </c>
      <c r="I66" s="10">
        <f>IFERROR(vlookup('2.2'!H:H,lookup!$A$18:$B$20,2,false),0)</f>
        <v>5</v>
      </c>
      <c r="J66" s="10">
        <f>IFERROR(vlookup('2.2'!I:I,lookup!$A$22:$B$24,2,false),0)</f>
        <v>5</v>
      </c>
      <c r="K66" s="10">
        <f>IFERROR(vlookup('2.2'!J:J,lookup!$A$26:$B$28,2,false),0)</f>
        <v>5</v>
      </c>
      <c r="M66" s="10">
        <v>65.0</v>
      </c>
      <c r="N66" s="11" t="str">
        <f t="shared" si="1"/>
        <v>bnco1065@signalschool.ac.th</v>
      </c>
      <c r="O66" s="12">
        <f t="shared" si="2"/>
        <v>0</v>
      </c>
      <c r="R66" s="6" t="s">
        <v>279</v>
      </c>
    </row>
    <row r="67">
      <c r="A67" s="8">
        <f>'2.2'!A:A</f>
        <v>46217.99873</v>
      </c>
      <c r="B67" s="1" t="str">
        <f>'2.2'!B:B</f>
        <v>bnco1075@signalschool.ac.th</v>
      </c>
      <c r="C67" s="1" t="str">
        <f>'2.2'!C:C</f>
        <v>พ.ต. ไมตรี  บุญเหลื่อม</v>
      </c>
      <c r="D67" s="9">
        <v>1.0</v>
      </c>
      <c r="E67" s="10">
        <f>IFERROR(vlookup('2.2'!D:D,lookup!$A$2:$B$4,2,false),0)</f>
        <v>5</v>
      </c>
      <c r="F67" s="10">
        <f>IFERROR(vlookup('2.2'!E:E,lookup!$A$6:$B$8,2,false),0)</f>
        <v>5</v>
      </c>
      <c r="G67" s="10">
        <f>IFERROR(vlookup('2.2'!F:F,lookup!$A$10:$B$12,2,false),0)</f>
        <v>5</v>
      </c>
      <c r="H67" s="10">
        <f>IFERROR(vlookup('2.2'!G:G,lookup!$A$14:$B$16,2,false),0)</f>
        <v>5</v>
      </c>
      <c r="I67" s="10">
        <f>IFERROR(vlookup('2.2'!H:H,lookup!$A$18:$B$20,2,false),0)</f>
        <v>5</v>
      </c>
      <c r="J67" s="10">
        <f>IFERROR(vlookup('2.2'!I:I,lookup!$A$22:$B$24,2,false),0)</f>
        <v>5</v>
      </c>
      <c r="K67" s="10">
        <f>IFERROR(vlookup('2.2'!J:J,lookup!$A$26:$B$28,2,false),0)</f>
        <v>5</v>
      </c>
      <c r="M67" s="10">
        <v>66.0</v>
      </c>
      <c r="N67" s="11" t="str">
        <f t="shared" si="1"/>
        <v>bnco1066@signalschool.ac.th</v>
      </c>
      <c r="O67" s="12">
        <f t="shared" si="2"/>
        <v>1</v>
      </c>
      <c r="R67" s="6" t="s">
        <v>280</v>
      </c>
    </row>
    <row r="68">
      <c r="A68" s="8">
        <f>'2.2'!A:A</f>
        <v>46262.43293</v>
      </c>
      <c r="B68" s="1" t="str">
        <f>'2.2'!B:B</f>
        <v>bnco1041@signalschool.ac.th</v>
      </c>
      <c r="C68" s="1" t="str">
        <f>'2.2'!C:C</f>
        <v>พ.ต.ไมตรี บุญเหลื่อม</v>
      </c>
      <c r="D68" s="9">
        <v>1.0</v>
      </c>
      <c r="E68" s="10">
        <f>IFERROR(vlookup('2.2'!D:D,lookup!$A$2:$B$4,2,false),0)</f>
        <v>5</v>
      </c>
      <c r="F68" s="10">
        <f>IFERROR(vlookup('2.2'!E:E,lookup!$A$6:$B$8,2,false),0)</f>
        <v>5</v>
      </c>
      <c r="G68" s="10">
        <f>IFERROR(vlookup('2.2'!F:F,lookup!$A$10:$B$12,2,false),0)</f>
        <v>5</v>
      </c>
      <c r="H68" s="10">
        <f>IFERROR(vlookup('2.2'!G:G,lookup!$A$14:$B$16,2,false),0)</f>
        <v>5</v>
      </c>
      <c r="I68" s="10">
        <f>IFERROR(vlookup('2.2'!H:H,lookup!$A$18:$B$20,2,false),0)</f>
        <v>5</v>
      </c>
      <c r="J68" s="10">
        <f>IFERROR(vlookup('2.2'!I:I,lookup!$A$22:$B$24,2,false),0)</f>
        <v>5</v>
      </c>
      <c r="K68" s="10">
        <f>IFERROR(vlookup('2.2'!J:J,lookup!$A$26:$B$28,2,false),0)</f>
        <v>5</v>
      </c>
      <c r="M68" s="10">
        <v>67.0</v>
      </c>
      <c r="N68" s="11" t="str">
        <f t="shared" si="1"/>
        <v>bnco1067@signalschool.ac.th</v>
      </c>
      <c r="O68" s="12">
        <f t="shared" si="2"/>
        <v>1</v>
      </c>
      <c r="R68" s="6" t="s">
        <v>281</v>
      </c>
    </row>
    <row r="69">
      <c r="A69" s="8">
        <f>'2.2'!A:A</f>
        <v>46262.45503</v>
      </c>
      <c r="B69" s="1" t="str">
        <f>'2.2'!B:B</f>
        <v>bnco1070@signalschool.ac.th</v>
      </c>
      <c r="C69" s="1" t="str">
        <f>'2.2'!C:C</f>
        <v>พ.ต.ไมตรี บุญเหลี่ยม</v>
      </c>
      <c r="D69" s="9">
        <v>1.0</v>
      </c>
      <c r="E69" s="10">
        <f>IFERROR(vlookup('2.2'!D:D,lookup!$A$2:$B$4,2,false),0)</f>
        <v>5</v>
      </c>
      <c r="F69" s="10">
        <f>IFERROR(vlookup('2.2'!E:E,lookup!$A$6:$B$8,2,false),0)</f>
        <v>3</v>
      </c>
      <c r="G69" s="10">
        <f>IFERROR(vlookup('2.2'!F:F,lookup!$A$10:$B$12,2,false),0)</f>
        <v>3</v>
      </c>
      <c r="H69" s="10">
        <f>IFERROR(vlookup('2.2'!G:G,lookup!$A$14:$B$16,2,false),0)</f>
        <v>5</v>
      </c>
      <c r="I69" s="10">
        <f>IFERROR(vlookup('2.2'!H:H,lookup!$A$18:$B$20,2,false),0)</f>
        <v>5</v>
      </c>
      <c r="J69" s="10">
        <f>IFERROR(vlookup('2.2'!I:I,lookup!$A$22:$B$24,2,false),0)</f>
        <v>5</v>
      </c>
      <c r="K69" s="10">
        <f>IFERROR(vlookup('2.2'!J:J,lookup!$A$26:$B$28,2,false),0)</f>
        <v>5</v>
      </c>
      <c r="M69" s="10">
        <v>68.0</v>
      </c>
      <c r="N69" s="11" t="str">
        <f t="shared" si="1"/>
        <v>bnco1068@signalschool.ac.th</v>
      </c>
      <c r="O69" s="12">
        <f t="shared" si="2"/>
        <v>1</v>
      </c>
      <c r="R69" s="6" t="s">
        <v>282</v>
      </c>
    </row>
    <row r="70">
      <c r="A70" s="8">
        <f>'2.2'!A:A</f>
        <v>46262.48838</v>
      </c>
      <c r="B70" s="1" t="str">
        <f>'2.2'!B:B</f>
        <v>bnco1032@signalschool.ac.th</v>
      </c>
      <c r="C70" s="1" t="str">
        <f>'2.2'!C:C</f>
        <v>พ.ต.ไมตรี บุญเหลื่อม</v>
      </c>
      <c r="D70" s="9">
        <v>1.0</v>
      </c>
      <c r="E70" s="10">
        <f>IFERROR(vlookup('2.2'!D:D,lookup!$A$2:$B$4,2,false),0)</f>
        <v>5</v>
      </c>
      <c r="F70" s="10">
        <f>IFERROR(vlookup('2.2'!E:E,lookup!$A$6:$B$8,2,false),0)</f>
        <v>5</v>
      </c>
      <c r="G70" s="10">
        <f>IFERROR(vlookup('2.2'!F:F,lookup!$A$10:$B$12,2,false),0)</f>
        <v>5</v>
      </c>
      <c r="H70" s="10">
        <f>IFERROR(vlookup('2.2'!G:G,lookup!$A$14:$B$16,2,false),0)</f>
        <v>5</v>
      </c>
      <c r="I70" s="10">
        <f>IFERROR(vlookup('2.2'!H:H,lookup!$A$18:$B$20,2,false),0)</f>
        <v>5</v>
      </c>
      <c r="J70" s="10">
        <f>IFERROR(vlookup('2.2'!I:I,lookup!$A$22:$B$24,2,false),0)</f>
        <v>5</v>
      </c>
      <c r="K70" s="10">
        <f>IFERROR(vlookup('2.2'!J:J,lookup!$A$26:$B$28,2,false),0)</f>
        <v>5</v>
      </c>
      <c r="M70" s="10">
        <v>69.0</v>
      </c>
      <c r="N70" s="11" t="str">
        <f t="shared" si="1"/>
        <v>bnco1069@signalschool.ac.th</v>
      </c>
      <c r="O70" s="12">
        <f t="shared" si="2"/>
        <v>1</v>
      </c>
      <c r="R70" s="6" t="s">
        <v>283</v>
      </c>
    </row>
    <row r="71">
      <c r="A71" s="8">
        <f>'2.2'!A:A</f>
        <v>46262.60073</v>
      </c>
      <c r="B71" s="1" t="str">
        <f>'2.2'!B:B</f>
        <v>bnco1045@signalschool.ac.th</v>
      </c>
      <c r="C71" s="1" t="str">
        <f>'2.2'!C:C</f>
        <v>พ.ต.ไมตรี  บุญเหลื่ยม</v>
      </c>
      <c r="D71" s="9">
        <v>1.0</v>
      </c>
      <c r="E71" s="10">
        <f>IFERROR(vlookup('2.2'!D:D,lookup!$A$2:$B$4,2,false),0)</f>
        <v>5</v>
      </c>
      <c r="F71" s="10">
        <f>IFERROR(vlookup('2.2'!E:E,lookup!$A$6:$B$8,2,false),0)</f>
        <v>5</v>
      </c>
      <c r="G71" s="10">
        <f>IFERROR(vlookup('2.2'!F:F,lookup!$A$10:$B$12,2,false),0)</f>
        <v>5</v>
      </c>
      <c r="H71" s="10">
        <f>IFERROR(vlookup('2.2'!G:G,lookup!$A$14:$B$16,2,false),0)</f>
        <v>5</v>
      </c>
      <c r="I71" s="10">
        <f>IFERROR(vlookup('2.2'!H:H,lookup!$A$18:$B$20,2,false),0)</f>
        <v>5</v>
      </c>
      <c r="J71" s="10">
        <f>IFERROR(vlookup('2.2'!I:I,lookup!$A$22:$B$24,2,false),0)</f>
        <v>5</v>
      </c>
      <c r="K71" s="10">
        <f>IFERROR(vlookup('2.2'!J:J,lookup!$A$26:$B$28,2,false),0)</f>
        <v>5</v>
      </c>
      <c r="M71" s="10">
        <v>70.0</v>
      </c>
      <c r="N71" s="11" t="str">
        <f t="shared" si="1"/>
        <v>bnco1070@signalschool.ac.th</v>
      </c>
      <c r="O71" s="12">
        <f t="shared" si="2"/>
        <v>1</v>
      </c>
      <c r="R71" s="6" t="s">
        <v>284</v>
      </c>
    </row>
    <row r="72">
      <c r="A72" s="8">
        <f>'2.2'!A:A</f>
        <v>46263.64093</v>
      </c>
      <c r="B72" s="1" t="str">
        <f>'2.2'!B:B</f>
        <v>bnco1022@signalschool.ac.th</v>
      </c>
      <c r="C72" s="1" t="str">
        <f>'2.2'!C:C</f>
        <v>พ.ต.ไมตรี บุญเหลื่อม</v>
      </c>
      <c r="D72" s="9">
        <v>1.0</v>
      </c>
      <c r="E72" s="10">
        <f>IFERROR(vlookup('2.2'!D:D,lookup!$A$2:$B$4,2,false),0)</f>
        <v>5</v>
      </c>
      <c r="F72" s="10">
        <f>IFERROR(vlookup('2.2'!E:E,lookup!$A$6:$B$8,2,false),0)</f>
        <v>5</v>
      </c>
      <c r="G72" s="10">
        <f>IFERROR(vlookup('2.2'!F:F,lookup!$A$10:$B$12,2,false),0)</f>
        <v>5</v>
      </c>
      <c r="H72" s="10">
        <f>IFERROR(vlookup('2.2'!G:G,lookup!$A$14:$B$16,2,false),0)</f>
        <v>5</v>
      </c>
      <c r="I72" s="10">
        <f>IFERROR(vlookup('2.2'!H:H,lookup!$A$18:$B$20,2,false),0)</f>
        <v>5</v>
      </c>
      <c r="J72" s="10">
        <f>IFERROR(vlookup('2.2'!I:I,lookup!$A$22:$B$24,2,false),0)</f>
        <v>5</v>
      </c>
      <c r="K72" s="10">
        <f>IFERROR(vlookup('2.2'!J:J,lookup!$A$26:$B$28,2,false),0)</f>
        <v>5</v>
      </c>
      <c r="M72" s="10">
        <v>71.0</v>
      </c>
      <c r="N72" s="11" t="str">
        <f t="shared" si="1"/>
        <v>bnco1071@signalschool.ac.th</v>
      </c>
      <c r="O72" s="12">
        <f t="shared" si="2"/>
        <v>1</v>
      </c>
      <c r="R72" s="6" t="s">
        <v>285</v>
      </c>
    </row>
    <row r="73">
      <c r="A73" s="8">
        <f>'2.2'!A:A</f>
        <v>46264.65483</v>
      </c>
      <c r="B73" s="1" t="str">
        <f>'2.2'!B:B</f>
        <v>bnco1002@signalschool.ac.th</v>
      </c>
      <c r="C73" s="1" t="str">
        <f>'2.2'!C:C</f>
        <v>พ.ต. ไมตรี บุญเหลื่ม</v>
      </c>
      <c r="D73" s="9">
        <v>1.0</v>
      </c>
      <c r="E73" s="10">
        <f>IFERROR(vlookup('2.2'!D:D,lookup!$A$2:$B$4,2,false),0)</f>
        <v>5</v>
      </c>
      <c r="F73" s="10">
        <f>IFERROR(vlookup('2.2'!E:E,lookup!$A$6:$B$8,2,false),0)</f>
        <v>5</v>
      </c>
      <c r="G73" s="10">
        <f>IFERROR(vlookup('2.2'!F:F,lookup!$A$10:$B$12,2,false),0)</f>
        <v>5</v>
      </c>
      <c r="H73" s="10">
        <f>IFERROR(vlookup('2.2'!G:G,lookup!$A$14:$B$16,2,false),0)</f>
        <v>5</v>
      </c>
      <c r="I73" s="10">
        <f>IFERROR(vlookup('2.2'!H:H,lookup!$A$18:$B$20,2,false),0)</f>
        <v>5</v>
      </c>
      <c r="J73" s="10">
        <f>IFERROR(vlookup('2.2'!I:I,lookup!$A$22:$B$24,2,false),0)</f>
        <v>5</v>
      </c>
      <c r="K73" s="10">
        <f>IFERROR(vlookup('2.2'!J:J,lookup!$A$26:$B$28,2,false),0)</f>
        <v>5</v>
      </c>
      <c r="M73" s="10">
        <v>72.0</v>
      </c>
      <c r="N73" s="11" t="str">
        <f t="shared" si="1"/>
        <v>bnco1072@signalschool.ac.th</v>
      </c>
      <c r="O73" s="12">
        <f t="shared" si="2"/>
        <v>1</v>
      </c>
      <c r="R73" s="6" t="s">
        <v>286</v>
      </c>
    </row>
    <row r="74">
      <c r="A74" s="8">
        <f>'2.2'!A:A</f>
        <v>46264.88129</v>
      </c>
      <c r="B74" s="1" t="str">
        <f>'2.2'!B:B</f>
        <v>edu.rad@signalschool.ac.th</v>
      </c>
      <c r="C74" s="1" t="str">
        <f>'2.2'!C:C</f>
        <v>ครูอาจารย์ รร.ส.สส.</v>
      </c>
      <c r="D74" s="9">
        <v>1.0</v>
      </c>
      <c r="E74" s="10">
        <f>IFERROR(vlookup('2.2'!D:D,lookup!$A$2:$B$4,2,false),0)</f>
        <v>5</v>
      </c>
      <c r="F74" s="10">
        <f>IFERROR(vlookup('2.2'!E:E,lookup!$A$6:$B$8,2,false),0)</f>
        <v>5</v>
      </c>
      <c r="G74" s="10">
        <f>IFERROR(vlookup('2.2'!F:F,lookup!$A$10:$B$12,2,false),0)</f>
        <v>5</v>
      </c>
      <c r="H74" s="10">
        <f>IFERROR(vlookup('2.2'!G:G,lookup!$A$14:$B$16,2,false),0)</f>
        <v>5</v>
      </c>
      <c r="I74" s="10">
        <f>IFERROR(vlookup('2.2'!H:H,lookup!$A$18:$B$20,2,false),0)</f>
        <v>5</v>
      </c>
      <c r="J74" s="10">
        <f>IFERROR(vlookup('2.2'!I:I,lookup!$A$22:$B$24,2,false),0)</f>
        <v>5</v>
      </c>
      <c r="K74" s="10">
        <f>IFERROR(vlookup('2.2'!J:J,lookup!$A$26:$B$28,2,false),0)</f>
        <v>5</v>
      </c>
      <c r="M74" s="10">
        <v>73.0</v>
      </c>
      <c r="N74" s="11" t="str">
        <f t="shared" si="1"/>
        <v>bnco1073@signalschool.ac.th</v>
      </c>
      <c r="O74" s="12">
        <f t="shared" si="2"/>
        <v>1</v>
      </c>
      <c r="R74" s="6" t="s">
        <v>287</v>
      </c>
    </row>
    <row r="75">
      <c r="A75" s="8">
        <f>'2.2'!A:A</f>
        <v>46265.73834</v>
      </c>
      <c r="B75" s="1" t="str">
        <f>'2.2'!B:B</f>
        <v>bnco1057@signalschool.ac.th</v>
      </c>
      <c r="C75" s="1" t="str">
        <f>'2.2'!C:C</f>
        <v>พ.ต.ไมตรี   บุญเหลี่ยม</v>
      </c>
      <c r="D75" s="9">
        <v>1.0</v>
      </c>
      <c r="E75" s="10">
        <f>IFERROR(vlookup('2.2'!D:D,lookup!$A$2:$B$4,2,false),0)</f>
        <v>5</v>
      </c>
      <c r="F75" s="10">
        <f>IFERROR(vlookup('2.2'!E:E,lookup!$A$6:$B$8,2,false),0)</f>
        <v>5</v>
      </c>
      <c r="G75" s="10">
        <f>IFERROR(vlookup('2.2'!F:F,lookup!$A$10:$B$12,2,false),0)</f>
        <v>5</v>
      </c>
      <c r="H75" s="10">
        <f>IFERROR(vlookup('2.2'!G:G,lookup!$A$14:$B$16,2,false),0)</f>
        <v>5</v>
      </c>
      <c r="I75" s="10">
        <f>IFERROR(vlookup('2.2'!H:H,lookup!$A$18:$B$20,2,false),0)</f>
        <v>5</v>
      </c>
      <c r="J75" s="10">
        <f>IFERROR(vlookup('2.2'!I:I,lookup!$A$22:$B$24,2,false),0)</f>
        <v>5</v>
      </c>
      <c r="K75" s="10">
        <f>IFERROR(vlookup('2.2'!J:J,lookup!$A$26:$B$28,2,false),0)</f>
        <v>5</v>
      </c>
      <c r="M75" s="10">
        <v>74.0</v>
      </c>
      <c r="N75" s="11" t="str">
        <f t="shared" si="1"/>
        <v>bnco1074@signalschool.ac.th</v>
      </c>
      <c r="O75" s="12">
        <f t="shared" si="2"/>
        <v>1</v>
      </c>
      <c r="R75" s="6" t="s">
        <v>288</v>
      </c>
    </row>
    <row r="76">
      <c r="A76" s="8">
        <f>'2.2'!A:A</f>
        <v>46266.68409</v>
      </c>
      <c r="B76" s="1" t="str">
        <f>'2.2'!B:B</f>
        <v>bnco1053@signalschool.ac.th</v>
      </c>
      <c r="C76" s="1" t="str">
        <f>'2.2'!C:C</f>
        <v>พ.ต.ไมตรี  บุญเหลื่อม</v>
      </c>
      <c r="D76" s="9">
        <v>1.0</v>
      </c>
      <c r="E76" s="10">
        <f>IFERROR(vlookup('2.2'!D:D,lookup!$A$2:$B$4,2,false),0)</f>
        <v>5</v>
      </c>
      <c r="F76" s="10">
        <f>IFERROR(vlookup('2.2'!E:E,lookup!$A$6:$B$8,2,false),0)</f>
        <v>5</v>
      </c>
      <c r="G76" s="10">
        <f>IFERROR(vlookup('2.2'!F:F,lookup!$A$10:$B$12,2,false),0)</f>
        <v>5</v>
      </c>
      <c r="H76" s="10">
        <f>IFERROR(vlookup('2.2'!G:G,lookup!$A$14:$B$16,2,false),0)</f>
        <v>5</v>
      </c>
      <c r="I76" s="10">
        <f>IFERROR(vlookup('2.2'!H:H,lookup!$A$18:$B$20,2,false),0)</f>
        <v>5</v>
      </c>
      <c r="J76" s="10">
        <f>IFERROR(vlookup('2.2'!I:I,lookup!$A$22:$B$24,2,false),0)</f>
        <v>5</v>
      </c>
      <c r="K76" s="10">
        <f>IFERROR(vlookup('2.2'!J:J,lookup!$A$26:$B$28,2,false),0)</f>
        <v>5</v>
      </c>
      <c r="M76" s="10">
        <v>75.0</v>
      </c>
      <c r="N76" s="11" t="str">
        <f t="shared" si="1"/>
        <v>bnco1075@signalschool.ac.th</v>
      </c>
      <c r="O76" s="12">
        <f t="shared" si="2"/>
        <v>1</v>
      </c>
      <c r="R76" s="6" t="s">
        <v>289</v>
      </c>
    </row>
    <row r="77">
      <c r="A77" s="8">
        <f>'2.2'!A:A</f>
        <v>46266.68891</v>
      </c>
      <c r="B77" s="1" t="str">
        <f>'2.2'!B:B</f>
        <v>bnco1047@signalschool.ac.th</v>
      </c>
      <c r="C77" s="1" t="str">
        <f>'2.2'!C:C</f>
        <v>พ.ต.ไมตรี บุญเหลื่อม</v>
      </c>
      <c r="D77" s="9">
        <v>1.0</v>
      </c>
      <c r="E77" s="10">
        <f>IFERROR(vlookup('2.2'!D:D,lookup!$A$2:$B$4,2,false),0)</f>
        <v>5</v>
      </c>
      <c r="F77" s="10">
        <f>IFERROR(vlookup('2.2'!E:E,lookup!$A$6:$B$8,2,false),0)</f>
        <v>5</v>
      </c>
      <c r="G77" s="10">
        <f>IFERROR(vlookup('2.2'!F:F,lookup!$A$10:$B$12,2,false),0)</f>
        <v>5</v>
      </c>
      <c r="H77" s="10">
        <f>IFERROR(vlookup('2.2'!G:G,lookup!$A$14:$B$16,2,false),0)</f>
        <v>5</v>
      </c>
      <c r="I77" s="10">
        <f>IFERROR(vlookup('2.2'!H:H,lookup!$A$18:$B$20,2,false),0)</f>
        <v>5</v>
      </c>
      <c r="J77" s="10">
        <f>IFERROR(vlookup('2.2'!I:I,lookup!$A$22:$B$24,2,false),0)</f>
        <v>5</v>
      </c>
      <c r="K77" s="10">
        <f>IFERROR(vlookup('2.2'!J:J,lookup!$A$26:$B$28,2,false),0)</f>
        <v>5</v>
      </c>
      <c r="M77" s="10">
        <v>76.0</v>
      </c>
      <c r="N77" s="11" t="str">
        <f t="shared" si="1"/>
        <v>bnco1076@signalschool.ac.th</v>
      </c>
      <c r="O77" s="12">
        <f t="shared" si="2"/>
        <v>1</v>
      </c>
      <c r="R77" s="6" t="s">
        <v>290</v>
      </c>
    </row>
    <row r="78">
      <c r="A78" s="8">
        <f>'2.2'!A:A</f>
        <v>46267.31144</v>
      </c>
      <c r="B78" s="1" t="str">
        <f>'2.2'!B:B</f>
        <v>bnco1016@signalschool.ac.th</v>
      </c>
      <c r="C78" s="1" t="str">
        <f>'2.2'!C:C</f>
        <v>พ.ต.ไมตรี บุญเหลื่อม</v>
      </c>
      <c r="D78" s="9">
        <v>1.0</v>
      </c>
      <c r="E78" s="10">
        <f>IFERROR(vlookup('2.2'!D:D,lookup!$A$2:$B$4,2,false),0)</f>
        <v>5</v>
      </c>
      <c r="F78" s="10">
        <f>IFERROR(vlookup('2.2'!E:E,lookup!$A$6:$B$8,2,false),0)</f>
        <v>5</v>
      </c>
      <c r="G78" s="10">
        <f>IFERROR(vlookup('2.2'!F:F,lookup!$A$10:$B$12,2,false),0)</f>
        <v>5</v>
      </c>
      <c r="H78" s="10">
        <f>IFERROR(vlookup('2.2'!G:G,lookup!$A$14:$B$16,2,false),0)</f>
        <v>5</v>
      </c>
      <c r="I78" s="10">
        <f>IFERROR(vlookup('2.2'!H:H,lookup!$A$18:$B$20,2,false),0)</f>
        <v>5</v>
      </c>
      <c r="J78" s="10">
        <f>IFERROR(vlookup('2.2'!I:I,lookup!$A$22:$B$24,2,false),0)</f>
        <v>5</v>
      </c>
      <c r="K78" s="10">
        <f>IFERROR(vlookup('2.2'!J:J,lookup!$A$26:$B$28,2,false),0)</f>
        <v>5</v>
      </c>
      <c r="M78" s="10">
        <v>77.0</v>
      </c>
      <c r="N78" s="11" t="str">
        <f t="shared" si="1"/>
        <v>bnco1077@signalschool.ac.th</v>
      </c>
      <c r="O78" s="12">
        <f t="shared" si="2"/>
        <v>0</v>
      </c>
      <c r="R78" s="6" t="s">
        <v>291</v>
      </c>
    </row>
    <row r="79">
      <c r="A79" s="8" t="str">
        <f>'2.2'!A:A</f>
        <v/>
      </c>
      <c r="B79" s="1" t="str">
        <f>'2.2'!B:B</f>
        <v/>
      </c>
      <c r="C79" s="1" t="str">
        <f>'2.2'!C:C</f>
        <v/>
      </c>
      <c r="D79" s="9">
        <v>1.0</v>
      </c>
      <c r="E79" s="10">
        <f>IFERROR(vlookup('2.2'!D:D,lookup!$A$2:$B$4,2,false),0)</f>
        <v>0</v>
      </c>
      <c r="F79" s="10">
        <f>IFERROR(vlookup('2.2'!E:E,lookup!$A$6:$B$8,2,false),0)</f>
        <v>0</v>
      </c>
      <c r="G79" s="10">
        <f>IFERROR(vlookup('2.2'!F:F,lookup!$A$10:$B$12,2,false),0)</f>
        <v>0</v>
      </c>
      <c r="H79" s="10">
        <f>IFERROR(vlookup('2.2'!G:G,lookup!$A$14:$B$16,2,false),0)</f>
        <v>0</v>
      </c>
      <c r="I79" s="10">
        <f>IFERROR(vlookup('2.2'!H:H,lookup!$A$18:$B$20,2,false),0)</f>
        <v>0</v>
      </c>
      <c r="J79" s="10">
        <f>IFERROR(vlookup('2.2'!I:I,lookup!$A$22:$B$24,2,false),0)</f>
        <v>0</v>
      </c>
      <c r="K79" s="10">
        <f>IFERROR(vlookup('2.2'!J:J,lookup!$A$26:$B$28,2,false),0)</f>
        <v>0</v>
      </c>
      <c r="M79" s="10">
        <v>78.0</v>
      </c>
      <c r="N79" s="11" t="str">
        <f t="shared" si="1"/>
        <v>bnco1078@signalschool.ac.th</v>
      </c>
      <c r="O79" s="12">
        <f t="shared" si="2"/>
        <v>1</v>
      </c>
      <c r="R79" s="6" t="s">
        <v>292</v>
      </c>
    </row>
    <row r="80">
      <c r="A80" s="8" t="str">
        <f>'2.2'!A:A</f>
        <v/>
      </c>
      <c r="B80" s="1" t="str">
        <f>'2.2'!B:B</f>
        <v/>
      </c>
      <c r="C80" s="1" t="str">
        <f>'2.2'!C:C</f>
        <v/>
      </c>
      <c r="D80" s="9">
        <v>1.0</v>
      </c>
      <c r="E80" s="10">
        <f>IFERROR(vlookup('2.2'!D:D,lookup!$A$2:$B$4,2,false),0)</f>
        <v>0</v>
      </c>
      <c r="F80" s="10">
        <f>IFERROR(vlookup('2.2'!E:E,lookup!$A$6:$B$8,2,false),0)</f>
        <v>0</v>
      </c>
      <c r="G80" s="10">
        <f>IFERROR(vlookup('2.2'!F:F,lookup!$A$10:$B$12,2,false),0)</f>
        <v>0</v>
      </c>
      <c r="H80" s="10">
        <f>IFERROR(vlookup('2.2'!G:G,lookup!$A$14:$B$16,2,false),0)</f>
        <v>0</v>
      </c>
      <c r="I80" s="10">
        <f>IFERROR(vlookup('2.2'!H:H,lookup!$A$18:$B$20,2,false),0)</f>
        <v>0</v>
      </c>
      <c r="J80" s="10">
        <f>IFERROR(vlookup('2.2'!I:I,lookup!$A$22:$B$24,2,false),0)</f>
        <v>0</v>
      </c>
      <c r="K80" s="10">
        <f>IFERROR(vlookup('2.2'!J:J,lookup!$A$26:$B$28,2,false),0)</f>
        <v>0</v>
      </c>
      <c r="M80" s="10">
        <v>79.0</v>
      </c>
      <c r="N80" s="11" t="str">
        <f t="shared" si="1"/>
        <v>bnco1079@signalschool.ac.th</v>
      </c>
      <c r="O80" s="12">
        <f t="shared" si="2"/>
        <v>1</v>
      </c>
      <c r="R80" s="6" t="s">
        <v>293</v>
      </c>
    </row>
    <row r="81">
      <c r="A81" s="8" t="str">
        <f>'2.2'!A:A</f>
        <v/>
      </c>
      <c r="B81" s="1" t="str">
        <f>'2.2'!B:B</f>
        <v/>
      </c>
      <c r="C81" s="1" t="str">
        <f>'2.2'!C:C</f>
        <v/>
      </c>
      <c r="D81" s="9">
        <v>1.0</v>
      </c>
      <c r="E81" s="10">
        <f>IFERROR(vlookup('2.2'!D:D,lookup!$A$2:$B$4,2,false),0)</f>
        <v>0</v>
      </c>
      <c r="F81" s="10">
        <f>IFERROR(vlookup('2.2'!E:E,lookup!$A$6:$B$8,2,false),0)</f>
        <v>0</v>
      </c>
      <c r="G81" s="10">
        <f>IFERROR(vlookup('2.2'!F:F,lookup!$A$10:$B$12,2,false),0)</f>
        <v>0</v>
      </c>
      <c r="H81" s="10">
        <f>IFERROR(vlookup('2.2'!G:G,lookup!$A$14:$B$16,2,false),0)</f>
        <v>0</v>
      </c>
      <c r="I81" s="10">
        <f>IFERROR(vlookup('2.2'!H:H,lookup!$A$18:$B$20,2,false),0)</f>
        <v>0</v>
      </c>
      <c r="J81" s="10">
        <f>IFERROR(vlookup('2.2'!I:I,lookup!$A$22:$B$24,2,false),0)</f>
        <v>0</v>
      </c>
      <c r="K81" s="10">
        <f>IFERROR(vlookup('2.2'!J:J,lookup!$A$26:$B$28,2,false),0)</f>
        <v>0</v>
      </c>
      <c r="M81" s="10">
        <v>80.0</v>
      </c>
      <c r="N81" s="11" t="str">
        <f t="shared" si="1"/>
        <v>bnco1080@signalschool.ac.th</v>
      </c>
      <c r="O81" s="12">
        <f t="shared" si="2"/>
        <v>1</v>
      </c>
      <c r="R81" s="6" t="s">
        <v>294</v>
      </c>
    </row>
    <row r="82">
      <c r="A82" s="8" t="str">
        <f>'2.2'!A:A</f>
        <v/>
      </c>
      <c r="B82" s="1" t="str">
        <f>'2.2'!B:B</f>
        <v/>
      </c>
      <c r="C82" s="1" t="str">
        <f>'2.2'!C:C</f>
        <v/>
      </c>
      <c r="D82" s="9"/>
      <c r="E82" s="15"/>
      <c r="F82" s="15"/>
      <c r="G82" s="15"/>
      <c r="H82" s="15"/>
      <c r="I82" s="15"/>
      <c r="J82" s="15"/>
      <c r="K82" s="15"/>
    </row>
    <row r="83">
      <c r="A83" s="8" t="str">
        <f>'2.2'!A:A</f>
        <v/>
      </c>
      <c r="B83" s="1" t="str">
        <f>'2.2'!B:B</f>
        <v/>
      </c>
      <c r="C83" s="1" t="str">
        <f>'2.2'!C:C</f>
        <v/>
      </c>
      <c r="D83" s="9"/>
      <c r="E83" s="15"/>
      <c r="F83" s="15"/>
      <c r="G83" s="15"/>
      <c r="H83" s="15"/>
      <c r="I83" s="15"/>
      <c r="J83" s="15"/>
      <c r="K83" s="15"/>
    </row>
    <row r="84">
      <c r="A84" s="8" t="str">
        <f>'2.2'!A:A</f>
        <v/>
      </c>
      <c r="B84" s="1" t="str">
        <f>'2.2'!B:B</f>
        <v/>
      </c>
      <c r="C84" s="1" t="str">
        <f>'2.2'!C:C</f>
        <v/>
      </c>
      <c r="D84" s="9"/>
      <c r="E84" s="15"/>
      <c r="F84" s="15"/>
      <c r="G84" s="15"/>
      <c r="H84" s="15"/>
      <c r="I84" s="15"/>
      <c r="J84" s="15"/>
      <c r="K84" s="15"/>
    </row>
    <row r="85">
      <c r="A85" s="8" t="str">
        <f>'2.2'!A:A</f>
        <v/>
      </c>
      <c r="B85" s="1" t="str">
        <f>'2.2'!B:B</f>
        <v/>
      </c>
      <c r="C85" s="1" t="str">
        <f>'2.2'!C:C</f>
        <v/>
      </c>
      <c r="D85" s="9"/>
      <c r="E85" s="15"/>
      <c r="F85" s="15"/>
      <c r="G85" s="15"/>
      <c r="H85" s="15"/>
      <c r="I85" s="15"/>
      <c r="J85" s="15"/>
      <c r="K85" s="15"/>
    </row>
    <row r="86">
      <c r="A86" s="8" t="str">
        <f>'2.2'!A:A</f>
        <v/>
      </c>
      <c r="B86" s="1" t="str">
        <f>'2.2'!B:B</f>
        <v/>
      </c>
      <c r="C86" s="1" t="str">
        <f>'2.2'!C:C</f>
        <v/>
      </c>
      <c r="D86" s="9"/>
      <c r="E86" s="15"/>
      <c r="F86" s="15"/>
      <c r="G86" s="15"/>
      <c r="H86" s="15"/>
      <c r="I86" s="15"/>
      <c r="J86" s="15"/>
      <c r="K86" s="15"/>
    </row>
    <row r="87">
      <c r="A87" s="8" t="str">
        <f>'2.2'!A:A</f>
        <v/>
      </c>
      <c r="B87" s="1" t="str">
        <f>'2.2'!B:B</f>
        <v/>
      </c>
      <c r="C87" s="1" t="str">
        <f>'2.2'!C:C</f>
        <v/>
      </c>
      <c r="D87" s="9"/>
      <c r="E87" s="15"/>
      <c r="F87" s="15"/>
      <c r="G87" s="15"/>
      <c r="H87" s="15"/>
      <c r="I87" s="15"/>
      <c r="J87" s="15"/>
      <c r="K87" s="15"/>
    </row>
    <row r="88">
      <c r="A88" s="8" t="str">
        <f>'2.2'!A:A</f>
        <v/>
      </c>
      <c r="B88" s="1" t="str">
        <f>'2.2'!B:B</f>
        <v/>
      </c>
      <c r="C88" s="1" t="str">
        <f>'2.2'!C:C</f>
        <v/>
      </c>
      <c r="D88" s="9"/>
      <c r="E88" s="15"/>
      <c r="F88" s="15"/>
      <c r="G88" s="15"/>
      <c r="H88" s="15"/>
      <c r="I88" s="15"/>
      <c r="J88" s="15"/>
      <c r="K88" s="15"/>
    </row>
    <row r="89">
      <c r="A89" s="8" t="str">
        <f>'2.2'!A:A</f>
        <v/>
      </c>
      <c r="B89" s="1" t="str">
        <f>'2.2'!B:B</f>
        <v/>
      </c>
      <c r="C89" s="1" t="str">
        <f>'2.2'!C:C</f>
        <v/>
      </c>
      <c r="D89" s="9"/>
      <c r="E89" s="15"/>
      <c r="F89" s="15"/>
      <c r="G89" s="15"/>
      <c r="H89" s="15"/>
      <c r="I89" s="15"/>
      <c r="J89" s="15"/>
      <c r="K89" s="15"/>
    </row>
    <row r="90">
      <c r="A90" s="8" t="str">
        <f>'2.2'!A:A</f>
        <v/>
      </c>
      <c r="B90" s="1" t="str">
        <f>'2.2'!B:B</f>
        <v/>
      </c>
      <c r="C90" s="1" t="str">
        <f>'2.2'!C:C</f>
        <v/>
      </c>
      <c r="D90" s="9"/>
      <c r="E90" s="15"/>
      <c r="F90" s="15"/>
      <c r="G90" s="15"/>
      <c r="H90" s="15"/>
      <c r="I90" s="15"/>
      <c r="J90" s="15"/>
      <c r="K90" s="15"/>
    </row>
    <row r="91">
      <c r="A91" s="8" t="str">
        <f>'2.2'!A:A</f>
        <v/>
      </c>
      <c r="B91" s="1" t="str">
        <f>'2.2'!B:B</f>
        <v/>
      </c>
      <c r="C91" s="1" t="str">
        <f>'2.2'!C:C</f>
        <v/>
      </c>
      <c r="D91" s="9"/>
      <c r="E91" s="15"/>
      <c r="F91" s="15"/>
      <c r="G91" s="15"/>
      <c r="H91" s="15"/>
      <c r="I91" s="15"/>
      <c r="J91" s="15"/>
      <c r="K91" s="15"/>
    </row>
    <row r="92">
      <c r="A92" s="8" t="str">
        <f>'2.2'!A:A</f>
        <v/>
      </c>
      <c r="B92" s="1" t="str">
        <f>'2.2'!B:B</f>
        <v/>
      </c>
      <c r="C92" s="1" t="str">
        <f>'2.2'!C:C</f>
        <v/>
      </c>
      <c r="D92" s="9"/>
      <c r="E92" s="15"/>
      <c r="F92" s="15"/>
      <c r="G92" s="15"/>
      <c r="H92" s="15"/>
      <c r="I92" s="15"/>
      <c r="J92" s="15"/>
      <c r="K92" s="15"/>
    </row>
    <row r="93">
      <c r="A93" s="8" t="str">
        <f>'2.2'!A:A</f>
        <v/>
      </c>
      <c r="B93" s="1" t="str">
        <f>'2.2'!B:B</f>
        <v/>
      </c>
      <c r="C93" s="1" t="str">
        <f>'2.2'!C:C</f>
        <v/>
      </c>
      <c r="D93" s="9"/>
      <c r="E93" s="15"/>
      <c r="F93" s="15"/>
      <c r="G93" s="15"/>
      <c r="H93" s="15"/>
      <c r="I93" s="15"/>
      <c r="J93" s="15"/>
      <c r="K93" s="15"/>
    </row>
    <row r="94">
      <c r="A94" s="8" t="str">
        <f>'2.2'!A:A</f>
        <v/>
      </c>
      <c r="B94" s="1" t="str">
        <f>'2.2'!B:B</f>
        <v/>
      </c>
      <c r="C94" s="1" t="str">
        <f>'2.2'!C:C</f>
        <v/>
      </c>
      <c r="D94" s="9"/>
      <c r="E94" s="15"/>
      <c r="F94" s="15"/>
      <c r="G94" s="15"/>
      <c r="H94" s="15"/>
      <c r="I94" s="15"/>
      <c r="J94" s="15"/>
      <c r="K94" s="15"/>
    </row>
    <row r="95">
      <c r="A95" s="8" t="str">
        <f>'2.2'!A:A</f>
        <v/>
      </c>
      <c r="B95" s="1" t="str">
        <f>'2.2'!B:B</f>
        <v/>
      </c>
      <c r="C95" s="1" t="str">
        <f>'2.2'!C:C</f>
        <v/>
      </c>
      <c r="D95" s="9"/>
      <c r="E95" s="15"/>
      <c r="F95" s="15"/>
      <c r="G95" s="15"/>
      <c r="H95" s="15"/>
      <c r="I95" s="15"/>
      <c r="J95" s="15"/>
      <c r="K95" s="15"/>
    </row>
    <row r="96">
      <c r="A96" s="8" t="str">
        <f>'2.2'!A:A</f>
        <v/>
      </c>
      <c r="B96" s="1" t="str">
        <f>'2.2'!B:B</f>
        <v/>
      </c>
      <c r="C96" s="1" t="str">
        <f>'2.2'!C:C</f>
        <v/>
      </c>
      <c r="D96" s="9"/>
      <c r="E96" s="15"/>
      <c r="F96" s="15"/>
      <c r="G96" s="15"/>
      <c r="H96" s="15"/>
      <c r="I96" s="15"/>
      <c r="J96" s="15"/>
      <c r="K96" s="15"/>
    </row>
    <row r="97">
      <c r="A97" s="8" t="str">
        <f>'2.2'!A:A</f>
        <v/>
      </c>
      <c r="B97" s="1" t="str">
        <f>'2.2'!B:B</f>
        <v/>
      </c>
      <c r="C97" s="1" t="str">
        <f>'2.2'!C:C</f>
        <v/>
      </c>
      <c r="D97" s="9"/>
      <c r="E97" s="15"/>
      <c r="F97" s="15"/>
      <c r="G97" s="15"/>
      <c r="H97" s="15"/>
      <c r="I97" s="15"/>
      <c r="J97" s="15"/>
      <c r="K97" s="15"/>
    </row>
    <row r="98">
      <c r="A98" s="8" t="str">
        <f>'2.2'!A:A</f>
        <v/>
      </c>
      <c r="B98" s="1" t="str">
        <f>'2.2'!B:B</f>
        <v/>
      </c>
      <c r="C98" s="1" t="str">
        <f>'2.2'!C:C</f>
        <v/>
      </c>
      <c r="D98" s="9"/>
      <c r="E98" s="15"/>
      <c r="F98" s="15"/>
      <c r="G98" s="15"/>
      <c r="H98" s="15"/>
      <c r="I98" s="15"/>
      <c r="J98" s="15"/>
      <c r="K98" s="15"/>
    </row>
    <row r="99">
      <c r="A99" s="8" t="str">
        <f>'2.2'!A:A</f>
        <v/>
      </c>
      <c r="B99" s="1" t="str">
        <f>'2.2'!B:B</f>
        <v/>
      </c>
      <c r="C99" s="1" t="str">
        <f>'2.2'!C:C</f>
        <v/>
      </c>
      <c r="D99" s="9"/>
      <c r="E99" s="15"/>
      <c r="F99" s="15"/>
      <c r="G99" s="15"/>
      <c r="H99" s="15"/>
      <c r="I99" s="15"/>
      <c r="J99" s="15"/>
      <c r="K99" s="15"/>
    </row>
    <row r="100">
      <c r="A100" s="8" t="str">
        <f>'2.2'!A:A</f>
        <v/>
      </c>
      <c r="B100" s="1" t="str">
        <f>'2.2'!B:B</f>
        <v/>
      </c>
      <c r="C100" s="1" t="str">
        <f>'2.2'!C:C</f>
        <v/>
      </c>
      <c r="D100" s="9"/>
      <c r="E100" s="15"/>
      <c r="F100" s="15"/>
      <c r="G100" s="15"/>
      <c r="H100" s="15"/>
      <c r="I100" s="15"/>
      <c r="J100" s="15"/>
      <c r="K100" s="15"/>
    </row>
    <row r="101">
      <c r="A101" s="8" t="str">
        <f>'2.2'!A:A</f>
        <v/>
      </c>
      <c r="B101" s="1" t="str">
        <f>'2.2'!B:B</f>
        <v/>
      </c>
      <c r="C101" s="1" t="str">
        <f>'2.2'!C:C</f>
        <v/>
      </c>
      <c r="D101" s="9"/>
      <c r="E101" s="15"/>
      <c r="F101" s="15"/>
      <c r="G101" s="15"/>
      <c r="H101" s="15"/>
      <c r="I101" s="15"/>
      <c r="J101" s="15"/>
      <c r="K101" s="15"/>
      <c r="N101" s="1" t="s">
        <v>295</v>
      </c>
      <c r="O101" s="12">
        <f>SUM(O2:O81)</f>
        <v>74</v>
      </c>
    </row>
    <row r="102">
      <c r="C102" s="1"/>
      <c r="E102" s="14">
        <f t="shared" ref="E102:K102" si="3">AVERAGE(E2:E81)</f>
        <v>4.7625</v>
      </c>
      <c r="F102" s="14">
        <f t="shared" si="3"/>
        <v>4.7875</v>
      </c>
      <c r="G102" s="14">
        <f t="shared" si="3"/>
        <v>4.7625</v>
      </c>
      <c r="H102" s="14">
        <f t="shared" si="3"/>
        <v>4.8125</v>
      </c>
      <c r="I102" s="14">
        <f t="shared" si="3"/>
        <v>4.8125</v>
      </c>
      <c r="J102" s="14">
        <f t="shared" si="3"/>
        <v>4.7375</v>
      </c>
      <c r="K102" s="14">
        <f t="shared" si="3"/>
        <v>4.7375</v>
      </c>
      <c r="L102" s="16">
        <f>AVERAGE(E102:K102)</f>
        <v>4.773214286</v>
      </c>
      <c r="N102" s="1" t="s">
        <v>296</v>
      </c>
      <c r="O102" s="12">
        <f>(O101*100)/80</f>
        <v>92.5</v>
      </c>
    </row>
    <row r="103">
      <c r="A103" s="8"/>
      <c r="C103" s="1"/>
    </row>
    <row r="104">
      <c r="A104" s="8"/>
      <c r="C104" s="1"/>
    </row>
    <row r="105">
      <c r="A105" s="8"/>
      <c r="C105" s="1"/>
    </row>
    <row r="106">
      <c r="A106" s="8"/>
      <c r="C106" s="1"/>
    </row>
    <row r="107">
      <c r="A107" s="8"/>
      <c r="C107" s="1"/>
    </row>
    <row r="108">
      <c r="A108" s="8"/>
      <c r="C108" s="1"/>
    </row>
    <row r="109">
      <c r="A109" s="8"/>
      <c r="C109" s="1"/>
    </row>
    <row r="110">
      <c r="A110" s="8"/>
      <c r="C110" s="1"/>
    </row>
    <row r="111">
      <c r="A111" s="8"/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</sheetData>
  <mergeCells count="1">
    <mergeCell ref="M1:O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5">
        <v>46213.39359136574</v>
      </c>
      <c r="B2" s="6" t="s">
        <v>79</v>
      </c>
      <c r="C2" s="6" t="s">
        <v>31</v>
      </c>
      <c r="D2" s="6" t="s">
        <v>13</v>
      </c>
      <c r="E2" s="6" t="s">
        <v>14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</row>
    <row r="3">
      <c r="A3" s="5">
        <v>46213.39359234954</v>
      </c>
      <c r="B3" s="6" t="s">
        <v>46</v>
      </c>
      <c r="C3" s="6" t="s">
        <v>459</v>
      </c>
      <c r="D3" s="6" t="s">
        <v>13</v>
      </c>
      <c r="E3" s="6" t="s">
        <v>14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</row>
    <row r="4">
      <c r="A4" s="5">
        <v>46213.39361667824</v>
      </c>
      <c r="B4" s="6" t="s">
        <v>51</v>
      </c>
      <c r="C4" s="6" t="s">
        <v>459</v>
      </c>
      <c r="D4" s="6" t="s">
        <v>13</v>
      </c>
      <c r="E4" s="6" t="s">
        <v>14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</row>
    <row r="5">
      <c r="A5" s="5">
        <v>46213.39383347222</v>
      </c>
      <c r="B5" s="6" t="s">
        <v>133</v>
      </c>
      <c r="C5" s="6" t="s">
        <v>459</v>
      </c>
      <c r="D5" s="6" t="s">
        <v>13</v>
      </c>
      <c r="E5" s="6" t="s">
        <v>14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</row>
    <row r="6">
      <c r="A6" s="5">
        <v>46213.39399013889</v>
      </c>
      <c r="B6" s="6" t="s">
        <v>116</v>
      </c>
      <c r="C6" s="6" t="s">
        <v>466</v>
      </c>
      <c r="D6" s="6" t="s">
        <v>13</v>
      </c>
      <c r="E6" s="6" t="s">
        <v>14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20</v>
      </c>
      <c r="K6" s="6" t="s">
        <v>511</v>
      </c>
    </row>
    <row r="7">
      <c r="A7" s="5">
        <v>46213.39402582176</v>
      </c>
      <c r="B7" s="6" t="s">
        <v>49</v>
      </c>
      <c r="C7" s="6" t="s">
        <v>31</v>
      </c>
      <c r="D7" s="6" t="s">
        <v>13</v>
      </c>
      <c r="E7" s="6" t="s">
        <v>14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460</v>
      </c>
    </row>
    <row r="8">
      <c r="A8" s="5">
        <v>46213.39403465278</v>
      </c>
      <c r="B8" s="6" t="s">
        <v>25</v>
      </c>
      <c r="C8" s="6" t="s">
        <v>462</v>
      </c>
      <c r="D8" s="6" t="s">
        <v>13</v>
      </c>
      <c r="E8" s="6" t="s">
        <v>14</v>
      </c>
      <c r="F8" s="6" t="s">
        <v>16</v>
      </c>
      <c r="G8" s="6" t="s">
        <v>17</v>
      </c>
      <c r="H8" s="6" t="s">
        <v>18</v>
      </c>
      <c r="I8" s="6" t="s">
        <v>19</v>
      </c>
      <c r="J8" s="6" t="s">
        <v>20</v>
      </c>
      <c r="K8" s="6" t="s">
        <v>463</v>
      </c>
    </row>
    <row r="9">
      <c r="A9" s="5">
        <v>46213.394158599534</v>
      </c>
      <c r="B9" s="6" t="s">
        <v>11</v>
      </c>
      <c r="C9" s="6" t="s">
        <v>31</v>
      </c>
      <c r="D9" s="6" t="s">
        <v>13</v>
      </c>
      <c r="E9" s="6" t="s">
        <v>14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>
      <c r="A10" s="5">
        <v>46213.39420469907</v>
      </c>
      <c r="B10" s="6" t="s">
        <v>138</v>
      </c>
      <c r="C10" s="6" t="s">
        <v>459</v>
      </c>
      <c r="D10" s="6" t="s">
        <v>13</v>
      </c>
      <c r="E10" s="6" t="s">
        <v>14</v>
      </c>
      <c r="F10" s="6" t="s">
        <v>16</v>
      </c>
      <c r="G10" s="6" t="s">
        <v>17</v>
      </c>
      <c r="H10" s="6" t="s">
        <v>18</v>
      </c>
      <c r="I10" s="6" t="s">
        <v>55</v>
      </c>
      <c r="J10" s="6" t="s">
        <v>56</v>
      </c>
      <c r="K10" s="6" t="s">
        <v>169</v>
      </c>
    </row>
    <row r="11">
      <c r="A11" s="5">
        <v>46213.3942640162</v>
      </c>
      <c r="B11" s="6" t="s">
        <v>469</v>
      </c>
      <c r="C11" s="6" t="s">
        <v>512</v>
      </c>
      <c r="D11" s="6" t="s">
        <v>13</v>
      </c>
      <c r="E11" s="6" t="s">
        <v>14</v>
      </c>
      <c r="F11" s="6" t="s">
        <v>16</v>
      </c>
      <c r="G11" s="6" t="s">
        <v>17</v>
      </c>
      <c r="H11" s="6" t="s">
        <v>18</v>
      </c>
      <c r="I11" s="6" t="s">
        <v>55</v>
      </c>
      <c r="J11" s="6" t="s">
        <v>56</v>
      </c>
      <c r="K11" s="6" t="s">
        <v>31</v>
      </c>
    </row>
    <row r="12">
      <c r="A12" s="5">
        <v>46213.39430395833</v>
      </c>
      <c r="B12" s="6" t="s">
        <v>78</v>
      </c>
      <c r="C12" s="6" t="s">
        <v>459</v>
      </c>
      <c r="D12" s="6" t="s">
        <v>13</v>
      </c>
      <c r="E12" s="6" t="s">
        <v>14</v>
      </c>
      <c r="F12" s="6" t="s">
        <v>16</v>
      </c>
      <c r="G12" s="6" t="s">
        <v>17</v>
      </c>
      <c r="H12" s="6" t="s">
        <v>18</v>
      </c>
      <c r="I12" s="6" t="s">
        <v>19</v>
      </c>
      <c r="J12" s="6" t="s">
        <v>20</v>
      </c>
    </row>
    <row r="13">
      <c r="A13" s="5">
        <v>46213.39438967593</v>
      </c>
      <c r="B13" s="6" t="s">
        <v>136</v>
      </c>
      <c r="C13" s="6" t="s">
        <v>459</v>
      </c>
      <c r="D13" s="6" t="s">
        <v>13</v>
      </c>
      <c r="E13" s="6" t="s">
        <v>14</v>
      </c>
      <c r="F13" s="6" t="s">
        <v>16</v>
      </c>
      <c r="G13" s="6" t="s">
        <v>17</v>
      </c>
      <c r="H13" s="6" t="s">
        <v>18</v>
      </c>
      <c r="I13" s="6" t="s">
        <v>19</v>
      </c>
      <c r="J13" s="6" t="s">
        <v>20</v>
      </c>
    </row>
    <row r="14">
      <c r="A14" s="5">
        <v>46213.394455173606</v>
      </c>
      <c r="B14" s="6" t="s">
        <v>60</v>
      </c>
      <c r="C14" s="6" t="s">
        <v>459</v>
      </c>
      <c r="D14" s="6" t="s">
        <v>13</v>
      </c>
      <c r="E14" s="6" t="s">
        <v>14</v>
      </c>
      <c r="F14" s="6" t="s">
        <v>16</v>
      </c>
      <c r="G14" s="6" t="s">
        <v>17</v>
      </c>
      <c r="H14" s="6" t="s">
        <v>18</v>
      </c>
      <c r="I14" s="6" t="s">
        <v>19</v>
      </c>
      <c r="J14" s="6" t="s">
        <v>20</v>
      </c>
    </row>
    <row r="15">
      <c r="A15" s="5">
        <v>46213.39446851852</v>
      </c>
      <c r="B15" s="6" t="s">
        <v>140</v>
      </c>
      <c r="C15" s="6" t="s">
        <v>459</v>
      </c>
      <c r="D15" s="6" t="s">
        <v>13</v>
      </c>
      <c r="E15" s="6" t="s">
        <v>14</v>
      </c>
      <c r="F15" s="6" t="s">
        <v>16</v>
      </c>
      <c r="G15" s="6" t="s">
        <v>17</v>
      </c>
      <c r="H15" s="6" t="s">
        <v>18</v>
      </c>
      <c r="I15" s="6" t="s">
        <v>19</v>
      </c>
      <c r="J15" s="6" t="s">
        <v>20</v>
      </c>
    </row>
    <row r="16">
      <c r="A16" s="5">
        <v>46213.39447831019</v>
      </c>
      <c r="B16" s="6" t="s">
        <v>113</v>
      </c>
      <c r="C16" s="6" t="s">
        <v>466</v>
      </c>
      <c r="D16" s="6" t="s">
        <v>13</v>
      </c>
      <c r="E16" s="6" t="s">
        <v>14</v>
      </c>
      <c r="F16" s="6" t="s">
        <v>16</v>
      </c>
      <c r="G16" s="6" t="s">
        <v>17</v>
      </c>
      <c r="H16" s="6" t="s">
        <v>18</v>
      </c>
      <c r="I16" s="6" t="s">
        <v>19</v>
      </c>
      <c r="J16" s="6" t="s">
        <v>20</v>
      </c>
    </row>
    <row r="17">
      <c r="A17" s="5">
        <v>46213.394706562496</v>
      </c>
      <c r="B17" s="6" t="s">
        <v>21</v>
      </c>
      <c r="C17" s="6" t="s">
        <v>459</v>
      </c>
      <c r="D17" s="6" t="s">
        <v>13</v>
      </c>
      <c r="E17" s="6" t="s">
        <v>14</v>
      </c>
      <c r="F17" s="6" t="s">
        <v>16</v>
      </c>
      <c r="G17" s="6" t="s">
        <v>17</v>
      </c>
      <c r="H17" s="6" t="s">
        <v>87</v>
      </c>
      <c r="I17" s="6" t="s">
        <v>55</v>
      </c>
      <c r="J17" s="6" t="s">
        <v>56</v>
      </c>
    </row>
    <row r="18">
      <c r="A18" s="5">
        <v>46213.394914097225</v>
      </c>
      <c r="B18" s="6" t="s">
        <v>464</v>
      </c>
      <c r="C18" s="6" t="s">
        <v>459</v>
      </c>
      <c r="D18" s="6" t="s">
        <v>13</v>
      </c>
      <c r="E18" s="6" t="s">
        <v>14</v>
      </c>
      <c r="F18" s="6" t="s">
        <v>16</v>
      </c>
      <c r="G18" s="6" t="s">
        <v>17</v>
      </c>
      <c r="H18" s="6" t="s">
        <v>18</v>
      </c>
      <c r="I18" s="6" t="s">
        <v>19</v>
      </c>
      <c r="J18" s="6" t="s">
        <v>20</v>
      </c>
      <c r="K18" s="6" t="s">
        <v>513</v>
      </c>
    </row>
    <row r="19">
      <c r="A19" s="5">
        <v>46213.395075486114</v>
      </c>
      <c r="B19" s="6" t="s">
        <v>57</v>
      </c>
      <c r="C19" s="6" t="s">
        <v>459</v>
      </c>
      <c r="D19" s="6" t="s">
        <v>13</v>
      </c>
      <c r="E19" s="6" t="s">
        <v>14</v>
      </c>
      <c r="F19" s="6" t="s">
        <v>16</v>
      </c>
      <c r="G19" s="6" t="s">
        <v>17</v>
      </c>
      <c r="H19" s="6" t="s">
        <v>18</v>
      </c>
      <c r="I19" s="6" t="s">
        <v>19</v>
      </c>
      <c r="J19" s="6" t="s">
        <v>20</v>
      </c>
    </row>
    <row r="20">
      <c r="A20" s="5">
        <v>46213.395147523144</v>
      </c>
      <c r="B20" s="6" t="s">
        <v>74</v>
      </c>
      <c r="C20" s="6" t="s">
        <v>374</v>
      </c>
      <c r="D20" s="6" t="s">
        <v>13</v>
      </c>
      <c r="E20" s="6" t="s">
        <v>14</v>
      </c>
      <c r="F20" s="6" t="s">
        <v>16</v>
      </c>
      <c r="G20" s="6" t="s">
        <v>17</v>
      </c>
      <c r="H20" s="6" t="s">
        <v>18</v>
      </c>
      <c r="I20" s="6" t="s">
        <v>19</v>
      </c>
      <c r="J20" s="6" t="s">
        <v>20</v>
      </c>
    </row>
    <row r="21">
      <c r="A21" s="5">
        <v>46213.395221921295</v>
      </c>
      <c r="B21" s="6" t="s">
        <v>118</v>
      </c>
      <c r="C21" s="6" t="s">
        <v>514</v>
      </c>
      <c r="D21" s="6" t="s">
        <v>13</v>
      </c>
      <c r="E21" s="6" t="s">
        <v>14</v>
      </c>
      <c r="F21" s="6" t="s">
        <v>16</v>
      </c>
      <c r="G21" s="6" t="s">
        <v>17</v>
      </c>
      <c r="H21" s="6" t="s">
        <v>18</v>
      </c>
      <c r="I21" s="6" t="s">
        <v>19</v>
      </c>
      <c r="J21" s="6" t="s">
        <v>20</v>
      </c>
    </row>
    <row r="22">
      <c r="A22" s="5">
        <v>46213.395460995365</v>
      </c>
      <c r="B22" s="6" t="s">
        <v>111</v>
      </c>
      <c r="C22" s="6" t="s">
        <v>468</v>
      </c>
      <c r="D22" s="6" t="s">
        <v>13</v>
      </c>
      <c r="E22" s="6" t="s">
        <v>14</v>
      </c>
      <c r="F22" s="6" t="s">
        <v>16</v>
      </c>
      <c r="G22" s="6" t="s">
        <v>17</v>
      </c>
      <c r="H22" s="6" t="s">
        <v>18</v>
      </c>
      <c r="I22" s="6" t="s">
        <v>19</v>
      </c>
      <c r="J22" s="6" t="s">
        <v>20</v>
      </c>
    </row>
    <row r="23">
      <c r="A23" s="5">
        <v>46213.39551478009</v>
      </c>
      <c r="B23" s="6" t="s">
        <v>135</v>
      </c>
      <c r="C23" s="6" t="s">
        <v>515</v>
      </c>
      <c r="D23" s="6" t="s">
        <v>13</v>
      </c>
      <c r="E23" s="6" t="s">
        <v>14</v>
      </c>
      <c r="F23" s="6" t="s">
        <v>16</v>
      </c>
      <c r="G23" s="6" t="s">
        <v>17</v>
      </c>
      <c r="H23" s="6" t="s">
        <v>18</v>
      </c>
      <c r="I23" s="6" t="s">
        <v>19</v>
      </c>
      <c r="J23" s="6" t="s">
        <v>20</v>
      </c>
    </row>
    <row r="24">
      <c r="A24" s="5">
        <v>46213.3955186574</v>
      </c>
      <c r="B24" s="6" t="s">
        <v>24</v>
      </c>
      <c r="C24" s="6" t="s">
        <v>459</v>
      </c>
      <c r="D24" s="6" t="s">
        <v>13</v>
      </c>
      <c r="E24" s="6" t="s">
        <v>14</v>
      </c>
      <c r="F24" s="6" t="s">
        <v>16</v>
      </c>
      <c r="G24" s="6" t="s">
        <v>17</v>
      </c>
      <c r="H24" s="6" t="s">
        <v>18</v>
      </c>
      <c r="I24" s="6" t="s">
        <v>19</v>
      </c>
      <c r="J24" s="6" t="s">
        <v>20</v>
      </c>
    </row>
    <row r="25">
      <c r="A25" s="5">
        <v>46213.395762326385</v>
      </c>
      <c r="B25" s="6" t="s">
        <v>100</v>
      </c>
      <c r="C25" s="6" t="s">
        <v>466</v>
      </c>
      <c r="D25" s="6" t="s">
        <v>13</v>
      </c>
      <c r="E25" s="6" t="s">
        <v>14</v>
      </c>
      <c r="F25" s="6" t="s">
        <v>16</v>
      </c>
      <c r="G25" s="6" t="s">
        <v>17</v>
      </c>
      <c r="H25" s="6" t="s">
        <v>18</v>
      </c>
      <c r="I25" s="6" t="s">
        <v>19</v>
      </c>
      <c r="J25" s="6" t="s">
        <v>20</v>
      </c>
      <c r="K25" s="6" t="s">
        <v>516</v>
      </c>
    </row>
    <row r="26">
      <c r="A26" s="5">
        <v>46213.39623046297</v>
      </c>
      <c r="B26" s="6" t="s">
        <v>85</v>
      </c>
      <c r="C26" s="6" t="s">
        <v>459</v>
      </c>
      <c r="D26" s="6" t="s">
        <v>13</v>
      </c>
      <c r="E26" s="6" t="s">
        <v>14</v>
      </c>
      <c r="F26" s="6" t="s">
        <v>16</v>
      </c>
      <c r="G26" s="6" t="s">
        <v>17</v>
      </c>
      <c r="H26" s="6" t="s">
        <v>18</v>
      </c>
      <c r="I26" s="6" t="s">
        <v>55</v>
      </c>
      <c r="J26" s="6" t="s">
        <v>20</v>
      </c>
    </row>
    <row r="27">
      <c r="A27" s="5">
        <v>46213.396371423616</v>
      </c>
      <c r="B27" s="6" t="s">
        <v>90</v>
      </c>
      <c r="C27" s="6" t="s">
        <v>477</v>
      </c>
      <c r="D27" s="6" t="s">
        <v>13</v>
      </c>
      <c r="E27" s="6" t="s">
        <v>14</v>
      </c>
      <c r="F27" s="6" t="s">
        <v>16</v>
      </c>
      <c r="G27" s="6" t="s">
        <v>17</v>
      </c>
      <c r="H27" s="6" t="s">
        <v>18</v>
      </c>
      <c r="I27" s="6" t="s">
        <v>19</v>
      </c>
      <c r="J27" s="6" t="s">
        <v>20</v>
      </c>
    </row>
    <row r="28">
      <c r="A28" s="5">
        <v>46213.39640190972</v>
      </c>
      <c r="B28" s="6" t="s">
        <v>210</v>
      </c>
      <c r="C28" s="6" t="s">
        <v>462</v>
      </c>
      <c r="D28" s="6" t="s">
        <v>13</v>
      </c>
      <c r="E28" s="6" t="s">
        <v>14</v>
      </c>
      <c r="F28" s="6" t="s">
        <v>16</v>
      </c>
      <c r="G28" s="6" t="s">
        <v>17</v>
      </c>
      <c r="H28" s="6" t="s">
        <v>18</v>
      </c>
      <c r="I28" s="6" t="s">
        <v>19</v>
      </c>
      <c r="J28" s="6" t="s">
        <v>20</v>
      </c>
      <c r="K28" s="6" t="s">
        <v>517</v>
      </c>
    </row>
    <row r="29">
      <c r="A29" s="5">
        <v>46213.397127222226</v>
      </c>
      <c r="B29" s="6" t="s">
        <v>61</v>
      </c>
      <c r="C29" s="6" t="s">
        <v>459</v>
      </c>
      <c r="D29" s="6" t="s">
        <v>13</v>
      </c>
      <c r="E29" s="6" t="s">
        <v>14</v>
      </c>
      <c r="F29" s="6" t="s">
        <v>16</v>
      </c>
      <c r="G29" s="6" t="s">
        <v>17</v>
      </c>
      <c r="H29" s="6" t="s">
        <v>18</v>
      </c>
      <c r="I29" s="6" t="s">
        <v>19</v>
      </c>
      <c r="J29" s="6" t="s">
        <v>20</v>
      </c>
      <c r="K29" s="6" t="s">
        <v>478</v>
      </c>
    </row>
    <row r="30">
      <c r="A30" s="5">
        <v>46213.397290312496</v>
      </c>
      <c r="B30" s="6" t="s">
        <v>101</v>
      </c>
      <c r="C30" s="6" t="s">
        <v>31</v>
      </c>
      <c r="D30" s="6" t="s">
        <v>13</v>
      </c>
      <c r="E30" s="6" t="s">
        <v>14</v>
      </c>
      <c r="F30" s="6" t="s">
        <v>16</v>
      </c>
      <c r="G30" s="6" t="s">
        <v>17</v>
      </c>
      <c r="H30" s="6" t="s">
        <v>18</v>
      </c>
      <c r="I30" s="6" t="s">
        <v>19</v>
      </c>
      <c r="J30" s="6" t="s">
        <v>20</v>
      </c>
    </row>
    <row r="31">
      <c r="A31" s="5">
        <v>46213.39730640047</v>
      </c>
      <c r="B31" s="6" t="s">
        <v>106</v>
      </c>
      <c r="C31" s="6" t="s">
        <v>475</v>
      </c>
      <c r="D31" s="6" t="s">
        <v>13</v>
      </c>
      <c r="E31" s="6" t="s">
        <v>120</v>
      </c>
      <c r="F31" s="6" t="s">
        <v>16</v>
      </c>
      <c r="G31" s="6" t="s">
        <v>17</v>
      </c>
      <c r="H31" s="6" t="s">
        <v>18</v>
      </c>
      <c r="I31" s="6" t="s">
        <v>19</v>
      </c>
      <c r="J31" s="6" t="s">
        <v>20</v>
      </c>
    </row>
    <row r="32">
      <c r="A32" s="5">
        <v>46213.39744072917</v>
      </c>
      <c r="B32" s="6" t="s">
        <v>127</v>
      </c>
      <c r="C32" s="6" t="s">
        <v>466</v>
      </c>
      <c r="D32" s="6" t="s">
        <v>13</v>
      </c>
      <c r="E32" s="6" t="s">
        <v>14</v>
      </c>
      <c r="F32" s="6" t="s">
        <v>16</v>
      </c>
      <c r="G32" s="6" t="s">
        <v>17</v>
      </c>
      <c r="H32" s="6" t="s">
        <v>18</v>
      </c>
      <c r="I32" s="6" t="s">
        <v>19</v>
      </c>
      <c r="J32" s="6" t="s">
        <v>20</v>
      </c>
      <c r="K32" s="6" t="s">
        <v>518</v>
      </c>
    </row>
    <row r="33">
      <c r="A33" s="5">
        <v>46213.39751737269</v>
      </c>
      <c r="B33" s="6" t="s">
        <v>75</v>
      </c>
      <c r="C33" s="6" t="s">
        <v>462</v>
      </c>
      <c r="D33" s="6" t="s">
        <v>13</v>
      </c>
      <c r="E33" s="6" t="s">
        <v>14</v>
      </c>
      <c r="F33" s="6" t="s">
        <v>16</v>
      </c>
      <c r="G33" s="6" t="s">
        <v>17</v>
      </c>
      <c r="H33" s="6" t="s">
        <v>18</v>
      </c>
      <c r="I33" s="6" t="s">
        <v>19</v>
      </c>
      <c r="J33" s="6" t="s">
        <v>20</v>
      </c>
      <c r="K33" s="6" t="s">
        <v>519</v>
      </c>
    </row>
    <row r="34">
      <c r="A34" s="5">
        <v>46213.39832054398</v>
      </c>
      <c r="B34" s="6" t="s">
        <v>196</v>
      </c>
      <c r="C34" s="6" t="s">
        <v>459</v>
      </c>
      <c r="D34" s="6" t="s">
        <v>13</v>
      </c>
      <c r="E34" s="6" t="s">
        <v>14</v>
      </c>
      <c r="F34" s="6" t="s">
        <v>16</v>
      </c>
      <c r="G34" s="6" t="s">
        <v>17</v>
      </c>
      <c r="H34" s="6" t="s">
        <v>18</v>
      </c>
      <c r="I34" s="6" t="s">
        <v>19</v>
      </c>
      <c r="J34" s="6" t="s">
        <v>20</v>
      </c>
    </row>
    <row r="35">
      <c r="A35" s="5">
        <v>46213.3984409375</v>
      </c>
      <c r="B35" s="6" t="s">
        <v>28</v>
      </c>
      <c r="C35" s="6" t="s">
        <v>459</v>
      </c>
      <c r="D35" s="6" t="s">
        <v>13</v>
      </c>
      <c r="E35" s="6" t="s">
        <v>14</v>
      </c>
      <c r="F35" s="6" t="s">
        <v>54</v>
      </c>
      <c r="G35" s="6" t="s">
        <v>17</v>
      </c>
      <c r="H35" s="6" t="s">
        <v>87</v>
      </c>
      <c r="I35" s="6" t="s">
        <v>19</v>
      </c>
      <c r="J35" s="6" t="s">
        <v>20</v>
      </c>
    </row>
    <row r="36">
      <c r="A36" s="5">
        <v>46213.39854667824</v>
      </c>
      <c r="B36" s="6" t="s">
        <v>72</v>
      </c>
      <c r="C36" s="6" t="s">
        <v>459</v>
      </c>
      <c r="D36" s="6" t="s">
        <v>13</v>
      </c>
      <c r="E36" s="6" t="s">
        <v>14</v>
      </c>
      <c r="F36" s="6" t="s">
        <v>16</v>
      </c>
      <c r="G36" s="6" t="s">
        <v>17</v>
      </c>
      <c r="H36" s="6" t="s">
        <v>18</v>
      </c>
      <c r="I36" s="6" t="s">
        <v>19</v>
      </c>
      <c r="J36" s="6" t="s">
        <v>20</v>
      </c>
      <c r="K36" s="6" t="s">
        <v>520</v>
      </c>
    </row>
    <row r="37">
      <c r="A37" s="5">
        <v>46213.39900638889</v>
      </c>
      <c r="B37" s="6" t="s">
        <v>105</v>
      </c>
      <c r="C37" s="6" t="s">
        <v>505</v>
      </c>
      <c r="D37" s="6" t="s">
        <v>13</v>
      </c>
      <c r="E37" s="6" t="s">
        <v>14</v>
      </c>
      <c r="F37" s="6" t="s">
        <v>16</v>
      </c>
      <c r="G37" s="6" t="s">
        <v>17</v>
      </c>
      <c r="H37" s="6" t="s">
        <v>18</v>
      </c>
      <c r="I37" s="6" t="s">
        <v>19</v>
      </c>
      <c r="J37" s="6" t="s">
        <v>20</v>
      </c>
    </row>
    <row r="38">
      <c r="A38" s="5">
        <v>46213.39906923611</v>
      </c>
      <c r="B38" s="6" t="s">
        <v>205</v>
      </c>
      <c r="C38" s="6" t="s">
        <v>31</v>
      </c>
      <c r="D38" s="6" t="s">
        <v>13</v>
      </c>
      <c r="E38" s="6" t="s">
        <v>14</v>
      </c>
      <c r="F38" s="6" t="s">
        <v>16</v>
      </c>
      <c r="G38" s="6" t="s">
        <v>17</v>
      </c>
      <c r="H38" s="6" t="s">
        <v>18</v>
      </c>
      <c r="I38" s="6" t="s">
        <v>19</v>
      </c>
      <c r="J38" s="6" t="s">
        <v>20</v>
      </c>
    </row>
    <row r="39">
      <c r="A39" s="5">
        <v>46213.399659745366</v>
      </c>
      <c r="B39" s="6" t="s">
        <v>114</v>
      </c>
      <c r="C39" s="6" t="s">
        <v>482</v>
      </c>
      <c r="D39" s="6" t="s">
        <v>13</v>
      </c>
      <c r="E39" s="6" t="s">
        <v>14</v>
      </c>
      <c r="F39" s="6" t="s">
        <v>16</v>
      </c>
      <c r="G39" s="6" t="s">
        <v>17</v>
      </c>
      <c r="H39" s="6" t="s">
        <v>18</v>
      </c>
      <c r="I39" s="6" t="s">
        <v>19</v>
      </c>
      <c r="J39" s="6" t="s">
        <v>20</v>
      </c>
    </row>
    <row r="40">
      <c r="A40" s="5">
        <v>46213.39971267361</v>
      </c>
      <c r="B40" s="6" t="s">
        <v>44</v>
      </c>
      <c r="C40" s="6" t="s">
        <v>459</v>
      </c>
      <c r="D40" s="6" t="s">
        <v>13</v>
      </c>
      <c r="E40" s="6" t="s">
        <v>14</v>
      </c>
      <c r="F40" s="6" t="s">
        <v>16</v>
      </c>
      <c r="G40" s="6" t="s">
        <v>17</v>
      </c>
      <c r="H40" s="6" t="s">
        <v>18</v>
      </c>
      <c r="I40" s="6" t="s">
        <v>19</v>
      </c>
      <c r="J40" s="6" t="s">
        <v>20</v>
      </c>
    </row>
    <row r="41">
      <c r="A41" s="5">
        <v>46213.39987365741</v>
      </c>
      <c r="B41" s="6" t="s">
        <v>97</v>
      </c>
      <c r="C41" s="6" t="s">
        <v>466</v>
      </c>
      <c r="D41" s="6" t="s">
        <v>13</v>
      </c>
      <c r="E41" s="6" t="s">
        <v>14</v>
      </c>
      <c r="F41" s="6" t="s">
        <v>16</v>
      </c>
      <c r="G41" s="6" t="s">
        <v>17</v>
      </c>
      <c r="H41" s="6" t="s">
        <v>18</v>
      </c>
      <c r="I41" s="6" t="s">
        <v>19</v>
      </c>
      <c r="J41" s="6" t="s">
        <v>20</v>
      </c>
      <c r="K41" s="6" t="s">
        <v>521</v>
      </c>
    </row>
    <row r="42">
      <c r="A42" s="5">
        <v>46213.40017061343</v>
      </c>
      <c r="B42" s="6" t="s">
        <v>37</v>
      </c>
      <c r="C42" s="6" t="s">
        <v>486</v>
      </c>
      <c r="D42" s="6" t="s">
        <v>13</v>
      </c>
      <c r="E42" s="6" t="s">
        <v>14</v>
      </c>
      <c r="F42" s="6" t="s">
        <v>16</v>
      </c>
      <c r="G42" s="6" t="s">
        <v>17</v>
      </c>
      <c r="H42" s="6" t="s">
        <v>18</v>
      </c>
      <c r="I42" s="6" t="s">
        <v>19</v>
      </c>
      <c r="J42" s="6" t="s">
        <v>20</v>
      </c>
      <c r="K42" s="6" t="s">
        <v>487</v>
      </c>
    </row>
    <row r="43">
      <c r="A43" s="5">
        <v>46213.400289826386</v>
      </c>
      <c r="B43" s="6" t="s">
        <v>33</v>
      </c>
      <c r="C43" s="6" t="s">
        <v>473</v>
      </c>
      <c r="D43" s="6" t="s">
        <v>13</v>
      </c>
      <c r="E43" s="6" t="s">
        <v>14</v>
      </c>
      <c r="F43" s="6" t="s">
        <v>16</v>
      </c>
      <c r="G43" s="6" t="s">
        <v>17</v>
      </c>
      <c r="H43" s="6" t="s">
        <v>18</v>
      </c>
      <c r="I43" s="6" t="s">
        <v>19</v>
      </c>
      <c r="J43" s="6" t="s">
        <v>20</v>
      </c>
    </row>
    <row r="44">
      <c r="A44" s="5">
        <v>46213.401220960644</v>
      </c>
      <c r="B44" s="6" t="s">
        <v>95</v>
      </c>
      <c r="C44" s="6" t="s">
        <v>208</v>
      </c>
      <c r="D44" s="6" t="s">
        <v>13</v>
      </c>
      <c r="E44" s="6" t="s">
        <v>14</v>
      </c>
      <c r="F44" s="6" t="s">
        <v>16</v>
      </c>
      <c r="G44" s="6" t="s">
        <v>17</v>
      </c>
      <c r="H44" s="6" t="s">
        <v>18</v>
      </c>
      <c r="I44" s="6" t="s">
        <v>19</v>
      </c>
      <c r="J44" s="6" t="s">
        <v>20</v>
      </c>
    </row>
    <row r="45">
      <c r="A45" s="5">
        <v>46213.40173128472</v>
      </c>
      <c r="B45" s="6" t="s">
        <v>88</v>
      </c>
      <c r="C45" s="6" t="s">
        <v>480</v>
      </c>
      <c r="D45" s="6" t="s">
        <v>13</v>
      </c>
      <c r="E45" s="6" t="s">
        <v>14</v>
      </c>
      <c r="F45" s="6" t="s">
        <v>16</v>
      </c>
      <c r="G45" s="6" t="s">
        <v>17</v>
      </c>
      <c r="H45" s="6" t="s">
        <v>18</v>
      </c>
      <c r="I45" s="6" t="s">
        <v>19</v>
      </c>
      <c r="J45" s="6" t="s">
        <v>20</v>
      </c>
      <c r="K45" s="6" t="s">
        <v>522</v>
      </c>
    </row>
    <row r="46">
      <c r="A46" s="5">
        <v>46213.40189579861</v>
      </c>
      <c r="B46" s="6" t="s">
        <v>66</v>
      </c>
      <c r="C46" s="6" t="s">
        <v>475</v>
      </c>
      <c r="D46" s="6" t="s">
        <v>13</v>
      </c>
      <c r="E46" s="6" t="s">
        <v>14</v>
      </c>
      <c r="F46" s="6" t="s">
        <v>16</v>
      </c>
      <c r="G46" s="6" t="s">
        <v>17</v>
      </c>
      <c r="H46" s="6" t="s">
        <v>18</v>
      </c>
      <c r="I46" s="6" t="s">
        <v>19</v>
      </c>
      <c r="J46" s="6" t="s">
        <v>20</v>
      </c>
      <c r="K46" s="6" t="s">
        <v>489</v>
      </c>
    </row>
    <row r="47">
      <c r="A47" s="5">
        <v>46213.40263774306</v>
      </c>
      <c r="B47" s="6" t="s">
        <v>83</v>
      </c>
      <c r="C47" s="6" t="s">
        <v>466</v>
      </c>
      <c r="D47" s="6" t="s">
        <v>13</v>
      </c>
      <c r="E47" s="6" t="s">
        <v>14</v>
      </c>
      <c r="F47" s="6" t="s">
        <v>16</v>
      </c>
      <c r="G47" s="6" t="s">
        <v>17</v>
      </c>
      <c r="H47" s="6" t="s">
        <v>18</v>
      </c>
      <c r="I47" s="6" t="s">
        <v>19</v>
      </c>
      <c r="J47" s="6" t="s">
        <v>20</v>
      </c>
    </row>
    <row r="48">
      <c r="A48" s="5">
        <v>46213.40289054398</v>
      </c>
      <c r="B48" s="6" t="s">
        <v>77</v>
      </c>
      <c r="C48" s="6" t="s">
        <v>459</v>
      </c>
      <c r="D48" s="6" t="s">
        <v>13</v>
      </c>
      <c r="E48" s="6" t="s">
        <v>14</v>
      </c>
      <c r="F48" s="6" t="s">
        <v>16</v>
      </c>
      <c r="G48" s="6" t="s">
        <v>17</v>
      </c>
      <c r="H48" s="6" t="s">
        <v>18</v>
      </c>
      <c r="I48" s="6" t="s">
        <v>19</v>
      </c>
      <c r="J48" s="6" t="s">
        <v>20</v>
      </c>
      <c r="K48" s="6" t="s">
        <v>523</v>
      </c>
    </row>
    <row r="49">
      <c r="A49" s="5">
        <v>46213.404140231476</v>
      </c>
      <c r="B49" s="6" t="s">
        <v>71</v>
      </c>
      <c r="C49" s="6" t="s">
        <v>31</v>
      </c>
      <c r="D49" s="6" t="s">
        <v>13</v>
      </c>
      <c r="E49" s="6" t="s">
        <v>14</v>
      </c>
      <c r="F49" s="6" t="s">
        <v>16</v>
      </c>
      <c r="G49" s="6" t="s">
        <v>17</v>
      </c>
      <c r="H49" s="6" t="s">
        <v>18</v>
      </c>
      <c r="I49" s="6" t="s">
        <v>19</v>
      </c>
      <c r="J49" s="6" t="s">
        <v>20</v>
      </c>
    </row>
    <row r="50">
      <c r="A50" s="5">
        <v>46213.40438723379</v>
      </c>
      <c r="B50" s="6" t="s">
        <v>42</v>
      </c>
      <c r="C50" s="6" t="s">
        <v>31</v>
      </c>
      <c r="D50" s="6" t="s">
        <v>13</v>
      </c>
      <c r="E50" s="6" t="s">
        <v>14</v>
      </c>
      <c r="F50" s="6" t="s">
        <v>16</v>
      </c>
      <c r="G50" s="6" t="s">
        <v>17</v>
      </c>
      <c r="H50" s="6" t="s">
        <v>18</v>
      </c>
      <c r="I50" s="6" t="s">
        <v>19</v>
      </c>
      <c r="J50" s="6" t="s">
        <v>20</v>
      </c>
    </row>
    <row r="51">
      <c r="A51" s="5">
        <v>46213.40593893519</v>
      </c>
      <c r="B51" s="6" t="s">
        <v>201</v>
      </c>
      <c r="C51" s="6" t="s">
        <v>491</v>
      </c>
      <c r="D51" s="6" t="s">
        <v>13</v>
      </c>
      <c r="E51" s="6" t="s">
        <v>14</v>
      </c>
      <c r="F51" s="6" t="s">
        <v>16</v>
      </c>
      <c r="G51" s="6" t="s">
        <v>17</v>
      </c>
      <c r="H51" s="6" t="s">
        <v>18</v>
      </c>
      <c r="I51" s="6" t="s">
        <v>19</v>
      </c>
      <c r="J51" s="6" t="s">
        <v>20</v>
      </c>
    </row>
    <row r="52">
      <c r="A52" s="5">
        <v>46213.40973320602</v>
      </c>
      <c r="B52" s="6" t="s">
        <v>59</v>
      </c>
      <c r="C52" s="6" t="s">
        <v>492</v>
      </c>
      <c r="D52" s="6" t="s">
        <v>13</v>
      </c>
      <c r="E52" s="6" t="s">
        <v>14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>
      <c r="A53" s="5">
        <v>46213.41077635417</v>
      </c>
      <c r="B53" s="6" t="s">
        <v>126</v>
      </c>
      <c r="C53" s="6" t="s">
        <v>459</v>
      </c>
      <c r="D53" s="6" t="s">
        <v>13</v>
      </c>
      <c r="E53" s="6" t="s">
        <v>14</v>
      </c>
      <c r="F53" s="6" t="s">
        <v>16</v>
      </c>
      <c r="G53" s="6" t="s">
        <v>17</v>
      </c>
      <c r="H53" s="6" t="s">
        <v>18</v>
      </c>
      <c r="I53" s="6" t="s">
        <v>19</v>
      </c>
      <c r="J53" s="6" t="s">
        <v>20</v>
      </c>
    </row>
    <row r="54">
      <c r="A54" s="5">
        <v>46213.41128122685</v>
      </c>
      <c r="B54" s="6" t="s">
        <v>40</v>
      </c>
      <c r="C54" s="6" t="s">
        <v>31</v>
      </c>
      <c r="D54" s="6" t="s">
        <v>13</v>
      </c>
      <c r="E54" s="6" t="s">
        <v>14</v>
      </c>
      <c r="F54" s="6" t="s">
        <v>16</v>
      </c>
      <c r="G54" s="6" t="s">
        <v>17</v>
      </c>
      <c r="H54" s="6" t="s">
        <v>18</v>
      </c>
      <c r="I54" s="6" t="s">
        <v>19</v>
      </c>
      <c r="J54" s="6" t="s">
        <v>20</v>
      </c>
    </row>
    <row r="55">
      <c r="A55" s="5">
        <v>46213.41207814815</v>
      </c>
      <c r="B55" s="6" t="s">
        <v>104</v>
      </c>
      <c r="C55" s="6" t="s">
        <v>493</v>
      </c>
      <c r="D55" s="6" t="s">
        <v>13</v>
      </c>
      <c r="E55" s="6" t="s">
        <v>14</v>
      </c>
      <c r="F55" s="6" t="s">
        <v>54</v>
      </c>
      <c r="G55" s="6" t="s">
        <v>17</v>
      </c>
      <c r="H55" s="6" t="s">
        <v>18</v>
      </c>
      <c r="I55" s="6" t="s">
        <v>19</v>
      </c>
      <c r="J55" s="6" t="s">
        <v>20</v>
      </c>
    </row>
    <row r="56">
      <c r="A56" s="5">
        <v>46213.4155958912</v>
      </c>
      <c r="B56" s="6" t="s">
        <v>112</v>
      </c>
      <c r="C56" s="6" t="s">
        <v>462</v>
      </c>
      <c r="D56" s="6" t="s">
        <v>13</v>
      </c>
      <c r="E56" s="6" t="s">
        <v>14</v>
      </c>
      <c r="F56" s="6" t="s">
        <v>16</v>
      </c>
      <c r="G56" s="6" t="s">
        <v>17</v>
      </c>
      <c r="H56" s="6" t="s">
        <v>18</v>
      </c>
      <c r="I56" s="6" t="s">
        <v>19</v>
      </c>
      <c r="J56" s="6" t="s">
        <v>20</v>
      </c>
    </row>
    <row r="57">
      <c r="A57" s="5">
        <v>46213.41900949074</v>
      </c>
      <c r="B57" s="6" t="s">
        <v>99</v>
      </c>
      <c r="C57" s="6" t="s">
        <v>459</v>
      </c>
      <c r="D57" s="6" t="s">
        <v>13</v>
      </c>
      <c r="E57" s="6" t="s">
        <v>14</v>
      </c>
      <c r="F57" s="6" t="s">
        <v>16</v>
      </c>
      <c r="G57" s="6" t="s">
        <v>17</v>
      </c>
      <c r="H57" s="6" t="s">
        <v>18</v>
      </c>
      <c r="I57" s="6" t="s">
        <v>19</v>
      </c>
      <c r="J57" s="6" t="s">
        <v>20</v>
      </c>
    </row>
    <row r="58">
      <c r="A58" s="5">
        <v>46213.42048847223</v>
      </c>
      <c r="B58" s="6" t="s">
        <v>69</v>
      </c>
      <c r="C58" s="6" t="s">
        <v>459</v>
      </c>
      <c r="D58" s="6" t="s">
        <v>13</v>
      </c>
      <c r="E58" s="6" t="s">
        <v>14</v>
      </c>
      <c r="F58" s="6" t="s">
        <v>16</v>
      </c>
      <c r="G58" s="6" t="s">
        <v>17</v>
      </c>
      <c r="H58" s="6" t="s">
        <v>18</v>
      </c>
      <c r="I58" s="6" t="s">
        <v>19</v>
      </c>
      <c r="J58" s="6" t="s">
        <v>20</v>
      </c>
    </row>
    <row r="59">
      <c r="A59" s="5">
        <v>46213.42587479167</v>
      </c>
      <c r="B59" s="6" t="s">
        <v>103</v>
      </c>
      <c r="C59" s="6" t="s">
        <v>31</v>
      </c>
      <c r="D59" s="6" t="s">
        <v>13</v>
      </c>
      <c r="E59" s="6" t="s">
        <v>14</v>
      </c>
      <c r="F59" s="6" t="s">
        <v>16</v>
      </c>
      <c r="G59" s="6" t="s">
        <v>17</v>
      </c>
      <c r="H59" s="6" t="s">
        <v>18</v>
      </c>
      <c r="I59" s="6" t="s">
        <v>19</v>
      </c>
      <c r="J59" s="6" t="s">
        <v>56</v>
      </c>
      <c r="K59" s="6" t="s">
        <v>92</v>
      </c>
    </row>
    <row r="60">
      <c r="A60" s="5">
        <v>46213.42894024306</v>
      </c>
      <c r="B60" s="6" t="s">
        <v>125</v>
      </c>
      <c r="C60" s="6" t="s">
        <v>31</v>
      </c>
      <c r="D60" s="6" t="s">
        <v>13</v>
      </c>
      <c r="E60" s="6" t="s">
        <v>14</v>
      </c>
      <c r="F60" s="6" t="s">
        <v>16</v>
      </c>
      <c r="G60" s="6" t="s">
        <v>17</v>
      </c>
      <c r="H60" s="6" t="s">
        <v>18</v>
      </c>
      <c r="I60" s="6" t="s">
        <v>19</v>
      </c>
      <c r="J60" s="6" t="s">
        <v>20</v>
      </c>
    </row>
    <row r="61">
      <c r="A61" s="5">
        <v>46213.43031765046</v>
      </c>
      <c r="B61" s="6" t="s">
        <v>178</v>
      </c>
      <c r="C61" s="6" t="s">
        <v>31</v>
      </c>
      <c r="D61" s="6" t="s">
        <v>13</v>
      </c>
      <c r="E61" s="6" t="s">
        <v>14</v>
      </c>
      <c r="F61" s="6" t="s">
        <v>16</v>
      </c>
      <c r="G61" s="6" t="s">
        <v>17</v>
      </c>
      <c r="H61" s="6" t="s">
        <v>18</v>
      </c>
      <c r="I61" s="6" t="s">
        <v>19</v>
      </c>
      <c r="J61" s="6" t="s">
        <v>20</v>
      </c>
    </row>
    <row r="62">
      <c r="A62" s="5">
        <v>46213.43095472222</v>
      </c>
      <c r="B62" s="6" t="s">
        <v>176</v>
      </c>
      <c r="C62" s="6" t="s">
        <v>459</v>
      </c>
      <c r="D62" s="6" t="s">
        <v>13</v>
      </c>
      <c r="E62" s="6" t="s">
        <v>14</v>
      </c>
      <c r="F62" s="6" t="s">
        <v>16</v>
      </c>
      <c r="G62" s="6" t="s">
        <v>17</v>
      </c>
      <c r="H62" s="6" t="s">
        <v>18</v>
      </c>
      <c r="I62" s="6" t="s">
        <v>19</v>
      </c>
      <c r="J62" s="6" t="s">
        <v>20</v>
      </c>
    </row>
    <row r="63">
      <c r="A63" s="5">
        <v>46213.454535428245</v>
      </c>
      <c r="B63" s="6" t="s">
        <v>199</v>
      </c>
      <c r="C63" s="6" t="s">
        <v>459</v>
      </c>
      <c r="D63" s="6" t="s">
        <v>13</v>
      </c>
      <c r="E63" s="6" t="s">
        <v>14</v>
      </c>
      <c r="F63" s="6" t="s">
        <v>16</v>
      </c>
      <c r="G63" s="6" t="s">
        <v>17</v>
      </c>
      <c r="H63" s="6" t="s">
        <v>18</v>
      </c>
      <c r="I63" s="6" t="s">
        <v>19</v>
      </c>
      <c r="J63" s="6" t="s">
        <v>20</v>
      </c>
    </row>
    <row r="64">
      <c r="A64" s="5">
        <v>46213.48823641204</v>
      </c>
      <c r="B64" s="6" t="s">
        <v>98</v>
      </c>
      <c r="C64" s="6" t="s">
        <v>156</v>
      </c>
      <c r="D64" s="6" t="s">
        <v>13</v>
      </c>
      <c r="E64" s="6" t="s">
        <v>14</v>
      </c>
      <c r="F64" s="6" t="s">
        <v>16</v>
      </c>
      <c r="G64" s="6" t="s">
        <v>17</v>
      </c>
      <c r="H64" s="6" t="s">
        <v>18</v>
      </c>
      <c r="I64" s="6" t="s">
        <v>19</v>
      </c>
      <c r="J64" s="6" t="s">
        <v>20</v>
      </c>
    </row>
    <row r="65">
      <c r="A65" s="5">
        <v>46213.49935619213</v>
      </c>
      <c r="B65" s="6" t="s">
        <v>130</v>
      </c>
      <c r="C65" s="6" t="s">
        <v>459</v>
      </c>
      <c r="D65" s="6" t="s">
        <v>13</v>
      </c>
      <c r="E65" s="6" t="s">
        <v>14</v>
      </c>
      <c r="F65" s="6" t="s">
        <v>16</v>
      </c>
      <c r="G65" s="6" t="s">
        <v>17</v>
      </c>
      <c r="H65" s="6" t="s">
        <v>18</v>
      </c>
      <c r="I65" s="6" t="s">
        <v>19</v>
      </c>
      <c r="J65" s="6" t="s">
        <v>20</v>
      </c>
    </row>
    <row r="66">
      <c r="A66" s="5">
        <v>46213.512098657404</v>
      </c>
      <c r="B66" s="6" t="s">
        <v>93</v>
      </c>
      <c r="C66" s="6" t="s">
        <v>459</v>
      </c>
      <c r="D66" s="6" t="s">
        <v>13</v>
      </c>
      <c r="E66" s="6" t="s">
        <v>14</v>
      </c>
      <c r="F66" s="6" t="s">
        <v>16</v>
      </c>
      <c r="G66" s="6" t="s">
        <v>17</v>
      </c>
      <c r="H66" s="6" t="s">
        <v>18</v>
      </c>
      <c r="I66" s="6" t="s">
        <v>19</v>
      </c>
      <c r="J66" s="6" t="s">
        <v>20</v>
      </c>
    </row>
    <row r="67">
      <c r="A67" s="5">
        <v>46213.577466284725</v>
      </c>
      <c r="B67" s="6" t="s">
        <v>52</v>
      </c>
      <c r="C67" s="6" t="s">
        <v>495</v>
      </c>
      <c r="D67" s="6" t="s">
        <v>13</v>
      </c>
      <c r="E67" s="6" t="s">
        <v>14</v>
      </c>
      <c r="F67" s="6" t="s">
        <v>16</v>
      </c>
      <c r="G67" s="6" t="s">
        <v>17</v>
      </c>
      <c r="H67" s="6" t="s">
        <v>18</v>
      </c>
      <c r="I67" s="6" t="s">
        <v>55</v>
      </c>
      <c r="J67" s="6" t="s">
        <v>20</v>
      </c>
    </row>
    <row r="68">
      <c r="A68" s="5">
        <v>46214.47585354166</v>
      </c>
      <c r="B68" s="6" t="s">
        <v>132</v>
      </c>
      <c r="C68" s="6" t="s">
        <v>180</v>
      </c>
      <c r="D68" s="6" t="s">
        <v>13</v>
      </c>
      <c r="E68" s="6" t="s">
        <v>14</v>
      </c>
      <c r="F68" s="6" t="s">
        <v>16</v>
      </c>
      <c r="G68" s="6" t="s">
        <v>17</v>
      </c>
      <c r="H68" s="6" t="s">
        <v>18</v>
      </c>
      <c r="I68" s="6" t="s">
        <v>19</v>
      </c>
      <c r="J68" s="6" t="s">
        <v>20</v>
      </c>
    </row>
    <row r="69">
      <c r="A69" s="5">
        <v>46262.43337283564</v>
      </c>
      <c r="B69" s="6" t="s">
        <v>30</v>
      </c>
      <c r="C69" s="6" t="s">
        <v>31</v>
      </c>
      <c r="D69" s="6" t="s">
        <v>13</v>
      </c>
      <c r="E69" s="6" t="s">
        <v>14</v>
      </c>
      <c r="F69" s="6" t="s">
        <v>16</v>
      </c>
      <c r="G69" s="6" t="s">
        <v>17</v>
      </c>
      <c r="H69" s="6" t="s">
        <v>18</v>
      </c>
      <c r="I69" s="6" t="s">
        <v>19</v>
      </c>
      <c r="J69" s="6" t="s">
        <v>20</v>
      </c>
    </row>
    <row r="70">
      <c r="A70" s="5">
        <v>46262.48956460648</v>
      </c>
      <c r="B70" s="6" t="s">
        <v>63</v>
      </c>
      <c r="C70" s="6" t="s">
        <v>524</v>
      </c>
      <c r="D70" s="6" t="s">
        <v>13</v>
      </c>
      <c r="E70" s="6" t="s">
        <v>14</v>
      </c>
      <c r="F70" s="6" t="s">
        <v>16</v>
      </c>
      <c r="G70" s="6" t="s">
        <v>17</v>
      </c>
      <c r="H70" s="6" t="s">
        <v>18</v>
      </c>
      <c r="I70" s="6" t="s">
        <v>19</v>
      </c>
      <c r="J70" s="6" t="s">
        <v>20</v>
      </c>
      <c r="K70" s="6" t="s">
        <v>496</v>
      </c>
    </row>
    <row r="71">
      <c r="A71" s="5">
        <v>46262.60108436343</v>
      </c>
      <c r="B71" s="6" t="s">
        <v>86</v>
      </c>
      <c r="C71" s="6" t="s">
        <v>480</v>
      </c>
      <c r="D71" s="6" t="s">
        <v>13</v>
      </c>
      <c r="E71" s="6" t="s">
        <v>14</v>
      </c>
      <c r="F71" s="6" t="s">
        <v>16</v>
      </c>
      <c r="G71" s="6" t="s">
        <v>17</v>
      </c>
      <c r="H71" s="6" t="s">
        <v>18</v>
      </c>
      <c r="I71" s="6" t="s">
        <v>19</v>
      </c>
      <c r="J71" s="6" t="s">
        <v>20</v>
      </c>
    </row>
    <row r="72">
      <c r="A72" s="5">
        <v>46264.88107048611</v>
      </c>
      <c r="B72" s="6" t="s">
        <v>108</v>
      </c>
      <c r="C72" s="6" t="s">
        <v>109</v>
      </c>
      <c r="D72" s="6" t="s">
        <v>13</v>
      </c>
      <c r="E72" s="6" t="s">
        <v>14</v>
      </c>
      <c r="F72" s="6" t="s">
        <v>16</v>
      </c>
      <c r="G72" s="6" t="s">
        <v>17</v>
      </c>
      <c r="H72" s="6" t="s">
        <v>18</v>
      </c>
      <c r="I72" s="6" t="s">
        <v>19</v>
      </c>
      <c r="J72" s="6" t="s">
        <v>20</v>
      </c>
    </row>
    <row r="73">
      <c r="A73" s="5">
        <v>46265.70761298611</v>
      </c>
      <c r="B73" s="6" t="s">
        <v>115</v>
      </c>
      <c r="C73" s="6" t="s">
        <v>31</v>
      </c>
      <c r="D73" s="6" t="s">
        <v>13</v>
      </c>
      <c r="E73" s="6" t="s">
        <v>14</v>
      </c>
      <c r="F73" s="6" t="s">
        <v>16</v>
      </c>
      <c r="G73" s="6" t="s">
        <v>17</v>
      </c>
      <c r="H73" s="6" t="s">
        <v>18</v>
      </c>
      <c r="I73" s="6" t="s">
        <v>19</v>
      </c>
      <c r="J73" s="6" t="s">
        <v>20</v>
      </c>
    </row>
    <row r="74">
      <c r="A74" s="5">
        <v>46266.68460003472</v>
      </c>
      <c r="B74" s="6" t="s">
        <v>121</v>
      </c>
      <c r="C74" s="6" t="s">
        <v>31</v>
      </c>
      <c r="D74" s="6" t="s">
        <v>13</v>
      </c>
      <c r="E74" s="6" t="s">
        <v>14</v>
      </c>
      <c r="F74" s="6" t="s">
        <v>16</v>
      </c>
      <c r="G74" s="6" t="s">
        <v>17</v>
      </c>
      <c r="H74" s="6" t="s">
        <v>18</v>
      </c>
      <c r="I74" s="6" t="s">
        <v>19</v>
      </c>
      <c r="J74" s="6" t="s">
        <v>20</v>
      </c>
    </row>
    <row r="75">
      <c r="A75" s="5">
        <v>46266.68932600695</v>
      </c>
      <c r="B75" s="6" t="s">
        <v>124</v>
      </c>
      <c r="C75" s="6" t="s">
        <v>31</v>
      </c>
      <c r="D75" s="6" t="s">
        <v>13</v>
      </c>
      <c r="E75" s="6" t="s">
        <v>14</v>
      </c>
      <c r="F75" s="6" t="s">
        <v>16</v>
      </c>
      <c r="G75" s="6" t="s">
        <v>17</v>
      </c>
      <c r="H75" s="6" t="s">
        <v>18</v>
      </c>
      <c r="I75" s="6" t="s">
        <v>19</v>
      </c>
      <c r="J75" s="6" t="s">
        <v>20</v>
      </c>
    </row>
    <row r="76">
      <c r="A76" s="5">
        <v>46267.3118405787</v>
      </c>
      <c r="B76" s="6" t="s">
        <v>129</v>
      </c>
      <c r="C76" s="6" t="s">
        <v>525</v>
      </c>
      <c r="D76" s="6" t="s">
        <v>13</v>
      </c>
      <c r="E76" s="6" t="s">
        <v>14</v>
      </c>
      <c r="F76" s="6" t="s">
        <v>16</v>
      </c>
      <c r="G76" s="6" t="s">
        <v>17</v>
      </c>
      <c r="H76" s="6" t="s">
        <v>18</v>
      </c>
      <c r="I76" s="6" t="s">
        <v>19</v>
      </c>
      <c r="J76" s="6" t="s">
        <v>20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1" t="s">
        <v>0</v>
      </c>
      <c r="B1" s="1" t="s">
        <v>1</v>
      </c>
      <c r="C1" s="3" t="s">
        <v>2</v>
      </c>
      <c r="D1" s="4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1"/>
      <c r="M1" s="7" t="s">
        <v>15</v>
      </c>
    </row>
    <row r="2">
      <c r="A2" s="8">
        <f>'2.3'!A:A</f>
        <v>46213.39359</v>
      </c>
      <c r="B2" s="1" t="str">
        <f>'2.3'!B:B</f>
        <v>bnco1008@signalschool.ac.th</v>
      </c>
      <c r="C2" s="1" t="str">
        <f>'2.3'!C:C</f>
        <v>พ.ต.ไมตรี บุญเหลื่อม</v>
      </c>
      <c r="D2" s="9">
        <v>1.0</v>
      </c>
      <c r="E2" s="10">
        <f>IFERROR(vlookup('2.3'!D:D,lookup!$A$2:$B$4,2,false),0)</f>
        <v>5</v>
      </c>
      <c r="F2" s="10">
        <f>IFERROR(vlookup('2.3'!E:E,lookup!$A$6:$B$8,2,false),0)</f>
        <v>5</v>
      </c>
      <c r="G2" s="10">
        <f>IFERROR(vlookup('2.3'!F:F,lookup!$A$10:$B$12,2,false),0)</f>
        <v>5</v>
      </c>
      <c r="H2" s="10">
        <f>IFERROR(vlookup('2.3'!G:G,lookup!$A$14:$B$16,2,false),0)</f>
        <v>5</v>
      </c>
      <c r="I2" s="10">
        <f>IFERROR(vlookup('2.3'!H:H,lookup!$A$18:$B$20,2,false),0)</f>
        <v>5</v>
      </c>
      <c r="J2" s="10">
        <f>IFERROR(vlookup('2.3'!I:I,lookup!$A$22:$B$24,2,false),0)</f>
        <v>5</v>
      </c>
      <c r="K2" s="10">
        <f>IFERROR(vlookup('2.3'!J:J,lookup!$A$26:$B$28,2,false),0)</f>
        <v>5</v>
      </c>
      <c r="L2" s="1"/>
      <c r="M2" s="10">
        <v>1.0</v>
      </c>
      <c r="N2" s="11" t="str">
        <f t="shared" ref="N2:N81" si="1">CONCAT(R2,"@signalschool.ac.th")</f>
        <v>bnco1001@signalschool.ac.th</v>
      </c>
      <c r="O2" s="12">
        <f t="shared" ref="O2:O81" si="2">IFERROR(VLOOKUP(N2,B$2:D$81,3,FALSE),0)</f>
        <v>1</v>
      </c>
      <c r="R2" s="6" t="s">
        <v>91</v>
      </c>
    </row>
    <row r="3">
      <c r="A3" s="8">
        <f>'2.3'!A:A</f>
        <v>46213.39359</v>
      </c>
      <c r="B3" s="1" t="str">
        <f>'2.3'!B:B</f>
        <v>bnco1018@signalschool.ac.th</v>
      </c>
      <c r="C3" s="1" t="str">
        <f>'2.3'!C:C</f>
        <v>พ.ต. ไมตรี  บุญเหลื่อม</v>
      </c>
      <c r="D3" s="9">
        <v>1.0</v>
      </c>
      <c r="E3" s="10">
        <f>IFERROR(vlookup('2.3'!D:D,lookup!$A$2:$B$4,2,false),0)</f>
        <v>5</v>
      </c>
      <c r="F3" s="10">
        <f>IFERROR(vlookup('2.3'!E:E,lookup!$A$6:$B$8,2,false),0)</f>
        <v>5</v>
      </c>
      <c r="G3" s="10">
        <f>IFERROR(vlookup('2.3'!F:F,lookup!$A$10:$B$12,2,false),0)</f>
        <v>5</v>
      </c>
      <c r="H3" s="10">
        <f>IFERROR(vlookup('2.3'!G:G,lookup!$A$14:$B$16,2,false),0)</f>
        <v>5</v>
      </c>
      <c r="I3" s="10">
        <f>IFERROR(vlookup('2.3'!H:H,lookup!$A$18:$B$20,2,false),0)</f>
        <v>5</v>
      </c>
      <c r="J3" s="10">
        <f>IFERROR(vlookup('2.3'!I:I,lookup!$A$22:$B$24,2,false),0)</f>
        <v>5</v>
      </c>
      <c r="K3" s="10">
        <f>IFERROR(vlookup('2.3'!J:J,lookup!$A$26:$B$28,2,false),0)</f>
        <v>5</v>
      </c>
      <c r="L3" s="1"/>
      <c r="M3" s="10">
        <v>2.0</v>
      </c>
      <c r="N3" s="11" t="str">
        <f t="shared" si="1"/>
        <v>bnco1002@signalschool.ac.th</v>
      </c>
      <c r="O3" s="12">
        <f t="shared" si="2"/>
        <v>1</v>
      </c>
      <c r="R3" s="6" t="s">
        <v>123</v>
      </c>
    </row>
    <row r="4">
      <c r="A4" s="8">
        <f>'2.3'!A:A</f>
        <v>46213.39362</v>
      </c>
      <c r="B4" s="1" t="str">
        <f>'2.3'!B:B</f>
        <v>bnco1035@signalschool.ac.th</v>
      </c>
      <c r="C4" s="1" t="str">
        <f>'2.3'!C:C</f>
        <v>พ.ต. ไมตรี  บุญเหลื่อม</v>
      </c>
      <c r="D4" s="9">
        <v>1.0</v>
      </c>
      <c r="E4" s="10">
        <f>IFERROR(vlookup('2.3'!D:D,lookup!$A$2:$B$4,2,false),0)</f>
        <v>5</v>
      </c>
      <c r="F4" s="10">
        <f>IFERROR(vlookup('2.3'!E:E,lookup!$A$6:$B$8,2,false),0)</f>
        <v>5</v>
      </c>
      <c r="G4" s="10">
        <f>IFERROR(vlookup('2.3'!F:F,lookup!$A$10:$B$12,2,false),0)</f>
        <v>5</v>
      </c>
      <c r="H4" s="10">
        <f>IFERROR(vlookup('2.3'!G:G,lookup!$A$14:$B$16,2,false),0)</f>
        <v>5</v>
      </c>
      <c r="I4" s="10">
        <f>IFERROR(vlookup('2.3'!H:H,lookup!$A$18:$B$20,2,false),0)</f>
        <v>5</v>
      </c>
      <c r="J4" s="10">
        <f>IFERROR(vlookup('2.3'!I:I,lookup!$A$22:$B$24,2,false),0)</f>
        <v>5</v>
      </c>
      <c r="K4" s="10">
        <f>IFERROR(vlookup('2.3'!J:J,lookup!$A$26:$B$28,2,false),0)</f>
        <v>5</v>
      </c>
      <c r="L4" s="1"/>
      <c r="M4" s="10">
        <v>3.0</v>
      </c>
      <c r="N4" s="11" t="str">
        <f t="shared" si="1"/>
        <v>bnco1003@signalschool.ac.th</v>
      </c>
      <c r="O4" s="12">
        <f t="shared" si="2"/>
        <v>1</v>
      </c>
      <c r="R4" s="6" t="s">
        <v>141</v>
      </c>
    </row>
    <row r="5">
      <c r="A5" s="8">
        <f>'2.3'!A:A</f>
        <v>46213.39383</v>
      </c>
      <c r="B5" s="1" t="str">
        <f>'2.3'!B:B</f>
        <v>bnco1001@signalschool.ac.th</v>
      </c>
      <c r="C5" s="1" t="str">
        <f>'2.3'!C:C</f>
        <v>พ.ต. ไมตรี  บุญเหลื่อม</v>
      </c>
      <c r="D5" s="9">
        <v>1.0</v>
      </c>
      <c r="E5" s="10">
        <f>IFERROR(vlookup('2.3'!D:D,lookup!$A$2:$B$4,2,false),0)</f>
        <v>5</v>
      </c>
      <c r="F5" s="10">
        <f>IFERROR(vlookup('2.3'!E:E,lookup!$A$6:$B$8,2,false),0)</f>
        <v>5</v>
      </c>
      <c r="G5" s="10">
        <f>IFERROR(vlookup('2.3'!F:F,lookup!$A$10:$B$12,2,false),0)</f>
        <v>5</v>
      </c>
      <c r="H5" s="10">
        <f>IFERROR(vlookup('2.3'!G:G,lookup!$A$14:$B$16,2,false),0)</f>
        <v>5</v>
      </c>
      <c r="I5" s="10">
        <f>IFERROR(vlookup('2.3'!H:H,lookup!$A$18:$B$20,2,false),0)</f>
        <v>5</v>
      </c>
      <c r="J5" s="10">
        <f>IFERROR(vlookup('2.3'!I:I,lookup!$A$22:$B$24,2,false),0)</f>
        <v>5</v>
      </c>
      <c r="K5" s="10">
        <f>IFERROR(vlookup('2.3'!J:J,lookup!$A$26:$B$28,2,false),0)</f>
        <v>5</v>
      </c>
      <c r="L5" s="1"/>
      <c r="M5" s="10">
        <v>4.0</v>
      </c>
      <c r="N5" s="11" t="str">
        <f t="shared" si="1"/>
        <v>bnco1004@signalschool.ac.th</v>
      </c>
      <c r="O5" s="12">
        <f t="shared" si="2"/>
        <v>1</v>
      </c>
      <c r="R5" s="6" t="s">
        <v>143</v>
      </c>
    </row>
    <row r="6">
      <c r="A6" s="8">
        <f>'2.3'!A:A</f>
        <v>46213.39399</v>
      </c>
      <c r="B6" s="1" t="str">
        <f>'2.3'!B:B</f>
        <v>bnco1057@signalschool.ac.th</v>
      </c>
      <c r="C6" s="1" t="str">
        <f>'2.3'!C:C</f>
        <v>พ.ต.ไมตรี  บุญเหลื่อม</v>
      </c>
      <c r="D6" s="9">
        <v>1.0</v>
      </c>
      <c r="E6" s="10">
        <f>IFERROR(vlookup('2.3'!D:D,lookup!$A$2:$B$4,2,false),0)</f>
        <v>5</v>
      </c>
      <c r="F6" s="10">
        <f>IFERROR(vlookup('2.3'!E:E,lookup!$A$6:$B$8,2,false),0)</f>
        <v>5</v>
      </c>
      <c r="G6" s="10">
        <f>IFERROR(vlookup('2.3'!F:F,lookup!$A$10:$B$12,2,false),0)</f>
        <v>5</v>
      </c>
      <c r="H6" s="10">
        <f>IFERROR(vlookup('2.3'!G:G,lookup!$A$14:$B$16,2,false),0)</f>
        <v>5</v>
      </c>
      <c r="I6" s="10">
        <f>IFERROR(vlookup('2.3'!H:H,lookup!$A$18:$B$20,2,false),0)</f>
        <v>5</v>
      </c>
      <c r="J6" s="10">
        <f>IFERROR(vlookup('2.3'!I:I,lookup!$A$22:$B$24,2,false),0)</f>
        <v>5</v>
      </c>
      <c r="K6" s="10">
        <f>IFERROR(vlookup('2.3'!J:J,lookup!$A$26:$B$28,2,false),0)</f>
        <v>5</v>
      </c>
      <c r="L6" s="1"/>
      <c r="M6" s="10">
        <v>5.0</v>
      </c>
      <c r="N6" s="11" t="str">
        <f t="shared" si="1"/>
        <v>bnco1005@signalschool.ac.th</v>
      </c>
      <c r="O6" s="12">
        <f t="shared" si="2"/>
        <v>0</v>
      </c>
      <c r="R6" s="6" t="s">
        <v>144</v>
      </c>
    </row>
    <row r="7">
      <c r="A7" s="8">
        <f>'2.3'!A:A</f>
        <v>46213.39403</v>
      </c>
      <c r="B7" s="1" t="str">
        <f>'2.3'!B:B</f>
        <v>bnco1038@signalschool.ac.th</v>
      </c>
      <c r="C7" s="1" t="str">
        <f>'2.3'!C:C</f>
        <v>พ.ต.ไมตรี บุญเหลื่อม</v>
      </c>
      <c r="D7" s="9">
        <v>1.0</v>
      </c>
      <c r="E7" s="10">
        <f>IFERROR(vlookup('2.3'!D:D,lookup!$A$2:$B$4,2,false),0)</f>
        <v>5</v>
      </c>
      <c r="F7" s="10">
        <f>IFERROR(vlookup('2.3'!E:E,lookup!$A$6:$B$8,2,false),0)</f>
        <v>5</v>
      </c>
      <c r="G7" s="10">
        <f>IFERROR(vlookup('2.3'!F:F,lookup!$A$10:$B$12,2,false),0)</f>
        <v>5</v>
      </c>
      <c r="H7" s="10">
        <f>IFERROR(vlookup('2.3'!G:G,lookup!$A$14:$B$16,2,false),0)</f>
        <v>5</v>
      </c>
      <c r="I7" s="10">
        <f>IFERROR(vlookup('2.3'!H:H,lookup!$A$18:$B$20,2,false),0)</f>
        <v>5</v>
      </c>
      <c r="J7" s="10">
        <f>IFERROR(vlookup('2.3'!I:I,lookup!$A$22:$B$24,2,false),0)</f>
        <v>5</v>
      </c>
      <c r="K7" s="10">
        <f>IFERROR(vlookup('2.3'!J:J,lookup!$A$26:$B$28,2,false),0)</f>
        <v>5</v>
      </c>
      <c r="L7" s="1"/>
      <c r="M7" s="10">
        <v>6.0</v>
      </c>
      <c r="N7" s="11" t="str">
        <f t="shared" si="1"/>
        <v>bnco1006@signalschool.ac.th</v>
      </c>
      <c r="O7" s="12">
        <f t="shared" si="2"/>
        <v>1</v>
      </c>
      <c r="R7" s="6" t="s">
        <v>145</v>
      </c>
    </row>
    <row r="8">
      <c r="A8" s="8">
        <f>'2.3'!A:A</f>
        <v>46213.39403</v>
      </c>
      <c r="B8" s="1" t="str">
        <f>'2.3'!B:B</f>
        <v>bnco1056@signalschool.ac.th</v>
      </c>
      <c r="C8" s="1" t="str">
        <f>'2.3'!C:C</f>
        <v>พ.ต. ไมตรี บุญเหลื่อม</v>
      </c>
      <c r="D8" s="9">
        <v>1.0</v>
      </c>
      <c r="E8" s="10">
        <f>IFERROR(vlookup('2.3'!D:D,lookup!$A$2:$B$4,2,false),0)</f>
        <v>5</v>
      </c>
      <c r="F8" s="10">
        <f>IFERROR(vlookup('2.3'!E:E,lookup!$A$6:$B$8,2,false),0)</f>
        <v>5</v>
      </c>
      <c r="G8" s="10">
        <f>IFERROR(vlookup('2.3'!F:F,lookup!$A$10:$B$12,2,false),0)</f>
        <v>5</v>
      </c>
      <c r="H8" s="10">
        <f>IFERROR(vlookup('2.3'!G:G,lookup!$A$14:$B$16,2,false),0)</f>
        <v>5</v>
      </c>
      <c r="I8" s="10">
        <f>IFERROR(vlookup('2.3'!H:H,lookup!$A$18:$B$20,2,false),0)</f>
        <v>5</v>
      </c>
      <c r="J8" s="10">
        <f>IFERROR(vlookup('2.3'!I:I,lookup!$A$22:$B$24,2,false),0)</f>
        <v>5</v>
      </c>
      <c r="K8" s="10">
        <f>IFERROR(vlookup('2.3'!J:J,lookup!$A$26:$B$28,2,false),0)</f>
        <v>5</v>
      </c>
      <c r="L8" s="1"/>
      <c r="M8" s="10">
        <v>7.0</v>
      </c>
      <c r="N8" s="11" t="str">
        <f t="shared" si="1"/>
        <v>bnco1007@signalschool.ac.th</v>
      </c>
      <c r="O8" s="12">
        <f t="shared" si="2"/>
        <v>0</v>
      </c>
      <c r="R8" s="6" t="s">
        <v>155</v>
      </c>
    </row>
    <row r="9">
      <c r="A9" s="8">
        <f>'2.3'!A:A</f>
        <v>46213.39416</v>
      </c>
      <c r="B9" s="1" t="str">
        <f>'2.3'!B:B</f>
        <v>bnco1013@signalschool.ac.th</v>
      </c>
      <c r="C9" s="1" t="str">
        <f>'2.3'!C:C</f>
        <v>พ.ต.ไมตรี บุญเหลื่อม</v>
      </c>
      <c r="D9" s="9">
        <v>1.0</v>
      </c>
      <c r="E9" s="10">
        <f>IFERROR(vlookup('2.3'!D:D,lookup!$A$2:$B$4,2,false),0)</f>
        <v>5</v>
      </c>
      <c r="F9" s="10">
        <f>IFERROR(vlookup('2.3'!E:E,lookup!$A$6:$B$8,2,false),0)</f>
        <v>5</v>
      </c>
      <c r="G9" s="10">
        <f>IFERROR(vlookup('2.3'!F:F,lookup!$A$10:$B$12,2,false),0)</f>
        <v>5</v>
      </c>
      <c r="H9" s="10">
        <f>IFERROR(vlookup('2.3'!G:G,lookup!$A$14:$B$16,2,false),0)</f>
        <v>5</v>
      </c>
      <c r="I9" s="10">
        <f>IFERROR(vlookup('2.3'!H:H,lookup!$A$18:$B$20,2,false),0)</f>
        <v>5</v>
      </c>
      <c r="J9" s="10">
        <f>IFERROR(vlookup('2.3'!I:I,lookup!$A$22:$B$24,2,false),0)</f>
        <v>5</v>
      </c>
      <c r="K9" s="10">
        <f>IFERROR(vlookup('2.3'!J:J,lookup!$A$26:$B$28,2,false),0)</f>
        <v>5</v>
      </c>
      <c r="L9" s="1"/>
      <c r="M9" s="10">
        <v>8.0</v>
      </c>
      <c r="N9" s="11" t="str">
        <f t="shared" si="1"/>
        <v>bnco1008@signalschool.ac.th</v>
      </c>
      <c r="O9" s="12">
        <f t="shared" si="2"/>
        <v>1</v>
      </c>
      <c r="R9" s="6" t="s">
        <v>166</v>
      </c>
    </row>
    <row r="10">
      <c r="A10" s="8">
        <f>'2.3'!A:A</f>
        <v>46213.3942</v>
      </c>
      <c r="B10" s="1" t="str">
        <f>'2.3'!B:B</f>
        <v>bnco1026@signalschool.ac.th</v>
      </c>
      <c r="C10" s="1" t="str">
        <f>'2.3'!C:C</f>
        <v>พ.ต. ไมตรี  บุญเหลื่อม</v>
      </c>
      <c r="D10" s="9">
        <v>1.0</v>
      </c>
      <c r="E10" s="10">
        <f>IFERROR(vlookup('2.3'!D:D,lookup!$A$2:$B$4,2,false),0)</f>
        <v>5</v>
      </c>
      <c r="F10" s="10">
        <f>IFERROR(vlookup('2.3'!E:E,lookup!$A$6:$B$8,2,false),0)</f>
        <v>5</v>
      </c>
      <c r="G10" s="10">
        <f>IFERROR(vlookup('2.3'!F:F,lookup!$A$10:$B$12,2,false),0)</f>
        <v>5</v>
      </c>
      <c r="H10" s="10">
        <f>IFERROR(vlookup('2.3'!G:G,lookup!$A$14:$B$16,2,false),0)</f>
        <v>5</v>
      </c>
      <c r="I10" s="10">
        <f>IFERROR(vlookup('2.3'!H:H,lookup!$A$18:$B$20,2,false),0)</f>
        <v>5</v>
      </c>
      <c r="J10" s="10">
        <f>IFERROR(vlookup('2.3'!I:I,lookup!$A$22:$B$24,2,false),0)</f>
        <v>3</v>
      </c>
      <c r="K10" s="10">
        <f>IFERROR(vlookup('2.3'!J:J,lookup!$A$26:$B$28,2,false),0)</f>
        <v>3</v>
      </c>
      <c r="L10" s="1"/>
      <c r="M10" s="10">
        <v>9.0</v>
      </c>
      <c r="N10" s="11" t="str">
        <f t="shared" si="1"/>
        <v>bnco1009@signalschool.ac.th</v>
      </c>
      <c r="O10" s="12">
        <f t="shared" si="2"/>
        <v>1</v>
      </c>
      <c r="R10" s="6" t="s">
        <v>175</v>
      </c>
    </row>
    <row r="11">
      <c r="A11" s="8">
        <f>'2.3'!A:A</f>
        <v>46213.39426</v>
      </c>
      <c r="B11" s="1" t="str">
        <f>'2.3'!B:B</f>
        <v>anusonroddara861@gmail.com</v>
      </c>
      <c r="C11" s="1" t="str">
        <f>'2.3'!C:C</f>
        <v>◌ำ</v>
      </c>
      <c r="D11" s="9">
        <v>1.0</v>
      </c>
      <c r="E11" s="10">
        <f>IFERROR(vlookup('2.3'!D:D,lookup!$A$2:$B$4,2,false),0)</f>
        <v>5</v>
      </c>
      <c r="F11" s="10">
        <f>IFERROR(vlookup('2.3'!E:E,lookup!$A$6:$B$8,2,false),0)</f>
        <v>5</v>
      </c>
      <c r="G11" s="10">
        <f>IFERROR(vlookup('2.3'!F:F,lookup!$A$10:$B$12,2,false),0)</f>
        <v>5</v>
      </c>
      <c r="H11" s="10">
        <f>IFERROR(vlookup('2.3'!G:G,lookup!$A$14:$B$16,2,false),0)</f>
        <v>5</v>
      </c>
      <c r="I11" s="10">
        <f>IFERROR(vlookup('2.3'!H:H,lookup!$A$18:$B$20,2,false),0)</f>
        <v>5</v>
      </c>
      <c r="J11" s="10">
        <f>IFERROR(vlookup('2.3'!I:I,lookup!$A$22:$B$24,2,false),0)</f>
        <v>3</v>
      </c>
      <c r="K11" s="10">
        <f>IFERROR(vlookup('2.3'!J:J,lookup!$A$26:$B$28,2,false),0)</f>
        <v>3</v>
      </c>
      <c r="L11" s="1"/>
      <c r="M11" s="10">
        <v>10.0</v>
      </c>
      <c r="N11" s="11" t="str">
        <f t="shared" si="1"/>
        <v>bnco1010@signalschool.ac.th</v>
      </c>
      <c r="O11" s="12">
        <f t="shared" si="2"/>
        <v>1</v>
      </c>
      <c r="R11" s="6" t="s">
        <v>192</v>
      </c>
    </row>
    <row r="12">
      <c r="A12" s="8">
        <f>'2.3'!A:A</f>
        <v>46213.3943</v>
      </c>
      <c r="B12" s="1" t="str">
        <f>'2.3'!B:B</f>
        <v>bnco1049@signalschool.ac.th</v>
      </c>
      <c r="C12" s="1" t="str">
        <f>'2.3'!C:C</f>
        <v>พ.ต. ไมตรี  บุญเหลื่อม</v>
      </c>
      <c r="D12" s="9">
        <v>1.0</v>
      </c>
      <c r="E12" s="10">
        <f>IFERROR(vlookup('2.3'!D:D,lookup!$A$2:$B$4,2,false),0)</f>
        <v>5</v>
      </c>
      <c r="F12" s="10">
        <f>IFERROR(vlookup('2.3'!E:E,lookup!$A$6:$B$8,2,false),0)</f>
        <v>5</v>
      </c>
      <c r="G12" s="10">
        <f>IFERROR(vlookup('2.3'!F:F,lookup!$A$10:$B$12,2,false),0)</f>
        <v>5</v>
      </c>
      <c r="H12" s="10">
        <f>IFERROR(vlookup('2.3'!G:G,lookup!$A$14:$B$16,2,false),0)</f>
        <v>5</v>
      </c>
      <c r="I12" s="10">
        <f>IFERROR(vlookup('2.3'!H:H,lookup!$A$18:$B$20,2,false),0)</f>
        <v>5</v>
      </c>
      <c r="J12" s="10">
        <f>IFERROR(vlookup('2.3'!I:I,lookup!$A$22:$B$24,2,false),0)</f>
        <v>5</v>
      </c>
      <c r="K12" s="10">
        <f>IFERROR(vlookup('2.3'!J:J,lookup!$A$26:$B$28,2,false),0)</f>
        <v>5</v>
      </c>
      <c r="L12" s="1"/>
      <c r="M12" s="10">
        <v>11.0</v>
      </c>
      <c r="N12" s="11" t="str">
        <f t="shared" si="1"/>
        <v>bnco1011@signalschool.ac.th</v>
      </c>
      <c r="O12" s="12">
        <f t="shared" si="2"/>
        <v>1</v>
      </c>
      <c r="R12" s="6" t="s">
        <v>209</v>
      </c>
    </row>
    <row r="13">
      <c r="A13" s="8">
        <f>'2.3'!A:A</f>
        <v>46213.39439</v>
      </c>
      <c r="B13" s="1" t="str">
        <f>'2.3'!B:B</f>
        <v>bnco1043@signalschool.ac.th</v>
      </c>
      <c r="C13" s="1" t="str">
        <f>'2.3'!C:C</f>
        <v>พ.ต. ไมตรี  บุญเหลื่อม</v>
      </c>
      <c r="D13" s="9">
        <v>1.0</v>
      </c>
      <c r="E13" s="10">
        <f>IFERROR(vlookup('2.3'!D:D,lookup!$A$2:$B$4,2,false),0)</f>
        <v>5</v>
      </c>
      <c r="F13" s="10">
        <f>IFERROR(vlookup('2.3'!E:E,lookup!$A$6:$B$8,2,false),0)</f>
        <v>5</v>
      </c>
      <c r="G13" s="10">
        <f>IFERROR(vlookup('2.3'!F:F,lookup!$A$10:$B$12,2,false),0)</f>
        <v>5</v>
      </c>
      <c r="H13" s="10">
        <f>IFERROR(vlookup('2.3'!G:G,lookup!$A$14:$B$16,2,false),0)</f>
        <v>5</v>
      </c>
      <c r="I13" s="10">
        <f>IFERROR(vlookup('2.3'!H:H,lookup!$A$18:$B$20,2,false),0)</f>
        <v>5</v>
      </c>
      <c r="J13" s="10">
        <f>IFERROR(vlookup('2.3'!I:I,lookup!$A$22:$B$24,2,false),0)</f>
        <v>5</v>
      </c>
      <c r="K13" s="10">
        <f>IFERROR(vlookup('2.3'!J:J,lookup!$A$26:$B$28,2,false),0)</f>
        <v>5</v>
      </c>
      <c r="L13" s="1"/>
      <c r="M13" s="10">
        <v>12.0</v>
      </c>
      <c r="N13" s="11" t="str">
        <f t="shared" si="1"/>
        <v>bnco1012@signalschool.ac.th</v>
      </c>
      <c r="O13" s="12">
        <f t="shared" si="2"/>
        <v>1</v>
      </c>
      <c r="R13" s="6" t="s">
        <v>213</v>
      </c>
    </row>
    <row r="14">
      <c r="A14" s="8">
        <f>'2.3'!A:A</f>
        <v>46213.39446</v>
      </c>
      <c r="B14" s="1" t="str">
        <f>'2.3'!B:B</f>
        <v>bnco1003@signalschool.ac.th</v>
      </c>
      <c r="C14" s="1" t="str">
        <f>'2.3'!C:C</f>
        <v>พ.ต. ไมตรี  บุญเหลื่อม</v>
      </c>
      <c r="D14" s="9">
        <v>1.0</v>
      </c>
      <c r="E14" s="10">
        <f>IFERROR(vlookup('2.3'!D:D,lookup!$A$2:$B$4,2,false),0)</f>
        <v>5</v>
      </c>
      <c r="F14" s="10">
        <f>IFERROR(vlookup('2.3'!E:E,lookup!$A$6:$B$8,2,false),0)</f>
        <v>5</v>
      </c>
      <c r="G14" s="10">
        <f>IFERROR(vlookup('2.3'!F:F,lookup!$A$10:$B$12,2,false),0)</f>
        <v>5</v>
      </c>
      <c r="H14" s="10">
        <f>IFERROR(vlookup('2.3'!G:G,lookup!$A$14:$B$16,2,false),0)</f>
        <v>5</v>
      </c>
      <c r="I14" s="10">
        <f>IFERROR(vlookup('2.3'!H:H,lookup!$A$18:$B$20,2,false),0)</f>
        <v>5</v>
      </c>
      <c r="J14" s="10">
        <f>IFERROR(vlookup('2.3'!I:I,lookup!$A$22:$B$24,2,false),0)</f>
        <v>5</v>
      </c>
      <c r="K14" s="10">
        <f>IFERROR(vlookup('2.3'!J:J,lookup!$A$26:$B$28,2,false),0)</f>
        <v>5</v>
      </c>
      <c r="L14" s="1"/>
      <c r="M14" s="10">
        <v>13.0</v>
      </c>
      <c r="N14" s="11" t="str">
        <f t="shared" si="1"/>
        <v>bnco1013@signalschool.ac.th</v>
      </c>
      <c r="O14" s="12">
        <f t="shared" si="2"/>
        <v>1</v>
      </c>
      <c r="R14" s="6" t="s">
        <v>214</v>
      </c>
    </row>
    <row r="15">
      <c r="A15" s="8">
        <f>'2.3'!A:A</f>
        <v>46213.39447</v>
      </c>
      <c r="B15" s="1" t="str">
        <f>'2.3'!B:B</f>
        <v>bnco1040@signalschool.ac.th</v>
      </c>
      <c r="C15" s="1" t="str">
        <f>'2.3'!C:C</f>
        <v>พ.ต. ไมตรี  บุญเหลื่อม</v>
      </c>
      <c r="D15" s="9">
        <v>1.0</v>
      </c>
      <c r="E15" s="10">
        <f>IFERROR(vlookup('2.3'!D:D,lookup!$A$2:$B$4,2,false),0)</f>
        <v>5</v>
      </c>
      <c r="F15" s="10">
        <f>IFERROR(vlookup('2.3'!E:E,lookup!$A$6:$B$8,2,false),0)</f>
        <v>5</v>
      </c>
      <c r="G15" s="10">
        <f>IFERROR(vlookup('2.3'!F:F,lookup!$A$10:$B$12,2,false),0)</f>
        <v>5</v>
      </c>
      <c r="H15" s="10">
        <f>IFERROR(vlookup('2.3'!G:G,lookup!$A$14:$B$16,2,false),0)</f>
        <v>5</v>
      </c>
      <c r="I15" s="10">
        <f>IFERROR(vlookup('2.3'!H:H,lookup!$A$18:$B$20,2,false),0)</f>
        <v>5</v>
      </c>
      <c r="J15" s="10">
        <f>IFERROR(vlookup('2.3'!I:I,lookup!$A$22:$B$24,2,false),0)</f>
        <v>5</v>
      </c>
      <c r="K15" s="10">
        <f>IFERROR(vlookup('2.3'!J:J,lookup!$A$26:$B$28,2,false),0)</f>
        <v>5</v>
      </c>
      <c r="L15" s="1"/>
      <c r="M15" s="10">
        <v>14.0</v>
      </c>
      <c r="N15" s="11" t="str">
        <f t="shared" si="1"/>
        <v>bnco1014@signalschool.ac.th</v>
      </c>
      <c r="O15" s="12">
        <f t="shared" si="2"/>
        <v>1</v>
      </c>
      <c r="R15" s="6" t="s">
        <v>215</v>
      </c>
    </row>
    <row r="16">
      <c r="A16" s="8">
        <f>'2.3'!A:A</f>
        <v>46213.39448</v>
      </c>
      <c r="B16" s="1" t="str">
        <f>'2.3'!B:B</f>
        <v>bnco1024@signalschool.ac.th</v>
      </c>
      <c r="C16" s="1" t="str">
        <f>'2.3'!C:C</f>
        <v>พ.ต.ไมตรี  บุญเหลื่อม</v>
      </c>
      <c r="D16" s="9">
        <v>1.0</v>
      </c>
      <c r="E16" s="10">
        <f>IFERROR(vlookup('2.3'!D:D,lookup!$A$2:$B$4,2,false),0)</f>
        <v>5</v>
      </c>
      <c r="F16" s="10">
        <f>IFERROR(vlookup('2.3'!E:E,lookup!$A$6:$B$8,2,false),0)</f>
        <v>5</v>
      </c>
      <c r="G16" s="10">
        <f>IFERROR(vlookup('2.3'!F:F,lookup!$A$10:$B$12,2,false),0)</f>
        <v>5</v>
      </c>
      <c r="H16" s="10">
        <f>IFERROR(vlookup('2.3'!G:G,lookup!$A$14:$B$16,2,false),0)</f>
        <v>5</v>
      </c>
      <c r="I16" s="10">
        <f>IFERROR(vlookup('2.3'!H:H,lookup!$A$18:$B$20,2,false),0)</f>
        <v>5</v>
      </c>
      <c r="J16" s="10">
        <f>IFERROR(vlookup('2.3'!I:I,lookup!$A$22:$B$24,2,false),0)</f>
        <v>5</v>
      </c>
      <c r="K16" s="10">
        <f>IFERROR(vlookup('2.3'!J:J,lookup!$A$26:$B$28,2,false),0)</f>
        <v>5</v>
      </c>
      <c r="L16" s="1"/>
      <c r="M16" s="10">
        <v>15.0</v>
      </c>
      <c r="N16" s="11" t="str">
        <f t="shared" si="1"/>
        <v>bnco1015@signalschool.ac.th</v>
      </c>
      <c r="O16" s="12">
        <f t="shared" si="2"/>
        <v>1</v>
      </c>
      <c r="R16" s="6" t="s">
        <v>221</v>
      </c>
    </row>
    <row r="17">
      <c r="A17" s="8">
        <f>'2.3'!A:A</f>
        <v>46213.39471</v>
      </c>
      <c r="B17" s="1" t="str">
        <f>'2.3'!B:B</f>
        <v>bnco1058@signalschool.ac.th</v>
      </c>
      <c r="C17" s="1" t="str">
        <f>'2.3'!C:C</f>
        <v>พ.ต. ไมตรี  บุญเหลื่อม</v>
      </c>
      <c r="D17" s="9">
        <v>1.0</v>
      </c>
      <c r="E17" s="10">
        <f>IFERROR(vlookup('2.3'!D:D,lookup!$A$2:$B$4,2,false),0)</f>
        <v>5</v>
      </c>
      <c r="F17" s="10">
        <f>IFERROR(vlookup('2.3'!E:E,lookup!$A$6:$B$8,2,false),0)</f>
        <v>5</v>
      </c>
      <c r="G17" s="10">
        <f>IFERROR(vlookup('2.3'!F:F,lookup!$A$10:$B$12,2,false),0)</f>
        <v>5</v>
      </c>
      <c r="H17" s="10">
        <f>IFERROR(vlookup('2.3'!G:G,lookup!$A$14:$B$16,2,false),0)</f>
        <v>5</v>
      </c>
      <c r="I17" s="10">
        <f>IFERROR(vlookup('2.3'!H:H,lookup!$A$18:$B$20,2,false),0)</f>
        <v>3</v>
      </c>
      <c r="J17" s="10">
        <f>IFERROR(vlookup('2.3'!I:I,lookup!$A$22:$B$24,2,false),0)</f>
        <v>3</v>
      </c>
      <c r="K17" s="10">
        <f>IFERROR(vlookup('2.3'!J:J,lookup!$A$26:$B$28,2,false),0)</f>
        <v>3</v>
      </c>
      <c r="L17" s="1"/>
      <c r="M17" s="10">
        <v>16.0</v>
      </c>
      <c r="N17" s="11" t="str">
        <f t="shared" si="1"/>
        <v>bnco1016@signalschool.ac.th</v>
      </c>
      <c r="O17" s="12">
        <f t="shared" si="2"/>
        <v>1</v>
      </c>
      <c r="R17" s="6" t="s">
        <v>223</v>
      </c>
    </row>
    <row r="18">
      <c r="A18" s="8">
        <f>'2.3'!A:A</f>
        <v>46213.39491</v>
      </c>
      <c r="B18" s="1" t="str">
        <f>'2.3'!B:B</f>
        <v>earthtynattapon@gmail.com</v>
      </c>
      <c r="C18" s="1" t="str">
        <f>'2.3'!C:C</f>
        <v>พ.ต. ไมตรี  บุญเหลื่อม</v>
      </c>
      <c r="D18" s="9">
        <v>1.0</v>
      </c>
      <c r="E18" s="10">
        <f>IFERROR(vlookup('2.3'!D:D,lookup!$A$2:$B$4,2,false),0)</f>
        <v>5</v>
      </c>
      <c r="F18" s="10">
        <f>IFERROR(vlookup('2.3'!E:E,lookup!$A$6:$B$8,2,false),0)</f>
        <v>5</v>
      </c>
      <c r="G18" s="10">
        <f>IFERROR(vlookup('2.3'!F:F,lookup!$A$10:$B$12,2,false),0)</f>
        <v>5</v>
      </c>
      <c r="H18" s="10">
        <f>IFERROR(vlookup('2.3'!G:G,lookup!$A$14:$B$16,2,false),0)</f>
        <v>5</v>
      </c>
      <c r="I18" s="10">
        <f>IFERROR(vlookup('2.3'!H:H,lookup!$A$18:$B$20,2,false),0)</f>
        <v>5</v>
      </c>
      <c r="J18" s="10">
        <f>IFERROR(vlookup('2.3'!I:I,lookup!$A$22:$B$24,2,false),0)</f>
        <v>5</v>
      </c>
      <c r="K18" s="10">
        <f>IFERROR(vlookup('2.3'!J:J,lookup!$A$26:$B$28,2,false),0)</f>
        <v>5</v>
      </c>
      <c r="L18" s="1"/>
      <c r="M18" s="10">
        <v>17.0</v>
      </c>
      <c r="N18" s="11" t="str">
        <f t="shared" si="1"/>
        <v>bnco1017@signalschool.ac.th</v>
      </c>
      <c r="O18" s="12">
        <f t="shared" si="2"/>
        <v>1</v>
      </c>
      <c r="R18" s="6" t="s">
        <v>229</v>
      </c>
    </row>
    <row r="19">
      <c r="A19" s="8">
        <f>'2.3'!A:A</f>
        <v>46213.39508</v>
      </c>
      <c r="B19" s="1" t="str">
        <f>'2.3'!B:B</f>
        <v>bnco1036@signalschool.ac.th</v>
      </c>
      <c r="C19" s="1" t="str">
        <f>'2.3'!C:C</f>
        <v>พ.ต. ไมตรี  บุญเหลื่อม</v>
      </c>
      <c r="D19" s="9">
        <v>1.0</v>
      </c>
      <c r="E19" s="10">
        <f>IFERROR(vlookup('2.3'!D:D,lookup!$A$2:$B$4,2,false),0)</f>
        <v>5</v>
      </c>
      <c r="F19" s="10">
        <f>IFERROR(vlookup('2.3'!E:E,lookup!$A$6:$B$8,2,false),0)</f>
        <v>5</v>
      </c>
      <c r="G19" s="10">
        <f>IFERROR(vlookup('2.3'!F:F,lookup!$A$10:$B$12,2,false),0)</f>
        <v>5</v>
      </c>
      <c r="H19" s="10">
        <f>IFERROR(vlookup('2.3'!G:G,lookup!$A$14:$B$16,2,false),0)</f>
        <v>5</v>
      </c>
      <c r="I19" s="10">
        <f>IFERROR(vlookup('2.3'!H:H,lookup!$A$18:$B$20,2,false),0)</f>
        <v>5</v>
      </c>
      <c r="J19" s="10">
        <f>IFERROR(vlookup('2.3'!I:I,lookup!$A$22:$B$24,2,false),0)</f>
        <v>5</v>
      </c>
      <c r="K19" s="10">
        <f>IFERROR(vlookup('2.3'!J:J,lookup!$A$26:$B$28,2,false),0)</f>
        <v>5</v>
      </c>
      <c r="L19" s="1"/>
      <c r="M19" s="10">
        <v>18.0</v>
      </c>
      <c r="N19" s="11" t="str">
        <f t="shared" si="1"/>
        <v>bnco1018@signalschool.ac.th</v>
      </c>
      <c r="O19" s="12">
        <f t="shared" si="2"/>
        <v>1</v>
      </c>
      <c r="R19" s="6" t="s">
        <v>232</v>
      </c>
    </row>
    <row r="20">
      <c r="A20" s="8">
        <f>'2.3'!A:A</f>
        <v>46213.39515</v>
      </c>
      <c r="B20" s="1" t="str">
        <f>'2.3'!B:B</f>
        <v>bnco1069@signalschool.ac.th</v>
      </c>
      <c r="C20" s="1" t="str">
        <f>'2.3'!C:C</f>
        <v>ส.อ.วรเดช  จิตตารมย์</v>
      </c>
      <c r="D20" s="9">
        <v>1.0</v>
      </c>
      <c r="E20" s="10">
        <f>IFERROR(vlookup('2.3'!D:D,lookup!$A$2:$B$4,2,false),0)</f>
        <v>5</v>
      </c>
      <c r="F20" s="10">
        <f>IFERROR(vlookup('2.3'!E:E,lookup!$A$6:$B$8,2,false),0)</f>
        <v>5</v>
      </c>
      <c r="G20" s="10">
        <f>IFERROR(vlookup('2.3'!F:F,lookup!$A$10:$B$12,2,false),0)</f>
        <v>5</v>
      </c>
      <c r="H20" s="10">
        <f>IFERROR(vlookup('2.3'!G:G,lookup!$A$14:$B$16,2,false),0)</f>
        <v>5</v>
      </c>
      <c r="I20" s="10">
        <f>IFERROR(vlookup('2.3'!H:H,lookup!$A$18:$B$20,2,false),0)</f>
        <v>5</v>
      </c>
      <c r="J20" s="10">
        <f>IFERROR(vlookup('2.3'!I:I,lookup!$A$22:$B$24,2,false),0)</f>
        <v>5</v>
      </c>
      <c r="K20" s="10">
        <f>IFERROR(vlookup('2.3'!J:J,lookup!$A$26:$B$28,2,false),0)</f>
        <v>5</v>
      </c>
      <c r="L20" s="1"/>
      <c r="M20" s="10">
        <v>19.0</v>
      </c>
      <c r="N20" s="11" t="str">
        <f t="shared" si="1"/>
        <v>bnco1019@signalschool.ac.th</v>
      </c>
      <c r="O20" s="12">
        <f t="shared" si="2"/>
        <v>1</v>
      </c>
      <c r="R20" s="6" t="s">
        <v>233</v>
      </c>
    </row>
    <row r="21">
      <c r="A21" s="8">
        <f>'2.3'!A:A</f>
        <v>46213.39522</v>
      </c>
      <c r="B21" s="1" t="str">
        <f>'2.3'!B:B</f>
        <v>bnco1004@signalschool.ac.th</v>
      </c>
      <c r="C21" s="1" t="str">
        <f>'2.3'!C:C</f>
        <v>พ ต ไมตรี  บุญเหลื่อม</v>
      </c>
      <c r="D21" s="9">
        <v>1.0</v>
      </c>
      <c r="E21" s="10">
        <f>IFERROR(vlookup('2.3'!D:D,lookup!$A$2:$B$4,2,false),0)</f>
        <v>5</v>
      </c>
      <c r="F21" s="10">
        <f>IFERROR(vlookup('2.3'!E:E,lookup!$A$6:$B$8,2,false),0)</f>
        <v>5</v>
      </c>
      <c r="G21" s="10">
        <f>IFERROR(vlookup('2.3'!F:F,lookup!$A$10:$B$12,2,false),0)</f>
        <v>5</v>
      </c>
      <c r="H21" s="10">
        <f>IFERROR(vlookup('2.3'!G:G,lookup!$A$14:$B$16,2,false),0)</f>
        <v>5</v>
      </c>
      <c r="I21" s="10">
        <f>IFERROR(vlookup('2.3'!H:H,lookup!$A$18:$B$20,2,false),0)</f>
        <v>5</v>
      </c>
      <c r="J21" s="10">
        <f>IFERROR(vlookup('2.3'!I:I,lookup!$A$22:$B$24,2,false),0)</f>
        <v>5</v>
      </c>
      <c r="K21" s="10">
        <f>IFERROR(vlookup('2.3'!J:J,lookup!$A$26:$B$28,2,false),0)</f>
        <v>5</v>
      </c>
      <c r="L21" s="1"/>
      <c r="M21" s="10">
        <v>20.0</v>
      </c>
      <c r="N21" s="11" t="str">
        <f t="shared" si="1"/>
        <v>bnco1020@signalschool.ac.th</v>
      </c>
      <c r="O21" s="12">
        <f t="shared" si="2"/>
        <v>1</v>
      </c>
      <c r="R21" s="6" t="s">
        <v>234</v>
      </c>
    </row>
    <row r="22">
      <c r="A22" s="8">
        <f>'2.3'!A:A</f>
        <v>46213.39546</v>
      </c>
      <c r="B22" s="1" t="str">
        <f>'2.3'!B:B</f>
        <v>bnco1059@signalschool.ac.th</v>
      </c>
      <c r="C22" s="1" t="str">
        <f>'2.3'!C:C</f>
        <v>ส.อ.ภากร  จรรยาประเสริฐ</v>
      </c>
      <c r="D22" s="9">
        <v>1.0</v>
      </c>
      <c r="E22" s="10">
        <f>IFERROR(vlookup('2.3'!D:D,lookup!$A$2:$B$4,2,false),0)</f>
        <v>5</v>
      </c>
      <c r="F22" s="10">
        <f>IFERROR(vlookup('2.3'!E:E,lookup!$A$6:$B$8,2,false),0)</f>
        <v>5</v>
      </c>
      <c r="G22" s="10">
        <f>IFERROR(vlookup('2.3'!F:F,lookup!$A$10:$B$12,2,false),0)</f>
        <v>5</v>
      </c>
      <c r="H22" s="10">
        <f>IFERROR(vlookup('2.3'!G:G,lookup!$A$14:$B$16,2,false),0)</f>
        <v>5</v>
      </c>
      <c r="I22" s="10">
        <f>IFERROR(vlookup('2.3'!H:H,lookup!$A$18:$B$20,2,false),0)</f>
        <v>5</v>
      </c>
      <c r="J22" s="10">
        <f>IFERROR(vlookup('2.3'!I:I,lookup!$A$22:$B$24,2,false),0)</f>
        <v>5</v>
      </c>
      <c r="K22" s="10">
        <f>IFERROR(vlookup('2.3'!J:J,lookup!$A$26:$B$28,2,false),0)</f>
        <v>5</v>
      </c>
      <c r="L22" s="1"/>
      <c r="M22" s="10">
        <v>21.0</v>
      </c>
      <c r="N22" s="11" t="str">
        <f t="shared" si="1"/>
        <v>bnco1021@signalschool.ac.th</v>
      </c>
      <c r="O22" s="12">
        <f t="shared" si="2"/>
        <v>1</v>
      </c>
      <c r="R22" s="6" t="s">
        <v>235</v>
      </c>
    </row>
    <row r="23">
      <c r="A23" s="8">
        <f>'2.3'!A:A</f>
        <v>46213.39551</v>
      </c>
      <c r="B23" s="1" t="str">
        <f>'2.3'!B:B</f>
        <v>bnco1011@signalschool.ac.th</v>
      </c>
      <c r="C23" s="1" t="str">
        <f>'2.3'!C:C</f>
        <v>ส.อ.สิรภพ สุขเกษม</v>
      </c>
      <c r="D23" s="9">
        <v>1.0</v>
      </c>
      <c r="E23" s="10">
        <f>IFERROR(vlookup('2.3'!D:D,lookup!$A$2:$B$4,2,false),0)</f>
        <v>5</v>
      </c>
      <c r="F23" s="10">
        <f>IFERROR(vlookup('2.3'!E:E,lookup!$A$6:$B$8,2,false),0)</f>
        <v>5</v>
      </c>
      <c r="G23" s="10">
        <f>IFERROR(vlookup('2.3'!F:F,lookup!$A$10:$B$12,2,false),0)</f>
        <v>5</v>
      </c>
      <c r="H23" s="10">
        <f>IFERROR(vlookup('2.3'!G:G,lookup!$A$14:$B$16,2,false),0)</f>
        <v>5</v>
      </c>
      <c r="I23" s="10">
        <f>IFERROR(vlookup('2.3'!H:H,lookup!$A$18:$B$20,2,false),0)</f>
        <v>5</v>
      </c>
      <c r="J23" s="10">
        <f>IFERROR(vlookup('2.3'!I:I,lookup!$A$22:$B$24,2,false),0)</f>
        <v>5</v>
      </c>
      <c r="K23" s="10">
        <f>IFERROR(vlookup('2.3'!J:J,lookup!$A$26:$B$28,2,false),0)</f>
        <v>5</v>
      </c>
      <c r="L23" s="1"/>
      <c r="M23" s="10">
        <v>22.0</v>
      </c>
      <c r="N23" s="11" t="str">
        <f t="shared" si="1"/>
        <v>bnco1022@signalschool.ac.th</v>
      </c>
      <c r="O23" s="12">
        <f t="shared" si="2"/>
        <v>0</v>
      </c>
      <c r="R23" s="6" t="s">
        <v>236</v>
      </c>
    </row>
    <row r="24">
      <c r="A24" s="8">
        <f>'2.3'!A:A</f>
        <v>46213.39552</v>
      </c>
      <c r="B24" s="1" t="str">
        <f>'2.3'!B:B</f>
        <v>bnco1009@signalschool.ac.th</v>
      </c>
      <c r="C24" s="1" t="str">
        <f>'2.3'!C:C</f>
        <v>พ.ต. ไมตรี  บุญเหลื่อม</v>
      </c>
      <c r="D24" s="9">
        <v>1.0</v>
      </c>
      <c r="E24" s="10">
        <f>IFERROR(vlookup('2.3'!D:D,lookup!$A$2:$B$4,2,false),0)</f>
        <v>5</v>
      </c>
      <c r="F24" s="10">
        <f>IFERROR(vlookup('2.3'!E:E,lookup!$A$6:$B$8,2,false),0)</f>
        <v>5</v>
      </c>
      <c r="G24" s="10">
        <f>IFERROR(vlookup('2.3'!F:F,lookup!$A$10:$B$12,2,false),0)</f>
        <v>5</v>
      </c>
      <c r="H24" s="10">
        <f>IFERROR(vlookup('2.3'!G:G,lookup!$A$14:$B$16,2,false),0)</f>
        <v>5</v>
      </c>
      <c r="I24" s="10">
        <f>IFERROR(vlookup('2.3'!H:H,lookup!$A$18:$B$20,2,false),0)</f>
        <v>5</v>
      </c>
      <c r="J24" s="10">
        <f>IFERROR(vlookup('2.3'!I:I,lookup!$A$22:$B$24,2,false),0)</f>
        <v>5</v>
      </c>
      <c r="K24" s="10">
        <f>IFERROR(vlookup('2.3'!J:J,lookup!$A$26:$B$28,2,false),0)</f>
        <v>5</v>
      </c>
      <c r="L24" s="1"/>
      <c r="M24" s="10">
        <v>23.0</v>
      </c>
      <c r="N24" s="11" t="str">
        <f t="shared" si="1"/>
        <v>bnco1023@signalschool.ac.th</v>
      </c>
      <c r="O24" s="12">
        <f t="shared" si="2"/>
        <v>1</v>
      </c>
      <c r="R24" s="6" t="s">
        <v>237</v>
      </c>
    </row>
    <row r="25">
      <c r="A25" s="8">
        <f>'2.3'!A:A</f>
        <v>46213.39576</v>
      </c>
      <c r="B25" s="1" t="str">
        <f>'2.3'!B:B</f>
        <v>bnco1071@signalschool.ac.th</v>
      </c>
      <c r="C25" s="1" t="str">
        <f>'2.3'!C:C</f>
        <v>พ.ต.ไมตรี  บุญเหลื่อม</v>
      </c>
      <c r="D25" s="9">
        <v>1.0</v>
      </c>
      <c r="E25" s="10">
        <f>IFERROR(vlookup('2.3'!D:D,lookup!$A$2:$B$4,2,false),0)</f>
        <v>5</v>
      </c>
      <c r="F25" s="10">
        <f>IFERROR(vlookup('2.3'!E:E,lookup!$A$6:$B$8,2,false),0)</f>
        <v>5</v>
      </c>
      <c r="G25" s="10">
        <f>IFERROR(vlookup('2.3'!F:F,lookup!$A$10:$B$12,2,false),0)</f>
        <v>5</v>
      </c>
      <c r="H25" s="10">
        <f>IFERROR(vlookup('2.3'!G:G,lookup!$A$14:$B$16,2,false),0)</f>
        <v>5</v>
      </c>
      <c r="I25" s="10">
        <f>IFERROR(vlookup('2.3'!H:H,lookup!$A$18:$B$20,2,false),0)</f>
        <v>5</v>
      </c>
      <c r="J25" s="10">
        <f>IFERROR(vlookup('2.3'!I:I,lookup!$A$22:$B$24,2,false),0)</f>
        <v>5</v>
      </c>
      <c r="K25" s="10">
        <f>IFERROR(vlookup('2.3'!J:J,lookup!$A$26:$B$28,2,false),0)</f>
        <v>5</v>
      </c>
      <c r="L25" s="1"/>
      <c r="M25" s="10">
        <v>24.0</v>
      </c>
      <c r="N25" s="11" t="str">
        <f t="shared" si="1"/>
        <v>bnco1024@signalschool.ac.th</v>
      </c>
      <c r="O25" s="12">
        <f t="shared" si="2"/>
        <v>1</v>
      </c>
      <c r="R25" s="6" t="s">
        <v>238</v>
      </c>
    </row>
    <row r="26">
      <c r="A26" s="8">
        <f>'2.3'!A:A</f>
        <v>46213.39623</v>
      </c>
      <c r="B26" s="1" t="str">
        <f>'2.3'!B:B</f>
        <v>bnco1039@signalschool.ac.th</v>
      </c>
      <c r="C26" s="1" t="str">
        <f>'2.3'!C:C</f>
        <v>พ.ต. ไมตรี  บุญเหลื่อม</v>
      </c>
      <c r="D26" s="9">
        <v>1.0</v>
      </c>
      <c r="E26" s="10">
        <f>IFERROR(vlookup('2.3'!D:D,lookup!$A$2:$B$4,2,false),0)</f>
        <v>5</v>
      </c>
      <c r="F26" s="10">
        <f>IFERROR(vlookup('2.3'!E:E,lookup!$A$6:$B$8,2,false),0)</f>
        <v>5</v>
      </c>
      <c r="G26" s="10">
        <f>IFERROR(vlookup('2.3'!F:F,lookup!$A$10:$B$12,2,false),0)</f>
        <v>5</v>
      </c>
      <c r="H26" s="10">
        <f>IFERROR(vlookup('2.3'!G:G,lookup!$A$14:$B$16,2,false),0)</f>
        <v>5</v>
      </c>
      <c r="I26" s="10">
        <f>IFERROR(vlookup('2.3'!H:H,lookup!$A$18:$B$20,2,false),0)</f>
        <v>5</v>
      </c>
      <c r="J26" s="10">
        <f>IFERROR(vlookup('2.3'!I:I,lookup!$A$22:$B$24,2,false),0)</f>
        <v>3</v>
      </c>
      <c r="K26" s="10">
        <f>IFERROR(vlookup('2.3'!J:J,lookup!$A$26:$B$28,2,false),0)</f>
        <v>5</v>
      </c>
      <c r="L26" s="1"/>
      <c r="M26" s="10">
        <v>25.0</v>
      </c>
      <c r="N26" s="11" t="str">
        <f t="shared" si="1"/>
        <v>bnco1025@signalschool.ac.th</v>
      </c>
      <c r="O26" s="12">
        <f t="shared" si="2"/>
        <v>1</v>
      </c>
      <c r="R26" s="6" t="s">
        <v>239</v>
      </c>
    </row>
    <row r="27">
      <c r="A27" s="8">
        <f>'2.3'!A:A</f>
        <v>46213.39637</v>
      </c>
      <c r="B27" s="1" t="str">
        <f>'2.3'!B:B</f>
        <v>bnco1064@signalschool.ac.th</v>
      </c>
      <c r="C27" s="1" t="str">
        <f>'2.3'!C:C</f>
        <v>ส.อ.ชัยวัฒน์  สมอ่อน</v>
      </c>
      <c r="D27" s="9">
        <v>1.0</v>
      </c>
      <c r="E27" s="10">
        <f>IFERROR(vlookup('2.3'!D:D,lookup!$A$2:$B$4,2,false),0)</f>
        <v>5</v>
      </c>
      <c r="F27" s="10">
        <f>IFERROR(vlookup('2.3'!E:E,lookup!$A$6:$B$8,2,false),0)</f>
        <v>5</v>
      </c>
      <c r="G27" s="10">
        <f>IFERROR(vlookup('2.3'!F:F,lookup!$A$10:$B$12,2,false),0)</f>
        <v>5</v>
      </c>
      <c r="H27" s="10">
        <f>IFERROR(vlookup('2.3'!G:G,lookup!$A$14:$B$16,2,false),0)</f>
        <v>5</v>
      </c>
      <c r="I27" s="10">
        <f>IFERROR(vlookup('2.3'!H:H,lookup!$A$18:$B$20,2,false),0)</f>
        <v>5</v>
      </c>
      <c r="J27" s="10">
        <f>IFERROR(vlookup('2.3'!I:I,lookup!$A$22:$B$24,2,false),0)</f>
        <v>5</v>
      </c>
      <c r="K27" s="10">
        <f>IFERROR(vlookup('2.3'!J:J,lookup!$A$26:$B$28,2,false),0)</f>
        <v>5</v>
      </c>
      <c r="L27" s="1"/>
      <c r="M27" s="10">
        <v>26.0</v>
      </c>
      <c r="N27" s="11" t="str">
        <f t="shared" si="1"/>
        <v>bnco1026@signalschool.ac.th</v>
      </c>
      <c r="O27" s="12">
        <f t="shared" si="2"/>
        <v>1</v>
      </c>
      <c r="R27" s="6" t="s">
        <v>240</v>
      </c>
    </row>
    <row r="28">
      <c r="A28" s="8">
        <f>'2.3'!A:A</f>
        <v>46213.3964</v>
      </c>
      <c r="B28" s="1" t="str">
        <f>'2.3'!B:B</f>
        <v>bnco1033@signalschool.ac.th</v>
      </c>
      <c r="C28" s="1" t="str">
        <f>'2.3'!C:C</f>
        <v>พ.ต. ไมตรี บุญเหลื่อม</v>
      </c>
      <c r="D28" s="9">
        <v>1.0</v>
      </c>
      <c r="E28" s="10">
        <f>IFERROR(vlookup('2.3'!D:D,lookup!$A$2:$B$4,2,false),0)</f>
        <v>5</v>
      </c>
      <c r="F28" s="10">
        <f>IFERROR(vlookup('2.3'!E:E,lookup!$A$6:$B$8,2,false),0)</f>
        <v>5</v>
      </c>
      <c r="G28" s="10">
        <f>IFERROR(vlookup('2.3'!F:F,lookup!$A$10:$B$12,2,false),0)</f>
        <v>5</v>
      </c>
      <c r="H28" s="10">
        <f>IFERROR(vlookup('2.3'!G:G,lookup!$A$14:$B$16,2,false),0)</f>
        <v>5</v>
      </c>
      <c r="I28" s="10">
        <f>IFERROR(vlookup('2.3'!H:H,lookup!$A$18:$B$20,2,false),0)</f>
        <v>5</v>
      </c>
      <c r="J28" s="10">
        <f>IFERROR(vlookup('2.3'!I:I,lookup!$A$22:$B$24,2,false),0)</f>
        <v>5</v>
      </c>
      <c r="K28" s="10">
        <f>IFERROR(vlookup('2.3'!J:J,lookup!$A$26:$B$28,2,false),0)</f>
        <v>5</v>
      </c>
      <c r="L28" s="1"/>
      <c r="M28" s="10">
        <v>27.0</v>
      </c>
      <c r="N28" s="11" t="str">
        <f t="shared" si="1"/>
        <v>bnco1027@signalschool.ac.th</v>
      </c>
      <c r="O28" s="12">
        <f t="shared" si="2"/>
        <v>1</v>
      </c>
      <c r="R28" s="6" t="s">
        <v>241</v>
      </c>
    </row>
    <row r="29">
      <c r="A29" s="8">
        <f>'2.3'!A:A</f>
        <v>46213.39713</v>
      </c>
      <c r="B29" s="1" t="str">
        <f>'2.3'!B:B</f>
        <v>bnco1079@signalschool.ac.th</v>
      </c>
      <c r="C29" s="1" t="str">
        <f>'2.3'!C:C</f>
        <v>พ.ต. ไมตรี  บุญเหลื่อม</v>
      </c>
      <c r="D29" s="9">
        <v>1.0</v>
      </c>
      <c r="E29" s="10">
        <f>IFERROR(vlookup('2.3'!D:D,lookup!$A$2:$B$4,2,false),0)</f>
        <v>5</v>
      </c>
      <c r="F29" s="10">
        <f>IFERROR(vlookup('2.3'!E:E,lookup!$A$6:$B$8,2,false),0)</f>
        <v>5</v>
      </c>
      <c r="G29" s="10">
        <f>IFERROR(vlookup('2.3'!F:F,lookup!$A$10:$B$12,2,false),0)</f>
        <v>5</v>
      </c>
      <c r="H29" s="10">
        <f>IFERROR(vlookup('2.3'!G:G,lookup!$A$14:$B$16,2,false),0)</f>
        <v>5</v>
      </c>
      <c r="I29" s="10">
        <f>IFERROR(vlookup('2.3'!H:H,lookup!$A$18:$B$20,2,false),0)</f>
        <v>5</v>
      </c>
      <c r="J29" s="10">
        <f>IFERROR(vlookup('2.3'!I:I,lookup!$A$22:$B$24,2,false),0)</f>
        <v>5</v>
      </c>
      <c r="K29" s="10">
        <f>IFERROR(vlookup('2.3'!J:J,lookup!$A$26:$B$28,2,false),0)</f>
        <v>5</v>
      </c>
      <c r="L29" s="1"/>
      <c r="M29" s="10">
        <v>28.0</v>
      </c>
      <c r="N29" s="11" t="str">
        <f t="shared" si="1"/>
        <v>bnco1028@signalschool.ac.th</v>
      </c>
      <c r="O29" s="12">
        <f t="shared" si="2"/>
        <v>0</v>
      </c>
      <c r="R29" s="6" t="s">
        <v>242</v>
      </c>
    </row>
    <row r="30">
      <c r="A30" s="8">
        <f>'2.3'!A:A</f>
        <v>46213.39729</v>
      </c>
      <c r="B30" s="1" t="str">
        <f>'2.3'!B:B</f>
        <v>bnco1061@signalschool.ac.th</v>
      </c>
      <c r="C30" s="1" t="str">
        <f>'2.3'!C:C</f>
        <v>พ.ต.ไมตรี บุญเหลื่อม</v>
      </c>
      <c r="D30" s="9">
        <v>1.0</v>
      </c>
      <c r="E30" s="10">
        <f>IFERROR(vlookup('2.3'!D:D,lookup!$A$2:$B$4,2,false),0)</f>
        <v>5</v>
      </c>
      <c r="F30" s="10">
        <f>IFERROR(vlookup('2.3'!E:E,lookup!$A$6:$B$8,2,false),0)</f>
        <v>5</v>
      </c>
      <c r="G30" s="10">
        <f>IFERROR(vlookup('2.3'!F:F,lookup!$A$10:$B$12,2,false),0)</f>
        <v>5</v>
      </c>
      <c r="H30" s="10">
        <f>IFERROR(vlookup('2.3'!G:G,lookup!$A$14:$B$16,2,false),0)</f>
        <v>5</v>
      </c>
      <c r="I30" s="10">
        <f>IFERROR(vlookup('2.3'!H:H,lookup!$A$18:$B$20,2,false),0)</f>
        <v>5</v>
      </c>
      <c r="J30" s="10">
        <f>IFERROR(vlookup('2.3'!I:I,lookup!$A$22:$B$24,2,false),0)</f>
        <v>5</v>
      </c>
      <c r="K30" s="10">
        <f>IFERROR(vlookup('2.3'!J:J,lookup!$A$26:$B$28,2,false),0)</f>
        <v>5</v>
      </c>
      <c r="L30" s="1"/>
      <c r="M30" s="10">
        <v>29.0</v>
      </c>
      <c r="N30" s="11" t="str">
        <f t="shared" si="1"/>
        <v>bnco1029@signalschool.ac.th</v>
      </c>
      <c r="O30" s="12">
        <f t="shared" si="2"/>
        <v>0</v>
      </c>
      <c r="R30" s="6" t="s">
        <v>243</v>
      </c>
    </row>
    <row r="31">
      <c r="A31" s="8">
        <f>'2.3'!A:A</f>
        <v>46213.39731</v>
      </c>
      <c r="B31" s="1" t="str">
        <f>'2.3'!B:B</f>
        <v>bnco1002@signalschool.ac.th</v>
      </c>
      <c r="C31" s="1" t="str">
        <f>'2.3'!C:C</f>
        <v>พันตรี ไมตรี บุญเหลื่อม</v>
      </c>
      <c r="D31" s="9">
        <v>1.0</v>
      </c>
      <c r="E31" s="10">
        <f>IFERROR(vlookup('2.3'!D:D,lookup!$A$2:$B$4,2,false),0)</f>
        <v>5</v>
      </c>
      <c r="F31" s="10">
        <f>IFERROR(vlookup('2.3'!E:E,lookup!$A$6:$B$8,2,false),0)</f>
        <v>3</v>
      </c>
      <c r="G31" s="10">
        <f>IFERROR(vlookup('2.3'!F:F,lookup!$A$10:$B$12,2,false),0)</f>
        <v>5</v>
      </c>
      <c r="H31" s="10">
        <f>IFERROR(vlookup('2.3'!G:G,lookup!$A$14:$B$16,2,false),0)</f>
        <v>5</v>
      </c>
      <c r="I31" s="10">
        <f>IFERROR(vlookup('2.3'!H:H,lookup!$A$18:$B$20,2,false),0)</f>
        <v>5</v>
      </c>
      <c r="J31" s="10">
        <f>IFERROR(vlookup('2.3'!I:I,lookup!$A$22:$B$24,2,false),0)</f>
        <v>5</v>
      </c>
      <c r="K31" s="10">
        <f>IFERROR(vlookup('2.3'!J:J,lookup!$A$26:$B$28,2,false),0)</f>
        <v>5</v>
      </c>
      <c r="L31" s="1"/>
      <c r="M31" s="10">
        <v>30.0</v>
      </c>
      <c r="N31" s="11" t="str">
        <f t="shared" si="1"/>
        <v>bnco1030@signalschool.ac.th</v>
      </c>
      <c r="O31" s="12">
        <f t="shared" si="2"/>
        <v>1</v>
      </c>
      <c r="R31" s="6" t="s">
        <v>244</v>
      </c>
    </row>
    <row r="32">
      <c r="A32" s="8">
        <f>'2.3'!A:A</f>
        <v>46213.39744</v>
      </c>
      <c r="B32" s="1" t="str">
        <f>'2.3'!B:B</f>
        <v>bnco1019@signalschool.ac.th</v>
      </c>
      <c r="C32" s="1" t="str">
        <f>'2.3'!C:C</f>
        <v>พ.ต.ไมตรี  บุญเหลื่อม</v>
      </c>
      <c r="D32" s="9">
        <v>1.0</v>
      </c>
      <c r="E32" s="10">
        <f>IFERROR(vlookup('2.3'!D:D,lookup!$A$2:$B$4,2,false),0)</f>
        <v>5</v>
      </c>
      <c r="F32" s="10">
        <f>IFERROR(vlookup('2.3'!E:E,lookup!$A$6:$B$8,2,false),0)</f>
        <v>5</v>
      </c>
      <c r="G32" s="10">
        <f>IFERROR(vlookup('2.3'!F:F,lookup!$A$10:$B$12,2,false),0)</f>
        <v>5</v>
      </c>
      <c r="H32" s="10">
        <f>IFERROR(vlookup('2.3'!G:G,lookup!$A$14:$B$16,2,false),0)</f>
        <v>5</v>
      </c>
      <c r="I32" s="10">
        <f>IFERROR(vlookup('2.3'!H:H,lookup!$A$18:$B$20,2,false),0)</f>
        <v>5</v>
      </c>
      <c r="J32" s="10">
        <f>IFERROR(vlookup('2.3'!I:I,lookup!$A$22:$B$24,2,false),0)</f>
        <v>5</v>
      </c>
      <c r="K32" s="10">
        <f>IFERROR(vlookup('2.3'!J:J,lookup!$A$26:$B$28,2,false),0)</f>
        <v>5</v>
      </c>
      <c r="L32" s="1"/>
      <c r="M32" s="10">
        <v>31.0</v>
      </c>
      <c r="N32" s="11" t="str">
        <f t="shared" si="1"/>
        <v>bnco1031@signalschool.ac.th</v>
      </c>
      <c r="O32" s="12">
        <f t="shared" si="2"/>
        <v>1</v>
      </c>
      <c r="R32" s="6" t="s">
        <v>245</v>
      </c>
    </row>
    <row r="33">
      <c r="A33" s="8">
        <f>'2.3'!A:A</f>
        <v>46213.39752</v>
      </c>
      <c r="B33" s="1" t="str">
        <f>'2.3'!B:B</f>
        <v>bnco1044@signalschool.ac.th</v>
      </c>
      <c r="C33" s="1" t="str">
        <f>'2.3'!C:C</f>
        <v>พ.ต. ไมตรี บุญเหลื่อม</v>
      </c>
      <c r="D33" s="9">
        <v>1.0</v>
      </c>
      <c r="E33" s="10">
        <f>IFERROR(vlookup('2.3'!D:D,lookup!$A$2:$B$4,2,false),0)</f>
        <v>5</v>
      </c>
      <c r="F33" s="10">
        <f>IFERROR(vlookup('2.3'!E:E,lookup!$A$6:$B$8,2,false),0)</f>
        <v>5</v>
      </c>
      <c r="G33" s="10">
        <f>IFERROR(vlookup('2.3'!F:F,lookup!$A$10:$B$12,2,false),0)</f>
        <v>5</v>
      </c>
      <c r="H33" s="10">
        <f>IFERROR(vlookup('2.3'!G:G,lookup!$A$14:$B$16,2,false),0)</f>
        <v>5</v>
      </c>
      <c r="I33" s="10">
        <f>IFERROR(vlookup('2.3'!H:H,lookup!$A$18:$B$20,2,false),0)</f>
        <v>5</v>
      </c>
      <c r="J33" s="10">
        <f>IFERROR(vlookup('2.3'!I:I,lookup!$A$22:$B$24,2,false),0)</f>
        <v>5</v>
      </c>
      <c r="K33" s="10">
        <f>IFERROR(vlookup('2.3'!J:J,lookup!$A$26:$B$28,2,false),0)</f>
        <v>5</v>
      </c>
      <c r="L33" s="1"/>
      <c r="M33" s="10">
        <v>32.0</v>
      </c>
      <c r="N33" s="11" t="str">
        <f t="shared" si="1"/>
        <v>bnco1032@signalschool.ac.th</v>
      </c>
      <c r="O33" s="12">
        <f t="shared" si="2"/>
        <v>1</v>
      </c>
      <c r="R33" s="6" t="s">
        <v>246</v>
      </c>
    </row>
    <row r="34">
      <c r="A34" s="8">
        <f>'2.3'!A:A</f>
        <v>46213.39832</v>
      </c>
      <c r="B34" s="1" t="str">
        <f>'2.3'!B:B</f>
        <v>bnco1074@signalschool.ac.th</v>
      </c>
      <c r="C34" s="1" t="str">
        <f>'2.3'!C:C</f>
        <v>พ.ต. ไมตรี  บุญเหลื่อม</v>
      </c>
      <c r="D34" s="9">
        <v>1.0</v>
      </c>
      <c r="E34" s="10">
        <f>IFERROR(vlookup('2.3'!D:D,lookup!$A$2:$B$4,2,false),0)</f>
        <v>5</v>
      </c>
      <c r="F34" s="10">
        <f>IFERROR(vlookup('2.3'!E:E,lookup!$A$6:$B$8,2,false),0)</f>
        <v>5</v>
      </c>
      <c r="G34" s="10">
        <f>IFERROR(vlookup('2.3'!F:F,lookup!$A$10:$B$12,2,false),0)</f>
        <v>5</v>
      </c>
      <c r="H34" s="10">
        <f>IFERROR(vlookup('2.3'!G:G,lookup!$A$14:$B$16,2,false),0)</f>
        <v>5</v>
      </c>
      <c r="I34" s="10">
        <f>IFERROR(vlookup('2.3'!H:H,lookup!$A$18:$B$20,2,false),0)</f>
        <v>5</v>
      </c>
      <c r="J34" s="10">
        <f>IFERROR(vlookup('2.3'!I:I,lookup!$A$22:$B$24,2,false),0)</f>
        <v>5</v>
      </c>
      <c r="K34" s="10">
        <f>IFERROR(vlookup('2.3'!J:J,lookup!$A$26:$B$28,2,false),0)</f>
        <v>5</v>
      </c>
      <c r="L34" s="1"/>
      <c r="M34" s="10">
        <v>33.0</v>
      </c>
      <c r="N34" s="11" t="str">
        <f t="shared" si="1"/>
        <v>bnco1033@signalschool.ac.th</v>
      </c>
      <c r="O34" s="12">
        <f t="shared" si="2"/>
        <v>1</v>
      </c>
      <c r="R34" s="6" t="s">
        <v>247</v>
      </c>
    </row>
    <row r="35">
      <c r="A35" s="8">
        <f>'2.3'!A:A</f>
        <v>46213.39844</v>
      </c>
      <c r="B35" s="1" t="str">
        <f>'2.3'!B:B</f>
        <v>bnco1062@signalschool.ac.th</v>
      </c>
      <c r="C35" s="1" t="str">
        <f>'2.3'!C:C</f>
        <v>พ.ต. ไมตรี  บุญเหลื่อม</v>
      </c>
      <c r="D35" s="9">
        <v>1.0</v>
      </c>
      <c r="E35" s="10">
        <f>IFERROR(vlookup('2.3'!D:D,lookup!$A$2:$B$4,2,false),0)</f>
        <v>5</v>
      </c>
      <c r="F35" s="10">
        <f>IFERROR(vlookup('2.3'!E:E,lookup!$A$6:$B$8,2,false),0)</f>
        <v>5</v>
      </c>
      <c r="G35" s="10">
        <f>IFERROR(vlookup('2.3'!F:F,lookup!$A$10:$B$12,2,false),0)</f>
        <v>3</v>
      </c>
      <c r="H35" s="10">
        <f>IFERROR(vlookup('2.3'!G:G,lookup!$A$14:$B$16,2,false),0)</f>
        <v>5</v>
      </c>
      <c r="I35" s="10">
        <f>IFERROR(vlookup('2.3'!H:H,lookup!$A$18:$B$20,2,false),0)</f>
        <v>3</v>
      </c>
      <c r="J35" s="10">
        <f>IFERROR(vlookup('2.3'!I:I,lookup!$A$22:$B$24,2,false),0)</f>
        <v>5</v>
      </c>
      <c r="K35" s="10">
        <f>IFERROR(vlookup('2.3'!J:J,lookup!$A$26:$B$28,2,false),0)</f>
        <v>5</v>
      </c>
      <c r="L35" s="1"/>
      <c r="M35" s="10">
        <v>34.0</v>
      </c>
      <c r="N35" s="11" t="str">
        <f t="shared" si="1"/>
        <v>bnco1034@signalschool.ac.th</v>
      </c>
      <c r="O35" s="12">
        <f t="shared" si="2"/>
        <v>1</v>
      </c>
      <c r="R35" s="6" t="s">
        <v>248</v>
      </c>
    </row>
    <row r="36">
      <c r="A36" s="8">
        <f>'2.3'!A:A</f>
        <v>46213.39855</v>
      </c>
      <c r="B36" s="1" t="str">
        <f>'2.3'!B:B</f>
        <v>bnco1066@signalschool.ac.th</v>
      </c>
      <c r="C36" s="1" t="str">
        <f>'2.3'!C:C</f>
        <v>พ.ต. ไมตรี  บุญเหลื่อม</v>
      </c>
      <c r="D36" s="9">
        <v>1.0</v>
      </c>
      <c r="E36" s="10">
        <f>IFERROR(vlookup('2.3'!D:D,lookup!$A$2:$B$4,2,false),0)</f>
        <v>5</v>
      </c>
      <c r="F36" s="10">
        <f>IFERROR(vlookup('2.3'!E:E,lookup!$A$6:$B$8,2,false),0)</f>
        <v>5</v>
      </c>
      <c r="G36" s="10">
        <f>IFERROR(vlookup('2.3'!F:F,lookup!$A$10:$B$12,2,false),0)</f>
        <v>5</v>
      </c>
      <c r="H36" s="10">
        <f>IFERROR(vlookup('2.3'!G:G,lookup!$A$14:$B$16,2,false),0)</f>
        <v>5</v>
      </c>
      <c r="I36" s="10">
        <f>IFERROR(vlookup('2.3'!H:H,lookup!$A$18:$B$20,2,false),0)</f>
        <v>5</v>
      </c>
      <c r="J36" s="10">
        <f>IFERROR(vlookup('2.3'!I:I,lookup!$A$22:$B$24,2,false),0)</f>
        <v>5</v>
      </c>
      <c r="K36" s="10">
        <f>IFERROR(vlookup('2.3'!J:J,lookup!$A$26:$B$28,2,false),0)</f>
        <v>5</v>
      </c>
      <c r="L36" s="1"/>
      <c r="M36" s="10">
        <v>35.0</v>
      </c>
      <c r="N36" s="11" t="str">
        <f t="shared" si="1"/>
        <v>bnco1035@signalschool.ac.th</v>
      </c>
      <c r="O36" s="12">
        <f t="shared" si="2"/>
        <v>1</v>
      </c>
      <c r="R36" s="6" t="s">
        <v>249</v>
      </c>
    </row>
    <row r="37">
      <c r="A37" s="8">
        <f>'2.3'!A:A</f>
        <v>46213.39901</v>
      </c>
      <c r="B37" s="1" t="str">
        <f>'2.3'!B:B</f>
        <v>bnco1015@signalschool.ac.th</v>
      </c>
      <c r="C37" s="1" t="str">
        <f>'2.3'!C:C</f>
        <v>พ.ต.ไมตรี  บุญเลื่อม</v>
      </c>
      <c r="D37" s="9">
        <v>1.0</v>
      </c>
      <c r="E37" s="10">
        <f>IFERROR(vlookup('2.3'!D:D,lookup!$A$2:$B$4,2,false),0)</f>
        <v>5</v>
      </c>
      <c r="F37" s="10">
        <f>IFERROR(vlookup('2.3'!E:E,lookup!$A$6:$B$8,2,false),0)</f>
        <v>5</v>
      </c>
      <c r="G37" s="10">
        <f>IFERROR(vlookup('2.3'!F:F,lookup!$A$10:$B$12,2,false),0)</f>
        <v>5</v>
      </c>
      <c r="H37" s="10">
        <f>IFERROR(vlookup('2.3'!G:G,lookup!$A$14:$B$16,2,false),0)</f>
        <v>5</v>
      </c>
      <c r="I37" s="10">
        <f>IFERROR(vlookup('2.3'!H:H,lookup!$A$18:$B$20,2,false),0)</f>
        <v>5</v>
      </c>
      <c r="J37" s="10">
        <f>IFERROR(vlookup('2.3'!I:I,lookup!$A$22:$B$24,2,false),0)</f>
        <v>5</v>
      </c>
      <c r="K37" s="10">
        <f>IFERROR(vlookup('2.3'!J:J,lookup!$A$26:$B$28,2,false),0)</f>
        <v>5</v>
      </c>
      <c r="L37" s="1"/>
      <c r="M37" s="10">
        <v>36.0</v>
      </c>
      <c r="N37" s="11" t="str">
        <f t="shared" si="1"/>
        <v>bnco1036@signalschool.ac.th</v>
      </c>
      <c r="O37" s="12">
        <f t="shared" si="2"/>
        <v>1</v>
      </c>
      <c r="R37" s="6" t="s">
        <v>250</v>
      </c>
    </row>
    <row r="38">
      <c r="A38" s="8">
        <f>'2.3'!A:A</f>
        <v>46213.39907</v>
      </c>
      <c r="B38" s="1" t="str">
        <f>'2.3'!B:B</f>
        <v>bnco1025@signalschool.ac.th</v>
      </c>
      <c r="C38" s="1" t="str">
        <f>'2.3'!C:C</f>
        <v>พ.ต.ไมตรี บุญเหลื่อม</v>
      </c>
      <c r="D38" s="9">
        <v>1.0</v>
      </c>
      <c r="E38" s="10">
        <f>IFERROR(vlookup('2.3'!D:D,lookup!$A$2:$B$4,2,false),0)</f>
        <v>5</v>
      </c>
      <c r="F38" s="10">
        <f>IFERROR(vlookup('2.3'!E:E,lookup!$A$6:$B$8,2,false),0)</f>
        <v>5</v>
      </c>
      <c r="G38" s="10">
        <f>IFERROR(vlookup('2.3'!F:F,lookup!$A$10:$B$12,2,false),0)</f>
        <v>5</v>
      </c>
      <c r="H38" s="10">
        <f>IFERROR(vlookup('2.3'!G:G,lookup!$A$14:$B$16,2,false),0)</f>
        <v>5</v>
      </c>
      <c r="I38" s="10">
        <f>IFERROR(vlookup('2.3'!H:H,lookup!$A$18:$B$20,2,false),0)</f>
        <v>5</v>
      </c>
      <c r="J38" s="10">
        <f>IFERROR(vlookup('2.3'!I:I,lookup!$A$22:$B$24,2,false),0)</f>
        <v>5</v>
      </c>
      <c r="K38" s="10">
        <f>IFERROR(vlookup('2.3'!J:J,lookup!$A$26:$B$28,2,false),0)</f>
        <v>5</v>
      </c>
      <c r="L38" s="1"/>
      <c r="M38" s="10">
        <v>37.0</v>
      </c>
      <c r="N38" s="11" t="str">
        <f t="shared" si="1"/>
        <v>bnco1037@signalschool.ac.th</v>
      </c>
      <c r="O38" s="12">
        <f t="shared" si="2"/>
        <v>1</v>
      </c>
      <c r="R38" s="6" t="s">
        <v>251</v>
      </c>
    </row>
    <row r="39">
      <c r="A39" s="8">
        <f>'2.3'!A:A</f>
        <v>46213.39966</v>
      </c>
      <c r="B39" s="1" t="str">
        <f>'2.3'!B:B</f>
        <v>bnco1073@signalschool.ac.th</v>
      </c>
      <c r="C39" s="1" t="str">
        <f>'2.3'!C:C</f>
        <v>ส.อ. ธีรโชติ สีหะวงษ์</v>
      </c>
      <c r="D39" s="9">
        <v>1.0</v>
      </c>
      <c r="E39" s="10">
        <f>IFERROR(vlookup('2.3'!D:D,lookup!$A$2:$B$4,2,false),0)</f>
        <v>5</v>
      </c>
      <c r="F39" s="10">
        <f>IFERROR(vlookup('2.3'!E:E,lookup!$A$6:$B$8,2,false),0)</f>
        <v>5</v>
      </c>
      <c r="G39" s="10">
        <f>IFERROR(vlookup('2.3'!F:F,lookup!$A$10:$B$12,2,false),0)</f>
        <v>5</v>
      </c>
      <c r="H39" s="10">
        <f>IFERROR(vlookup('2.3'!G:G,lookup!$A$14:$B$16,2,false),0)</f>
        <v>5</v>
      </c>
      <c r="I39" s="10">
        <f>IFERROR(vlookup('2.3'!H:H,lookup!$A$18:$B$20,2,false),0)</f>
        <v>5</v>
      </c>
      <c r="J39" s="10">
        <f>IFERROR(vlookup('2.3'!I:I,lookup!$A$22:$B$24,2,false),0)</f>
        <v>5</v>
      </c>
      <c r="K39" s="10">
        <f>IFERROR(vlookup('2.3'!J:J,lookup!$A$26:$B$28,2,false),0)</f>
        <v>5</v>
      </c>
      <c r="L39" s="1"/>
      <c r="M39" s="10">
        <v>38.0</v>
      </c>
      <c r="N39" s="11" t="str">
        <f t="shared" si="1"/>
        <v>bnco1038@signalschool.ac.th</v>
      </c>
      <c r="O39" s="12">
        <f t="shared" si="2"/>
        <v>1</v>
      </c>
      <c r="R39" s="6" t="s">
        <v>252</v>
      </c>
    </row>
    <row r="40">
      <c r="A40" s="8">
        <f>'2.3'!A:A</f>
        <v>46213.39971</v>
      </c>
      <c r="B40" s="1" t="str">
        <f>'2.3'!B:B</f>
        <v>bnco1052@signalschool.ac.th</v>
      </c>
      <c r="C40" s="1" t="str">
        <f>'2.3'!C:C</f>
        <v>พ.ต. ไมตรี  บุญเหลื่อม</v>
      </c>
      <c r="D40" s="9">
        <v>1.0</v>
      </c>
      <c r="E40" s="10">
        <f>IFERROR(vlookup('2.3'!D:D,lookup!$A$2:$B$4,2,false),0)</f>
        <v>5</v>
      </c>
      <c r="F40" s="10">
        <f>IFERROR(vlookup('2.3'!E:E,lookup!$A$6:$B$8,2,false),0)</f>
        <v>5</v>
      </c>
      <c r="G40" s="10">
        <f>IFERROR(vlookup('2.3'!F:F,lookup!$A$10:$B$12,2,false),0)</f>
        <v>5</v>
      </c>
      <c r="H40" s="10">
        <f>IFERROR(vlookup('2.3'!G:G,lookup!$A$14:$B$16,2,false),0)</f>
        <v>5</v>
      </c>
      <c r="I40" s="10">
        <f>IFERROR(vlookup('2.3'!H:H,lookup!$A$18:$B$20,2,false),0)</f>
        <v>5</v>
      </c>
      <c r="J40" s="10">
        <f>IFERROR(vlookup('2.3'!I:I,lookup!$A$22:$B$24,2,false),0)</f>
        <v>5</v>
      </c>
      <c r="K40" s="10">
        <f>IFERROR(vlookup('2.3'!J:J,lookup!$A$26:$B$28,2,false),0)</f>
        <v>5</v>
      </c>
      <c r="L40" s="1"/>
      <c r="M40" s="10">
        <v>39.0</v>
      </c>
      <c r="N40" s="11" t="str">
        <f t="shared" si="1"/>
        <v>bnco1039@signalschool.ac.th</v>
      </c>
      <c r="O40" s="12">
        <f t="shared" si="2"/>
        <v>1</v>
      </c>
      <c r="R40" s="6" t="s">
        <v>253</v>
      </c>
    </row>
    <row r="41">
      <c r="A41" s="8">
        <f>'2.3'!A:A</f>
        <v>46213.39987</v>
      </c>
      <c r="B41" s="1" t="str">
        <f>'2.3'!B:B</f>
        <v>bnco1072@signalschool.ac.th</v>
      </c>
      <c r="C41" s="1" t="str">
        <f>'2.3'!C:C</f>
        <v>พ.ต.ไมตรี  บุญเหลื่อม</v>
      </c>
      <c r="D41" s="9">
        <v>1.0</v>
      </c>
      <c r="E41" s="10">
        <f>IFERROR(vlookup('2.3'!D:D,lookup!$A$2:$B$4,2,false),0)</f>
        <v>5</v>
      </c>
      <c r="F41" s="10">
        <f>IFERROR(vlookup('2.3'!E:E,lookup!$A$6:$B$8,2,false),0)</f>
        <v>5</v>
      </c>
      <c r="G41" s="10">
        <f>IFERROR(vlookup('2.3'!F:F,lookup!$A$10:$B$12,2,false),0)</f>
        <v>5</v>
      </c>
      <c r="H41" s="10">
        <f>IFERROR(vlookup('2.3'!G:G,lookup!$A$14:$B$16,2,false),0)</f>
        <v>5</v>
      </c>
      <c r="I41" s="10">
        <f>IFERROR(vlookup('2.3'!H:H,lookup!$A$18:$B$20,2,false),0)</f>
        <v>5</v>
      </c>
      <c r="J41" s="10">
        <f>IFERROR(vlookup('2.3'!I:I,lookup!$A$22:$B$24,2,false),0)</f>
        <v>5</v>
      </c>
      <c r="K41" s="10">
        <f>IFERROR(vlookup('2.3'!J:J,lookup!$A$26:$B$28,2,false),0)</f>
        <v>5</v>
      </c>
      <c r="L41" s="1"/>
      <c r="M41" s="10">
        <v>40.0</v>
      </c>
      <c r="N41" s="11" t="str">
        <f t="shared" si="1"/>
        <v>bnco1040@signalschool.ac.th</v>
      </c>
      <c r="O41" s="12">
        <f t="shared" si="2"/>
        <v>1</v>
      </c>
      <c r="R41" s="6" t="s">
        <v>254</v>
      </c>
    </row>
    <row r="42">
      <c r="A42" s="8">
        <f>'2.3'!A:A</f>
        <v>46213.40017</v>
      </c>
      <c r="B42" s="1" t="str">
        <f>'2.3'!B:B</f>
        <v>bnco1006@signalschool.ac.th</v>
      </c>
      <c r="C42" s="1" t="str">
        <f>'2.3'!C:C</f>
        <v>ส.อ.ณัฐพงค์ ขอบพิมาย</v>
      </c>
      <c r="D42" s="9">
        <v>1.0</v>
      </c>
      <c r="E42" s="10">
        <f>IFERROR(vlookup('2.3'!D:D,lookup!$A$2:$B$4,2,false),0)</f>
        <v>5</v>
      </c>
      <c r="F42" s="10">
        <f>IFERROR(vlookup('2.3'!E:E,lookup!$A$6:$B$8,2,false),0)</f>
        <v>5</v>
      </c>
      <c r="G42" s="10">
        <f>IFERROR(vlookup('2.3'!F:F,lookup!$A$10:$B$12,2,false),0)</f>
        <v>5</v>
      </c>
      <c r="H42" s="10">
        <f>IFERROR(vlookup('2.3'!G:G,lookup!$A$14:$B$16,2,false),0)</f>
        <v>5</v>
      </c>
      <c r="I42" s="10">
        <f>IFERROR(vlookup('2.3'!H:H,lookup!$A$18:$B$20,2,false),0)</f>
        <v>5</v>
      </c>
      <c r="J42" s="10">
        <f>IFERROR(vlookup('2.3'!I:I,lookup!$A$22:$B$24,2,false),0)</f>
        <v>5</v>
      </c>
      <c r="K42" s="10">
        <f>IFERROR(vlookup('2.3'!J:J,lookup!$A$26:$B$28,2,false),0)</f>
        <v>5</v>
      </c>
      <c r="L42" s="1"/>
      <c r="M42" s="10">
        <v>41.0</v>
      </c>
      <c r="N42" s="11" t="str">
        <f t="shared" si="1"/>
        <v>bnco1041@signalschool.ac.th</v>
      </c>
      <c r="O42" s="12">
        <f t="shared" si="2"/>
        <v>1</v>
      </c>
      <c r="R42" s="6" t="s">
        <v>255</v>
      </c>
    </row>
    <row r="43">
      <c r="A43" s="8">
        <f>'2.3'!A:A</f>
        <v>46213.40029</v>
      </c>
      <c r="B43" s="1" t="str">
        <f>'2.3'!B:B</f>
        <v>bnco1012@signalschool.ac.th</v>
      </c>
      <c r="C43" s="1" t="str">
        <f>'2.3'!C:C</f>
        <v>ส.อ.ทนงศักดิ์  ยุงรัมย์</v>
      </c>
      <c r="D43" s="9">
        <v>1.0</v>
      </c>
      <c r="E43" s="10">
        <f>IFERROR(vlookup('2.3'!D:D,lookup!$A$2:$B$4,2,false),0)</f>
        <v>5</v>
      </c>
      <c r="F43" s="10">
        <f>IFERROR(vlookup('2.3'!E:E,lookup!$A$6:$B$8,2,false),0)</f>
        <v>5</v>
      </c>
      <c r="G43" s="10">
        <f>IFERROR(vlookup('2.3'!F:F,lookup!$A$10:$B$12,2,false),0)</f>
        <v>5</v>
      </c>
      <c r="H43" s="10">
        <f>IFERROR(vlookup('2.3'!G:G,lookup!$A$14:$B$16,2,false),0)</f>
        <v>5</v>
      </c>
      <c r="I43" s="10">
        <f>IFERROR(vlookup('2.3'!H:H,lookup!$A$18:$B$20,2,false),0)</f>
        <v>5</v>
      </c>
      <c r="J43" s="10">
        <f>IFERROR(vlookup('2.3'!I:I,lookup!$A$22:$B$24,2,false),0)</f>
        <v>5</v>
      </c>
      <c r="K43" s="10">
        <f>IFERROR(vlookup('2.3'!J:J,lookup!$A$26:$B$28,2,false),0)</f>
        <v>5</v>
      </c>
      <c r="L43" s="1"/>
      <c r="M43" s="10">
        <v>42.0</v>
      </c>
      <c r="N43" s="11" t="str">
        <f t="shared" si="1"/>
        <v>bnco1042@signalschool.ac.th</v>
      </c>
      <c r="O43" s="12">
        <f t="shared" si="2"/>
        <v>1</v>
      </c>
      <c r="R43" s="6" t="s">
        <v>256</v>
      </c>
    </row>
    <row r="44">
      <c r="A44" s="8">
        <f>'2.3'!A:A</f>
        <v>46213.40122</v>
      </c>
      <c r="B44" s="1" t="str">
        <f>'2.3'!B:B</f>
        <v>bnco1027@signalschool.ac.th</v>
      </c>
      <c r="C44" s="1" t="str">
        <f>'2.3'!C:C</f>
        <v>ส.อ.ไวยวุฒิ จิตต์นิยม</v>
      </c>
      <c r="D44" s="9">
        <v>1.0</v>
      </c>
      <c r="E44" s="10">
        <f>IFERROR(vlookup('2.3'!D:D,lookup!$A$2:$B$4,2,false),0)</f>
        <v>5</v>
      </c>
      <c r="F44" s="10">
        <f>IFERROR(vlookup('2.3'!E:E,lookup!$A$6:$B$8,2,false),0)</f>
        <v>5</v>
      </c>
      <c r="G44" s="10">
        <f>IFERROR(vlookup('2.3'!F:F,lookup!$A$10:$B$12,2,false),0)</f>
        <v>5</v>
      </c>
      <c r="H44" s="10">
        <f>IFERROR(vlookup('2.3'!G:G,lookup!$A$14:$B$16,2,false),0)</f>
        <v>5</v>
      </c>
      <c r="I44" s="10">
        <f>IFERROR(vlookup('2.3'!H:H,lookup!$A$18:$B$20,2,false),0)</f>
        <v>5</v>
      </c>
      <c r="J44" s="10">
        <f>IFERROR(vlookup('2.3'!I:I,lookup!$A$22:$B$24,2,false),0)</f>
        <v>5</v>
      </c>
      <c r="K44" s="10">
        <f>IFERROR(vlookup('2.3'!J:J,lookup!$A$26:$B$28,2,false),0)</f>
        <v>5</v>
      </c>
      <c r="L44" s="1"/>
      <c r="M44" s="10">
        <v>43.0</v>
      </c>
      <c r="N44" s="11" t="str">
        <f t="shared" si="1"/>
        <v>bnco1043@signalschool.ac.th</v>
      </c>
      <c r="O44" s="12">
        <f t="shared" si="2"/>
        <v>1</v>
      </c>
      <c r="R44" s="6" t="s">
        <v>257</v>
      </c>
    </row>
    <row r="45">
      <c r="A45" s="8">
        <f>'2.3'!A:A</f>
        <v>46213.40173</v>
      </c>
      <c r="B45" s="1" t="str">
        <f>'2.3'!B:B</f>
        <v>bnco1080@signalschool.ac.th</v>
      </c>
      <c r="C45" s="1" t="str">
        <f>'2.3'!C:C</f>
        <v>พ.ต.ไมตรี  บุญเหลื่ยม</v>
      </c>
      <c r="D45" s="9">
        <v>1.0</v>
      </c>
      <c r="E45" s="10">
        <f>IFERROR(vlookup('2.3'!D:D,lookup!$A$2:$B$4,2,false),0)</f>
        <v>5</v>
      </c>
      <c r="F45" s="10">
        <f>IFERROR(vlookup('2.3'!E:E,lookup!$A$6:$B$8,2,false),0)</f>
        <v>5</v>
      </c>
      <c r="G45" s="10">
        <f>IFERROR(vlookup('2.3'!F:F,lookup!$A$10:$B$12,2,false),0)</f>
        <v>5</v>
      </c>
      <c r="H45" s="10">
        <f>IFERROR(vlookup('2.3'!G:G,lookup!$A$14:$B$16,2,false),0)</f>
        <v>5</v>
      </c>
      <c r="I45" s="10">
        <f>IFERROR(vlookup('2.3'!H:H,lookup!$A$18:$B$20,2,false),0)</f>
        <v>5</v>
      </c>
      <c r="J45" s="10">
        <f>IFERROR(vlookup('2.3'!I:I,lookup!$A$22:$B$24,2,false),0)</f>
        <v>5</v>
      </c>
      <c r="K45" s="10">
        <f>IFERROR(vlookup('2.3'!J:J,lookup!$A$26:$B$28,2,false),0)</f>
        <v>5</v>
      </c>
      <c r="L45" s="1"/>
      <c r="M45" s="10">
        <v>44.0</v>
      </c>
      <c r="N45" s="11" t="str">
        <f t="shared" si="1"/>
        <v>bnco1044@signalschool.ac.th</v>
      </c>
      <c r="O45" s="12">
        <f t="shared" si="2"/>
        <v>1</v>
      </c>
      <c r="R45" s="6" t="s">
        <v>258</v>
      </c>
    </row>
    <row r="46">
      <c r="A46" s="8">
        <f>'2.3'!A:A</f>
        <v>46213.4019</v>
      </c>
      <c r="B46" s="1" t="str">
        <f>'2.3'!B:B</f>
        <v>bnco1060@signalschool.ac.th</v>
      </c>
      <c r="C46" s="1" t="str">
        <f>'2.3'!C:C</f>
        <v>พันตรี ไมตรี บุญเหลื่อม</v>
      </c>
      <c r="D46" s="9">
        <v>1.0</v>
      </c>
      <c r="E46" s="10">
        <f>IFERROR(vlookup('2.3'!D:D,lookup!$A$2:$B$4,2,false),0)</f>
        <v>5</v>
      </c>
      <c r="F46" s="10">
        <f>IFERROR(vlookup('2.3'!E:E,lookup!$A$6:$B$8,2,false),0)</f>
        <v>5</v>
      </c>
      <c r="G46" s="10">
        <f>IFERROR(vlookup('2.3'!F:F,lookup!$A$10:$B$12,2,false),0)</f>
        <v>5</v>
      </c>
      <c r="H46" s="10">
        <f>IFERROR(vlookup('2.3'!G:G,lookup!$A$14:$B$16,2,false),0)</f>
        <v>5</v>
      </c>
      <c r="I46" s="10">
        <f>IFERROR(vlookup('2.3'!H:H,lookup!$A$18:$B$20,2,false),0)</f>
        <v>5</v>
      </c>
      <c r="J46" s="10">
        <f>IFERROR(vlookup('2.3'!I:I,lookup!$A$22:$B$24,2,false),0)</f>
        <v>5</v>
      </c>
      <c r="K46" s="10">
        <f>IFERROR(vlookup('2.3'!J:J,lookup!$A$26:$B$28,2,false),0)</f>
        <v>5</v>
      </c>
      <c r="L46" s="1"/>
      <c r="M46" s="10">
        <v>45.0</v>
      </c>
      <c r="N46" s="11" t="str">
        <f t="shared" si="1"/>
        <v>bnco1045@signalschool.ac.th</v>
      </c>
      <c r="O46" s="12">
        <f t="shared" si="2"/>
        <v>1</v>
      </c>
      <c r="R46" s="6" t="s">
        <v>259</v>
      </c>
    </row>
    <row r="47">
      <c r="A47" s="8">
        <f>'2.3'!A:A</f>
        <v>46213.40264</v>
      </c>
      <c r="B47" s="1" t="str">
        <f>'2.3'!B:B</f>
        <v>bnco1067@signalschool.ac.th</v>
      </c>
      <c r="C47" s="1" t="str">
        <f>'2.3'!C:C</f>
        <v>พ.ต.ไมตรี  บุญเหลื่อม</v>
      </c>
      <c r="D47" s="9">
        <v>1.0</v>
      </c>
      <c r="E47" s="10">
        <f>IFERROR(vlookup('2.3'!D:D,lookup!$A$2:$B$4,2,false),0)</f>
        <v>5</v>
      </c>
      <c r="F47" s="10">
        <f>IFERROR(vlookup('2.3'!E:E,lookup!$A$6:$B$8,2,false),0)</f>
        <v>5</v>
      </c>
      <c r="G47" s="10">
        <f>IFERROR(vlookup('2.3'!F:F,lookup!$A$10:$B$12,2,false),0)</f>
        <v>5</v>
      </c>
      <c r="H47" s="10">
        <f>IFERROR(vlookup('2.3'!G:G,lookup!$A$14:$B$16,2,false),0)</f>
        <v>5</v>
      </c>
      <c r="I47" s="10">
        <f>IFERROR(vlookup('2.3'!H:H,lookup!$A$18:$B$20,2,false),0)</f>
        <v>5</v>
      </c>
      <c r="J47" s="10">
        <f>IFERROR(vlookup('2.3'!I:I,lookup!$A$22:$B$24,2,false),0)</f>
        <v>5</v>
      </c>
      <c r="K47" s="10">
        <f>IFERROR(vlookup('2.3'!J:J,lookup!$A$26:$B$28,2,false),0)</f>
        <v>5</v>
      </c>
      <c r="L47" s="1"/>
      <c r="M47" s="10">
        <v>46.0</v>
      </c>
      <c r="N47" s="11" t="str">
        <f t="shared" si="1"/>
        <v>bnco1046@signalschool.ac.th</v>
      </c>
      <c r="O47" s="12">
        <f t="shared" si="2"/>
        <v>1</v>
      </c>
      <c r="R47" s="6" t="s">
        <v>260</v>
      </c>
    </row>
    <row r="48">
      <c r="A48" s="8">
        <f>'2.3'!A:A</f>
        <v>46213.40289</v>
      </c>
      <c r="B48" s="1" t="str">
        <f>'2.3'!B:B</f>
        <v>bnco1068@signalschool.ac.th</v>
      </c>
      <c r="C48" s="1" t="str">
        <f>'2.3'!C:C</f>
        <v>พ.ต. ไมตรี  บุญเหลื่อม</v>
      </c>
      <c r="D48" s="9">
        <v>1.0</v>
      </c>
      <c r="E48" s="10">
        <f>IFERROR(vlookup('2.3'!D:D,lookup!$A$2:$B$4,2,false),0)</f>
        <v>5</v>
      </c>
      <c r="F48" s="10">
        <f>IFERROR(vlookup('2.3'!E:E,lookup!$A$6:$B$8,2,false),0)</f>
        <v>5</v>
      </c>
      <c r="G48" s="10">
        <f>IFERROR(vlookup('2.3'!F:F,lookup!$A$10:$B$12,2,false),0)</f>
        <v>5</v>
      </c>
      <c r="H48" s="10">
        <f>IFERROR(vlookup('2.3'!G:G,lookup!$A$14:$B$16,2,false),0)</f>
        <v>5</v>
      </c>
      <c r="I48" s="10">
        <f>IFERROR(vlookup('2.3'!H:H,lookup!$A$18:$B$20,2,false),0)</f>
        <v>5</v>
      </c>
      <c r="J48" s="10">
        <f>IFERROR(vlookup('2.3'!I:I,lookup!$A$22:$B$24,2,false),0)</f>
        <v>5</v>
      </c>
      <c r="K48" s="10">
        <f>IFERROR(vlookup('2.3'!J:J,lookup!$A$26:$B$28,2,false),0)</f>
        <v>5</v>
      </c>
      <c r="L48" s="1"/>
      <c r="M48" s="10">
        <v>47.0</v>
      </c>
      <c r="N48" s="11" t="str">
        <f t="shared" si="1"/>
        <v>bnco1047@signalschool.ac.th</v>
      </c>
      <c r="O48" s="12">
        <f t="shared" si="2"/>
        <v>1</v>
      </c>
      <c r="R48" s="6" t="s">
        <v>261</v>
      </c>
    </row>
    <row r="49">
      <c r="A49" s="8">
        <f>'2.3'!A:A</f>
        <v>46213.40414</v>
      </c>
      <c r="B49" s="1" t="str">
        <f>'2.3'!B:B</f>
        <v>bnco1063@signalschool.ac.th</v>
      </c>
      <c r="C49" s="1" t="str">
        <f>'2.3'!C:C</f>
        <v>พ.ต.ไมตรี บุญเหลื่อม</v>
      </c>
      <c r="D49" s="9">
        <v>1.0</v>
      </c>
      <c r="E49" s="10">
        <f>IFERROR(vlookup('2.3'!D:D,lookup!$A$2:$B$4,2,false),0)</f>
        <v>5</v>
      </c>
      <c r="F49" s="10">
        <f>IFERROR(vlookup('2.3'!E:E,lookup!$A$6:$B$8,2,false),0)</f>
        <v>5</v>
      </c>
      <c r="G49" s="10">
        <f>IFERROR(vlookup('2.3'!F:F,lookup!$A$10:$B$12,2,false),0)</f>
        <v>5</v>
      </c>
      <c r="H49" s="10">
        <f>IFERROR(vlookup('2.3'!G:G,lookup!$A$14:$B$16,2,false),0)</f>
        <v>5</v>
      </c>
      <c r="I49" s="10">
        <f>IFERROR(vlookup('2.3'!H:H,lookup!$A$18:$B$20,2,false),0)</f>
        <v>5</v>
      </c>
      <c r="J49" s="10">
        <f>IFERROR(vlookup('2.3'!I:I,lookup!$A$22:$B$24,2,false),0)</f>
        <v>5</v>
      </c>
      <c r="K49" s="10">
        <f>IFERROR(vlookup('2.3'!J:J,lookup!$A$26:$B$28,2,false),0)</f>
        <v>5</v>
      </c>
      <c r="L49" s="1"/>
      <c r="M49" s="10">
        <v>48.0</v>
      </c>
      <c r="N49" s="11" t="str">
        <f t="shared" si="1"/>
        <v>bnco1048@signalschool.ac.th</v>
      </c>
      <c r="O49" s="12">
        <f t="shared" si="2"/>
        <v>1</v>
      </c>
      <c r="R49" s="6" t="s">
        <v>262</v>
      </c>
    </row>
    <row r="50">
      <c r="A50" s="8">
        <f>'2.3'!A:A</f>
        <v>46213.40439</v>
      </c>
      <c r="B50" s="1" t="str">
        <f>'2.3'!B:B</f>
        <v>bnco1050@signalschool.ac.th</v>
      </c>
      <c r="C50" s="1" t="str">
        <f>'2.3'!C:C</f>
        <v>พ.ต.ไมตรี บุญเหลื่อม</v>
      </c>
      <c r="D50" s="9">
        <v>1.0</v>
      </c>
      <c r="E50" s="10">
        <f>IFERROR(vlookup('2.3'!D:D,lookup!$A$2:$B$4,2,false),0)</f>
        <v>5</v>
      </c>
      <c r="F50" s="10">
        <f>IFERROR(vlookup('2.3'!E:E,lookup!$A$6:$B$8,2,false),0)</f>
        <v>5</v>
      </c>
      <c r="G50" s="10">
        <f>IFERROR(vlookup('2.3'!F:F,lookup!$A$10:$B$12,2,false),0)</f>
        <v>5</v>
      </c>
      <c r="H50" s="10">
        <f>IFERROR(vlookup('2.3'!G:G,lookup!$A$14:$B$16,2,false),0)</f>
        <v>5</v>
      </c>
      <c r="I50" s="10">
        <f>IFERROR(vlookup('2.3'!H:H,lookup!$A$18:$B$20,2,false),0)</f>
        <v>5</v>
      </c>
      <c r="J50" s="10">
        <f>IFERROR(vlookup('2.3'!I:I,lookup!$A$22:$B$24,2,false),0)</f>
        <v>5</v>
      </c>
      <c r="K50" s="10">
        <f>IFERROR(vlookup('2.3'!J:J,lookup!$A$26:$B$28,2,false),0)</f>
        <v>5</v>
      </c>
      <c r="L50" s="1"/>
      <c r="M50" s="10">
        <v>49.0</v>
      </c>
      <c r="N50" s="11" t="str">
        <f t="shared" si="1"/>
        <v>bnco1049@signalschool.ac.th</v>
      </c>
      <c r="O50" s="12">
        <f t="shared" si="2"/>
        <v>1</v>
      </c>
      <c r="R50" s="6" t="s">
        <v>263</v>
      </c>
    </row>
    <row r="51">
      <c r="A51" s="8">
        <f>'2.3'!A:A</f>
        <v>46213.40594</v>
      </c>
      <c r="B51" s="1" t="str">
        <f>'2.3'!B:B</f>
        <v>bnco1037@signalschool.ac.th</v>
      </c>
      <c r="C51" s="1" t="str">
        <f>'2.3'!C:C</f>
        <v>ส.อ.ตรีทศพล สุขวัฒนา</v>
      </c>
      <c r="D51" s="9">
        <v>1.0</v>
      </c>
      <c r="E51" s="10">
        <f>IFERROR(vlookup('2.3'!D:D,lookup!$A$2:$B$4,2,false),0)</f>
        <v>5</v>
      </c>
      <c r="F51" s="10">
        <f>IFERROR(vlookup('2.3'!E:E,lookup!$A$6:$B$8,2,false),0)</f>
        <v>5</v>
      </c>
      <c r="G51" s="10">
        <f>IFERROR(vlookup('2.3'!F:F,lookup!$A$10:$B$12,2,false),0)</f>
        <v>5</v>
      </c>
      <c r="H51" s="10">
        <f>IFERROR(vlookup('2.3'!G:G,lookup!$A$14:$B$16,2,false),0)</f>
        <v>5</v>
      </c>
      <c r="I51" s="10">
        <f>IFERROR(vlookup('2.3'!H:H,lookup!$A$18:$B$20,2,false),0)</f>
        <v>5</v>
      </c>
      <c r="J51" s="10">
        <f>IFERROR(vlookup('2.3'!I:I,lookup!$A$22:$B$24,2,false),0)</f>
        <v>5</v>
      </c>
      <c r="K51" s="10">
        <f>IFERROR(vlookup('2.3'!J:J,lookup!$A$26:$B$28,2,false),0)</f>
        <v>5</v>
      </c>
      <c r="L51" s="1"/>
      <c r="M51" s="10">
        <v>50.0</v>
      </c>
      <c r="N51" s="11" t="str">
        <f t="shared" si="1"/>
        <v>bnco1050@signalschool.ac.th</v>
      </c>
      <c r="O51" s="12">
        <f t="shared" si="2"/>
        <v>1</v>
      </c>
      <c r="R51" s="6" t="s">
        <v>264</v>
      </c>
    </row>
    <row r="52">
      <c r="A52" s="8">
        <f>'2.3'!A:A</f>
        <v>46213.40973</v>
      </c>
      <c r="B52" s="1" t="str">
        <f>'2.3'!B:B</f>
        <v>bnco1042@signalschool.ac.th</v>
      </c>
      <c r="C52" s="1" t="str">
        <f>'2.3'!C:C</f>
        <v>ส.อ.อภิเษก  แววดี</v>
      </c>
      <c r="D52" s="9">
        <v>1.0</v>
      </c>
      <c r="E52" s="10">
        <f>IFERROR(vlookup('2.3'!D:D,lookup!$A$2:$B$4,2,false),0)</f>
        <v>5</v>
      </c>
      <c r="F52" s="10">
        <f>IFERROR(vlookup('2.3'!E:E,lookup!$A$6:$B$8,2,false),0)</f>
        <v>5</v>
      </c>
      <c r="G52" s="10">
        <f>IFERROR(vlookup('2.3'!F:F,lookup!$A$10:$B$12,2,false),0)</f>
        <v>5</v>
      </c>
      <c r="H52" s="10">
        <f>IFERROR(vlookup('2.3'!G:G,lookup!$A$14:$B$16,2,false),0)</f>
        <v>5</v>
      </c>
      <c r="I52" s="10">
        <f>IFERROR(vlookup('2.3'!H:H,lookup!$A$18:$B$20,2,false),0)</f>
        <v>5</v>
      </c>
      <c r="J52" s="10">
        <f>IFERROR(vlookup('2.3'!I:I,lookup!$A$22:$B$24,2,false),0)</f>
        <v>5</v>
      </c>
      <c r="K52" s="10">
        <f>IFERROR(vlookup('2.3'!J:J,lookup!$A$26:$B$28,2,false),0)</f>
        <v>5</v>
      </c>
      <c r="L52" s="1"/>
      <c r="M52" s="10">
        <v>51.0</v>
      </c>
      <c r="N52" s="11" t="str">
        <f t="shared" si="1"/>
        <v>bnco1051@signalschool.ac.th</v>
      </c>
      <c r="O52" s="12">
        <f t="shared" si="2"/>
        <v>1</v>
      </c>
      <c r="R52" s="6" t="s">
        <v>265</v>
      </c>
    </row>
    <row r="53">
      <c r="A53" s="8">
        <f>'2.3'!A:A</f>
        <v>46213.41078</v>
      </c>
      <c r="B53" s="1" t="str">
        <f>'2.3'!B:B</f>
        <v>bnco1017@signalschool.ac.th</v>
      </c>
      <c r="C53" s="1" t="str">
        <f>'2.3'!C:C</f>
        <v>พ.ต. ไมตรี  บุญเหลื่อม</v>
      </c>
      <c r="D53" s="9">
        <v>1.0</v>
      </c>
      <c r="E53" s="10">
        <f>IFERROR(vlookup('2.3'!D:D,lookup!$A$2:$B$4,2,false),0)</f>
        <v>5</v>
      </c>
      <c r="F53" s="10">
        <f>IFERROR(vlookup('2.3'!E:E,lookup!$A$6:$B$8,2,false),0)</f>
        <v>5</v>
      </c>
      <c r="G53" s="10">
        <f>IFERROR(vlookup('2.3'!F:F,lookup!$A$10:$B$12,2,false),0)</f>
        <v>5</v>
      </c>
      <c r="H53" s="10">
        <f>IFERROR(vlookup('2.3'!G:G,lookup!$A$14:$B$16,2,false),0)</f>
        <v>5</v>
      </c>
      <c r="I53" s="10">
        <f>IFERROR(vlookup('2.3'!H:H,lookup!$A$18:$B$20,2,false),0)</f>
        <v>5</v>
      </c>
      <c r="J53" s="10">
        <f>IFERROR(vlookup('2.3'!I:I,lookup!$A$22:$B$24,2,false),0)</f>
        <v>5</v>
      </c>
      <c r="K53" s="10">
        <f>IFERROR(vlookup('2.3'!J:J,lookup!$A$26:$B$28,2,false),0)</f>
        <v>5</v>
      </c>
      <c r="L53" s="1"/>
      <c r="M53" s="10">
        <v>52.0</v>
      </c>
      <c r="N53" s="11" t="str">
        <f t="shared" si="1"/>
        <v>bnco1052@signalschool.ac.th</v>
      </c>
      <c r="O53" s="12">
        <f t="shared" si="2"/>
        <v>1</v>
      </c>
      <c r="R53" s="6" t="s">
        <v>266</v>
      </c>
    </row>
    <row r="54">
      <c r="A54" s="8">
        <f>'2.3'!A:A</f>
        <v>46213.41128</v>
      </c>
      <c r="B54" s="1" t="str">
        <f>'2.3'!B:B</f>
        <v>bnco1051@signalschool.ac.th</v>
      </c>
      <c r="C54" s="1" t="str">
        <f>'2.3'!C:C</f>
        <v>พ.ต.ไมตรี บุญเหลื่อม</v>
      </c>
      <c r="D54" s="9">
        <v>1.0</v>
      </c>
      <c r="E54" s="10">
        <f>IFERROR(vlookup('2.3'!D:D,lookup!$A$2:$B$4,2,false),0)</f>
        <v>5</v>
      </c>
      <c r="F54" s="10">
        <f>IFERROR(vlookup('2.3'!E:E,lookup!$A$6:$B$8,2,false),0)</f>
        <v>5</v>
      </c>
      <c r="G54" s="10">
        <f>IFERROR(vlookup('2.3'!F:F,lookup!$A$10:$B$12,2,false),0)</f>
        <v>5</v>
      </c>
      <c r="H54" s="10">
        <f>IFERROR(vlookup('2.3'!G:G,lookup!$A$14:$B$16,2,false),0)</f>
        <v>5</v>
      </c>
      <c r="I54" s="10">
        <f>IFERROR(vlookup('2.3'!H:H,lookup!$A$18:$B$20,2,false),0)</f>
        <v>5</v>
      </c>
      <c r="J54" s="10">
        <f>IFERROR(vlookup('2.3'!I:I,lookup!$A$22:$B$24,2,false),0)</f>
        <v>5</v>
      </c>
      <c r="K54" s="10">
        <f>IFERROR(vlookup('2.3'!J:J,lookup!$A$26:$B$28,2,false),0)</f>
        <v>5</v>
      </c>
      <c r="L54" s="1"/>
      <c r="M54" s="10">
        <v>53.0</v>
      </c>
      <c r="N54" s="11" t="str">
        <f t="shared" si="1"/>
        <v>bnco1053@signalschool.ac.th</v>
      </c>
      <c r="O54" s="12">
        <f t="shared" si="2"/>
        <v>1</v>
      </c>
      <c r="R54" s="6" t="s">
        <v>267</v>
      </c>
    </row>
    <row r="55">
      <c r="A55" s="8">
        <f>'2.3'!A:A</f>
        <v>46213.41208</v>
      </c>
      <c r="B55" s="1" t="str">
        <f>'2.3'!B:B</f>
        <v>bnco1023@signalschool.ac.th</v>
      </c>
      <c r="C55" s="1" t="str">
        <f>'2.3'!C:C</f>
        <v>ส.อ.วีรภัทร ป้อมบุญมี</v>
      </c>
      <c r="D55" s="9">
        <v>1.0</v>
      </c>
      <c r="E55" s="10">
        <f>IFERROR(vlookup('2.3'!D:D,lookup!$A$2:$B$4,2,false),0)</f>
        <v>5</v>
      </c>
      <c r="F55" s="10">
        <f>IFERROR(vlookup('2.3'!E:E,lookup!$A$6:$B$8,2,false),0)</f>
        <v>5</v>
      </c>
      <c r="G55" s="10">
        <f>IFERROR(vlookup('2.3'!F:F,lookup!$A$10:$B$12,2,false),0)</f>
        <v>3</v>
      </c>
      <c r="H55" s="10">
        <f>IFERROR(vlookup('2.3'!G:G,lookup!$A$14:$B$16,2,false),0)</f>
        <v>5</v>
      </c>
      <c r="I55" s="10">
        <f>IFERROR(vlookup('2.3'!H:H,lookup!$A$18:$B$20,2,false),0)</f>
        <v>5</v>
      </c>
      <c r="J55" s="10">
        <f>IFERROR(vlookup('2.3'!I:I,lookup!$A$22:$B$24,2,false),0)</f>
        <v>5</v>
      </c>
      <c r="K55" s="10">
        <f>IFERROR(vlookup('2.3'!J:J,lookup!$A$26:$B$28,2,false),0)</f>
        <v>5</v>
      </c>
      <c r="L55" s="1"/>
      <c r="M55" s="10">
        <v>54.0</v>
      </c>
      <c r="N55" s="11" t="str">
        <f t="shared" si="1"/>
        <v>bnco1054@signalschool.ac.th</v>
      </c>
      <c r="O55" s="12">
        <f t="shared" si="2"/>
        <v>1</v>
      </c>
      <c r="R55" s="6" t="s">
        <v>268</v>
      </c>
    </row>
    <row r="56">
      <c r="A56" s="8">
        <f>'2.3'!A:A</f>
        <v>46213.4156</v>
      </c>
      <c r="B56" s="1" t="str">
        <f>'2.3'!B:B</f>
        <v>bnco1046@signalschool.ac.th</v>
      </c>
      <c r="C56" s="1" t="str">
        <f>'2.3'!C:C</f>
        <v>พ.ต. ไมตรี บุญเหลื่อม</v>
      </c>
      <c r="D56" s="9">
        <v>1.0</v>
      </c>
      <c r="E56" s="10">
        <f>IFERROR(vlookup('2.3'!D:D,lookup!$A$2:$B$4,2,false),0)</f>
        <v>5</v>
      </c>
      <c r="F56" s="10">
        <f>IFERROR(vlookup('2.3'!E:E,lookup!$A$6:$B$8,2,false),0)</f>
        <v>5</v>
      </c>
      <c r="G56" s="10">
        <f>IFERROR(vlookup('2.3'!F:F,lookup!$A$10:$B$12,2,false),0)</f>
        <v>5</v>
      </c>
      <c r="H56" s="10">
        <f>IFERROR(vlookup('2.3'!G:G,lookup!$A$14:$B$16,2,false),0)</f>
        <v>5</v>
      </c>
      <c r="I56" s="10">
        <f>IFERROR(vlookup('2.3'!H:H,lookup!$A$18:$B$20,2,false),0)</f>
        <v>5</v>
      </c>
      <c r="J56" s="10">
        <f>IFERROR(vlookup('2.3'!I:I,lookup!$A$22:$B$24,2,false),0)</f>
        <v>5</v>
      </c>
      <c r="K56" s="10">
        <f>IFERROR(vlookup('2.3'!J:J,lookup!$A$26:$B$28,2,false),0)</f>
        <v>5</v>
      </c>
      <c r="L56" s="13"/>
      <c r="M56" s="10">
        <v>55.0</v>
      </c>
      <c r="N56" s="11" t="str">
        <f t="shared" si="1"/>
        <v>bnco1055@signalschool.ac.th</v>
      </c>
      <c r="O56" s="12">
        <f t="shared" si="2"/>
        <v>1</v>
      </c>
      <c r="R56" s="6" t="s">
        <v>269</v>
      </c>
    </row>
    <row r="57">
      <c r="A57" s="8">
        <f>'2.3'!A:A</f>
        <v>46213.41901</v>
      </c>
      <c r="B57" s="1" t="str">
        <f>'2.3'!B:B</f>
        <v>bnco1076@signalschool.ac.th</v>
      </c>
      <c r="C57" s="1" t="str">
        <f>'2.3'!C:C</f>
        <v>พ.ต. ไมตรี  บุญเหลื่อม</v>
      </c>
      <c r="D57" s="9">
        <v>1.0</v>
      </c>
      <c r="E57" s="10">
        <f>IFERROR(vlookup('2.3'!D:D,lookup!$A$2:$B$4,2,false),0)</f>
        <v>5</v>
      </c>
      <c r="F57" s="10">
        <f>IFERROR(vlookup('2.3'!E:E,lookup!$A$6:$B$8,2,false),0)</f>
        <v>5</v>
      </c>
      <c r="G57" s="10">
        <f>IFERROR(vlookup('2.3'!F:F,lookup!$A$10:$B$12,2,false),0)</f>
        <v>5</v>
      </c>
      <c r="H57" s="10">
        <f>IFERROR(vlookup('2.3'!G:G,lookup!$A$14:$B$16,2,false),0)</f>
        <v>5</v>
      </c>
      <c r="I57" s="10">
        <f>IFERROR(vlookup('2.3'!H:H,lookup!$A$18:$B$20,2,false),0)</f>
        <v>5</v>
      </c>
      <c r="J57" s="10">
        <f>IFERROR(vlookup('2.3'!I:I,lookup!$A$22:$B$24,2,false),0)</f>
        <v>5</v>
      </c>
      <c r="K57" s="10">
        <f>IFERROR(vlookup('2.3'!J:J,lookup!$A$26:$B$28,2,false),0)</f>
        <v>5</v>
      </c>
      <c r="L57" s="13"/>
      <c r="M57" s="10">
        <v>56.0</v>
      </c>
      <c r="N57" s="11" t="str">
        <f t="shared" si="1"/>
        <v>bnco1056@signalschool.ac.th</v>
      </c>
      <c r="O57" s="12">
        <f t="shared" si="2"/>
        <v>1</v>
      </c>
      <c r="R57" s="6" t="s">
        <v>270</v>
      </c>
    </row>
    <row r="58">
      <c r="A58" s="8">
        <f>'2.3'!A:A</f>
        <v>46213.42049</v>
      </c>
      <c r="B58" s="1" t="str">
        <f>'2.3'!B:B</f>
        <v>bnco1031@signalschool.ac.th</v>
      </c>
      <c r="C58" s="1" t="str">
        <f>'2.3'!C:C</f>
        <v>พ.ต. ไมตรี  บุญเหลื่อม</v>
      </c>
      <c r="D58" s="9">
        <v>1.0</v>
      </c>
      <c r="E58" s="10">
        <f>IFERROR(vlookup('2.3'!D:D,lookup!$A$2:$B$4,2,false),0)</f>
        <v>5</v>
      </c>
      <c r="F58" s="10">
        <f>IFERROR(vlookup('2.3'!E:E,lookup!$A$6:$B$8,2,false),0)</f>
        <v>5</v>
      </c>
      <c r="G58" s="10">
        <f>IFERROR(vlookup('2.3'!F:F,lookup!$A$10:$B$12,2,false),0)</f>
        <v>5</v>
      </c>
      <c r="H58" s="10">
        <f>IFERROR(vlookup('2.3'!G:G,lookup!$A$14:$B$16,2,false),0)</f>
        <v>5</v>
      </c>
      <c r="I58" s="10">
        <f>IFERROR(vlookup('2.3'!H:H,lookup!$A$18:$B$20,2,false),0)</f>
        <v>5</v>
      </c>
      <c r="J58" s="10">
        <f>IFERROR(vlookup('2.3'!I:I,lookup!$A$22:$B$24,2,false),0)</f>
        <v>5</v>
      </c>
      <c r="K58" s="10">
        <f>IFERROR(vlookup('2.3'!J:J,lookup!$A$26:$B$28,2,false),0)</f>
        <v>5</v>
      </c>
      <c r="L58" s="13"/>
      <c r="M58" s="10">
        <v>57.0</v>
      </c>
      <c r="N58" s="11" t="str">
        <f t="shared" si="1"/>
        <v>bnco1057@signalschool.ac.th</v>
      </c>
      <c r="O58" s="12">
        <f t="shared" si="2"/>
        <v>1</v>
      </c>
      <c r="R58" s="6" t="s">
        <v>271</v>
      </c>
    </row>
    <row r="59">
      <c r="A59" s="8">
        <f>'2.3'!A:A</f>
        <v>46213.42587</v>
      </c>
      <c r="B59" s="1" t="str">
        <f>'2.3'!B:B</f>
        <v>bnco1054@signalschool.ac.th</v>
      </c>
      <c r="C59" s="1" t="str">
        <f>'2.3'!C:C</f>
        <v>พ.ต.ไมตรี บุญเหลื่อม</v>
      </c>
      <c r="D59" s="9">
        <v>1.0</v>
      </c>
      <c r="E59" s="10">
        <f>IFERROR(vlookup('2.3'!D:D,lookup!$A$2:$B$4,2,false),0)</f>
        <v>5</v>
      </c>
      <c r="F59" s="10">
        <f>IFERROR(vlookup('2.3'!E:E,lookup!$A$6:$B$8,2,false),0)</f>
        <v>5</v>
      </c>
      <c r="G59" s="10">
        <f>IFERROR(vlookup('2.3'!F:F,lookup!$A$10:$B$12,2,false),0)</f>
        <v>5</v>
      </c>
      <c r="H59" s="10">
        <f>IFERROR(vlookup('2.3'!G:G,lookup!$A$14:$B$16,2,false),0)</f>
        <v>5</v>
      </c>
      <c r="I59" s="10">
        <f>IFERROR(vlookup('2.3'!H:H,lookup!$A$18:$B$20,2,false),0)</f>
        <v>5</v>
      </c>
      <c r="J59" s="10">
        <f>IFERROR(vlookup('2.3'!I:I,lookup!$A$22:$B$24,2,false),0)</f>
        <v>5</v>
      </c>
      <c r="K59" s="10">
        <f>IFERROR(vlookup('2.3'!J:J,lookup!$A$26:$B$28,2,false),0)</f>
        <v>3</v>
      </c>
      <c r="L59" s="14"/>
      <c r="M59" s="10">
        <v>58.0</v>
      </c>
      <c r="N59" s="11" t="str">
        <f t="shared" si="1"/>
        <v>bnco1058@signalschool.ac.th</v>
      </c>
      <c r="O59" s="12">
        <f t="shared" si="2"/>
        <v>1</v>
      </c>
      <c r="R59" s="6" t="s">
        <v>272</v>
      </c>
    </row>
    <row r="60">
      <c r="A60" s="8">
        <f>'2.3'!A:A</f>
        <v>46213.42894</v>
      </c>
      <c r="B60" s="1" t="str">
        <f>'2.3'!B:B</f>
        <v>bnco1055@signalschool.ac.th</v>
      </c>
      <c r="C60" s="1" t="str">
        <f>'2.3'!C:C</f>
        <v>พ.ต.ไมตรี บุญเหลื่อม</v>
      </c>
      <c r="D60" s="9">
        <v>1.0</v>
      </c>
      <c r="E60" s="10">
        <f>IFERROR(vlookup('2.3'!D:D,lookup!$A$2:$B$4,2,false),0)</f>
        <v>5</v>
      </c>
      <c r="F60" s="10">
        <f>IFERROR(vlookup('2.3'!E:E,lookup!$A$6:$B$8,2,false),0)</f>
        <v>5</v>
      </c>
      <c r="G60" s="10">
        <f>IFERROR(vlookup('2.3'!F:F,lookup!$A$10:$B$12,2,false),0)</f>
        <v>5</v>
      </c>
      <c r="H60" s="10">
        <f>IFERROR(vlookup('2.3'!G:G,lookup!$A$14:$B$16,2,false),0)</f>
        <v>5</v>
      </c>
      <c r="I60" s="10">
        <f>IFERROR(vlookup('2.3'!H:H,lookup!$A$18:$B$20,2,false),0)</f>
        <v>5</v>
      </c>
      <c r="J60" s="10">
        <f>IFERROR(vlookup('2.3'!I:I,lookup!$A$22:$B$24,2,false),0)</f>
        <v>5</v>
      </c>
      <c r="K60" s="10">
        <f>IFERROR(vlookup('2.3'!J:J,lookup!$A$26:$B$28,2,false),0)</f>
        <v>5</v>
      </c>
      <c r="L60" s="10"/>
      <c r="M60" s="10">
        <v>59.0</v>
      </c>
      <c r="N60" s="11" t="str">
        <f t="shared" si="1"/>
        <v>bnco1059@signalschool.ac.th</v>
      </c>
      <c r="O60" s="12">
        <f t="shared" si="2"/>
        <v>1</v>
      </c>
      <c r="R60" s="6" t="s">
        <v>273</v>
      </c>
    </row>
    <row r="61">
      <c r="A61" s="8">
        <f>'2.3'!A:A</f>
        <v>46213.43032</v>
      </c>
      <c r="B61" s="1" t="str">
        <f>'2.3'!B:B</f>
        <v>bnco1030@signalschool.ac.th</v>
      </c>
      <c r="C61" s="1" t="str">
        <f>'2.3'!C:C</f>
        <v>พ.ต.ไมตรี บุญเหลื่อม</v>
      </c>
      <c r="D61" s="9">
        <v>1.0</v>
      </c>
      <c r="E61" s="10">
        <f>IFERROR(vlookup('2.3'!D:D,lookup!$A$2:$B$4,2,false),0)</f>
        <v>5</v>
      </c>
      <c r="F61" s="10">
        <f>IFERROR(vlookup('2.3'!E:E,lookup!$A$6:$B$8,2,false),0)</f>
        <v>5</v>
      </c>
      <c r="G61" s="10">
        <f>IFERROR(vlookup('2.3'!F:F,lookup!$A$10:$B$12,2,false),0)</f>
        <v>5</v>
      </c>
      <c r="H61" s="10">
        <f>IFERROR(vlookup('2.3'!G:G,lookup!$A$14:$B$16,2,false),0)</f>
        <v>5</v>
      </c>
      <c r="I61" s="10">
        <f>IFERROR(vlookup('2.3'!H:H,lookup!$A$18:$B$20,2,false),0)</f>
        <v>5</v>
      </c>
      <c r="J61" s="10">
        <f>IFERROR(vlookup('2.3'!I:I,lookup!$A$22:$B$24,2,false),0)</f>
        <v>5</v>
      </c>
      <c r="K61" s="10">
        <f>IFERROR(vlookup('2.3'!J:J,lookup!$A$26:$B$28,2,false),0)</f>
        <v>5</v>
      </c>
      <c r="M61" s="10">
        <v>60.0</v>
      </c>
      <c r="N61" s="11" t="str">
        <f t="shared" si="1"/>
        <v>bnco1060@signalschool.ac.th</v>
      </c>
      <c r="O61" s="12">
        <f t="shared" si="2"/>
        <v>1</v>
      </c>
      <c r="R61" s="6" t="s">
        <v>274</v>
      </c>
    </row>
    <row r="62">
      <c r="A62" s="8">
        <f>'2.3'!A:A</f>
        <v>46213.43095</v>
      </c>
      <c r="B62" s="1" t="str">
        <f>'2.3'!B:B</f>
        <v>bnco1010@signalschool.ac.th</v>
      </c>
      <c r="C62" s="1" t="str">
        <f>'2.3'!C:C</f>
        <v>พ.ต. ไมตรี  บุญเหลื่อม</v>
      </c>
      <c r="D62" s="9">
        <v>1.0</v>
      </c>
      <c r="E62" s="10">
        <f>IFERROR(vlookup('2.3'!D:D,lookup!$A$2:$B$4,2,false),0)</f>
        <v>5</v>
      </c>
      <c r="F62" s="10">
        <f>IFERROR(vlookup('2.3'!E:E,lookup!$A$6:$B$8,2,false),0)</f>
        <v>5</v>
      </c>
      <c r="G62" s="10">
        <f>IFERROR(vlookup('2.3'!F:F,lookup!$A$10:$B$12,2,false),0)</f>
        <v>5</v>
      </c>
      <c r="H62" s="10">
        <f>IFERROR(vlookup('2.3'!G:G,lookup!$A$14:$B$16,2,false),0)</f>
        <v>5</v>
      </c>
      <c r="I62" s="10">
        <f>IFERROR(vlookup('2.3'!H:H,lookup!$A$18:$B$20,2,false),0)</f>
        <v>5</v>
      </c>
      <c r="J62" s="10">
        <f>IFERROR(vlookup('2.3'!I:I,lookup!$A$22:$B$24,2,false),0)</f>
        <v>5</v>
      </c>
      <c r="K62" s="10">
        <f>IFERROR(vlookup('2.3'!J:J,lookup!$A$26:$B$28,2,false),0)</f>
        <v>5</v>
      </c>
      <c r="M62" s="10">
        <v>61.0</v>
      </c>
      <c r="N62" s="11" t="str">
        <f t="shared" si="1"/>
        <v>bnco1061@signalschool.ac.th</v>
      </c>
      <c r="O62" s="12">
        <f t="shared" si="2"/>
        <v>1</v>
      </c>
      <c r="R62" s="6" t="s">
        <v>275</v>
      </c>
    </row>
    <row r="63">
      <c r="A63" s="8">
        <f>'2.3'!A:A</f>
        <v>46213.45454</v>
      </c>
      <c r="B63" s="1" t="str">
        <f>'2.3'!B:B</f>
        <v>bnco1048@signalschool.ac.th</v>
      </c>
      <c r="C63" s="1" t="str">
        <f>'2.3'!C:C</f>
        <v>พ.ต. ไมตรี  บุญเหลื่อม</v>
      </c>
      <c r="D63" s="9">
        <v>1.0</v>
      </c>
      <c r="E63" s="10">
        <f>IFERROR(vlookup('2.3'!D:D,lookup!$A$2:$B$4,2,false),0)</f>
        <v>5</v>
      </c>
      <c r="F63" s="10">
        <f>IFERROR(vlookup('2.3'!E:E,lookup!$A$6:$B$8,2,false),0)</f>
        <v>5</v>
      </c>
      <c r="G63" s="10">
        <f>IFERROR(vlookup('2.3'!F:F,lookup!$A$10:$B$12,2,false),0)</f>
        <v>5</v>
      </c>
      <c r="H63" s="10">
        <f>IFERROR(vlookup('2.3'!G:G,lookup!$A$14:$B$16,2,false),0)</f>
        <v>5</v>
      </c>
      <c r="I63" s="10">
        <f>IFERROR(vlookup('2.3'!H:H,lookup!$A$18:$B$20,2,false),0)</f>
        <v>5</v>
      </c>
      <c r="J63" s="10">
        <f>IFERROR(vlookup('2.3'!I:I,lookup!$A$22:$B$24,2,false),0)</f>
        <v>5</v>
      </c>
      <c r="K63" s="10">
        <f>IFERROR(vlookup('2.3'!J:J,lookup!$A$26:$B$28,2,false),0)</f>
        <v>5</v>
      </c>
      <c r="M63" s="10">
        <v>62.0</v>
      </c>
      <c r="N63" s="11" t="str">
        <f t="shared" si="1"/>
        <v>bnco1062@signalschool.ac.th</v>
      </c>
      <c r="O63" s="12">
        <f t="shared" si="2"/>
        <v>1</v>
      </c>
      <c r="R63" s="6" t="s">
        <v>276</v>
      </c>
    </row>
    <row r="64">
      <c r="A64" s="8">
        <f>'2.3'!A:A</f>
        <v>46213.48824</v>
      </c>
      <c r="B64" s="1" t="str">
        <f>'2.3'!B:B</f>
        <v>bnco1014@signalschool.ac.th</v>
      </c>
      <c r="C64" s="1" t="str">
        <f>'2.3'!C:C</f>
        <v>ส.อ.พงษ์พิสิทธิ์ สุธาทัศน์</v>
      </c>
      <c r="D64" s="9">
        <v>1.0</v>
      </c>
      <c r="E64" s="10">
        <f>IFERROR(vlookup('2.3'!D:D,lookup!$A$2:$B$4,2,false),0)</f>
        <v>5</v>
      </c>
      <c r="F64" s="10">
        <f>IFERROR(vlookup('2.3'!E:E,lookup!$A$6:$B$8,2,false),0)</f>
        <v>5</v>
      </c>
      <c r="G64" s="10">
        <f>IFERROR(vlookup('2.3'!F:F,lookup!$A$10:$B$12,2,false),0)</f>
        <v>5</v>
      </c>
      <c r="H64" s="10">
        <f>IFERROR(vlookup('2.3'!G:G,lookup!$A$14:$B$16,2,false),0)</f>
        <v>5</v>
      </c>
      <c r="I64" s="10">
        <f>IFERROR(vlookup('2.3'!H:H,lookup!$A$18:$B$20,2,false),0)</f>
        <v>5</v>
      </c>
      <c r="J64" s="10">
        <f>IFERROR(vlookup('2.3'!I:I,lookup!$A$22:$B$24,2,false),0)</f>
        <v>5</v>
      </c>
      <c r="K64" s="10">
        <f>IFERROR(vlookup('2.3'!J:J,lookup!$A$26:$B$28,2,false),0)</f>
        <v>5</v>
      </c>
      <c r="M64" s="10">
        <v>63.0</v>
      </c>
      <c r="N64" s="11" t="str">
        <f t="shared" si="1"/>
        <v>bnco1063@signalschool.ac.th</v>
      </c>
      <c r="O64" s="12">
        <f t="shared" si="2"/>
        <v>1</v>
      </c>
      <c r="R64" s="6" t="s">
        <v>277</v>
      </c>
    </row>
    <row r="65">
      <c r="A65" s="8">
        <f>'2.3'!A:A</f>
        <v>46213.49936</v>
      </c>
      <c r="B65" s="1" t="str">
        <f>'2.3'!B:B</f>
        <v>bnco1020@signalschool.ac.th</v>
      </c>
      <c r="C65" s="1" t="str">
        <f>'2.3'!C:C</f>
        <v>พ.ต. ไมตรี  บุญเหลื่อม</v>
      </c>
      <c r="D65" s="9">
        <v>1.0</v>
      </c>
      <c r="E65" s="10">
        <f>IFERROR(vlookup('2.3'!D:D,lookup!$A$2:$B$4,2,false),0)</f>
        <v>5</v>
      </c>
      <c r="F65" s="10">
        <f>IFERROR(vlookup('2.3'!E:E,lookup!$A$6:$B$8,2,false),0)</f>
        <v>5</v>
      </c>
      <c r="G65" s="10">
        <f>IFERROR(vlookup('2.3'!F:F,lookup!$A$10:$B$12,2,false),0)</f>
        <v>5</v>
      </c>
      <c r="H65" s="10">
        <f>IFERROR(vlookup('2.3'!G:G,lookup!$A$14:$B$16,2,false),0)</f>
        <v>5</v>
      </c>
      <c r="I65" s="10">
        <f>IFERROR(vlookup('2.3'!H:H,lookup!$A$18:$B$20,2,false),0)</f>
        <v>5</v>
      </c>
      <c r="J65" s="10">
        <f>IFERROR(vlookup('2.3'!I:I,lookup!$A$22:$B$24,2,false),0)</f>
        <v>5</v>
      </c>
      <c r="K65" s="10">
        <f>IFERROR(vlookup('2.3'!J:J,lookup!$A$26:$B$28,2,false),0)</f>
        <v>5</v>
      </c>
      <c r="M65" s="10">
        <v>64.0</v>
      </c>
      <c r="N65" s="11" t="str">
        <f t="shared" si="1"/>
        <v>bnco1064@signalschool.ac.th</v>
      </c>
      <c r="O65" s="12">
        <f t="shared" si="2"/>
        <v>1</v>
      </c>
      <c r="R65" s="6" t="s">
        <v>278</v>
      </c>
    </row>
    <row r="66">
      <c r="A66" s="8">
        <f>'2.3'!A:A</f>
        <v>46213.5121</v>
      </c>
      <c r="B66" s="1" t="str">
        <f>'2.3'!B:B</f>
        <v>bnco1021@signalschool.ac.th</v>
      </c>
      <c r="C66" s="1" t="str">
        <f>'2.3'!C:C</f>
        <v>พ.ต. ไมตรี  บุญเหลื่อม</v>
      </c>
      <c r="D66" s="9">
        <v>1.0</v>
      </c>
      <c r="E66" s="10">
        <f>IFERROR(vlookup('2.3'!D:D,lookup!$A$2:$B$4,2,false),0)</f>
        <v>5</v>
      </c>
      <c r="F66" s="10">
        <f>IFERROR(vlookup('2.3'!E:E,lookup!$A$6:$B$8,2,false),0)</f>
        <v>5</v>
      </c>
      <c r="G66" s="10">
        <f>IFERROR(vlookup('2.3'!F:F,lookup!$A$10:$B$12,2,false),0)</f>
        <v>5</v>
      </c>
      <c r="H66" s="10">
        <f>IFERROR(vlookup('2.3'!G:G,lookup!$A$14:$B$16,2,false),0)</f>
        <v>5</v>
      </c>
      <c r="I66" s="10">
        <f>IFERROR(vlookup('2.3'!H:H,lookup!$A$18:$B$20,2,false),0)</f>
        <v>5</v>
      </c>
      <c r="J66" s="10">
        <f>IFERROR(vlookup('2.3'!I:I,lookup!$A$22:$B$24,2,false),0)</f>
        <v>5</v>
      </c>
      <c r="K66" s="10">
        <f>IFERROR(vlookup('2.3'!J:J,lookup!$A$26:$B$28,2,false),0)</f>
        <v>5</v>
      </c>
      <c r="M66" s="10">
        <v>65.0</v>
      </c>
      <c r="N66" s="11" t="str">
        <f t="shared" si="1"/>
        <v>bnco1065@signalschool.ac.th</v>
      </c>
      <c r="O66" s="12">
        <f t="shared" si="2"/>
        <v>0</v>
      </c>
      <c r="R66" s="6" t="s">
        <v>279</v>
      </c>
    </row>
    <row r="67">
      <c r="A67" s="8">
        <f>'2.3'!A:A</f>
        <v>46213.57747</v>
      </c>
      <c r="B67" s="1" t="str">
        <f>'2.3'!B:B</f>
        <v>bnco1070@signalschool.ac.th</v>
      </c>
      <c r="C67" s="1" t="str">
        <f>'2.3'!C:C</f>
        <v>ส.อ.รณกร กุนันท์</v>
      </c>
      <c r="D67" s="9">
        <v>1.0</v>
      </c>
      <c r="E67" s="10">
        <f>IFERROR(vlookup('2.3'!D:D,lookup!$A$2:$B$4,2,false),0)</f>
        <v>5</v>
      </c>
      <c r="F67" s="10">
        <f>IFERROR(vlookup('2.3'!E:E,lookup!$A$6:$B$8,2,false),0)</f>
        <v>5</v>
      </c>
      <c r="G67" s="10">
        <f>IFERROR(vlookup('2.3'!F:F,lookup!$A$10:$B$12,2,false),0)</f>
        <v>5</v>
      </c>
      <c r="H67" s="10">
        <f>IFERROR(vlookup('2.3'!G:G,lookup!$A$14:$B$16,2,false),0)</f>
        <v>5</v>
      </c>
      <c r="I67" s="10">
        <f>IFERROR(vlookup('2.3'!H:H,lookup!$A$18:$B$20,2,false),0)</f>
        <v>5</v>
      </c>
      <c r="J67" s="10">
        <f>IFERROR(vlookup('2.3'!I:I,lookup!$A$22:$B$24,2,false),0)</f>
        <v>3</v>
      </c>
      <c r="K67" s="10">
        <f>IFERROR(vlookup('2.3'!J:J,lookup!$A$26:$B$28,2,false),0)</f>
        <v>5</v>
      </c>
      <c r="M67" s="10">
        <v>66.0</v>
      </c>
      <c r="N67" s="11" t="str">
        <f t="shared" si="1"/>
        <v>bnco1066@signalschool.ac.th</v>
      </c>
      <c r="O67" s="12">
        <f t="shared" si="2"/>
        <v>1</v>
      </c>
      <c r="R67" s="6" t="s">
        <v>280</v>
      </c>
    </row>
    <row r="68">
      <c r="A68" s="8">
        <f>'2.3'!A:A</f>
        <v>46214.47585</v>
      </c>
      <c r="B68" s="1" t="str">
        <f>'2.3'!B:B</f>
        <v>bnco1034@signalschool.ac.th</v>
      </c>
      <c r="C68" s="1" t="str">
        <f>'2.3'!C:C</f>
        <v>ส.อ.ภัคณวัตร ฮวดประสิทธิ์ </v>
      </c>
      <c r="D68" s="9">
        <v>1.0</v>
      </c>
      <c r="E68" s="10">
        <f>IFERROR(vlookup('2.3'!D:D,lookup!$A$2:$B$4,2,false),0)</f>
        <v>5</v>
      </c>
      <c r="F68" s="10">
        <f>IFERROR(vlookup('2.3'!E:E,lookup!$A$6:$B$8,2,false),0)</f>
        <v>5</v>
      </c>
      <c r="G68" s="10">
        <f>IFERROR(vlookup('2.3'!F:F,lookup!$A$10:$B$12,2,false),0)</f>
        <v>5</v>
      </c>
      <c r="H68" s="10">
        <f>IFERROR(vlookup('2.3'!G:G,lookup!$A$14:$B$16,2,false),0)</f>
        <v>5</v>
      </c>
      <c r="I68" s="10">
        <f>IFERROR(vlookup('2.3'!H:H,lookup!$A$18:$B$20,2,false),0)</f>
        <v>5</v>
      </c>
      <c r="J68" s="10">
        <f>IFERROR(vlookup('2.3'!I:I,lookup!$A$22:$B$24,2,false),0)</f>
        <v>5</v>
      </c>
      <c r="K68" s="10">
        <f>IFERROR(vlookup('2.3'!J:J,lookup!$A$26:$B$28,2,false),0)</f>
        <v>5</v>
      </c>
      <c r="M68" s="10">
        <v>67.0</v>
      </c>
      <c r="N68" s="11" t="str">
        <f t="shared" si="1"/>
        <v>bnco1067@signalschool.ac.th</v>
      </c>
      <c r="O68" s="12">
        <f t="shared" si="2"/>
        <v>1</v>
      </c>
      <c r="R68" s="6" t="s">
        <v>281</v>
      </c>
    </row>
    <row r="69">
      <c r="A69" s="8">
        <f>'2.3'!A:A</f>
        <v>46262.43337</v>
      </c>
      <c r="B69" s="1" t="str">
        <f>'2.3'!B:B</f>
        <v>bnco1041@signalschool.ac.th</v>
      </c>
      <c r="C69" s="1" t="str">
        <f>'2.3'!C:C</f>
        <v>พ.ต.ไมตรี บุญเหลื่อม</v>
      </c>
      <c r="D69" s="9">
        <v>1.0</v>
      </c>
      <c r="E69" s="10">
        <f>IFERROR(vlookup('2.3'!D:D,lookup!$A$2:$B$4,2,false),0)</f>
        <v>5</v>
      </c>
      <c r="F69" s="10">
        <f>IFERROR(vlookup('2.3'!E:E,lookup!$A$6:$B$8,2,false),0)</f>
        <v>5</v>
      </c>
      <c r="G69" s="10">
        <f>IFERROR(vlookup('2.3'!F:F,lookup!$A$10:$B$12,2,false),0)</f>
        <v>5</v>
      </c>
      <c r="H69" s="10">
        <f>IFERROR(vlookup('2.3'!G:G,lookup!$A$14:$B$16,2,false),0)</f>
        <v>5</v>
      </c>
      <c r="I69" s="10">
        <f>IFERROR(vlookup('2.3'!H:H,lookup!$A$18:$B$20,2,false),0)</f>
        <v>5</v>
      </c>
      <c r="J69" s="10">
        <f>IFERROR(vlookup('2.3'!I:I,lookup!$A$22:$B$24,2,false),0)</f>
        <v>5</v>
      </c>
      <c r="K69" s="10">
        <f>IFERROR(vlookup('2.3'!J:J,lookup!$A$26:$B$28,2,false),0)</f>
        <v>5</v>
      </c>
      <c r="M69" s="10">
        <v>68.0</v>
      </c>
      <c r="N69" s="11" t="str">
        <f t="shared" si="1"/>
        <v>bnco1068@signalschool.ac.th</v>
      </c>
      <c r="O69" s="12">
        <f t="shared" si="2"/>
        <v>1</v>
      </c>
      <c r="R69" s="6" t="s">
        <v>282</v>
      </c>
    </row>
    <row r="70">
      <c r="A70" s="8">
        <f>'2.3'!A:A</f>
        <v>46262.48956</v>
      </c>
      <c r="B70" s="1" t="str">
        <f>'2.3'!B:B</f>
        <v>bnco1032@signalschool.ac.th</v>
      </c>
      <c r="C70" s="1" t="str">
        <f>'2.3'!C:C</f>
        <v>พ.ต.ไมตรี บุญเหลื่อม </v>
      </c>
      <c r="D70" s="9">
        <v>1.0</v>
      </c>
      <c r="E70" s="10">
        <f>IFERROR(vlookup('2.3'!D:D,lookup!$A$2:$B$4,2,false),0)</f>
        <v>5</v>
      </c>
      <c r="F70" s="10">
        <f>IFERROR(vlookup('2.3'!E:E,lookup!$A$6:$B$8,2,false),0)</f>
        <v>5</v>
      </c>
      <c r="G70" s="10">
        <f>IFERROR(vlookup('2.3'!F:F,lookup!$A$10:$B$12,2,false),0)</f>
        <v>5</v>
      </c>
      <c r="H70" s="10">
        <f>IFERROR(vlookup('2.3'!G:G,lookup!$A$14:$B$16,2,false),0)</f>
        <v>5</v>
      </c>
      <c r="I70" s="10">
        <f>IFERROR(vlookup('2.3'!H:H,lookup!$A$18:$B$20,2,false),0)</f>
        <v>5</v>
      </c>
      <c r="J70" s="10">
        <f>IFERROR(vlookup('2.3'!I:I,lookup!$A$22:$B$24,2,false),0)</f>
        <v>5</v>
      </c>
      <c r="K70" s="10">
        <f>IFERROR(vlookup('2.3'!J:J,lookup!$A$26:$B$28,2,false),0)</f>
        <v>5</v>
      </c>
      <c r="M70" s="10">
        <v>69.0</v>
      </c>
      <c r="N70" s="11" t="str">
        <f t="shared" si="1"/>
        <v>bnco1069@signalschool.ac.th</v>
      </c>
      <c r="O70" s="12">
        <f t="shared" si="2"/>
        <v>1</v>
      </c>
      <c r="R70" s="6" t="s">
        <v>283</v>
      </c>
    </row>
    <row r="71">
      <c r="A71" s="8">
        <f>'2.3'!A:A</f>
        <v>46262.60108</v>
      </c>
      <c r="B71" s="1" t="str">
        <f>'2.3'!B:B</f>
        <v>bnco1045@signalschool.ac.th</v>
      </c>
      <c r="C71" s="1" t="str">
        <f>'2.3'!C:C</f>
        <v>พ.ต.ไมตรี  บุญเหลื่ยม</v>
      </c>
      <c r="D71" s="9">
        <v>1.0</v>
      </c>
      <c r="E71" s="10">
        <f>IFERROR(vlookup('2.3'!D:D,lookup!$A$2:$B$4,2,false),0)</f>
        <v>5</v>
      </c>
      <c r="F71" s="10">
        <f>IFERROR(vlookup('2.3'!E:E,lookup!$A$6:$B$8,2,false),0)</f>
        <v>5</v>
      </c>
      <c r="G71" s="10">
        <f>IFERROR(vlookup('2.3'!F:F,lookup!$A$10:$B$12,2,false),0)</f>
        <v>5</v>
      </c>
      <c r="H71" s="10">
        <f>IFERROR(vlookup('2.3'!G:G,lookup!$A$14:$B$16,2,false),0)</f>
        <v>5</v>
      </c>
      <c r="I71" s="10">
        <f>IFERROR(vlookup('2.3'!H:H,lookup!$A$18:$B$20,2,false),0)</f>
        <v>5</v>
      </c>
      <c r="J71" s="10">
        <f>IFERROR(vlookup('2.3'!I:I,lookup!$A$22:$B$24,2,false),0)</f>
        <v>5</v>
      </c>
      <c r="K71" s="10">
        <f>IFERROR(vlookup('2.3'!J:J,lookup!$A$26:$B$28,2,false),0)</f>
        <v>5</v>
      </c>
      <c r="M71" s="10">
        <v>70.0</v>
      </c>
      <c r="N71" s="11" t="str">
        <f t="shared" si="1"/>
        <v>bnco1070@signalschool.ac.th</v>
      </c>
      <c r="O71" s="12">
        <f t="shared" si="2"/>
        <v>1</v>
      </c>
      <c r="R71" s="6" t="s">
        <v>284</v>
      </c>
    </row>
    <row r="72">
      <c r="A72" s="8">
        <f>'2.3'!A:A</f>
        <v>46264.88107</v>
      </c>
      <c r="B72" s="1" t="str">
        <f>'2.3'!B:B</f>
        <v>edu.rad@signalschool.ac.th</v>
      </c>
      <c r="C72" s="1" t="str">
        <f>'2.3'!C:C</f>
        <v>ครูอาจารย์ รร.ส.สส.</v>
      </c>
      <c r="D72" s="9">
        <v>1.0</v>
      </c>
      <c r="E72" s="10">
        <f>IFERROR(vlookup('2.3'!D:D,lookup!$A$2:$B$4,2,false),0)</f>
        <v>5</v>
      </c>
      <c r="F72" s="10">
        <f>IFERROR(vlookup('2.3'!E:E,lookup!$A$6:$B$8,2,false),0)</f>
        <v>5</v>
      </c>
      <c r="G72" s="10">
        <f>IFERROR(vlookup('2.3'!F:F,lookup!$A$10:$B$12,2,false),0)</f>
        <v>5</v>
      </c>
      <c r="H72" s="10">
        <f>IFERROR(vlookup('2.3'!G:G,lookup!$A$14:$B$16,2,false),0)</f>
        <v>5</v>
      </c>
      <c r="I72" s="10">
        <f>IFERROR(vlookup('2.3'!H:H,lookup!$A$18:$B$20,2,false),0)</f>
        <v>5</v>
      </c>
      <c r="J72" s="10">
        <f>IFERROR(vlookup('2.3'!I:I,lookup!$A$22:$B$24,2,false),0)</f>
        <v>5</v>
      </c>
      <c r="K72" s="10">
        <f>IFERROR(vlookup('2.3'!J:J,lookup!$A$26:$B$28,2,false),0)</f>
        <v>5</v>
      </c>
      <c r="M72" s="10">
        <v>71.0</v>
      </c>
      <c r="N72" s="11" t="str">
        <f t="shared" si="1"/>
        <v>bnco1071@signalschool.ac.th</v>
      </c>
      <c r="O72" s="12">
        <f t="shared" si="2"/>
        <v>1</v>
      </c>
      <c r="R72" s="6" t="s">
        <v>285</v>
      </c>
    </row>
    <row r="73">
      <c r="A73" s="8">
        <f>'2.3'!A:A</f>
        <v>46265.70761</v>
      </c>
      <c r="B73" s="1" t="str">
        <f>'2.3'!B:B</f>
        <v>bnco1078@signalschool.ac.th</v>
      </c>
      <c r="C73" s="1" t="str">
        <f>'2.3'!C:C</f>
        <v>พ.ต.ไมตรี บุญเหลื่อม</v>
      </c>
      <c r="D73" s="9">
        <v>1.0</v>
      </c>
      <c r="E73" s="10">
        <f>IFERROR(vlookup('2.3'!D:D,lookup!$A$2:$B$4,2,false),0)</f>
        <v>5</v>
      </c>
      <c r="F73" s="10">
        <f>IFERROR(vlookup('2.3'!E:E,lookup!$A$6:$B$8,2,false),0)</f>
        <v>5</v>
      </c>
      <c r="G73" s="10">
        <f>IFERROR(vlookup('2.3'!F:F,lookup!$A$10:$B$12,2,false),0)</f>
        <v>5</v>
      </c>
      <c r="H73" s="10">
        <f>IFERROR(vlookup('2.3'!G:G,lookup!$A$14:$B$16,2,false),0)</f>
        <v>5</v>
      </c>
      <c r="I73" s="10">
        <f>IFERROR(vlookup('2.3'!H:H,lookup!$A$18:$B$20,2,false),0)</f>
        <v>5</v>
      </c>
      <c r="J73" s="10">
        <f>IFERROR(vlookup('2.3'!I:I,lookup!$A$22:$B$24,2,false),0)</f>
        <v>5</v>
      </c>
      <c r="K73" s="10">
        <f>IFERROR(vlookup('2.3'!J:J,lookup!$A$26:$B$28,2,false),0)</f>
        <v>5</v>
      </c>
      <c r="M73" s="10">
        <v>72.0</v>
      </c>
      <c r="N73" s="11" t="str">
        <f t="shared" si="1"/>
        <v>bnco1072@signalschool.ac.th</v>
      </c>
      <c r="O73" s="12">
        <f t="shared" si="2"/>
        <v>1</v>
      </c>
      <c r="R73" s="6" t="s">
        <v>286</v>
      </c>
    </row>
    <row r="74">
      <c r="A74" s="8">
        <f>'2.3'!A:A</f>
        <v>46266.6846</v>
      </c>
      <c r="B74" s="1" t="str">
        <f>'2.3'!B:B</f>
        <v>bnco1053@signalschool.ac.th</v>
      </c>
      <c r="C74" s="1" t="str">
        <f>'2.3'!C:C</f>
        <v>พ.ต.ไมตรี บุญเหลื่อม</v>
      </c>
      <c r="D74" s="9">
        <v>1.0</v>
      </c>
      <c r="E74" s="10">
        <f>IFERROR(vlookup('2.3'!D:D,lookup!$A$2:$B$4,2,false),0)</f>
        <v>5</v>
      </c>
      <c r="F74" s="10">
        <f>IFERROR(vlookup('2.3'!E:E,lookup!$A$6:$B$8,2,false),0)</f>
        <v>5</v>
      </c>
      <c r="G74" s="10">
        <f>IFERROR(vlookup('2.3'!F:F,lookup!$A$10:$B$12,2,false),0)</f>
        <v>5</v>
      </c>
      <c r="H74" s="10">
        <f>IFERROR(vlookup('2.3'!G:G,lookup!$A$14:$B$16,2,false),0)</f>
        <v>5</v>
      </c>
      <c r="I74" s="10">
        <f>IFERROR(vlookup('2.3'!H:H,lookup!$A$18:$B$20,2,false),0)</f>
        <v>5</v>
      </c>
      <c r="J74" s="10">
        <f>IFERROR(vlookup('2.3'!I:I,lookup!$A$22:$B$24,2,false),0)</f>
        <v>5</v>
      </c>
      <c r="K74" s="10">
        <f>IFERROR(vlookup('2.3'!J:J,lookup!$A$26:$B$28,2,false),0)</f>
        <v>5</v>
      </c>
      <c r="M74" s="10">
        <v>73.0</v>
      </c>
      <c r="N74" s="11" t="str">
        <f t="shared" si="1"/>
        <v>bnco1073@signalschool.ac.th</v>
      </c>
      <c r="O74" s="12">
        <f t="shared" si="2"/>
        <v>1</v>
      </c>
      <c r="R74" s="6" t="s">
        <v>287</v>
      </c>
    </row>
    <row r="75">
      <c r="A75" s="8">
        <f>'2.3'!A:A</f>
        <v>46266.68933</v>
      </c>
      <c r="B75" s="1" t="str">
        <f>'2.3'!B:B</f>
        <v>bnco1047@signalschool.ac.th</v>
      </c>
      <c r="C75" s="1" t="str">
        <f>'2.3'!C:C</f>
        <v>พ.ต.ไมตรี บุญเหลื่อม</v>
      </c>
      <c r="D75" s="9">
        <v>1.0</v>
      </c>
      <c r="E75" s="10">
        <f>IFERROR(vlookup('2.3'!D:D,lookup!$A$2:$B$4,2,false),0)</f>
        <v>5</v>
      </c>
      <c r="F75" s="10">
        <f>IFERROR(vlookup('2.3'!E:E,lookup!$A$6:$B$8,2,false),0)</f>
        <v>5</v>
      </c>
      <c r="G75" s="10">
        <f>IFERROR(vlookup('2.3'!F:F,lookup!$A$10:$B$12,2,false),0)</f>
        <v>5</v>
      </c>
      <c r="H75" s="10">
        <f>IFERROR(vlookup('2.3'!G:G,lookup!$A$14:$B$16,2,false),0)</f>
        <v>5</v>
      </c>
      <c r="I75" s="10">
        <f>IFERROR(vlookup('2.3'!H:H,lookup!$A$18:$B$20,2,false),0)</f>
        <v>5</v>
      </c>
      <c r="J75" s="10">
        <f>IFERROR(vlookup('2.3'!I:I,lookup!$A$22:$B$24,2,false),0)</f>
        <v>5</v>
      </c>
      <c r="K75" s="10">
        <f>IFERROR(vlookup('2.3'!J:J,lookup!$A$26:$B$28,2,false),0)</f>
        <v>5</v>
      </c>
      <c r="M75" s="10">
        <v>74.0</v>
      </c>
      <c r="N75" s="11" t="str">
        <f t="shared" si="1"/>
        <v>bnco1074@signalschool.ac.th</v>
      </c>
      <c r="O75" s="12">
        <f t="shared" si="2"/>
        <v>1</v>
      </c>
      <c r="R75" s="6" t="s">
        <v>288</v>
      </c>
    </row>
    <row r="76">
      <c r="A76" s="8">
        <f>'2.3'!A:A</f>
        <v>46267.31184</v>
      </c>
      <c r="B76" s="1" t="str">
        <f>'2.3'!B:B</f>
        <v>bnco1016@signalschool.ac.th</v>
      </c>
      <c r="C76" s="1" t="str">
        <f>'2.3'!C:C</f>
        <v>พ.ต.ไมตรี บุญดหลื่อม</v>
      </c>
      <c r="D76" s="9">
        <v>1.0</v>
      </c>
      <c r="E76" s="10">
        <f>IFERROR(vlookup('2.3'!D:D,lookup!$A$2:$B$4,2,false),0)</f>
        <v>5</v>
      </c>
      <c r="F76" s="10">
        <f>IFERROR(vlookup('2.3'!E:E,lookup!$A$6:$B$8,2,false),0)</f>
        <v>5</v>
      </c>
      <c r="G76" s="10">
        <f>IFERROR(vlookup('2.3'!F:F,lookup!$A$10:$B$12,2,false),0)</f>
        <v>5</v>
      </c>
      <c r="H76" s="10">
        <f>IFERROR(vlookup('2.3'!G:G,lookup!$A$14:$B$16,2,false),0)</f>
        <v>5</v>
      </c>
      <c r="I76" s="10">
        <f>IFERROR(vlookup('2.3'!H:H,lookup!$A$18:$B$20,2,false),0)</f>
        <v>5</v>
      </c>
      <c r="J76" s="10">
        <f>IFERROR(vlookup('2.3'!I:I,lookup!$A$22:$B$24,2,false),0)</f>
        <v>5</v>
      </c>
      <c r="K76" s="10">
        <f>IFERROR(vlookup('2.3'!J:J,lookup!$A$26:$B$28,2,false),0)</f>
        <v>5</v>
      </c>
      <c r="M76" s="10">
        <v>75.0</v>
      </c>
      <c r="N76" s="11" t="str">
        <f t="shared" si="1"/>
        <v>bnco1075@signalschool.ac.th</v>
      </c>
      <c r="O76" s="12">
        <f t="shared" si="2"/>
        <v>0</v>
      </c>
      <c r="R76" s="6" t="s">
        <v>289</v>
      </c>
    </row>
    <row r="77">
      <c r="A77" s="8" t="str">
        <f>'2.3'!A:A</f>
        <v/>
      </c>
      <c r="B77" s="1" t="str">
        <f>'2.3'!B:B</f>
        <v/>
      </c>
      <c r="C77" s="1" t="str">
        <f>'2.3'!C:C</f>
        <v/>
      </c>
      <c r="D77" s="9">
        <v>1.0</v>
      </c>
      <c r="E77" s="10">
        <f>IFERROR(vlookup('2.3'!D:D,lookup!$A$2:$B$4,2,false),0)</f>
        <v>0</v>
      </c>
      <c r="F77" s="10">
        <f>IFERROR(vlookup('2.3'!E:E,lookup!$A$6:$B$8,2,false),0)</f>
        <v>0</v>
      </c>
      <c r="G77" s="10">
        <f>IFERROR(vlookup('2.3'!F:F,lookup!$A$10:$B$12,2,false),0)</f>
        <v>0</v>
      </c>
      <c r="H77" s="10">
        <f>IFERROR(vlookup('2.3'!G:G,lookup!$A$14:$B$16,2,false),0)</f>
        <v>0</v>
      </c>
      <c r="I77" s="10">
        <f>IFERROR(vlookup('2.3'!H:H,lookup!$A$18:$B$20,2,false),0)</f>
        <v>0</v>
      </c>
      <c r="J77" s="10">
        <f>IFERROR(vlookup('2.3'!I:I,lookup!$A$22:$B$24,2,false),0)</f>
        <v>0</v>
      </c>
      <c r="K77" s="10">
        <f>IFERROR(vlookup('2.3'!J:J,lookup!$A$26:$B$28,2,false),0)</f>
        <v>0</v>
      </c>
      <c r="M77" s="10">
        <v>76.0</v>
      </c>
      <c r="N77" s="11" t="str">
        <f t="shared" si="1"/>
        <v>bnco1076@signalschool.ac.th</v>
      </c>
      <c r="O77" s="12">
        <f t="shared" si="2"/>
        <v>1</v>
      </c>
      <c r="R77" s="6" t="s">
        <v>290</v>
      </c>
    </row>
    <row r="78">
      <c r="A78" s="8" t="str">
        <f>'2.3'!A:A</f>
        <v/>
      </c>
      <c r="B78" s="1" t="str">
        <f>'2.3'!B:B</f>
        <v/>
      </c>
      <c r="C78" s="1" t="str">
        <f>'2.3'!C:C</f>
        <v/>
      </c>
      <c r="D78" s="9">
        <v>1.0</v>
      </c>
      <c r="E78" s="10">
        <f>IFERROR(vlookup('2.3'!D:D,lookup!$A$2:$B$4,2,false),0)</f>
        <v>0</v>
      </c>
      <c r="F78" s="10">
        <f>IFERROR(vlookup('2.3'!E:E,lookup!$A$6:$B$8,2,false),0)</f>
        <v>0</v>
      </c>
      <c r="G78" s="10">
        <f>IFERROR(vlookup('2.3'!F:F,lookup!$A$10:$B$12,2,false),0)</f>
        <v>0</v>
      </c>
      <c r="H78" s="10">
        <f>IFERROR(vlookup('2.3'!G:G,lookup!$A$14:$B$16,2,false),0)</f>
        <v>0</v>
      </c>
      <c r="I78" s="10">
        <f>IFERROR(vlookup('2.3'!H:H,lookup!$A$18:$B$20,2,false),0)</f>
        <v>0</v>
      </c>
      <c r="J78" s="10">
        <f>IFERROR(vlookup('2.3'!I:I,lookup!$A$22:$B$24,2,false),0)</f>
        <v>0</v>
      </c>
      <c r="K78" s="10">
        <f>IFERROR(vlookup('2.3'!J:J,lookup!$A$26:$B$28,2,false),0)</f>
        <v>0</v>
      </c>
      <c r="M78" s="10">
        <v>77.0</v>
      </c>
      <c r="N78" s="11" t="str">
        <f t="shared" si="1"/>
        <v>bnco1077@signalschool.ac.th</v>
      </c>
      <c r="O78" s="12">
        <f t="shared" si="2"/>
        <v>0</v>
      </c>
      <c r="R78" s="6" t="s">
        <v>291</v>
      </c>
    </row>
    <row r="79">
      <c r="A79" s="8" t="str">
        <f>'2.3'!A:A</f>
        <v/>
      </c>
      <c r="B79" s="1" t="str">
        <f>'2.3'!B:B</f>
        <v/>
      </c>
      <c r="C79" s="1" t="str">
        <f>'2.3'!C:C</f>
        <v/>
      </c>
      <c r="D79" s="9">
        <v>1.0</v>
      </c>
      <c r="E79" s="10">
        <f>IFERROR(vlookup('2.3'!D:D,lookup!$A$2:$B$4,2,false),0)</f>
        <v>0</v>
      </c>
      <c r="F79" s="10">
        <f>IFERROR(vlookup('2.3'!E:E,lookup!$A$6:$B$8,2,false),0)</f>
        <v>0</v>
      </c>
      <c r="G79" s="10">
        <f>IFERROR(vlookup('2.3'!F:F,lookup!$A$10:$B$12,2,false),0)</f>
        <v>0</v>
      </c>
      <c r="H79" s="10">
        <f>IFERROR(vlookup('2.3'!G:G,lookup!$A$14:$B$16,2,false),0)</f>
        <v>0</v>
      </c>
      <c r="I79" s="10">
        <f>IFERROR(vlookup('2.3'!H:H,lookup!$A$18:$B$20,2,false),0)</f>
        <v>0</v>
      </c>
      <c r="J79" s="10">
        <f>IFERROR(vlookup('2.3'!I:I,lookup!$A$22:$B$24,2,false),0)</f>
        <v>0</v>
      </c>
      <c r="K79" s="10">
        <f>IFERROR(vlookup('2.3'!J:J,lookup!$A$26:$B$28,2,false),0)</f>
        <v>0</v>
      </c>
      <c r="M79" s="10">
        <v>78.0</v>
      </c>
      <c r="N79" s="11" t="str">
        <f t="shared" si="1"/>
        <v>bnco1078@signalschool.ac.th</v>
      </c>
      <c r="O79" s="12">
        <f t="shared" si="2"/>
        <v>1</v>
      </c>
      <c r="R79" s="6" t="s">
        <v>292</v>
      </c>
    </row>
    <row r="80">
      <c r="A80" s="8" t="str">
        <f>'2.3'!A:A</f>
        <v/>
      </c>
      <c r="B80" s="1" t="str">
        <f>'2.3'!B:B</f>
        <v/>
      </c>
      <c r="C80" s="1" t="str">
        <f>'2.3'!C:C</f>
        <v/>
      </c>
      <c r="D80" s="9">
        <v>1.0</v>
      </c>
      <c r="E80" s="10">
        <f>IFERROR(vlookup('2.3'!D:D,lookup!$A$2:$B$4,2,false),0)</f>
        <v>0</v>
      </c>
      <c r="F80" s="10">
        <f>IFERROR(vlookup('2.3'!E:E,lookup!$A$6:$B$8,2,false),0)</f>
        <v>0</v>
      </c>
      <c r="G80" s="10">
        <f>IFERROR(vlookup('2.3'!F:F,lookup!$A$10:$B$12,2,false),0)</f>
        <v>0</v>
      </c>
      <c r="H80" s="10">
        <f>IFERROR(vlookup('2.3'!G:G,lookup!$A$14:$B$16,2,false),0)</f>
        <v>0</v>
      </c>
      <c r="I80" s="10">
        <f>IFERROR(vlookup('2.3'!H:H,lookup!$A$18:$B$20,2,false),0)</f>
        <v>0</v>
      </c>
      <c r="J80" s="10">
        <f>IFERROR(vlookup('2.3'!I:I,lookup!$A$22:$B$24,2,false),0)</f>
        <v>0</v>
      </c>
      <c r="K80" s="10">
        <f>IFERROR(vlookup('2.3'!J:J,lookup!$A$26:$B$28,2,false),0)</f>
        <v>0</v>
      </c>
      <c r="M80" s="10">
        <v>79.0</v>
      </c>
      <c r="N80" s="11" t="str">
        <f t="shared" si="1"/>
        <v>bnco1079@signalschool.ac.th</v>
      </c>
      <c r="O80" s="12">
        <f t="shared" si="2"/>
        <v>1</v>
      </c>
      <c r="R80" s="6" t="s">
        <v>293</v>
      </c>
    </row>
    <row r="81">
      <c r="A81" s="8" t="str">
        <f>'2.3'!A:A</f>
        <v/>
      </c>
      <c r="B81" s="1" t="str">
        <f>'2.3'!B:B</f>
        <v/>
      </c>
      <c r="C81" s="1" t="str">
        <f>'2.3'!C:C</f>
        <v/>
      </c>
      <c r="D81" s="9">
        <v>1.0</v>
      </c>
      <c r="E81" s="10">
        <f>IFERROR(vlookup('2.3'!D:D,lookup!$A$2:$B$4,2,false),0)</f>
        <v>0</v>
      </c>
      <c r="F81" s="10">
        <f>IFERROR(vlookup('2.3'!E:E,lookup!$A$6:$B$8,2,false),0)</f>
        <v>0</v>
      </c>
      <c r="G81" s="10">
        <f>IFERROR(vlookup('2.3'!F:F,lookup!$A$10:$B$12,2,false),0)</f>
        <v>0</v>
      </c>
      <c r="H81" s="10">
        <f>IFERROR(vlookup('2.3'!G:G,lookup!$A$14:$B$16,2,false),0)</f>
        <v>0</v>
      </c>
      <c r="I81" s="10">
        <f>IFERROR(vlookup('2.3'!H:H,lookup!$A$18:$B$20,2,false),0)</f>
        <v>0</v>
      </c>
      <c r="J81" s="10">
        <f>IFERROR(vlookup('2.3'!I:I,lookup!$A$22:$B$24,2,false),0)</f>
        <v>0</v>
      </c>
      <c r="K81" s="10">
        <f>IFERROR(vlookup('2.3'!J:J,lookup!$A$26:$B$28,2,false),0)</f>
        <v>0</v>
      </c>
      <c r="M81" s="10">
        <v>80.0</v>
      </c>
      <c r="N81" s="11" t="str">
        <f t="shared" si="1"/>
        <v>bnco1080@signalschool.ac.th</v>
      </c>
      <c r="O81" s="12">
        <f t="shared" si="2"/>
        <v>1</v>
      </c>
      <c r="R81" s="6" t="s">
        <v>294</v>
      </c>
    </row>
    <row r="82">
      <c r="A82" s="8" t="str">
        <f>'2.3'!A:A</f>
        <v/>
      </c>
      <c r="B82" s="1" t="str">
        <f>'2.3'!B:B</f>
        <v/>
      </c>
      <c r="C82" s="1" t="str">
        <f>'2.3'!C:C</f>
        <v/>
      </c>
      <c r="D82" s="9"/>
      <c r="E82" s="15"/>
      <c r="F82" s="15"/>
      <c r="G82" s="15"/>
      <c r="H82" s="15"/>
      <c r="I82" s="15"/>
      <c r="J82" s="15"/>
      <c r="K82" s="15"/>
    </row>
    <row r="83">
      <c r="A83" s="8" t="str">
        <f>'2.3'!A:A</f>
        <v/>
      </c>
      <c r="B83" s="1" t="str">
        <f>'2.3'!B:B</f>
        <v/>
      </c>
      <c r="C83" s="1" t="str">
        <f>'2.3'!C:C</f>
        <v/>
      </c>
      <c r="D83" s="9"/>
      <c r="E83" s="15"/>
      <c r="F83" s="15"/>
      <c r="G83" s="15"/>
      <c r="H83" s="15"/>
      <c r="I83" s="15"/>
      <c r="J83" s="15"/>
      <c r="K83" s="15"/>
    </row>
    <row r="84">
      <c r="A84" s="8" t="str">
        <f>'2.3'!A:A</f>
        <v/>
      </c>
      <c r="B84" s="1" t="str">
        <f>'2.3'!B:B</f>
        <v/>
      </c>
      <c r="C84" s="1" t="str">
        <f>'2.3'!C:C</f>
        <v/>
      </c>
      <c r="D84" s="9"/>
      <c r="E84" s="15"/>
      <c r="F84" s="15"/>
      <c r="G84" s="15"/>
      <c r="H84" s="15"/>
      <c r="I84" s="15"/>
      <c r="J84" s="15"/>
      <c r="K84" s="15"/>
    </row>
    <row r="85">
      <c r="A85" s="8" t="str">
        <f>'2.3'!A:A</f>
        <v/>
      </c>
      <c r="B85" s="1" t="str">
        <f>'2.3'!B:B</f>
        <v/>
      </c>
      <c r="C85" s="1" t="str">
        <f>'2.3'!C:C</f>
        <v/>
      </c>
      <c r="D85" s="9"/>
      <c r="E85" s="15"/>
      <c r="F85" s="15"/>
      <c r="G85" s="15"/>
      <c r="H85" s="15"/>
      <c r="I85" s="15"/>
      <c r="J85" s="15"/>
      <c r="K85" s="15"/>
    </row>
    <row r="86">
      <c r="A86" s="8" t="str">
        <f>'2.3'!A:A</f>
        <v/>
      </c>
      <c r="B86" s="1" t="str">
        <f>'2.3'!B:B</f>
        <v/>
      </c>
      <c r="C86" s="1" t="str">
        <f>'2.3'!C:C</f>
        <v/>
      </c>
      <c r="D86" s="9"/>
      <c r="E86" s="15"/>
      <c r="F86" s="15"/>
      <c r="G86" s="15"/>
      <c r="H86" s="15"/>
      <c r="I86" s="15"/>
      <c r="J86" s="15"/>
      <c r="K86" s="15"/>
    </row>
    <row r="87">
      <c r="A87" s="8" t="str">
        <f>'2.3'!A:A</f>
        <v/>
      </c>
      <c r="B87" s="1" t="str">
        <f>'2.3'!B:B</f>
        <v/>
      </c>
      <c r="C87" s="1" t="str">
        <f>'2.3'!C:C</f>
        <v/>
      </c>
      <c r="D87" s="9"/>
      <c r="E87" s="15"/>
      <c r="F87" s="15"/>
      <c r="G87" s="15"/>
      <c r="H87" s="15"/>
      <c r="I87" s="15"/>
      <c r="J87" s="15"/>
      <c r="K87" s="15"/>
    </row>
    <row r="88">
      <c r="A88" s="8" t="str">
        <f>'2.3'!A:A</f>
        <v/>
      </c>
      <c r="B88" s="1" t="str">
        <f>'2.3'!B:B</f>
        <v/>
      </c>
      <c r="C88" s="1" t="str">
        <f>'2.3'!C:C</f>
        <v/>
      </c>
      <c r="D88" s="9"/>
      <c r="E88" s="15"/>
      <c r="F88" s="15"/>
      <c r="G88" s="15"/>
      <c r="H88" s="15"/>
      <c r="I88" s="15"/>
      <c r="J88" s="15"/>
      <c r="K88" s="15"/>
    </row>
    <row r="89">
      <c r="A89" s="8" t="str">
        <f>'2.3'!A:A</f>
        <v/>
      </c>
      <c r="B89" s="1" t="str">
        <f>'2.3'!B:B</f>
        <v/>
      </c>
      <c r="C89" s="1" t="str">
        <f>'2.3'!C:C</f>
        <v/>
      </c>
      <c r="D89" s="9"/>
      <c r="E89" s="15"/>
      <c r="F89" s="15"/>
      <c r="G89" s="15"/>
      <c r="H89" s="15"/>
      <c r="I89" s="15"/>
      <c r="J89" s="15"/>
      <c r="K89" s="15"/>
    </row>
    <row r="90">
      <c r="A90" s="8" t="str">
        <f>'2.3'!A:A</f>
        <v/>
      </c>
      <c r="B90" s="1" t="str">
        <f>'2.3'!B:B</f>
        <v/>
      </c>
      <c r="C90" s="1" t="str">
        <f>'2.3'!C:C</f>
        <v/>
      </c>
      <c r="D90" s="9"/>
      <c r="E90" s="15"/>
      <c r="F90" s="15"/>
      <c r="G90" s="15"/>
      <c r="H90" s="15"/>
      <c r="I90" s="15"/>
      <c r="J90" s="15"/>
      <c r="K90" s="15"/>
    </row>
    <row r="91">
      <c r="A91" s="8" t="str">
        <f>'2.3'!A:A</f>
        <v/>
      </c>
      <c r="B91" s="1" t="str">
        <f>'2.3'!B:B</f>
        <v/>
      </c>
      <c r="C91" s="1" t="str">
        <f>'2.3'!C:C</f>
        <v/>
      </c>
      <c r="D91" s="9"/>
      <c r="E91" s="15"/>
      <c r="F91" s="15"/>
      <c r="G91" s="15"/>
      <c r="H91" s="15"/>
      <c r="I91" s="15"/>
      <c r="J91" s="15"/>
      <c r="K91" s="15"/>
    </row>
    <row r="92">
      <c r="A92" s="8" t="str">
        <f>'2.3'!A:A</f>
        <v/>
      </c>
      <c r="B92" s="1" t="str">
        <f>'2.3'!B:B</f>
        <v/>
      </c>
      <c r="C92" s="1" t="str">
        <f>'2.3'!C:C</f>
        <v/>
      </c>
      <c r="D92" s="9"/>
      <c r="E92" s="15"/>
      <c r="F92" s="15"/>
      <c r="G92" s="15"/>
      <c r="H92" s="15"/>
      <c r="I92" s="15"/>
      <c r="J92" s="15"/>
      <c r="K92" s="15"/>
    </row>
    <row r="93">
      <c r="A93" s="8" t="str">
        <f>'2.3'!A:A</f>
        <v/>
      </c>
      <c r="B93" s="1" t="str">
        <f>'2.3'!B:B</f>
        <v/>
      </c>
      <c r="C93" s="1" t="str">
        <f>'2.3'!C:C</f>
        <v/>
      </c>
      <c r="D93" s="9"/>
      <c r="E93" s="15"/>
      <c r="F93" s="15"/>
      <c r="G93" s="15"/>
      <c r="H93" s="15"/>
      <c r="I93" s="15"/>
      <c r="J93" s="15"/>
      <c r="K93" s="15"/>
    </row>
    <row r="94">
      <c r="A94" s="8" t="str">
        <f>'2.3'!A:A</f>
        <v/>
      </c>
      <c r="B94" s="1" t="str">
        <f>'2.3'!B:B</f>
        <v/>
      </c>
      <c r="C94" s="1" t="str">
        <f>'2.3'!C:C</f>
        <v/>
      </c>
      <c r="D94" s="9"/>
      <c r="E94" s="15"/>
      <c r="F94" s="15"/>
      <c r="G94" s="15"/>
      <c r="H94" s="15"/>
      <c r="I94" s="15"/>
      <c r="J94" s="15"/>
      <c r="K94" s="15"/>
    </row>
    <row r="95">
      <c r="A95" s="8" t="str">
        <f>'2.3'!A:A</f>
        <v/>
      </c>
      <c r="B95" s="1" t="str">
        <f>'2.3'!B:B</f>
        <v/>
      </c>
      <c r="C95" s="1" t="str">
        <f>'2.3'!C:C</f>
        <v/>
      </c>
      <c r="D95" s="9"/>
      <c r="E95" s="15"/>
      <c r="F95" s="15"/>
      <c r="G95" s="15"/>
      <c r="H95" s="15"/>
      <c r="I95" s="15"/>
      <c r="J95" s="15"/>
      <c r="K95" s="15"/>
    </row>
    <row r="96">
      <c r="A96" s="8" t="str">
        <f>'2.3'!A:A</f>
        <v/>
      </c>
      <c r="B96" s="1" t="str">
        <f>'2.3'!B:B</f>
        <v/>
      </c>
      <c r="C96" s="1" t="str">
        <f>'2.3'!C:C</f>
        <v/>
      </c>
      <c r="D96" s="9"/>
      <c r="E96" s="15"/>
      <c r="F96" s="15"/>
      <c r="G96" s="15"/>
      <c r="H96" s="15"/>
      <c r="I96" s="15"/>
      <c r="J96" s="15"/>
      <c r="K96" s="15"/>
    </row>
    <row r="97">
      <c r="A97" s="8" t="str">
        <f>'2.3'!A:A</f>
        <v/>
      </c>
      <c r="B97" s="1" t="str">
        <f>'2.3'!B:B</f>
        <v/>
      </c>
      <c r="C97" s="1" t="str">
        <f>'2.3'!C:C</f>
        <v/>
      </c>
      <c r="D97" s="9"/>
      <c r="E97" s="15"/>
      <c r="F97" s="15"/>
      <c r="G97" s="15"/>
      <c r="H97" s="15"/>
      <c r="I97" s="15"/>
      <c r="J97" s="15"/>
      <c r="K97" s="15"/>
    </row>
    <row r="98">
      <c r="A98" s="8" t="str">
        <f>'2.3'!A:A</f>
        <v/>
      </c>
      <c r="B98" s="1" t="str">
        <f>'2.3'!B:B</f>
        <v/>
      </c>
      <c r="C98" s="1" t="str">
        <f>'2.3'!C:C</f>
        <v/>
      </c>
      <c r="D98" s="9"/>
      <c r="E98" s="15"/>
      <c r="F98" s="15"/>
      <c r="G98" s="15"/>
      <c r="H98" s="15"/>
      <c r="I98" s="15"/>
      <c r="J98" s="15"/>
      <c r="K98" s="15"/>
    </row>
    <row r="99">
      <c r="A99" s="8" t="str">
        <f>'2.3'!A:A</f>
        <v/>
      </c>
      <c r="B99" s="1" t="str">
        <f>'2.3'!B:B</f>
        <v/>
      </c>
      <c r="C99" s="1" t="str">
        <f>'2.3'!C:C</f>
        <v/>
      </c>
      <c r="D99" s="9"/>
      <c r="E99" s="15"/>
      <c r="F99" s="15"/>
      <c r="G99" s="15"/>
      <c r="H99" s="15"/>
      <c r="I99" s="15"/>
      <c r="J99" s="15"/>
      <c r="K99" s="15"/>
    </row>
    <row r="100">
      <c r="A100" s="8" t="str">
        <f>'2.3'!A:A</f>
        <v/>
      </c>
      <c r="B100" s="1" t="str">
        <f>'2.3'!B:B</f>
        <v/>
      </c>
      <c r="C100" s="1" t="str">
        <f>'2.3'!C:C</f>
        <v/>
      </c>
      <c r="D100" s="9"/>
      <c r="E100" s="15"/>
      <c r="F100" s="15"/>
      <c r="G100" s="15"/>
      <c r="H100" s="15"/>
      <c r="I100" s="15"/>
      <c r="J100" s="15"/>
      <c r="K100" s="15"/>
    </row>
    <row r="101">
      <c r="A101" s="8" t="str">
        <f>'2.3'!A:A</f>
        <v/>
      </c>
      <c r="B101" s="1" t="str">
        <f>'2.3'!B:B</f>
        <v/>
      </c>
      <c r="C101" s="1" t="str">
        <f>'2.3'!C:C</f>
        <v/>
      </c>
      <c r="D101" s="9"/>
      <c r="E101" s="15"/>
      <c r="F101" s="15"/>
      <c r="G101" s="15"/>
      <c r="H101" s="15"/>
      <c r="I101" s="15"/>
      <c r="J101" s="15"/>
      <c r="K101" s="15"/>
      <c r="N101" s="1" t="s">
        <v>295</v>
      </c>
      <c r="O101" s="12">
        <f>SUM(O2:O81)</f>
        <v>72</v>
      </c>
    </row>
    <row r="102">
      <c r="C102" s="1"/>
      <c r="E102" s="14">
        <f t="shared" ref="E102:K102" si="3">AVERAGE(E2:E81)</f>
        <v>4.6875</v>
      </c>
      <c r="F102" s="14">
        <f t="shared" si="3"/>
        <v>4.6625</v>
      </c>
      <c r="G102" s="14">
        <f t="shared" si="3"/>
        <v>4.6375</v>
      </c>
      <c r="H102" s="14">
        <f t="shared" si="3"/>
        <v>4.6875</v>
      </c>
      <c r="I102" s="14">
        <f t="shared" si="3"/>
        <v>4.6375</v>
      </c>
      <c r="J102" s="14">
        <f t="shared" si="3"/>
        <v>4.5625</v>
      </c>
      <c r="K102" s="14">
        <f t="shared" si="3"/>
        <v>4.5875</v>
      </c>
      <c r="L102" s="16">
        <f>AVERAGE(E102:K102)</f>
        <v>4.6375</v>
      </c>
      <c r="N102" s="1" t="s">
        <v>296</v>
      </c>
      <c r="O102" s="12">
        <f>(O101*100)/80</f>
        <v>90</v>
      </c>
    </row>
    <row r="103">
      <c r="A103" s="8"/>
      <c r="C103" s="1"/>
    </row>
    <row r="104">
      <c r="A104" s="8"/>
      <c r="C104" s="1"/>
    </row>
    <row r="105">
      <c r="A105" s="8"/>
      <c r="C105" s="1"/>
    </row>
    <row r="106">
      <c r="A106" s="8"/>
      <c r="C106" s="1"/>
    </row>
    <row r="107">
      <c r="A107" s="8"/>
      <c r="C107" s="1"/>
    </row>
    <row r="108">
      <c r="A108" s="8"/>
      <c r="C108" s="1"/>
    </row>
    <row r="109">
      <c r="A109" s="8"/>
      <c r="C109" s="1"/>
    </row>
    <row r="110">
      <c r="A110" s="8"/>
      <c r="C110" s="1"/>
    </row>
    <row r="111">
      <c r="A111" s="8"/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</sheetData>
  <mergeCells count="1">
    <mergeCell ref="M1:O1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5">
        <v>46213.3939628588</v>
      </c>
      <c r="B2" s="6" t="s">
        <v>46</v>
      </c>
      <c r="C2" s="6" t="s">
        <v>459</v>
      </c>
      <c r="D2" s="6" t="s">
        <v>13</v>
      </c>
      <c r="E2" s="6" t="s">
        <v>14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</row>
    <row r="3">
      <c r="A3" s="5">
        <v>46213.39400238426</v>
      </c>
      <c r="B3" s="6" t="s">
        <v>51</v>
      </c>
      <c r="C3" s="6" t="s">
        <v>459</v>
      </c>
      <c r="D3" s="6" t="s">
        <v>13</v>
      </c>
      <c r="E3" s="6" t="s">
        <v>14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</row>
    <row r="4">
      <c r="A4" s="5">
        <v>46213.394064155094</v>
      </c>
      <c r="B4" s="6" t="s">
        <v>133</v>
      </c>
      <c r="C4" s="6" t="s">
        <v>459</v>
      </c>
      <c r="D4" s="6" t="s">
        <v>13</v>
      </c>
      <c r="E4" s="6" t="s">
        <v>14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</row>
    <row r="5">
      <c r="A5" s="5">
        <v>46213.39446138889</v>
      </c>
      <c r="B5" s="6" t="s">
        <v>49</v>
      </c>
      <c r="C5" s="6" t="s">
        <v>462</v>
      </c>
      <c r="D5" s="6" t="s">
        <v>13</v>
      </c>
      <c r="E5" s="6" t="s">
        <v>14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  <c r="K5" s="6" t="s">
        <v>460</v>
      </c>
    </row>
    <row r="6">
      <c r="A6" s="5">
        <v>46213.394499305556</v>
      </c>
      <c r="B6" s="6" t="s">
        <v>25</v>
      </c>
      <c r="C6" s="6" t="s">
        <v>462</v>
      </c>
      <c r="D6" s="6" t="s">
        <v>13</v>
      </c>
      <c r="E6" s="6" t="s">
        <v>14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20</v>
      </c>
      <c r="K6" s="6" t="s">
        <v>463</v>
      </c>
    </row>
    <row r="7">
      <c r="A7" s="5">
        <v>46213.39453467593</v>
      </c>
      <c r="B7" s="6" t="s">
        <v>11</v>
      </c>
      <c r="C7" s="6" t="s">
        <v>31</v>
      </c>
      <c r="D7" s="6" t="s">
        <v>13</v>
      </c>
      <c r="E7" s="6" t="s">
        <v>14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</row>
    <row r="8">
      <c r="A8" s="5">
        <v>46213.39471393518</v>
      </c>
      <c r="B8" s="6" t="s">
        <v>140</v>
      </c>
      <c r="C8" s="6" t="s">
        <v>459</v>
      </c>
      <c r="D8" s="6" t="s">
        <v>13</v>
      </c>
      <c r="E8" s="6" t="s">
        <v>14</v>
      </c>
      <c r="F8" s="6" t="s">
        <v>16</v>
      </c>
      <c r="G8" s="6" t="s">
        <v>17</v>
      </c>
      <c r="H8" s="6" t="s">
        <v>18</v>
      </c>
      <c r="I8" s="6" t="s">
        <v>19</v>
      </c>
      <c r="J8" s="6" t="s">
        <v>20</v>
      </c>
    </row>
    <row r="9">
      <c r="A9" s="5">
        <v>46213.39471949074</v>
      </c>
      <c r="B9" s="6" t="s">
        <v>136</v>
      </c>
      <c r="C9" s="6" t="s">
        <v>459</v>
      </c>
      <c r="D9" s="6" t="s">
        <v>13</v>
      </c>
      <c r="E9" s="6" t="s">
        <v>14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>
      <c r="A10" s="5">
        <v>46213.39476401621</v>
      </c>
      <c r="B10" s="6" t="s">
        <v>78</v>
      </c>
      <c r="C10" s="6" t="s">
        <v>459</v>
      </c>
      <c r="D10" s="6" t="s">
        <v>13</v>
      </c>
      <c r="E10" s="6" t="s">
        <v>14</v>
      </c>
      <c r="F10" s="6" t="s">
        <v>16</v>
      </c>
      <c r="G10" s="6" t="s">
        <v>17</v>
      </c>
      <c r="H10" s="6" t="s">
        <v>18</v>
      </c>
      <c r="I10" s="6" t="s">
        <v>19</v>
      </c>
      <c r="J10" s="6" t="s">
        <v>20</v>
      </c>
    </row>
    <row r="11">
      <c r="A11" s="5">
        <v>46213.39484255787</v>
      </c>
      <c r="B11" s="6" t="s">
        <v>113</v>
      </c>
      <c r="C11" s="6" t="s">
        <v>466</v>
      </c>
      <c r="D11" s="6" t="s">
        <v>13</v>
      </c>
      <c r="E11" s="6" t="s">
        <v>14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20</v>
      </c>
    </row>
    <row r="12">
      <c r="A12" s="5">
        <v>46213.394870578704</v>
      </c>
      <c r="B12" s="6" t="s">
        <v>469</v>
      </c>
      <c r="C12" s="6" t="s">
        <v>31</v>
      </c>
      <c r="D12" s="6" t="s">
        <v>13</v>
      </c>
      <c r="E12" s="6" t="s">
        <v>14</v>
      </c>
      <c r="F12" s="6" t="s">
        <v>16</v>
      </c>
      <c r="G12" s="6" t="s">
        <v>17</v>
      </c>
      <c r="H12" s="6" t="s">
        <v>18</v>
      </c>
      <c r="I12" s="6" t="s">
        <v>55</v>
      </c>
      <c r="J12" s="6" t="s">
        <v>56</v>
      </c>
    </row>
    <row r="13">
      <c r="A13" s="5">
        <v>46213.394890497686</v>
      </c>
      <c r="B13" s="6" t="s">
        <v>138</v>
      </c>
      <c r="C13" s="6" t="s">
        <v>459</v>
      </c>
      <c r="D13" s="6" t="s">
        <v>13</v>
      </c>
      <c r="E13" s="6" t="s">
        <v>14</v>
      </c>
      <c r="F13" s="6" t="s">
        <v>16</v>
      </c>
      <c r="G13" s="6" t="s">
        <v>17</v>
      </c>
      <c r="H13" s="6" t="s">
        <v>18</v>
      </c>
      <c r="I13" s="6" t="s">
        <v>55</v>
      </c>
      <c r="J13" s="6" t="s">
        <v>56</v>
      </c>
      <c r="K13" s="6" t="s">
        <v>484</v>
      </c>
    </row>
    <row r="14">
      <c r="A14" s="5">
        <v>46213.395088969904</v>
      </c>
      <c r="B14" s="6" t="s">
        <v>79</v>
      </c>
      <c r="C14" s="6" t="s">
        <v>31</v>
      </c>
      <c r="D14" s="6" t="s">
        <v>13</v>
      </c>
      <c r="E14" s="6" t="s">
        <v>14</v>
      </c>
      <c r="F14" s="6" t="s">
        <v>16</v>
      </c>
      <c r="G14" s="6" t="s">
        <v>17</v>
      </c>
      <c r="H14" s="6" t="s">
        <v>18</v>
      </c>
      <c r="I14" s="6" t="s">
        <v>19</v>
      </c>
      <c r="J14" s="6" t="s">
        <v>20</v>
      </c>
    </row>
    <row r="15">
      <c r="A15" s="5">
        <v>46213.39511534722</v>
      </c>
      <c r="B15" s="6" t="s">
        <v>111</v>
      </c>
      <c r="C15" s="6" t="s">
        <v>468</v>
      </c>
      <c r="D15" s="6" t="s">
        <v>13</v>
      </c>
      <c r="E15" s="6" t="s">
        <v>14</v>
      </c>
      <c r="F15" s="6" t="s">
        <v>16</v>
      </c>
      <c r="G15" s="6" t="s">
        <v>17</v>
      </c>
      <c r="H15" s="6" t="s">
        <v>18</v>
      </c>
      <c r="I15" s="6" t="s">
        <v>19</v>
      </c>
      <c r="J15" s="6" t="s">
        <v>20</v>
      </c>
    </row>
    <row r="16">
      <c r="A16" s="5">
        <v>46213.39525377315</v>
      </c>
      <c r="B16" s="6" t="s">
        <v>116</v>
      </c>
      <c r="C16" s="6" t="s">
        <v>466</v>
      </c>
      <c r="D16" s="6" t="s">
        <v>13</v>
      </c>
      <c r="E16" s="6" t="s">
        <v>14</v>
      </c>
      <c r="F16" s="6" t="s">
        <v>16</v>
      </c>
      <c r="G16" s="6" t="s">
        <v>17</v>
      </c>
      <c r="H16" s="6" t="s">
        <v>18</v>
      </c>
      <c r="I16" s="6" t="s">
        <v>19</v>
      </c>
      <c r="J16" s="6" t="s">
        <v>20</v>
      </c>
      <c r="K16" s="6" t="s">
        <v>526</v>
      </c>
    </row>
    <row r="17">
      <c r="A17" s="5">
        <v>46213.39538836805</v>
      </c>
      <c r="B17" s="6" t="s">
        <v>57</v>
      </c>
      <c r="C17" s="6" t="s">
        <v>459</v>
      </c>
      <c r="D17" s="6" t="s">
        <v>13</v>
      </c>
      <c r="E17" s="6" t="s">
        <v>14</v>
      </c>
      <c r="F17" s="6" t="s">
        <v>16</v>
      </c>
      <c r="G17" s="6" t="s">
        <v>17</v>
      </c>
      <c r="H17" s="6" t="s">
        <v>18</v>
      </c>
      <c r="I17" s="6" t="s">
        <v>19</v>
      </c>
      <c r="J17" s="6" t="s">
        <v>20</v>
      </c>
    </row>
    <row r="18">
      <c r="A18" s="5">
        <v>46213.395468414354</v>
      </c>
      <c r="B18" s="6" t="s">
        <v>60</v>
      </c>
      <c r="C18" s="6" t="s">
        <v>459</v>
      </c>
      <c r="D18" s="6" t="s">
        <v>13</v>
      </c>
      <c r="E18" s="6" t="s">
        <v>14</v>
      </c>
      <c r="F18" s="6" t="s">
        <v>16</v>
      </c>
      <c r="G18" s="6" t="s">
        <v>17</v>
      </c>
      <c r="H18" s="6" t="s">
        <v>18</v>
      </c>
      <c r="I18" s="6" t="s">
        <v>19</v>
      </c>
      <c r="J18" s="6" t="s">
        <v>20</v>
      </c>
    </row>
    <row r="19">
      <c r="A19" s="5">
        <v>46213.39559836806</v>
      </c>
      <c r="B19" s="6" t="s">
        <v>464</v>
      </c>
      <c r="C19" s="6" t="s">
        <v>459</v>
      </c>
      <c r="D19" s="6" t="s">
        <v>13</v>
      </c>
      <c r="E19" s="6" t="s">
        <v>14</v>
      </c>
      <c r="F19" s="6" t="s">
        <v>16</v>
      </c>
      <c r="G19" s="6" t="s">
        <v>17</v>
      </c>
      <c r="H19" s="6" t="s">
        <v>18</v>
      </c>
      <c r="I19" s="6" t="s">
        <v>19</v>
      </c>
      <c r="J19" s="6" t="s">
        <v>20</v>
      </c>
      <c r="K19" s="6" t="s">
        <v>527</v>
      </c>
    </row>
    <row r="20">
      <c r="A20" s="5">
        <v>46213.395614803245</v>
      </c>
      <c r="B20" s="6" t="s">
        <v>118</v>
      </c>
      <c r="C20" s="6" t="s">
        <v>514</v>
      </c>
      <c r="D20" s="6" t="s">
        <v>13</v>
      </c>
      <c r="E20" s="6" t="s">
        <v>14</v>
      </c>
      <c r="F20" s="6" t="s">
        <v>16</v>
      </c>
      <c r="G20" s="6" t="s">
        <v>17</v>
      </c>
      <c r="H20" s="6" t="s">
        <v>18</v>
      </c>
      <c r="I20" s="6" t="s">
        <v>19</v>
      </c>
      <c r="J20" s="6" t="s">
        <v>20</v>
      </c>
    </row>
    <row r="21">
      <c r="A21" s="5">
        <v>46213.39563615741</v>
      </c>
      <c r="B21" s="6" t="s">
        <v>74</v>
      </c>
      <c r="C21" s="6" t="s">
        <v>374</v>
      </c>
      <c r="D21" s="6" t="s">
        <v>13</v>
      </c>
      <c r="E21" s="6" t="s">
        <v>14</v>
      </c>
      <c r="F21" s="6" t="s">
        <v>16</v>
      </c>
      <c r="G21" s="6" t="s">
        <v>17</v>
      </c>
      <c r="H21" s="6" t="s">
        <v>18</v>
      </c>
      <c r="I21" s="6" t="s">
        <v>19</v>
      </c>
      <c r="J21" s="6" t="s">
        <v>20</v>
      </c>
    </row>
    <row r="22">
      <c r="A22" s="5">
        <v>46213.39574760417</v>
      </c>
      <c r="B22" s="6" t="s">
        <v>21</v>
      </c>
      <c r="C22" s="6" t="s">
        <v>459</v>
      </c>
      <c r="D22" s="6" t="s">
        <v>13</v>
      </c>
      <c r="E22" s="6" t="s">
        <v>14</v>
      </c>
      <c r="F22" s="6" t="s">
        <v>16</v>
      </c>
      <c r="G22" s="6" t="s">
        <v>17</v>
      </c>
      <c r="H22" s="6" t="s">
        <v>18</v>
      </c>
      <c r="I22" s="6" t="s">
        <v>55</v>
      </c>
      <c r="J22" s="6" t="s">
        <v>56</v>
      </c>
    </row>
    <row r="23">
      <c r="A23" s="5">
        <v>46213.39591859953</v>
      </c>
      <c r="B23" s="6" t="s">
        <v>24</v>
      </c>
      <c r="C23" s="6" t="s">
        <v>459</v>
      </c>
      <c r="D23" s="6" t="s">
        <v>13</v>
      </c>
      <c r="E23" s="6" t="s">
        <v>14</v>
      </c>
      <c r="F23" s="6" t="s">
        <v>16</v>
      </c>
      <c r="G23" s="6" t="s">
        <v>17</v>
      </c>
      <c r="H23" s="6" t="s">
        <v>18</v>
      </c>
      <c r="I23" s="6" t="s">
        <v>19</v>
      </c>
      <c r="J23" s="6" t="s">
        <v>20</v>
      </c>
    </row>
    <row r="24">
      <c r="A24" s="5">
        <v>46213.39599715278</v>
      </c>
      <c r="B24" s="6" t="s">
        <v>69</v>
      </c>
      <c r="C24" s="6" t="s">
        <v>459</v>
      </c>
      <c r="D24" s="6" t="s">
        <v>13</v>
      </c>
      <c r="E24" s="6" t="s">
        <v>14</v>
      </c>
      <c r="F24" s="6" t="s">
        <v>16</v>
      </c>
      <c r="G24" s="6" t="s">
        <v>17</v>
      </c>
      <c r="H24" s="6" t="s">
        <v>18</v>
      </c>
      <c r="I24" s="6" t="s">
        <v>19</v>
      </c>
      <c r="J24" s="6" t="s">
        <v>20</v>
      </c>
    </row>
    <row r="25">
      <c r="A25" s="5">
        <v>46213.39667847222</v>
      </c>
      <c r="B25" s="6" t="s">
        <v>85</v>
      </c>
      <c r="C25" s="6" t="s">
        <v>459</v>
      </c>
      <c r="D25" s="6" t="s">
        <v>13</v>
      </c>
      <c r="E25" s="6" t="s">
        <v>14</v>
      </c>
      <c r="F25" s="6" t="s">
        <v>16</v>
      </c>
      <c r="G25" s="6" t="s">
        <v>17</v>
      </c>
      <c r="H25" s="6" t="s">
        <v>18</v>
      </c>
      <c r="I25" s="6" t="s">
        <v>19</v>
      </c>
      <c r="J25" s="6" t="s">
        <v>20</v>
      </c>
      <c r="K25" s="6" t="s">
        <v>459</v>
      </c>
    </row>
    <row r="26">
      <c r="A26" s="5">
        <v>46213.39699212963</v>
      </c>
      <c r="B26" s="6" t="s">
        <v>100</v>
      </c>
      <c r="C26" s="6" t="s">
        <v>466</v>
      </c>
      <c r="D26" s="6" t="s">
        <v>13</v>
      </c>
      <c r="E26" s="6" t="s">
        <v>14</v>
      </c>
      <c r="F26" s="6" t="s">
        <v>16</v>
      </c>
      <c r="G26" s="6" t="s">
        <v>17</v>
      </c>
      <c r="H26" s="6" t="s">
        <v>18</v>
      </c>
      <c r="I26" s="6" t="s">
        <v>19</v>
      </c>
      <c r="J26" s="6" t="s">
        <v>20</v>
      </c>
      <c r="K26" s="6" t="s">
        <v>528</v>
      </c>
    </row>
    <row r="27">
      <c r="A27" s="5">
        <v>46213.397012685185</v>
      </c>
      <c r="B27" s="6" t="s">
        <v>210</v>
      </c>
      <c r="C27" s="6" t="s">
        <v>462</v>
      </c>
      <c r="D27" s="6" t="s">
        <v>13</v>
      </c>
      <c r="E27" s="6" t="s">
        <v>14</v>
      </c>
      <c r="F27" s="6" t="s">
        <v>16</v>
      </c>
      <c r="G27" s="6" t="s">
        <v>17</v>
      </c>
      <c r="H27" s="6" t="s">
        <v>18</v>
      </c>
      <c r="I27" s="6" t="s">
        <v>19</v>
      </c>
      <c r="J27" s="6" t="s">
        <v>20</v>
      </c>
      <c r="K27" s="6" t="s">
        <v>529</v>
      </c>
    </row>
    <row r="28">
      <c r="A28" s="5">
        <v>46213.39722006944</v>
      </c>
      <c r="B28" s="6" t="s">
        <v>135</v>
      </c>
      <c r="C28" s="6" t="s">
        <v>31</v>
      </c>
      <c r="D28" s="6" t="s">
        <v>13</v>
      </c>
      <c r="E28" s="6" t="s">
        <v>14</v>
      </c>
      <c r="F28" s="6" t="s">
        <v>16</v>
      </c>
      <c r="G28" s="6" t="s">
        <v>17</v>
      </c>
      <c r="H28" s="6" t="s">
        <v>18</v>
      </c>
      <c r="I28" s="6" t="s">
        <v>19</v>
      </c>
      <c r="J28" s="6" t="s">
        <v>20</v>
      </c>
    </row>
    <row r="29">
      <c r="A29" s="5">
        <v>46213.397557731485</v>
      </c>
      <c r="B29" s="6" t="s">
        <v>90</v>
      </c>
      <c r="C29" s="6" t="s">
        <v>530</v>
      </c>
      <c r="D29" s="6" t="s">
        <v>13</v>
      </c>
      <c r="E29" s="6" t="s">
        <v>14</v>
      </c>
      <c r="F29" s="6" t="s">
        <v>16</v>
      </c>
      <c r="G29" s="6" t="s">
        <v>17</v>
      </c>
      <c r="H29" s="6" t="s">
        <v>18</v>
      </c>
      <c r="I29" s="6" t="s">
        <v>19</v>
      </c>
      <c r="J29" s="6" t="s">
        <v>20</v>
      </c>
    </row>
    <row r="30">
      <c r="A30" s="5">
        <v>46213.397570706016</v>
      </c>
      <c r="B30" s="6" t="s">
        <v>61</v>
      </c>
      <c r="C30" s="6" t="s">
        <v>459</v>
      </c>
      <c r="D30" s="6" t="s">
        <v>13</v>
      </c>
      <c r="E30" s="6" t="s">
        <v>14</v>
      </c>
      <c r="F30" s="6" t="s">
        <v>16</v>
      </c>
      <c r="G30" s="6" t="s">
        <v>17</v>
      </c>
      <c r="H30" s="6" t="s">
        <v>18</v>
      </c>
      <c r="I30" s="6" t="s">
        <v>19</v>
      </c>
      <c r="J30" s="6" t="s">
        <v>20</v>
      </c>
      <c r="K30" s="6" t="s">
        <v>478</v>
      </c>
    </row>
    <row r="31">
      <c r="A31" s="5">
        <v>46213.39762078704</v>
      </c>
      <c r="B31" s="6" t="s">
        <v>101</v>
      </c>
      <c r="C31" s="6" t="s">
        <v>31</v>
      </c>
      <c r="D31" s="6" t="s">
        <v>13</v>
      </c>
      <c r="E31" s="6" t="s">
        <v>14</v>
      </c>
      <c r="F31" s="6" t="s">
        <v>16</v>
      </c>
      <c r="G31" s="6" t="s">
        <v>17</v>
      </c>
      <c r="H31" s="6" t="s">
        <v>18</v>
      </c>
      <c r="I31" s="6" t="s">
        <v>19</v>
      </c>
      <c r="J31" s="6" t="s">
        <v>20</v>
      </c>
    </row>
    <row r="32">
      <c r="A32" s="5">
        <v>46213.39789399305</v>
      </c>
      <c r="B32" s="6" t="s">
        <v>127</v>
      </c>
      <c r="C32" s="6" t="s">
        <v>466</v>
      </c>
      <c r="D32" s="6" t="s">
        <v>13</v>
      </c>
      <c r="E32" s="6" t="s">
        <v>14</v>
      </c>
      <c r="F32" s="6" t="s">
        <v>16</v>
      </c>
      <c r="G32" s="6" t="s">
        <v>17</v>
      </c>
      <c r="H32" s="6" t="s">
        <v>18</v>
      </c>
      <c r="I32" s="6" t="s">
        <v>19</v>
      </c>
      <c r="J32" s="6" t="s">
        <v>20</v>
      </c>
      <c r="K32" s="6" t="s">
        <v>531</v>
      </c>
    </row>
    <row r="33">
      <c r="A33" s="5">
        <v>46213.398249039354</v>
      </c>
      <c r="B33" s="6" t="s">
        <v>106</v>
      </c>
      <c r="C33" s="6" t="s">
        <v>475</v>
      </c>
      <c r="D33" s="6" t="s">
        <v>13</v>
      </c>
      <c r="E33" s="6" t="s">
        <v>120</v>
      </c>
      <c r="F33" s="6" t="s">
        <v>16</v>
      </c>
      <c r="G33" s="6" t="s">
        <v>17</v>
      </c>
      <c r="H33" s="6" t="s">
        <v>18</v>
      </c>
      <c r="I33" s="6" t="s">
        <v>19</v>
      </c>
      <c r="J33" s="6" t="s">
        <v>20</v>
      </c>
      <c r="K33" s="6" t="s">
        <v>532</v>
      </c>
    </row>
    <row r="34">
      <c r="A34" s="5">
        <v>46213.39847543981</v>
      </c>
      <c r="B34" s="6" t="s">
        <v>75</v>
      </c>
      <c r="C34" s="6" t="s">
        <v>462</v>
      </c>
      <c r="D34" s="6" t="s">
        <v>13</v>
      </c>
      <c r="E34" s="6" t="s">
        <v>120</v>
      </c>
      <c r="F34" s="6" t="s">
        <v>16</v>
      </c>
      <c r="G34" s="6" t="s">
        <v>17</v>
      </c>
      <c r="H34" s="6" t="s">
        <v>18</v>
      </c>
      <c r="I34" s="6" t="s">
        <v>19</v>
      </c>
      <c r="J34" s="6" t="s">
        <v>20</v>
      </c>
      <c r="K34" s="6" t="s">
        <v>533</v>
      </c>
    </row>
    <row r="35">
      <c r="A35" s="5">
        <v>46213.398638425926</v>
      </c>
      <c r="B35" s="6" t="s">
        <v>196</v>
      </c>
      <c r="C35" s="6" t="s">
        <v>459</v>
      </c>
      <c r="D35" s="6" t="s">
        <v>13</v>
      </c>
      <c r="E35" s="6" t="s">
        <v>14</v>
      </c>
      <c r="F35" s="6" t="s">
        <v>16</v>
      </c>
      <c r="G35" s="6" t="s">
        <v>17</v>
      </c>
      <c r="H35" s="6" t="s">
        <v>18</v>
      </c>
      <c r="I35" s="6" t="s">
        <v>19</v>
      </c>
      <c r="J35" s="6" t="s">
        <v>20</v>
      </c>
    </row>
    <row r="36">
      <c r="A36" s="5">
        <v>46213.39880296296</v>
      </c>
      <c r="B36" s="6" t="s">
        <v>28</v>
      </c>
      <c r="C36" s="6" t="s">
        <v>459</v>
      </c>
      <c r="D36" s="6" t="s">
        <v>73</v>
      </c>
      <c r="E36" s="6" t="s">
        <v>14</v>
      </c>
      <c r="F36" s="6" t="s">
        <v>54</v>
      </c>
      <c r="G36" s="6" t="s">
        <v>17</v>
      </c>
      <c r="H36" s="6" t="s">
        <v>18</v>
      </c>
      <c r="I36" s="6" t="s">
        <v>19</v>
      </c>
      <c r="J36" s="6" t="s">
        <v>20</v>
      </c>
    </row>
    <row r="37">
      <c r="A37" s="5">
        <v>46213.39916822917</v>
      </c>
      <c r="B37" s="6" t="s">
        <v>115</v>
      </c>
      <c r="C37" s="6" t="s">
        <v>31</v>
      </c>
      <c r="D37" s="6" t="s">
        <v>13</v>
      </c>
      <c r="E37" s="6" t="s">
        <v>14</v>
      </c>
      <c r="F37" s="6" t="s">
        <v>16</v>
      </c>
      <c r="G37" s="6" t="s">
        <v>17</v>
      </c>
      <c r="H37" s="6" t="s">
        <v>18</v>
      </c>
      <c r="I37" s="6" t="s">
        <v>19</v>
      </c>
      <c r="J37" s="6" t="s">
        <v>20</v>
      </c>
    </row>
    <row r="38">
      <c r="A38" s="5">
        <v>46213.39940704861</v>
      </c>
      <c r="B38" s="6" t="s">
        <v>105</v>
      </c>
      <c r="C38" s="6" t="s">
        <v>505</v>
      </c>
      <c r="D38" s="6" t="s">
        <v>13</v>
      </c>
      <c r="E38" s="6" t="s">
        <v>14</v>
      </c>
      <c r="F38" s="6" t="s">
        <v>16</v>
      </c>
      <c r="G38" s="6" t="s">
        <v>17</v>
      </c>
      <c r="H38" s="6" t="s">
        <v>18</v>
      </c>
      <c r="I38" s="6" t="s">
        <v>19</v>
      </c>
      <c r="J38" s="6" t="s">
        <v>20</v>
      </c>
    </row>
    <row r="39">
      <c r="A39" s="5">
        <v>46213.39947253472</v>
      </c>
      <c r="B39" s="6" t="s">
        <v>205</v>
      </c>
      <c r="C39" s="6" t="s">
        <v>31</v>
      </c>
      <c r="D39" s="6" t="s">
        <v>13</v>
      </c>
      <c r="E39" s="6" t="s">
        <v>14</v>
      </c>
      <c r="F39" s="6" t="s">
        <v>16</v>
      </c>
      <c r="G39" s="6" t="s">
        <v>17</v>
      </c>
      <c r="H39" s="6" t="s">
        <v>18</v>
      </c>
      <c r="I39" s="6" t="s">
        <v>19</v>
      </c>
      <c r="J39" s="6" t="s">
        <v>20</v>
      </c>
    </row>
    <row r="40">
      <c r="A40" s="5">
        <v>46213.40018751158</v>
      </c>
      <c r="B40" s="6" t="s">
        <v>44</v>
      </c>
      <c r="C40" s="6" t="s">
        <v>459</v>
      </c>
      <c r="D40" s="6" t="s">
        <v>13</v>
      </c>
      <c r="E40" s="6" t="s">
        <v>14</v>
      </c>
      <c r="F40" s="6" t="s">
        <v>16</v>
      </c>
      <c r="G40" s="6" t="s">
        <v>17</v>
      </c>
      <c r="H40" s="6" t="s">
        <v>18</v>
      </c>
      <c r="I40" s="6" t="s">
        <v>19</v>
      </c>
      <c r="J40" s="6" t="s">
        <v>20</v>
      </c>
    </row>
    <row r="41">
      <c r="A41" s="5">
        <v>46213.40030194445</v>
      </c>
      <c r="B41" s="6" t="s">
        <v>37</v>
      </c>
      <c r="C41" s="6" t="s">
        <v>486</v>
      </c>
      <c r="D41" s="6" t="s">
        <v>13</v>
      </c>
      <c r="E41" s="6" t="s">
        <v>14</v>
      </c>
      <c r="F41" s="6" t="s">
        <v>16</v>
      </c>
      <c r="G41" s="6" t="s">
        <v>17</v>
      </c>
      <c r="H41" s="6" t="s">
        <v>18</v>
      </c>
      <c r="I41" s="6" t="s">
        <v>19</v>
      </c>
      <c r="J41" s="6" t="s">
        <v>20</v>
      </c>
      <c r="K41" s="6" t="s">
        <v>487</v>
      </c>
    </row>
    <row r="42">
      <c r="A42" s="5">
        <v>46213.4013290625</v>
      </c>
      <c r="B42" s="6" t="s">
        <v>33</v>
      </c>
      <c r="C42" s="6" t="s">
        <v>473</v>
      </c>
      <c r="D42" s="6" t="s">
        <v>13</v>
      </c>
      <c r="E42" s="6" t="s">
        <v>14</v>
      </c>
      <c r="F42" s="6" t="s">
        <v>16</v>
      </c>
      <c r="G42" s="6" t="s">
        <v>17</v>
      </c>
      <c r="H42" s="6" t="s">
        <v>18</v>
      </c>
      <c r="I42" s="6" t="s">
        <v>19</v>
      </c>
      <c r="J42" s="6" t="s">
        <v>20</v>
      </c>
    </row>
    <row r="43">
      <c r="A43" s="5">
        <v>46213.4015046875</v>
      </c>
      <c r="B43" s="6" t="s">
        <v>97</v>
      </c>
      <c r="C43" s="6" t="s">
        <v>466</v>
      </c>
      <c r="D43" s="6" t="s">
        <v>13</v>
      </c>
      <c r="E43" s="6" t="s">
        <v>14</v>
      </c>
      <c r="F43" s="6" t="s">
        <v>16</v>
      </c>
      <c r="G43" s="6" t="s">
        <v>17</v>
      </c>
      <c r="H43" s="6" t="s">
        <v>18</v>
      </c>
      <c r="I43" s="6" t="s">
        <v>19</v>
      </c>
      <c r="J43" s="6" t="s">
        <v>20</v>
      </c>
      <c r="K43" s="6" t="s">
        <v>534</v>
      </c>
    </row>
    <row r="44">
      <c r="A44" s="5">
        <v>46213.40164753472</v>
      </c>
      <c r="B44" s="6" t="s">
        <v>95</v>
      </c>
      <c r="C44" s="6" t="s">
        <v>208</v>
      </c>
      <c r="D44" s="6" t="s">
        <v>13</v>
      </c>
      <c r="E44" s="6" t="s">
        <v>14</v>
      </c>
      <c r="F44" s="6" t="s">
        <v>16</v>
      </c>
      <c r="G44" s="6" t="s">
        <v>17</v>
      </c>
      <c r="H44" s="6" t="s">
        <v>18</v>
      </c>
      <c r="I44" s="6" t="s">
        <v>19</v>
      </c>
      <c r="J44" s="6" t="s">
        <v>20</v>
      </c>
    </row>
    <row r="45">
      <c r="A45" s="5">
        <v>46213.401889733796</v>
      </c>
      <c r="B45" s="6" t="s">
        <v>72</v>
      </c>
      <c r="C45" s="6" t="s">
        <v>459</v>
      </c>
      <c r="D45" s="6" t="s">
        <v>13</v>
      </c>
      <c r="E45" s="6" t="s">
        <v>14</v>
      </c>
      <c r="F45" s="6" t="s">
        <v>16</v>
      </c>
      <c r="G45" s="6" t="s">
        <v>17</v>
      </c>
      <c r="H45" s="6" t="s">
        <v>18</v>
      </c>
      <c r="I45" s="6" t="s">
        <v>19</v>
      </c>
      <c r="J45" s="6" t="s">
        <v>20</v>
      </c>
      <c r="K45" s="6" t="s">
        <v>535</v>
      </c>
    </row>
    <row r="46">
      <c r="A46" s="5">
        <v>46213.40227185185</v>
      </c>
      <c r="B46" s="6" t="s">
        <v>66</v>
      </c>
      <c r="C46" s="6" t="s">
        <v>475</v>
      </c>
      <c r="D46" s="6" t="s">
        <v>13</v>
      </c>
      <c r="E46" s="6" t="s">
        <v>14</v>
      </c>
      <c r="F46" s="6" t="s">
        <v>16</v>
      </c>
      <c r="G46" s="6" t="s">
        <v>17</v>
      </c>
      <c r="H46" s="6" t="s">
        <v>18</v>
      </c>
      <c r="I46" s="6" t="s">
        <v>19</v>
      </c>
      <c r="J46" s="6" t="s">
        <v>20</v>
      </c>
      <c r="K46" s="6" t="s">
        <v>489</v>
      </c>
    </row>
    <row r="47">
      <c r="A47" s="5">
        <v>46213.40279270834</v>
      </c>
      <c r="B47" s="6" t="s">
        <v>114</v>
      </c>
      <c r="C47" s="6" t="s">
        <v>459</v>
      </c>
      <c r="D47" s="6" t="s">
        <v>13</v>
      </c>
      <c r="E47" s="6" t="s">
        <v>14</v>
      </c>
      <c r="F47" s="6" t="s">
        <v>16</v>
      </c>
      <c r="G47" s="6" t="s">
        <v>17</v>
      </c>
      <c r="H47" s="6" t="s">
        <v>18</v>
      </c>
      <c r="I47" s="6" t="s">
        <v>19</v>
      </c>
      <c r="J47" s="6" t="s">
        <v>20</v>
      </c>
    </row>
    <row r="48">
      <c r="A48" s="5">
        <v>46213.40313871528</v>
      </c>
      <c r="B48" s="6" t="s">
        <v>83</v>
      </c>
      <c r="C48" s="6" t="s">
        <v>31</v>
      </c>
      <c r="D48" s="6" t="s">
        <v>13</v>
      </c>
      <c r="E48" s="6" t="s">
        <v>14</v>
      </c>
      <c r="F48" s="6" t="s">
        <v>16</v>
      </c>
      <c r="G48" s="6" t="s">
        <v>17</v>
      </c>
      <c r="H48" s="6" t="s">
        <v>18</v>
      </c>
      <c r="I48" s="6" t="s">
        <v>19</v>
      </c>
      <c r="J48" s="6" t="s">
        <v>20</v>
      </c>
    </row>
    <row r="49">
      <c r="A49" s="5">
        <v>46213.40369386574</v>
      </c>
      <c r="B49" s="6" t="s">
        <v>88</v>
      </c>
      <c r="C49" s="6" t="s">
        <v>480</v>
      </c>
      <c r="D49" s="6" t="s">
        <v>13</v>
      </c>
      <c r="E49" s="6" t="s">
        <v>14</v>
      </c>
      <c r="F49" s="6" t="s">
        <v>16</v>
      </c>
      <c r="G49" s="6" t="s">
        <v>17</v>
      </c>
      <c r="H49" s="6" t="s">
        <v>18</v>
      </c>
      <c r="I49" s="6" t="s">
        <v>19</v>
      </c>
      <c r="J49" s="6" t="s">
        <v>20</v>
      </c>
      <c r="K49" s="6" t="s">
        <v>536</v>
      </c>
    </row>
    <row r="50">
      <c r="A50" s="5">
        <v>46213.40446550926</v>
      </c>
      <c r="B50" s="6" t="s">
        <v>71</v>
      </c>
      <c r="C50" s="6" t="s">
        <v>31</v>
      </c>
      <c r="D50" s="6" t="s">
        <v>13</v>
      </c>
      <c r="E50" s="6" t="s">
        <v>14</v>
      </c>
      <c r="F50" s="6" t="s">
        <v>16</v>
      </c>
      <c r="G50" s="6" t="s">
        <v>17</v>
      </c>
      <c r="H50" s="6" t="s">
        <v>18</v>
      </c>
      <c r="I50" s="6" t="s">
        <v>19</v>
      </c>
      <c r="J50" s="6" t="s">
        <v>20</v>
      </c>
    </row>
    <row r="51">
      <c r="A51" s="5">
        <v>46213.40491943287</v>
      </c>
      <c r="B51" s="6" t="s">
        <v>77</v>
      </c>
      <c r="C51" s="6" t="s">
        <v>459</v>
      </c>
      <c r="D51" s="6" t="s">
        <v>13</v>
      </c>
      <c r="E51" s="6" t="s">
        <v>14</v>
      </c>
      <c r="F51" s="6" t="s">
        <v>16</v>
      </c>
      <c r="G51" s="6" t="s">
        <v>17</v>
      </c>
      <c r="H51" s="6" t="s">
        <v>18</v>
      </c>
      <c r="I51" s="6" t="s">
        <v>19</v>
      </c>
      <c r="J51" s="6" t="s">
        <v>20</v>
      </c>
      <c r="K51" s="6" t="s">
        <v>537</v>
      </c>
    </row>
    <row r="52">
      <c r="A52" s="5">
        <v>46213.40492965278</v>
      </c>
      <c r="B52" s="6" t="s">
        <v>42</v>
      </c>
      <c r="C52" s="6" t="s">
        <v>31</v>
      </c>
      <c r="D52" s="6" t="s">
        <v>13</v>
      </c>
      <c r="E52" s="6" t="s">
        <v>14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>
      <c r="A53" s="5">
        <v>46213.40625366898</v>
      </c>
      <c r="B53" s="6" t="s">
        <v>201</v>
      </c>
      <c r="C53" s="6" t="s">
        <v>491</v>
      </c>
      <c r="D53" s="6" t="s">
        <v>13</v>
      </c>
      <c r="E53" s="6" t="s">
        <v>14</v>
      </c>
      <c r="F53" s="6" t="s">
        <v>16</v>
      </c>
      <c r="G53" s="6" t="s">
        <v>17</v>
      </c>
      <c r="H53" s="6" t="s">
        <v>18</v>
      </c>
      <c r="I53" s="6" t="s">
        <v>19</v>
      </c>
      <c r="J53" s="6" t="s">
        <v>20</v>
      </c>
    </row>
    <row r="54">
      <c r="A54" s="5">
        <v>46213.41069346065</v>
      </c>
      <c r="B54" s="6" t="s">
        <v>40</v>
      </c>
      <c r="C54" s="6" t="s">
        <v>31</v>
      </c>
      <c r="D54" s="6" t="s">
        <v>13</v>
      </c>
      <c r="E54" s="6" t="s">
        <v>14</v>
      </c>
      <c r="F54" s="6" t="s">
        <v>16</v>
      </c>
      <c r="G54" s="6" t="s">
        <v>17</v>
      </c>
      <c r="H54" s="6" t="s">
        <v>18</v>
      </c>
      <c r="I54" s="6" t="s">
        <v>19</v>
      </c>
      <c r="J54" s="6" t="s">
        <v>20</v>
      </c>
    </row>
    <row r="55">
      <c r="A55" s="5">
        <v>46213.410720416665</v>
      </c>
      <c r="B55" s="6" t="s">
        <v>59</v>
      </c>
      <c r="C55" s="6" t="s">
        <v>492</v>
      </c>
      <c r="D55" s="6" t="s">
        <v>13</v>
      </c>
      <c r="E55" s="6" t="s">
        <v>14</v>
      </c>
      <c r="F55" s="6" t="s">
        <v>16</v>
      </c>
      <c r="G55" s="6" t="s">
        <v>17</v>
      </c>
      <c r="H55" s="6" t="s">
        <v>18</v>
      </c>
      <c r="I55" s="6" t="s">
        <v>19</v>
      </c>
      <c r="J55" s="6" t="s">
        <v>20</v>
      </c>
    </row>
    <row r="56">
      <c r="A56" s="5">
        <v>46213.41105768518</v>
      </c>
      <c r="B56" s="6" t="s">
        <v>126</v>
      </c>
      <c r="C56" s="6" t="s">
        <v>459</v>
      </c>
      <c r="D56" s="6" t="s">
        <v>13</v>
      </c>
      <c r="E56" s="6" t="s">
        <v>14</v>
      </c>
      <c r="F56" s="6" t="s">
        <v>16</v>
      </c>
      <c r="G56" s="6" t="s">
        <v>17</v>
      </c>
      <c r="H56" s="6" t="s">
        <v>18</v>
      </c>
      <c r="I56" s="6" t="s">
        <v>19</v>
      </c>
      <c r="J56" s="6" t="s">
        <v>20</v>
      </c>
    </row>
    <row r="57">
      <c r="A57" s="5">
        <v>46213.4117216088</v>
      </c>
      <c r="B57" s="6" t="s">
        <v>104</v>
      </c>
      <c r="C57" s="6" t="s">
        <v>493</v>
      </c>
      <c r="D57" s="6" t="s">
        <v>13</v>
      </c>
      <c r="E57" s="6" t="s">
        <v>14</v>
      </c>
      <c r="F57" s="6" t="s">
        <v>16</v>
      </c>
      <c r="G57" s="6" t="s">
        <v>17</v>
      </c>
      <c r="H57" s="6" t="s">
        <v>18</v>
      </c>
      <c r="I57" s="6" t="s">
        <v>19</v>
      </c>
      <c r="J57" s="6" t="s">
        <v>20</v>
      </c>
    </row>
    <row r="58">
      <c r="A58" s="5">
        <v>46213.41619871528</v>
      </c>
      <c r="B58" s="6" t="s">
        <v>112</v>
      </c>
      <c r="C58" s="6" t="s">
        <v>31</v>
      </c>
      <c r="D58" s="6" t="s">
        <v>13</v>
      </c>
      <c r="E58" s="6" t="s">
        <v>14</v>
      </c>
      <c r="F58" s="6" t="s">
        <v>16</v>
      </c>
      <c r="G58" s="6" t="s">
        <v>17</v>
      </c>
      <c r="H58" s="6" t="s">
        <v>18</v>
      </c>
      <c r="I58" s="6" t="s">
        <v>19</v>
      </c>
      <c r="J58" s="6" t="s">
        <v>20</v>
      </c>
    </row>
    <row r="59">
      <c r="A59" s="5">
        <v>46213.419853796295</v>
      </c>
      <c r="B59" s="6" t="s">
        <v>99</v>
      </c>
      <c r="C59" s="6" t="s">
        <v>459</v>
      </c>
      <c r="D59" s="6" t="s">
        <v>13</v>
      </c>
      <c r="E59" s="6" t="s">
        <v>14</v>
      </c>
      <c r="F59" s="6" t="s">
        <v>16</v>
      </c>
      <c r="G59" s="6" t="s">
        <v>17</v>
      </c>
      <c r="H59" s="6" t="s">
        <v>18</v>
      </c>
      <c r="I59" s="6" t="s">
        <v>19</v>
      </c>
      <c r="J59" s="6" t="s">
        <v>20</v>
      </c>
    </row>
    <row r="60">
      <c r="A60" s="5">
        <v>46213.42618548611</v>
      </c>
      <c r="B60" s="6" t="s">
        <v>103</v>
      </c>
      <c r="C60" s="6" t="s">
        <v>31</v>
      </c>
      <c r="D60" s="6" t="s">
        <v>13</v>
      </c>
      <c r="E60" s="6" t="s">
        <v>14</v>
      </c>
      <c r="F60" s="6" t="s">
        <v>16</v>
      </c>
      <c r="G60" s="6" t="s">
        <v>17</v>
      </c>
      <c r="H60" s="6" t="s">
        <v>18</v>
      </c>
      <c r="I60" s="6" t="s">
        <v>19</v>
      </c>
      <c r="J60" s="6" t="s">
        <v>20</v>
      </c>
      <c r="K60" s="6" t="s">
        <v>92</v>
      </c>
    </row>
    <row r="61">
      <c r="A61" s="5">
        <v>46213.429225451386</v>
      </c>
      <c r="B61" s="6" t="s">
        <v>125</v>
      </c>
      <c r="C61" s="6" t="s">
        <v>31</v>
      </c>
      <c r="D61" s="6" t="s">
        <v>13</v>
      </c>
      <c r="E61" s="6" t="s">
        <v>14</v>
      </c>
      <c r="F61" s="6" t="s">
        <v>16</v>
      </c>
      <c r="G61" s="6" t="s">
        <v>17</v>
      </c>
      <c r="H61" s="6" t="s">
        <v>18</v>
      </c>
      <c r="I61" s="6" t="s">
        <v>19</v>
      </c>
      <c r="J61" s="6" t="s">
        <v>20</v>
      </c>
    </row>
    <row r="62">
      <c r="A62" s="5">
        <v>46213.43089590278</v>
      </c>
      <c r="B62" s="6" t="s">
        <v>178</v>
      </c>
      <c r="C62" s="6" t="s">
        <v>31</v>
      </c>
      <c r="D62" s="6" t="s">
        <v>13</v>
      </c>
      <c r="E62" s="6" t="s">
        <v>14</v>
      </c>
      <c r="F62" s="6" t="s">
        <v>16</v>
      </c>
      <c r="G62" s="6" t="s">
        <v>17</v>
      </c>
      <c r="H62" s="6" t="s">
        <v>18</v>
      </c>
      <c r="I62" s="6" t="s">
        <v>19</v>
      </c>
      <c r="J62" s="6" t="s">
        <v>20</v>
      </c>
    </row>
    <row r="63">
      <c r="A63" s="5">
        <v>46213.43113788194</v>
      </c>
      <c r="B63" s="6" t="s">
        <v>176</v>
      </c>
      <c r="C63" s="6" t="s">
        <v>459</v>
      </c>
      <c r="D63" s="6" t="s">
        <v>13</v>
      </c>
      <c r="E63" s="6" t="s">
        <v>14</v>
      </c>
      <c r="F63" s="6" t="s">
        <v>16</v>
      </c>
      <c r="G63" s="6" t="s">
        <v>17</v>
      </c>
      <c r="H63" s="6" t="s">
        <v>18</v>
      </c>
      <c r="I63" s="6" t="s">
        <v>19</v>
      </c>
      <c r="J63" s="6" t="s">
        <v>20</v>
      </c>
    </row>
    <row r="64">
      <c r="A64" s="5">
        <v>46213.45301427083</v>
      </c>
      <c r="B64" s="6" t="s">
        <v>199</v>
      </c>
      <c r="C64" s="6" t="s">
        <v>459</v>
      </c>
      <c r="D64" s="6" t="s">
        <v>13</v>
      </c>
      <c r="E64" s="6" t="s">
        <v>14</v>
      </c>
      <c r="F64" s="6" t="s">
        <v>16</v>
      </c>
      <c r="G64" s="6" t="s">
        <v>17</v>
      </c>
      <c r="H64" s="6" t="s">
        <v>18</v>
      </c>
      <c r="I64" s="6" t="s">
        <v>19</v>
      </c>
      <c r="J64" s="6" t="s">
        <v>20</v>
      </c>
    </row>
    <row r="65">
      <c r="A65" s="5">
        <v>46213.48879376157</v>
      </c>
      <c r="B65" s="6" t="s">
        <v>98</v>
      </c>
      <c r="C65" s="6" t="s">
        <v>156</v>
      </c>
      <c r="D65" s="6" t="s">
        <v>13</v>
      </c>
      <c r="E65" s="6" t="s">
        <v>14</v>
      </c>
      <c r="F65" s="6" t="s">
        <v>16</v>
      </c>
      <c r="G65" s="6" t="s">
        <v>17</v>
      </c>
      <c r="H65" s="6" t="s">
        <v>18</v>
      </c>
      <c r="I65" s="6" t="s">
        <v>19</v>
      </c>
      <c r="J65" s="6" t="s">
        <v>20</v>
      </c>
    </row>
    <row r="66">
      <c r="A66" s="5">
        <v>46213.499711875</v>
      </c>
      <c r="B66" s="6" t="s">
        <v>130</v>
      </c>
      <c r="C66" s="6" t="s">
        <v>459</v>
      </c>
      <c r="D66" s="6" t="s">
        <v>13</v>
      </c>
      <c r="E66" s="6" t="s">
        <v>14</v>
      </c>
      <c r="F66" s="6" t="s">
        <v>16</v>
      </c>
      <c r="G66" s="6" t="s">
        <v>17</v>
      </c>
      <c r="H66" s="6" t="s">
        <v>18</v>
      </c>
      <c r="I66" s="6" t="s">
        <v>19</v>
      </c>
      <c r="J66" s="6" t="s">
        <v>20</v>
      </c>
    </row>
    <row r="67">
      <c r="A67" s="5">
        <v>46213.51243482639</v>
      </c>
      <c r="B67" s="6" t="s">
        <v>93</v>
      </c>
      <c r="C67" s="6" t="s">
        <v>459</v>
      </c>
      <c r="D67" s="6" t="s">
        <v>13</v>
      </c>
      <c r="E67" s="6" t="s">
        <v>14</v>
      </c>
      <c r="F67" s="6" t="s">
        <v>16</v>
      </c>
      <c r="G67" s="6" t="s">
        <v>17</v>
      </c>
      <c r="H67" s="6" t="s">
        <v>18</v>
      </c>
      <c r="I67" s="6" t="s">
        <v>19</v>
      </c>
      <c r="J67" s="6" t="s">
        <v>20</v>
      </c>
    </row>
    <row r="68">
      <c r="A68" s="5">
        <v>46214.47630991898</v>
      </c>
      <c r="B68" s="6" t="s">
        <v>132</v>
      </c>
      <c r="C68" s="6" t="s">
        <v>180</v>
      </c>
      <c r="D68" s="6" t="s">
        <v>13</v>
      </c>
      <c r="E68" s="6" t="s">
        <v>14</v>
      </c>
      <c r="F68" s="6" t="s">
        <v>16</v>
      </c>
      <c r="G68" s="6" t="s">
        <v>17</v>
      </c>
      <c r="H68" s="6" t="s">
        <v>18</v>
      </c>
      <c r="I68" s="6" t="s">
        <v>19</v>
      </c>
      <c r="J68" s="6" t="s">
        <v>20</v>
      </c>
    </row>
    <row r="69">
      <c r="A69" s="5">
        <v>46217.99916890047</v>
      </c>
      <c r="B69" s="6" t="s">
        <v>203</v>
      </c>
      <c r="C69" s="6" t="s">
        <v>459</v>
      </c>
      <c r="D69" s="6" t="s">
        <v>13</v>
      </c>
      <c r="E69" s="6" t="s">
        <v>14</v>
      </c>
      <c r="F69" s="6" t="s">
        <v>16</v>
      </c>
      <c r="G69" s="6" t="s">
        <v>17</v>
      </c>
      <c r="H69" s="6" t="s">
        <v>18</v>
      </c>
      <c r="I69" s="6" t="s">
        <v>19</v>
      </c>
      <c r="J69" s="6" t="s">
        <v>20</v>
      </c>
    </row>
    <row r="70">
      <c r="A70" s="5">
        <v>46262.433789560186</v>
      </c>
      <c r="B70" s="6" t="s">
        <v>30</v>
      </c>
      <c r="C70" s="6" t="s">
        <v>538</v>
      </c>
      <c r="D70" s="6" t="s">
        <v>13</v>
      </c>
      <c r="E70" s="6" t="s">
        <v>14</v>
      </c>
      <c r="F70" s="6" t="s">
        <v>16</v>
      </c>
      <c r="G70" s="6" t="s">
        <v>17</v>
      </c>
      <c r="H70" s="6" t="s">
        <v>18</v>
      </c>
      <c r="I70" s="6" t="s">
        <v>19</v>
      </c>
      <c r="J70" s="6" t="s">
        <v>20</v>
      </c>
    </row>
    <row r="71">
      <c r="A71" s="5">
        <v>46262.45300984954</v>
      </c>
      <c r="B71" s="6" t="s">
        <v>52</v>
      </c>
      <c r="C71" s="6" t="s">
        <v>53</v>
      </c>
      <c r="D71" s="6" t="s">
        <v>13</v>
      </c>
      <c r="E71" s="6" t="s">
        <v>120</v>
      </c>
      <c r="F71" s="6" t="s">
        <v>16</v>
      </c>
      <c r="G71" s="6" t="s">
        <v>17</v>
      </c>
      <c r="H71" s="6" t="s">
        <v>87</v>
      </c>
      <c r="I71" s="6" t="s">
        <v>19</v>
      </c>
      <c r="J71" s="6" t="s">
        <v>20</v>
      </c>
    </row>
    <row r="72">
      <c r="A72" s="5">
        <v>46262.48994856482</v>
      </c>
      <c r="B72" s="6" t="s">
        <v>63</v>
      </c>
      <c r="C72" s="6" t="s">
        <v>31</v>
      </c>
      <c r="D72" s="6" t="s">
        <v>13</v>
      </c>
      <c r="E72" s="6" t="s">
        <v>14</v>
      </c>
      <c r="F72" s="6" t="s">
        <v>16</v>
      </c>
      <c r="G72" s="6" t="s">
        <v>17</v>
      </c>
      <c r="H72" s="6" t="s">
        <v>18</v>
      </c>
      <c r="I72" s="6" t="s">
        <v>19</v>
      </c>
      <c r="J72" s="6" t="s">
        <v>20</v>
      </c>
      <c r="K72" s="6" t="s">
        <v>496</v>
      </c>
    </row>
    <row r="73">
      <c r="A73" s="5">
        <v>46262.60140688658</v>
      </c>
      <c r="B73" s="6" t="s">
        <v>86</v>
      </c>
      <c r="C73" s="6" t="s">
        <v>480</v>
      </c>
      <c r="D73" s="6" t="s">
        <v>13</v>
      </c>
      <c r="E73" s="6" t="s">
        <v>14</v>
      </c>
      <c r="F73" s="6" t="s">
        <v>16</v>
      </c>
      <c r="G73" s="6" t="s">
        <v>17</v>
      </c>
      <c r="H73" s="6" t="s">
        <v>18</v>
      </c>
      <c r="I73" s="6" t="s">
        <v>19</v>
      </c>
      <c r="J73" s="6" t="s">
        <v>20</v>
      </c>
    </row>
    <row r="74">
      <c r="A74" s="5">
        <v>46264.881612384255</v>
      </c>
      <c r="B74" s="6" t="s">
        <v>108</v>
      </c>
      <c r="C74" s="6" t="s">
        <v>109</v>
      </c>
      <c r="D74" s="6" t="s">
        <v>13</v>
      </c>
      <c r="E74" s="6" t="s">
        <v>14</v>
      </c>
      <c r="F74" s="6" t="s">
        <v>16</v>
      </c>
      <c r="G74" s="6" t="s">
        <v>17</v>
      </c>
      <c r="H74" s="6" t="s">
        <v>18</v>
      </c>
      <c r="I74" s="6" t="s">
        <v>19</v>
      </c>
      <c r="J74" s="6" t="s">
        <v>20</v>
      </c>
    </row>
    <row r="75">
      <c r="A75" s="5">
        <v>46266.684944733795</v>
      </c>
      <c r="B75" s="6" t="s">
        <v>121</v>
      </c>
      <c r="C75" s="6" t="s">
        <v>31</v>
      </c>
      <c r="D75" s="6" t="s">
        <v>13</v>
      </c>
      <c r="E75" s="6" t="s">
        <v>14</v>
      </c>
      <c r="F75" s="6" t="s">
        <v>16</v>
      </c>
      <c r="G75" s="6" t="s">
        <v>17</v>
      </c>
      <c r="H75" s="6" t="s">
        <v>18</v>
      </c>
      <c r="I75" s="6" t="s">
        <v>19</v>
      </c>
      <c r="J75" s="6" t="s">
        <v>20</v>
      </c>
    </row>
    <row r="76">
      <c r="A76" s="5">
        <v>46266.68965712963</v>
      </c>
      <c r="B76" s="6" t="s">
        <v>124</v>
      </c>
      <c r="C76" s="6" t="s">
        <v>31</v>
      </c>
      <c r="D76" s="6" t="s">
        <v>13</v>
      </c>
      <c r="E76" s="6" t="s">
        <v>14</v>
      </c>
      <c r="F76" s="6" t="s">
        <v>16</v>
      </c>
      <c r="G76" s="6" t="s">
        <v>17</v>
      </c>
      <c r="H76" s="6" t="s">
        <v>18</v>
      </c>
      <c r="I76" s="6" t="s">
        <v>19</v>
      </c>
      <c r="J76" s="6" t="s">
        <v>20</v>
      </c>
    </row>
    <row r="77">
      <c r="A77" s="5">
        <v>46267.31213679398</v>
      </c>
      <c r="B77" s="6" t="s">
        <v>129</v>
      </c>
      <c r="C77" s="6" t="s">
        <v>31</v>
      </c>
      <c r="D77" s="6" t="s">
        <v>13</v>
      </c>
      <c r="E77" s="6" t="s">
        <v>14</v>
      </c>
      <c r="F77" s="6" t="s">
        <v>16</v>
      </c>
      <c r="G77" s="6" t="s">
        <v>17</v>
      </c>
      <c r="H77" s="6" t="s">
        <v>18</v>
      </c>
      <c r="I77" s="6" t="s">
        <v>19</v>
      </c>
      <c r="J77" s="6" t="s">
        <v>20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1" t="s">
        <v>0</v>
      </c>
      <c r="B1" s="1" t="s">
        <v>1</v>
      </c>
      <c r="C1" s="3" t="s">
        <v>2</v>
      </c>
      <c r="D1" s="4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1"/>
      <c r="M1" s="7" t="s">
        <v>15</v>
      </c>
    </row>
    <row r="2">
      <c r="A2" s="8">
        <f>'2.4'!A:A</f>
        <v>46213.39396</v>
      </c>
      <c r="B2" s="1" t="str">
        <f>'2.4'!B:B</f>
        <v>bnco1018@signalschool.ac.th</v>
      </c>
      <c r="C2" s="1" t="str">
        <f>'2.4'!C:C</f>
        <v>พ.ต. ไมตรี  บุญเหลื่อม</v>
      </c>
      <c r="D2" s="9">
        <v>1.0</v>
      </c>
      <c r="E2" s="10">
        <f>IFERROR(vlookup('2.4'!D:D,lookup!$A$2:$B$4,2,false),0)</f>
        <v>5</v>
      </c>
      <c r="F2" s="10">
        <f>IFERROR(vlookup('2.4'!E:E,lookup!$A$6:$B$8,2,false),0)</f>
        <v>5</v>
      </c>
      <c r="G2" s="10">
        <f>IFERROR(vlookup('2.4'!F:F,lookup!$A$10:$B$12,2,false),0)</f>
        <v>5</v>
      </c>
      <c r="H2" s="10">
        <f>IFERROR(vlookup('2.4'!G:G,lookup!$A$14:$B$16,2,false),0)</f>
        <v>5</v>
      </c>
      <c r="I2" s="10">
        <f>IFERROR(vlookup('2.4'!H:H,lookup!$A$18:$B$20,2,false),0)</f>
        <v>5</v>
      </c>
      <c r="J2" s="10">
        <f>IFERROR(vlookup('2.4'!I:I,lookup!$A$22:$B$24,2,false),0)</f>
        <v>5</v>
      </c>
      <c r="K2" s="10">
        <f>IFERROR(vlookup('2.4'!J:J,lookup!$A$26:$B$28,2,false),0)</f>
        <v>5</v>
      </c>
      <c r="L2" s="1"/>
      <c r="M2" s="10">
        <v>1.0</v>
      </c>
      <c r="N2" s="11" t="str">
        <f t="shared" ref="N2:N81" si="1">CONCAT(R2,"@signalschool.ac.th")</f>
        <v>bnco1001@signalschool.ac.th</v>
      </c>
      <c r="O2" s="12">
        <f t="shared" ref="O2:O81" si="2">IFERROR(VLOOKUP(N2,B$2:D$81,3,FALSE),0)</f>
        <v>1</v>
      </c>
      <c r="R2" s="6" t="s">
        <v>91</v>
      </c>
    </row>
    <row r="3">
      <c r="A3" s="8">
        <f>'2.4'!A:A</f>
        <v>46213.394</v>
      </c>
      <c r="B3" s="1" t="str">
        <f>'2.4'!B:B</f>
        <v>bnco1035@signalschool.ac.th</v>
      </c>
      <c r="C3" s="1" t="str">
        <f>'2.4'!C:C</f>
        <v>พ.ต. ไมตรี  บุญเหลื่อม</v>
      </c>
      <c r="D3" s="9">
        <v>1.0</v>
      </c>
      <c r="E3" s="10">
        <f>IFERROR(vlookup('2.4'!D:D,lookup!$A$2:$B$4,2,false),0)</f>
        <v>5</v>
      </c>
      <c r="F3" s="10">
        <f>IFERROR(vlookup('2.4'!E:E,lookup!$A$6:$B$8,2,false),0)</f>
        <v>5</v>
      </c>
      <c r="G3" s="10">
        <f>IFERROR(vlookup('2.4'!F:F,lookup!$A$10:$B$12,2,false),0)</f>
        <v>5</v>
      </c>
      <c r="H3" s="10">
        <f>IFERROR(vlookup('2.4'!G:G,lookup!$A$14:$B$16,2,false),0)</f>
        <v>5</v>
      </c>
      <c r="I3" s="10">
        <f>IFERROR(vlookup('2.4'!H:H,lookup!$A$18:$B$20,2,false),0)</f>
        <v>5</v>
      </c>
      <c r="J3" s="10">
        <f>IFERROR(vlookup('2.4'!I:I,lookup!$A$22:$B$24,2,false),0)</f>
        <v>5</v>
      </c>
      <c r="K3" s="10">
        <f>IFERROR(vlookup('2.4'!J:J,lookup!$A$26:$B$28,2,false),0)</f>
        <v>5</v>
      </c>
      <c r="L3" s="1"/>
      <c r="M3" s="10">
        <v>2.0</v>
      </c>
      <c r="N3" s="11" t="str">
        <f t="shared" si="1"/>
        <v>bnco1002@signalschool.ac.th</v>
      </c>
      <c r="O3" s="12">
        <f t="shared" si="2"/>
        <v>1</v>
      </c>
      <c r="R3" s="6" t="s">
        <v>123</v>
      </c>
    </row>
    <row r="4">
      <c r="A4" s="8">
        <f>'2.4'!A:A</f>
        <v>46213.39406</v>
      </c>
      <c r="B4" s="1" t="str">
        <f>'2.4'!B:B</f>
        <v>bnco1001@signalschool.ac.th</v>
      </c>
      <c r="C4" s="1" t="str">
        <f>'2.4'!C:C</f>
        <v>พ.ต. ไมตรี  บุญเหลื่อม</v>
      </c>
      <c r="D4" s="9">
        <v>1.0</v>
      </c>
      <c r="E4" s="10">
        <f>IFERROR(vlookup('2.4'!D:D,lookup!$A$2:$B$4,2,false),0)</f>
        <v>5</v>
      </c>
      <c r="F4" s="10">
        <f>IFERROR(vlookup('2.4'!E:E,lookup!$A$6:$B$8,2,false),0)</f>
        <v>5</v>
      </c>
      <c r="G4" s="10">
        <f>IFERROR(vlookup('2.4'!F:F,lookup!$A$10:$B$12,2,false),0)</f>
        <v>5</v>
      </c>
      <c r="H4" s="10">
        <f>IFERROR(vlookup('2.4'!G:G,lookup!$A$14:$B$16,2,false),0)</f>
        <v>5</v>
      </c>
      <c r="I4" s="10">
        <f>IFERROR(vlookup('2.4'!H:H,lookup!$A$18:$B$20,2,false),0)</f>
        <v>5</v>
      </c>
      <c r="J4" s="10">
        <f>IFERROR(vlookup('2.4'!I:I,lookup!$A$22:$B$24,2,false),0)</f>
        <v>5</v>
      </c>
      <c r="K4" s="10">
        <f>IFERROR(vlookup('2.4'!J:J,lookup!$A$26:$B$28,2,false),0)</f>
        <v>5</v>
      </c>
      <c r="L4" s="1"/>
      <c r="M4" s="10">
        <v>3.0</v>
      </c>
      <c r="N4" s="11" t="str">
        <f t="shared" si="1"/>
        <v>bnco1003@signalschool.ac.th</v>
      </c>
      <c r="O4" s="12">
        <f t="shared" si="2"/>
        <v>1</v>
      </c>
      <c r="R4" s="6" t="s">
        <v>141</v>
      </c>
    </row>
    <row r="5">
      <c r="A5" s="8">
        <f>'2.4'!A:A</f>
        <v>46213.39446</v>
      </c>
      <c r="B5" s="1" t="str">
        <f>'2.4'!B:B</f>
        <v>bnco1038@signalschool.ac.th</v>
      </c>
      <c r="C5" s="1" t="str">
        <f>'2.4'!C:C</f>
        <v>พ.ต. ไมตรี บุญเหลื่อม</v>
      </c>
      <c r="D5" s="9">
        <v>1.0</v>
      </c>
      <c r="E5" s="10">
        <f>IFERROR(vlookup('2.4'!D:D,lookup!$A$2:$B$4,2,false),0)</f>
        <v>5</v>
      </c>
      <c r="F5" s="10">
        <f>IFERROR(vlookup('2.4'!E:E,lookup!$A$6:$B$8,2,false),0)</f>
        <v>5</v>
      </c>
      <c r="G5" s="10">
        <f>IFERROR(vlookup('2.4'!F:F,lookup!$A$10:$B$12,2,false),0)</f>
        <v>5</v>
      </c>
      <c r="H5" s="10">
        <f>IFERROR(vlookup('2.4'!G:G,lookup!$A$14:$B$16,2,false),0)</f>
        <v>5</v>
      </c>
      <c r="I5" s="10">
        <f>IFERROR(vlookup('2.4'!H:H,lookup!$A$18:$B$20,2,false),0)</f>
        <v>5</v>
      </c>
      <c r="J5" s="10">
        <f>IFERROR(vlookup('2.4'!I:I,lookup!$A$22:$B$24,2,false),0)</f>
        <v>5</v>
      </c>
      <c r="K5" s="10">
        <f>IFERROR(vlookup('2.4'!J:J,lookup!$A$26:$B$28,2,false),0)</f>
        <v>5</v>
      </c>
      <c r="L5" s="1"/>
      <c r="M5" s="10">
        <v>4.0</v>
      </c>
      <c r="N5" s="11" t="str">
        <f t="shared" si="1"/>
        <v>bnco1004@signalschool.ac.th</v>
      </c>
      <c r="O5" s="12">
        <f t="shared" si="2"/>
        <v>1</v>
      </c>
      <c r="R5" s="6" t="s">
        <v>143</v>
      </c>
    </row>
    <row r="6">
      <c r="A6" s="8">
        <f>'2.4'!A:A</f>
        <v>46213.3945</v>
      </c>
      <c r="B6" s="1" t="str">
        <f>'2.4'!B:B</f>
        <v>bnco1056@signalschool.ac.th</v>
      </c>
      <c r="C6" s="1" t="str">
        <f>'2.4'!C:C</f>
        <v>พ.ต. ไมตรี บุญเหลื่อม</v>
      </c>
      <c r="D6" s="9">
        <v>1.0</v>
      </c>
      <c r="E6" s="10">
        <f>IFERROR(vlookup('2.4'!D:D,lookup!$A$2:$B$4,2,false),0)</f>
        <v>5</v>
      </c>
      <c r="F6" s="10">
        <f>IFERROR(vlookup('2.4'!E:E,lookup!$A$6:$B$8,2,false),0)</f>
        <v>5</v>
      </c>
      <c r="G6" s="10">
        <f>IFERROR(vlookup('2.4'!F:F,lookup!$A$10:$B$12,2,false),0)</f>
        <v>5</v>
      </c>
      <c r="H6" s="10">
        <f>IFERROR(vlookup('2.4'!G:G,lookup!$A$14:$B$16,2,false),0)</f>
        <v>5</v>
      </c>
      <c r="I6" s="10">
        <f>IFERROR(vlookup('2.4'!H:H,lookup!$A$18:$B$20,2,false),0)</f>
        <v>5</v>
      </c>
      <c r="J6" s="10">
        <f>IFERROR(vlookup('2.4'!I:I,lookup!$A$22:$B$24,2,false),0)</f>
        <v>5</v>
      </c>
      <c r="K6" s="10">
        <f>IFERROR(vlookup('2.4'!J:J,lookup!$A$26:$B$28,2,false),0)</f>
        <v>5</v>
      </c>
      <c r="L6" s="1"/>
      <c r="M6" s="10">
        <v>5.0</v>
      </c>
      <c r="N6" s="11" t="str">
        <f t="shared" si="1"/>
        <v>bnco1005@signalschool.ac.th</v>
      </c>
      <c r="O6" s="12">
        <f t="shared" si="2"/>
        <v>0</v>
      </c>
      <c r="R6" s="6" t="s">
        <v>144</v>
      </c>
    </row>
    <row r="7">
      <c r="A7" s="8">
        <f>'2.4'!A:A</f>
        <v>46213.39453</v>
      </c>
      <c r="B7" s="1" t="str">
        <f>'2.4'!B:B</f>
        <v>bnco1013@signalschool.ac.th</v>
      </c>
      <c r="C7" s="1" t="str">
        <f>'2.4'!C:C</f>
        <v>พ.ต.ไมตรี บุญเหลื่อม</v>
      </c>
      <c r="D7" s="9">
        <v>1.0</v>
      </c>
      <c r="E7" s="10">
        <f>IFERROR(vlookup('2.4'!D:D,lookup!$A$2:$B$4,2,false),0)</f>
        <v>5</v>
      </c>
      <c r="F7" s="10">
        <f>IFERROR(vlookup('2.4'!E:E,lookup!$A$6:$B$8,2,false),0)</f>
        <v>5</v>
      </c>
      <c r="G7" s="10">
        <f>IFERROR(vlookup('2.4'!F:F,lookup!$A$10:$B$12,2,false),0)</f>
        <v>5</v>
      </c>
      <c r="H7" s="10">
        <f>IFERROR(vlookup('2.4'!G:G,lookup!$A$14:$B$16,2,false),0)</f>
        <v>5</v>
      </c>
      <c r="I7" s="10">
        <f>IFERROR(vlookup('2.4'!H:H,lookup!$A$18:$B$20,2,false),0)</f>
        <v>5</v>
      </c>
      <c r="J7" s="10">
        <f>IFERROR(vlookup('2.4'!I:I,lookup!$A$22:$B$24,2,false),0)</f>
        <v>5</v>
      </c>
      <c r="K7" s="10">
        <f>IFERROR(vlookup('2.4'!J:J,lookup!$A$26:$B$28,2,false),0)</f>
        <v>5</v>
      </c>
      <c r="L7" s="1"/>
      <c r="M7" s="10">
        <v>6.0</v>
      </c>
      <c r="N7" s="11" t="str">
        <f t="shared" si="1"/>
        <v>bnco1006@signalschool.ac.th</v>
      </c>
      <c r="O7" s="12">
        <f t="shared" si="2"/>
        <v>1</v>
      </c>
      <c r="R7" s="6" t="s">
        <v>145</v>
      </c>
    </row>
    <row r="8">
      <c r="A8" s="8">
        <f>'2.4'!A:A</f>
        <v>46213.39471</v>
      </c>
      <c r="B8" s="1" t="str">
        <f>'2.4'!B:B</f>
        <v>bnco1040@signalschool.ac.th</v>
      </c>
      <c r="C8" s="1" t="str">
        <f>'2.4'!C:C</f>
        <v>พ.ต. ไมตรี  บุญเหลื่อม</v>
      </c>
      <c r="D8" s="9">
        <v>1.0</v>
      </c>
      <c r="E8" s="10">
        <f>IFERROR(vlookup('2.4'!D:D,lookup!$A$2:$B$4,2,false),0)</f>
        <v>5</v>
      </c>
      <c r="F8" s="10">
        <f>IFERROR(vlookup('2.4'!E:E,lookup!$A$6:$B$8,2,false),0)</f>
        <v>5</v>
      </c>
      <c r="G8" s="10">
        <f>IFERROR(vlookup('2.4'!F:F,lookup!$A$10:$B$12,2,false),0)</f>
        <v>5</v>
      </c>
      <c r="H8" s="10">
        <f>IFERROR(vlookup('2.4'!G:G,lookup!$A$14:$B$16,2,false),0)</f>
        <v>5</v>
      </c>
      <c r="I8" s="10">
        <f>IFERROR(vlookup('2.4'!H:H,lookup!$A$18:$B$20,2,false),0)</f>
        <v>5</v>
      </c>
      <c r="J8" s="10">
        <f>IFERROR(vlookup('2.4'!I:I,lookup!$A$22:$B$24,2,false),0)</f>
        <v>5</v>
      </c>
      <c r="K8" s="10">
        <f>IFERROR(vlookup('2.4'!J:J,lookup!$A$26:$B$28,2,false),0)</f>
        <v>5</v>
      </c>
      <c r="L8" s="1"/>
      <c r="M8" s="10">
        <v>7.0</v>
      </c>
      <c r="N8" s="11" t="str">
        <f t="shared" si="1"/>
        <v>bnco1007@signalschool.ac.th</v>
      </c>
      <c r="O8" s="12">
        <f t="shared" si="2"/>
        <v>0</v>
      </c>
      <c r="R8" s="6" t="s">
        <v>155</v>
      </c>
    </row>
    <row r="9">
      <c r="A9" s="8">
        <f>'2.4'!A:A</f>
        <v>46213.39472</v>
      </c>
      <c r="B9" s="1" t="str">
        <f>'2.4'!B:B</f>
        <v>bnco1043@signalschool.ac.th</v>
      </c>
      <c r="C9" s="1" t="str">
        <f>'2.4'!C:C</f>
        <v>พ.ต. ไมตรี  บุญเหลื่อม</v>
      </c>
      <c r="D9" s="9">
        <v>1.0</v>
      </c>
      <c r="E9" s="10">
        <f>IFERROR(vlookup('2.4'!D:D,lookup!$A$2:$B$4,2,false),0)</f>
        <v>5</v>
      </c>
      <c r="F9" s="10">
        <f>IFERROR(vlookup('2.4'!E:E,lookup!$A$6:$B$8,2,false),0)</f>
        <v>5</v>
      </c>
      <c r="G9" s="10">
        <f>IFERROR(vlookup('2.4'!F:F,lookup!$A$10:$B$12,2,false),0)</f>
        <v>5</v>
      </c>
      <c r="H9" s="10">
        <f>IFERROR(vlookup('2.4'!G:G,lookup!$A$14:$B$16,2,false),0)</f>
        <v>5</v>
      </c>
      <c r="I9" s="10">
        <f>IFERROR(vlookup('2.4'!H:H,lookup!$A$18:$B$20,2,false),0)</f>
        <v>5</v>
      </c>
      <c r="J9" s="10">
        <f>IFERROR(vlookup('2.4'!I:I,lookup!$A$22:$B$24,2,false),0)</f>
        <v>5</v>
      </c>
      <c r="K9" s="10">
        <f>IFERROR(vlookup('2.4'!J:J,lookup!$A$26:$B$28,2,false),0)</f>
        <v>5</v>
      </c>
      <c r="L9" s="1"/>
      <c r="M9" s="10">
        <v>8.0</v>
      </c>
      <c r="N9" s="11" t="str">
        <f t="shared" si="1"/>
        <v>bnco1008@signalschool.ac.th</v>
      </c>
      <c r="O9" s="12">
        <f t="shared" si="2"/>
        <v>1</v>
      </c>
      <c r="R9" s="6" t="s">
        <v>166</v>
      </c>
    </row>
    <row r="10">
      <c r="A10" s="8">
        <f>'2.4'!A:A</f>
        <v>46213.39476</v>
      </c>
      <c r="B10" s="1" t="str">
        <f>'2.4'!B:B</f>
        <v>bnco1049@signalschool.ac.th</v>
      </c>
      <c r="C10" s="1" t="str">
        <f>'2.4'!C:C</f>
        <v>พ.ต. ไมตรี  บุญเหลื่อม</v>
      </c>
      <c r="D10" s="9">
        <v>1.0</v>
      </c>
      <c r="E10" s="10">
        <f>IFERROR(vlookup('2.4'!D:D,lookup!$A$2:$B$4,2,false),0)</f>
        <v>5</v>
      </c>
      <c r="F10" s="10">
        <f>IFERROR(vlookup('2.4'!E:E,lookup!$A$6:$B$8,2,false),0)</f>
        <v>5</v>
      </c>
      <c r="G10" s="10">
        <f>IFERROR(vlookup('2.4'!F:F,lookup!$A$10:$B$12,2,false),0)</f>
        <v>5</v>
      </c>
      <c r="H10" s="10">
        <f>IFERROR(vlookup('2.4'!G:G,lookup!$A$14:$B$16,2,false),0)</f>
        <v>5</v>
      </c>
      <c r="I10" s="10">
        <f>IFERROR(vlookup('2.4'!H:H,lookup!$A$18:$B$20,2,false),0)</f>
        <v>5</v>
      </c>
      <c r="J10" s="10">
        <f>IFERROR(vlookup('2.4'!I:I,lookup!$A$22:$B$24,2,false),0)</f>
        <v>5</v>
      </c>
      <c r="K10" s="10">
        <f>IFERROR(vlookup('2.4'!J:J,lookup!$A$26:$B$28,2,false),0)</f>
        <v>5</v>
      </c>
      <c r="L10" s="1"/>
      <c r="M10" s="10">
        <v>9.0</v>
      </c>
      <c r="N10" s="11" t="str">
        <f t="shared" si="1"/>
        <v>bnco1009@signalschool.ac.th</v>
      </c>
      <c r="O10" s="12">
        <f t="shared" si="2"/>
        <v>1</v>
      </c>
      <c r="R10" s="6" t="s">
        <v>175</v>
      </c>
    </row>
    <row r="11">
      <c r="A11" s="8">
        <f>'2.4'!A:A</f>
        <v>46213.39484</v>
      </c>
      <c r="B11" s="1" t="str">
        <f>'2.4'!B:B</f>
        <v>bnco1024@signalschool.ac.th</v>
      </c>
      <c r="C11" s="1" t="str">
        <f>'2.4'!C:C</f>
        <v>พ.ต.ไมตรี  บุญเหลื่อม</v>
      </c>
      <c r="D11" s="9">
        <v>1.0</v>
      </c>
      <c r="E11" s="10">
        <f>IFERROR(vlookup('2.4'!D:D,lookup!$A$2:$B$4,2,false),0)</f>
        <v>5</v>
      </c>
      <c r="F11" s="10">
        <f>IFERROR(vlookup('2.4'!E:E,lookup!$A$6:$B$8,2,false),0)</f>
        <v>5</v>
      </c>
      <c r="G11" s="10">
        <f>IFERROR(vlookup('2.4'!F:F,lookup!$A$10:$B$12,2,false),0)</f>
        <v>5</v>
      </c>
      <c r="H11" s="10">
        <f>IFERROR(vlookup('2.4'!G:G,lookup!$A$14:$B$16,2,false),0)</f>
        <v>5</v>
      </c>
      <c r="I11" s="10">
        <f>IFERROR(vlookup('2.4'!H:H,lookup!$A$18:$B$20,2,false),0)</f>
        <v>5</v>
      </c>
      <c r="J11" s="10">
        <f>IFERROR(vlookup('2.4'!I:I,lookup!$A$22:$B$24,2,false),0)</f>
        <v>5</v>
      </c>
      <c r="K11" s="10">
        <f>IFERROR(vlookup('2.4'!J:J,lookup!$A$26:$B$28,2,false),0)</f>
        <v>5</v>
      </c>
      <c r="L11" s="1"/>
      <c r="M11" s="10">
        <v>10.0</v>
      </c>
      <c r="N11" s="11" t="str">
        <f t="shared" si="1"/>
        <v>bnco1010@signalschool.ac.th</v>
      </c>
      <c r="O11" s="12">
        <f t="shared" si="2"/>
        <v>1</v>
      </c>
      <c r="R11" s="6" t="s">
        <v>192</v>
      </c>
    </row>
    <row r="12">
      <c r="A12" s="8">
        <f>'2.4'!A:A</f>
        <v>46213.39487</v>
      </c>
      <c r="B12" s="1" t="str">
        <f>'2.4'!B:B</f>
        <v>anusonroddara861@gmail.com</v>
      </c>
      <c r="C12" s="1" t="str">
        <f>'2.4'!C:C</f>
        <v>พ.ต.ไมตรี บุญเหลื่อม</v>
      </c>
      <c r="D12" s="9">
        <v>1.0</v>
      </c>
      <c r="E12" s="10">
        <f>IFERROR(vlookup('2.4'!D:D,lookup!$A$2:$B$4,2,false),0)</f>
        <v>5</v>
      </c>
      <c r="F12" s="10">
        <f>IFERROR(vlookup('2.4'!E:E,lookup!$A$6:$B$8,2,false),0)</f>
        <v>5</v>
      </c>
      <c r="G12" s="10">
        <f>IFERROR(vlookup('2.4'!F:F,lookup!$A$10:$B$12,2,false),0)</f>
        <v>5</v>
      </c>
      <c r="H12" s="10">
        <f>IFERROR(vlookup('2.4'!G:G,lookup!$A$14:$B$16,2,false),0)</f>
        <v>5</v>
      </c>
      <c r="I12" s="10">
        <f>IFERROR(vlookup('2.4'!H:H,lookup!$A$18:$B$20,2,false),0)</f>
        <v>5</v>
      </c>
      <c r="J12" s="10">
        <f>IFERROR(vlookup('2.4'!I:I,lookup!$A$22:$B$24,2,false),0)</f>
        <v>3</v>
      </c>
      <c r="K12" s="10">
        <f>IFERROR(vlookup('2.4'!J:J,lookup!$A$26:$B$28,2,false),0)</f>
        <v>3</v>
      </c>
      <c r="L12" s="1"/>
      <c r="M12" s="10">
        <v>11.0</v>
      </c>
      <c r="N12" s="11" t="str">
        <f t="shared" si="1"/>
        <v>bnco1011@signalschool.ac.th</v>
      </c>
      <c r="O12" s="12">
        <f t="shared" si="2"/>
        <v>1</v>
      </c>
      <c r="R12" s="6" t="s">
        <v>209</v>
      </c>
    </row>
    <row r="13">
      <c r="A13" s="8">
        <f>'2.4'!A:A</f>
        <v>46213.39489</v>
      </c>
      <c r="B13" s="1" t="str">
        <f>'2.4'!B:B</f>
        <v>bnco1026@signalschool.ac.th</v>
      </c>
      <c r="C13" s="1" t="str">
        <f>'2.4'!C:C</f>
        <v>พ.ต. ไมตรี  บุญเหลื่อม</v>
      </c>
      <c r="D13" s="9">
        <v>1.0</v>
      </c>
      <c r="E13" s="10">
        <f>IFERROR(vlookup('2.4'!D:D,lookup!$A$2:$B$4,2,false),0)</f>
        <v>5</v>
      </c>
      <c r="F13" s="10">
        <f>IFERROR(vlookup('2.4'!E:E,lookup!$A$6:$B$8,2,false),0)</f>
        <v>5</v>
      </c>
      <c r="G13" s="10">
        <f>IFERROR(vlookup('2.4'!F:F,lookup!$A$10:$B$12,2,false),0)</f>
        <v>5</v>
      </c>
      <c r="H13" s="10">
        <f>IFERROR(vlookup('2.4'!G:G,lookup!$A$14:$B$16,2,false),0)</f>
        <v>5</v>
      </c>
      <c r="I13" s="10">
        <f>IFERROR(vlookup('2.4'!H:H,lookup!$A$18:$B$20,2,false),0)</f>
        <v>5</v>
      </c>
      <c r="J13" s="10">
        <f>IFERROR(vlookup('2.4'!I:I,lookup!$A$22:$B$24,2,false),0)</f>
        <v>3</v>
      </c>
      <c r="K13" s="10">
        <f>IFERROR(vlookup('2.4'!J:J,lookup!$A$26:$B$28,2,false),0)</f>
        <v>3</v>
      </c>
      <c r="L13" s="1"/>
      <c r="M13" s="10">
        <v>12.0</v>
      </c>
      <c r="N13" s="11" t="str">
        <f t="shared" si="1"/>
        <v>bnco1012@signalschool.ac.th</v>
      </c>
      <c r="O13" s="12">
        <f t="shared" si="2"/>
        <v>1</v>
      </c>
      <c r="R13" s="6" t="s">
        <v>213</v>
      </c>
    </row>
    <row r="14">
      <c r="A14" s="8">
        <f>'2.4'!A:A</f>
        <v>46213.39509</v>
      </c>
      <c r="B14" s="1" t="str">
        <f>'2.4'!B:B</f>
        <v>bnco1008@signalschool.ac.th</v>
      </c>
      <c r="C14" s="1" t="str">
        <f>'2.4'!C:C</f>
        <v>พ.ต.ไมตรี บุญเหลื่อม</v>
      </c>
      <c r="D14" s="9">
        <v>1.0</v>
      </c>
      <c r="E14" s="10">
        <f>IFERROR(vlookup('2.4'!D:D,lookup!$A$2:$B$4,2,false),0)</f>
        <v>5</v>
      </c>
      <c r="F14" s="10">
        <f>IFERROR(vlookup('2.4'!E:E,lookup!$A$6:$B$8,2,false),0)</f>
        <v>5</v>
      </c>
      <c r="G14" s="10">
        <f>IFERROR(vlookup('2.4'!F:F,lookup!$A$10:$B$12,2,false),0)</f>
        <v>5</v>
      </c>
      <c r="H14" s="10">
        <f>IFERROR(vlookup('2.4'!G:G,lookup!$A$14:$B$16,2,false),0)</f>
        <v>5</v>
      </c>
      <c r="I14" s="10">
        <f>IFERROR(vlookup('2.4'!H:H,lookup!$A$18:$B$20,2,false),0)</f>
        <v>5</v>
      </c>
      <c r="J14" s="10">
        <f>IFERROR(vlookup('2.4'!I:I,lookup!$A$22:$B$24,2,false),0)</f>
        <v>5</v>
      </c>
      <c r="K14" s="10">
        <f>IFERROR(vlookup('2.4'!J:J,lookup!$A$26:$B$28,2,false),0)</f>
        <v>5</v>
      </c>
      <c r="L14" s="1"/>
      <c r="M14" s="10">
        <v>13.0</v>
      </c>
      <c r="N14" s="11" t="str">
        <f t="shared" si="1"/>
        <v>bnco1013@signalschool.ac.th</v>
      </c>
      <c r="O14" s="12">
        <f t="shared" si="2"/>
        <v>1</v>
      </c>
      <c r="R14" s="6" t="s">
        <v>214</v>
      </c>
    </row>
    <row r="15">
      <c r="A15" s="8">
        <f>'2.4'!A:A</f>
        <v>46213.39512</v>
      </c>
      <c r="B15" s="1" t="str">
        <f>'2.4'!B:B</f>
        <v>bnco1059@signalschool.ac.th</v>
      </c>
      <c r="C15" s="1" t="str">
        <f>'2.4'!C:C</f>
        <v>ส.อ.ภากร  จรรยาประเสริฐ</v>
      </c>
      <c r="D15" s="9">
        <v>1.0</v>
      </c>
      <c r="E15" s="10">
        <f>IFERROR(vlookup('2.4'!D:D,lookup!$A$2:$B$4,2,false),0)</f>
        <v>5</v>
      </c>
      <c r="F15" s="10">
        <f>IFERROR(vlookup('2.4'!E:E,lookup!$A$6:$B$8,2,false),0)</f>
        <v>5</v>
      </c>
      <c r="G15" s="10">
        <f>IFERROR(vlookup('2.4'!F:F,lookup!$A$10:$B$12,2,false),0)</f>
        <v>5</v>
      </c>
      <c r="H15" s="10">
        <f>IFERROR(vlookup('2.4'!G:G,lookup!$A$14:$B$16,2,false),0)</f>
        <v>5</v>
      </c>
      <c r="I15" s="10">
        <f>IFERROR(vlookup('2.4'!H:H,lookup!$A$18:$B$20,2,false),0)</f>
        <v>5</v>
      </c>
      <c r="J15" s="10">
        <f>IFERROR(vlookup('2.4'!I:I,lookup!$A$22:$B$24,2,false),0)</f>
        <v>5</v>
      </c>
      <c r="K15" s="10">
        <f>IFERROR(vlookup('2.4'!J:J,lookup!$A$26:$B$28,2,false),0)</f>
        <v>5</v>
      </c>
      <c r="L15" s="1"/>
      <c r="M15" s="10">
        <v>14.0</v>
      </c>
      <c r="N15" s="11" t="str">
        <f t="shared" si="1"/>
        <v>bnco1014@signalschool.ac.th</v>
      </c>
      <c r="O15" s="12">
        <f t="shared" si="2"/>
        <v>1</v>
      </c>
      <c r="R15" s="6" t="s">
        <v>215</v>
      </c>
    </row>
    <row r="16">
      <c r="A16" s="8">
        <f>'2.4'!A:A</f>
        <v>46213.39525</v>
      </c>
      <c r="B16" s="1" t="str">
        <f>'2.4'!B:B</f>
        <v>bnco1057@signalschool.ac.th</v>
      </c>
      <c r="C16" s="1" t="str">
        <f>'2.4'!C:C</f>
        <v>พ.ต.ไมตรี  บุญเหลื่อม</v>
      </c>
      <c r="D16" s="9">
        <v>1.0</v>
      </c>
      <c r="E16" s="10">
        <f>IFERROR(vlookup('2.4'!D:D,lookup!$A$2:$B$4,2,false),0)</f>
        <v>5</v>
      </c>
      <c r="F16" s="10">
        <f>IFERROR(vlookup('2.4'!E:E,lookup!$A$6:$B$8,2,false),0)</f>
        <v>5</v>
      </c>
      <c r="G16" s="10">
        <f>IFERROR(vlookup('2.4'!F:F,lookup!$A$10:$B$12,2,false),0)</f>
        <v>5</v>
      </c>
      <c r="H16" s="10">
        <f>IFERROR(vlookup('2.4'!G:G,lookup!$A$14:$B$16,2,false),0)</f>
        <v>5</v>
      </c>
      <c r="I16" s="10">
        <f>IFERROR(vlookup('2.4'!H:H,lookup!$A$18:$B$20,2,false),0)</f>
        <v>5</v>
      </c>
      <c r="J16" s="10">
        <f>IFERROR(vlookup('2.4'!I:I,lookup!$A$22:$B$24,2,false),0)</f>
        <v>5</v>
      </c>
      <c r="K16" s="10">
        <f>IFERROR(vlookup('2.4'!J:J,lookup!$A$26:$B$28,2,false),0)</f>
        <v>5</v>
      </c>
      <c r="L16" s="1"/>
      <c r="M16" s="10">
        <v>15.0</v>
      </c>
      <c r="N16" s="11" t="str">
        <f t="shared" si="1"/>
        <v>bnco1015@signalschool.ac.th</v>
      </c>
      <c r="O16" s="12">
        <f t="shared" si="2"/>
        <v>1</v>
      </c>
      <c r="R16" s="6" t="s">
        <v>221</v>
      </c>
    </row>
    <row r="17">
      <c r="A17" s="8">
        <f>'2.4'!A:A</f>
        <v>46213.39539</v>
      </c>
      <c r="B17" s="1" t="str">
        <f>'2.4'!B:B</f>
        <v>bnco1036@signalschool.ac.th</v>
      </c>
      <c r="C17" s="1" t="str">
        <f>'2.4'!C:C</f>
        <v>พ.ต. ไมตรี  บุญเหลื่อม</v>
      </c>
      <c r="D17" s="9">
        <v>1.0</v>
      </c>
      <c r="E17" s="10">
        <f>IFERROR(vlookup('2.4'!D:D,lookup!$A$2:$B$4,2,false),0)</f>
        <v>5</v>
      </c>
      <c r="F17" s="10">
        <f>IFERROR(vlookup('2.4'!E:E,lookup!$A$6:$B$8,2,false),0)</f>
        <v>5</v>
      </c>
      <c r="G17" s="10">
        <f>IFERROR(vlookup('2.4'!F:F,lookup!$A$10:$B$12,2,false),0)</f>
        <v>5</v>
      </c>
      <c r="H17" s="10">
        <f>IFERROR(vlookup('2.4'!G:G,lookup!$A$14:$B$16,2,false),0)</f>
        <v>5</v>
      </c>
      <c r="I17" s="10">
        <f>IFERROR(vlookup('2.4'!H:H,lookup!$A$18:$B$20,2,false),0)</f>
        <v>5</v>
      </c>
      <c r="J17" s="10">
        <f>IFERROR(vlookup('2.4'!I:I,lookup!$A$22:$B$24,2,false),0)</f>
        <v>5</v>
      </c>
      <c r="K17" s="10">
        <f>IFERROR(vlookup('2.4'!J:J,lookup!$A$26:$B$28,2,false),0)</f>
        <v>5</v>
      </c>
      <c r="L17" s="1"/>
      <c r="M17" s="10">
        <v>16.0</v>
      </c>
      <c r="N17" s="11" t="str">
        <f t="shared" si="1"/>
        <v>bnco1016@signalschool.ac.th</v>
      </c>
      <c r="O17" s="12">
        <f t="shared" si="2"/>
        <v>1</v>
      </c>
      <c r="R17" s="6" t="s">
        <v>223</v>
      </c>
    </row>
    <row r="18">
      <c r="A18" s="8">
        <f>'2.4'!A:A</f>
        <v>46213.39547</v>
      </c>
      <c r="B18" s="1" t="str">
        <f>'2.4'!B:B</f>
        <v>bnco1003@signalschool.ac.th</v>
      </c>
      <c r="C18" s="1" t="str">
        <f>'2.4'!C:C</f>
        <v>พ.ต. ไมตรี  บุญเหลื่อม</v>
      </c>
      <c r="D18" s="9">
        <v>1.0</v>
      </c>
      <c r="E18" s="10">
        <f>IFERROR(vlookup('2.4'!D:D,lookup!$A$2:$B$4,2,false),0)</f>
        <v>5</v>
      </c>
      <c r="F18" s="10">
        <f>IFERROR(vlookup('2.4'!E:E,lookup!$A$6:$B$8,2,false),0)</f>
        <v>5</v>
      </c>
      <c r="G18" s="10">
        <f>IFERROR(vlookup('2.4'!F:F,lookup!$A$10:$B$12,2,false),0)</f>
        <v>5</v>
      </c>
      <c r="H18" s="10">
        <f>IFERROR(vlookup('2.4'!G:G,lookup!$A$14:$B$16,2,false),0)</f>
        <v>5</v>
      </c>
      <c r="I18" s="10">
        <f>IFERROR(vlookup('2.4'!H:H,lookup!$A$18:$B$20,2,false),0)</f>
        <v>5</v>
      </c>
      <c r="J18" s="10">
        <f>IFERROR(vlookup('2.4'!I:I,lookup!$A$22:$B$24,2,false),0)</f>
        <v>5</v>
      </c>
      <c r="K18" s="10">
        <f>IFERROR(vlookup('2.4'!J:J,lookup!$A$26:$B$28,2,false),0)</f>
        <v>5</v>
      </c>
      <c r="L18" s="1"/>
      <c r="M18" s="10">
        <v>17.0</v>
      </c>
      <c r="N18" s="11" t="str">
        <f t="shared" si="1"/>
        <v>bnco1017@signalschool.ac.th</v>
      </c>
      <c r="O18" s="12">
        <f t="shared" si="2"/>
        <v>1</v>
      </c>
      <c r="R18" s="6" t="s">
        <v>229</v>
      </c>
    </row>
    <row r="19">
      <c r="A19" s="8">
        <f>'2.4'!A:A</f>
        <v>46213.3956</v>
      </c>
      <c r="B19" s="1" t="str">
        <f>'2.4'!B:B</f>
        <v>earthtynattapon@gmail.com</v>
      </c>
      <c r="C19" s="1" t="str">
        <f>'2.4'!C:C</f>
        <v>พ.ต. ไมตรี  บุญเหลื่อม</v>
      </c>
      <c r="D19" s="9">
        <v>1.0</v>
      </c>
      <c r="E19" s="10">
        <f>IFERROR(vlookup('2.4'!D:D,lookup!$A$2:$B$4,2,false),0)</f>
        <v>5</v>
      </c>
      <c r="F19" s="10">
        <f>IFERROR(vlookup('2.4'!E:E,lookup!$A$6:$B$8,2,false),0)</f>
        <v>5</v>
      </c>
      <c r="G19" s="10">
        <f>IFERROR(vlookup('2.4'!F:F,lookup!$A$10:$B$12,2,false),0)</f>
        <v>5</v>
      </c>
      <c r="H19" s="10">
        <f>IFERROR(vlookup('2.4'!G:G,lookup!$A$14:$B$16,2,false),0)</f>
        <v>5</v>
      </c>
      <c r="I19" s="10">
        <f>IFERROR(vlookup('2.4'!H:H,lookup!$A$18:$B$20,2,false),0)</f>
        <v>5</v>
      </c>
      <c r="J19" s="10">
        <f>IFERROR(vlookup('2.4'!I:I,lookup!$A$22:$B$24,2,false),0)</f>
        <v>5</v>
      </c>
      <c r="K19" s="10">
        <f>IFERROR(vlookup('2.4'!J:J,lookup!$A$26:$B$28,2,false),0)</f>
        <v>5</v>
      </c>
      <c r="L19" s="1"/>
      <c r="M19" s="10">
        <v>18.0</v>
      </c>
      <c r="N19" s="11" t="str">
        <f t="shared" si="1"/>
        <v>bnco1018@signalschool.ac.th</v>
      </c>
      <c r="O19" s="12">
        <f t="shared" si="2"/>
        <v>1</v>
      </c>
      <c r="R19" s="6" t="s">
        <v>232</v>
      </c>
    </row>
    <row r="20">
      <c r="A20" s="8">
        <f>'2.4'!A:A</f>
        <v>46213.39561</v>
      </c>
      <c r="B20" s="1" t="str">
        <f>'2.4'!B:B</f>
        <v>bnco1004@signalschool.ac.th</v>
      </c>
      <c r="C20" s="1" t="str">
        <f>'2.4'!C:C</f>
        <v>พ ต ไมตรี  บุญเหลื่อม</v>
      </c>
      <c r="D20" s="9">
        <v>1.0</v>
      </c>
      <c r="E20" s="10">
        <f>IFERROR(vlookup('2.4'!D:D,lookup!$A$2:$B$4,2,false),0)</f>
        <v>5</v>
      </c>
      <c r="F20" s="10">
        <f>IFERROR(vlookup('2.4'!E:E,lookup!$A$6:$B$8,2,false),0)</f>
        <v>5</v>
      </c>
      <c r="G20" s="10">
        <f>IFERROR(vlookup('2.4'!F:F,lookup!$A$10:$B$12,2,false),0)</f>
        <v>5</v>
      </c>
      <c r="H20" s="10">
        <f>IFERROR(vlookup('2.4'!G:G,lookup!$A$14:$B$16,2,false),0)</f>
        <v>5</v>
      </c>
      <c r="I20" s="10">
        <f>IFERROR(vlookup('2.4'!H:H,lookup!$A$18:$B$20,2,false),0)</f>
        <v>5</v>
      </c>
      <c r="J20" s="10">
        <f>IFERROR(vlookup('2.4'!I:I,lookup!$A$22:$B$24,2,false),0)</f>
        <v>5</v>
      </c>
      <c r="K20" s="10">
        <f>IFERROR(vlookup('2.4'!J:J,lookup!$A$26:$B$28,2,false),0)</f>
        <v>5</v>
      </c>
      <c r="L20" s="1"/>
      <c r="M20" s="10">
        <v>19.0</v>
      </c>
      <c r="N20" s="11" t="str">
        <f t="shared" si="1"/>
        <v>bnco1019@signalschool.ac.th</v>
      </c>
      <c r="O20" s="12">
        <f t="shared" si="2"/>
        <v>1</v>
      </c>
      <c r="R20" s="6" t="s">
        <v>233</v>
      </c>
    </row>
    <row r="21">
      <c r="A21" s="8">
        <f>'2.4'!A:A</f>
        <v>46213.39564</v>
      </c>
      <c r="B21" s="1" t="str">
        <f>'2.4'!B:B</f>
        <v>bnco1069@signalschool.ac.th</v>
      </c>
      <c r="C21" s="1" t="str">
        <f>'2.4'!C:C</f>
        <v>ส.อ.วรเดช  จิตตารมย์</v>
      </c>
      <c r="D21" s="9">
        <v>1.0</v>
      </c>
      <c r="E21" s="10">
        <f>IFERROR(vlookup('2.4'!D:D,lookup!$A$2:$B$4,2,false),0)</f>
        <v>5</v>
      </c>
      <c r="F21" s="10">
        <f>IFERROR(vlookup('2.4'!E:E,lookup!$A$6:$B$8,2,false),0)</f>
        <v>5</v>
      </c>
      <c r="G21" s="10">
        <f>IFERROR(vlookup('2.4'!F:F,lookup!$A$10:$B$12,2,false),0)</f>
        <v>5</v>
      </c>
      <c r="H21" s="10">
        <f>IFERROR(vlookup('2.4'!G:G,lookup!$A$14:$B$16,2,false),0)</f>
        <v>5</v>
      </c>
      <c r="I21" s="10">
        <f>IFERROR(vlookup('2.4'!H:H,lookup!$A$18:$B$20,2,false),0)</f>
        <v>5</v>
      </c>
      <c r="J21" s="10">
        <f>IFERROR(vlookup('2.4'!I:I,lookup!$A$22:$B$24,2,false),0)</f>
        <v>5</v>
      </c>
      <c r="K21" s="10">
        <f>IFERROR(vlookup('2.4'!J:J,lookup!$A$26:$B$28,2,false),0)</f>
        <v>5</v>
      </c>
      <c r="L21" s="1"/>
      <c r="M21" s="10">
        <v>20.0</v>
      </c>
      <c r="N21" s="11" t="str">
        <f t="shared" si="1"/>
        <v>bnco1020@signalschool.ac.th</v>
      </c>
      <c r="O21" s="12">
        <f t="shared" si="2"/>
        <v>1</v>
      </c>
      <c r="R21" s="6" t="s">
        <v>234</v>
      </c>
    </row>
    <row r="22">
      <c r="A22" s="8">
        <f>'2.4'!A:A</f>
        <v>46213.39575</v>
      </c>
      <c r="B22" s="1" t="str">
        <f>'2.4'!B:B</f>
        <v>bnco1058@signalschool.ac.th</v>
      </c>
      <c r="C22" s="1" t="str">
        <f>'2.4'!C:C</f>
        <v>พ.ต. ไมตรี  บุญเหลื่อม</v>
      </c>
      <c r="D22" s="9">
        <v>1.0</v>
      </c>
      <c r="E22" s="10">
        <f>IFERROR(vlookup('2.4'!D:D,lookup!$A$2:$B$4,2,false),0)</f>
        <v>5</v>
      </c>
      <c r="F22" s="10">
        <f>IFERROR(vlookup('2.4'!E:E,lookup!$A$6:$B$8,2,false),0)</f>
        <v>5</v>
      </c>
      <c r="G22" s="10">
        <f>IFERROR(vlookup('2.4'!F:F,lookup!$A$10:$B$12,2,false),0)</f>
        <v>5</v>
      </c>
      <c r="H22" s="10">
        <f>IFERROR(vlookup('2.4'!G:G,lookup!$A$14:$B$16,2,false),0)</f>
        <v>5</v>
      </c>
      <c r="I22" s="10">
        <f>IFERROR(vlookup('2.4'!H:H,lookup!$A$18:$B$20,2,false),0)</f>
        <v>5</v>
      </c>
      <c r="J22" s="10">
        <f>IFERROR(vlookup('2.4'!I:I,lookup!$A$22:$B$24,2,false),0)</f>
        <v>3</v>
      </c>
      <c r="K22" s="10">
        <f>IFERROR(vlookup('2.4'!J:J,lookup!$A$26:$B$28,2,false),0)</f>
        <v>3</v>
      </c>
      <c r="L22" s="1"/>
      <c r="M22" s="10">
        <v>21.0</v>
      </c>
      <c r="N22" s="11" t="str">
        <f t="shared" si="1"/>
        <v>bnco1021@signalschool.ac.th</v>
      </c>
      <c r="O22" s="12">
        <f t="shared" si="2"/>
        <v>1</v>
      </c>
      <c r="R22" s="6" t="s">
        <v>235</v>
      </c>
    </row>
    <row r="23">
      <c r="A23" s="8">
        <f>'2.4'!A:A</f>
        <v>46213.39592</v>
      </c>
      <c r="B23" s="1" t="str">
        <f>'2.4'!B:B</f>
        <v>bnco1009@signalschool.ac.th</v>
      </c>
      <c r="C23" s="1" t="str">
        <f>'2.4'!C:C</f>
        <v>พ.ต. ไมตรี  บุญเหลื่อม</v>
      </c>
      <c r="D23" s="9">
        <v>1.0</v>
      </c>
      <c r="E23" s="10">
        <f>IFERROR(vlookup('2.4'!D:D,lookup!$A$2:$B$4,2,false),0)</f>
        <v>5</v>
      </c>
      <c r="F23" s="10">
        <f>IFERROR(vlookup('2.4'!E:E,lookup!$A$6:$B$8,2,false),0)</f>
        <v>5</v>
      </c>
      <c r="G23" s="10">
        <f>IFERROR(vlookup('2.4'!F:F,lookup!$A$10:$B$12,2,false),0)</f>
        <v>5</v>
      </c>
      <c r="H23" s="10">
        <f>IFERROR(vlookup('2.4'!G:G,lookup!$A$14:$B$16,2,false),0)</f>
        <v>5</v>
      </c>
      <c r="I23" s="10">
        <f>IFERROR(vlookup('2.4'!H:H,lookup!$A$18:$B$20,2,false),0)</f>
        <v>5</v>
      </c>
      <c r="J23" s="10">
        <f>IFERROR(vlookup('2.4'!I:I,lookup!$A$22:$B$24,2,false),0)</f>
        <v>5</v>
      </c>
      <c r="K23" s="10">
        <f>IFERROR(vlookup('2.4'!J:J,lookup!$A$26:$B$28,2,false),0)</f>
        <v>5</v>
      </c>
      <c r="L23" s="1"/>
      <c r="M23" s="10">
        <v>22.0</v>
      </c>
      <c r="N23" s="11" t="str">
        <f t="shared" si="1"/>
        <v>bnco1022@signalschool.ac.th</v>
      </c>
      <c r="O23" s="12">
        <f t="shared" si="2"/>
        <v>0</v>
      </c>
      <c r="R23" s="6" t="s">
        <v>236</v>
      </c>
    </row>
    <row r="24">
      <c r="A24" s="8">
        <f>'2.4'!A:A</f>
        <v>46213.396</v>
      </c>
      <c r="B24" s="1" t="str">
        <f>'2.4'!B:B</f>
        <v>bnco1031@signalschool.ac.th</v>
      </c>
      <c r="C24" s="1" t="str">
        <f>'2.4'!C:C</f>
        <v>พ.ต. ไมตรี  บุญเหลื่อม</v>
      </c>
      <c r="D24" s="9">
        <v>1.0</v>
      </c>
      <c r="E24" s="10">
        <f>IFERROR(vlookup('2.4'!D:D,lookup!$A$2:$B$4,2,false),0)</f>
        <v>5</v>
      </c>
      <c r="F24" s="10">
        <f>IFERROR(vlookup('2.4'!E:E,lookup!$A$6:$B$8,2,false),0)</f>
        <v>5</v>
      </c>
      <c r="G24" s="10">
        <f>IFERROR(vlookup('2.4'!F:F,lookup!$A$10:$B$12,2,false),0)</f>
        <v>5</v>
      </c>
      <c r="H24" s="10">
        <f>IFERROR(vlookup('2.4'!G:G,lookup!$A$14:$B$16,2,false),0)</f>
        <v>5</v>
      </c>
      <c r="I24" s="10">
        <f>IFERROR(vlookup('2.4'!H:H,lookup!$A$18:$B$20,2,false),0)</f>
        <v>5</v>
      </c>
      <c r="J24" s="10">
        <f>IFERROR(vlookup('2.4'!I:I,lookup!$A$22:$B$24,2,false),0)</f>
        <v>5</v>
      </c>
      <c r="K24" s="10">
        <f>IFERROR(vlookup('2.4'!J:J,lookup!$A$26:$B$28,2,false),0)</f>
        <v>5</v>
      </c>
      <c r="L24" s="1"/>
      <c r="M24" s="10">
        <v>23.0</v>
      </c>
      <c r="N24" s="11" t="str">
        <f t="shared" si="1"/>
        <v>bnco1023@signalschool.ac.th</v>
      </c>
      <c r="O24" s="12">
        <f t="shared" si="2"/>
        <v>1</v>
      </c>
      <c r="R24" s="6" t="s">
        <v>237</v>
      </c>
    </row>
    <row r="25">
      <c r="A25" s="8">
        <f>'2.4'!A:A</f>
        <v>46213.39668</v>
      </c>
      <c r="B25" s="1" t="str">
        <f>'2.4'!B:B</f>
        <v>bnco1039@signalschool.ac.th</v>
      </c>
      <c r="C25" s="1" t="str">
        <f>'2.4'!C:C</f>
        <v>พ.ต. ไมตรี  บุญเหลื่อม</v>
      </c>
      <c r="D25" s="9">
        <v>1.0</v>
      </c>
      <c r="E25" s="10">
        <f>IFERROR(vlookup('2.4'!D:D,lookup!$A$2:$B$4,2,false),0)</f>
        <v>5</v>
      </c>
      <c r="F25" s="10">
        <f>IFERROR(vlookup('2.4'!E:E,lookup!$A$6:$B$8,2,false),0)</f>
        <v>5</v>
      </c>
      <c r="G25" s="10">
        <f>IFERROR(vlookup('2.4'!F:F,lookup!$A$10:$B$12,2,false),0)</f>
        <v>5</v>
      </c>
      <c r="H25" s="10">
        <f>IFERROR(vlookup('2.4'!G:G,lookup!$A$14:$B$16,2,false),0)</f>
        <v>5</v>
      </c>
      <c r="I25" s="10">
        <f>IFERROR(vlookup('2.4'!H:H,lookup!$A$18:$B$20,2,false),0)</f>
        <v>5</v>
      </c>
      <c r="J25" s="10">
        <f>IFERROR(vlookup('2.4'!I:I,lookup!$A$22:$B$24,2,false),0)</f>
        <v>5</v>
      </c>
      <c r="K25" s="10">
        <f>IFERROR(vlookup('2.4'!J:J,lookup!$A$26:$B$28,2,false),0)</f>
        <v>5</v>
      </c>
      <c r="L25" s="1"/>
      <c r="M25" s="10">
        <v>24.0</v>
      </c>
      <c r="N25" s="11" t="str">
        <f t="shared" si="1"/>
        <v>bnco1024@signalschool.ac.th</v>
      </c>
      <c r="O25" s="12">
        <f t="shared" si="2"/>
        <v>1</v>
      </c>
      <c r="R25" s="6" t="s">
        <v>238</v>
      </c>
    </row>
    <row r="26">
      <c r="A26" s="8">
        <f>'2.4'!A:A</f>
        <v>46213.39699</v>
      </c>
      <c r="B26" s="1" t="str">
        <f>'2.4'!B:B</f>
        <v>bnco1071@signalschool.ac.th</v>
      </c>
      <c r="C26" s="1" t="str">
        <f>'2.4'!C:C</f>
        <v>พ.ต.ไมตรี  บุญเหลื่อม</v>
      </c>
      <c r="D26" s="9">
        <v>1.0</v>
      </c>
      <c r="E26" s="10">
        <f>IFERROR(vlookup('2.4'!D:D,lookup!$A$2:$B$4,2,false),0)</f>
        <v>5</v>
      </c>
      <c r="F26" s="10">
        <f>IFERROR(vlookup('2.4'!E:E,lookup!$A$6:$B$8,2,false),0)</f>
        <v>5</v>
      </c>
      <c r="G26" s="10">
        <f>IFERROR(vlookup('2.4'!F:F,lookup!$A$10:$B$12,2,false),0)</f>
        <v>5</v>
      </c>
      <c r="H26" s="10">
        <f>IFERROR(vlookup('2.4'!G:G,lookup!$A$14:$B$16,2,false),0)</f>
        <v>5</v>
      </c>
      <c r="I26" s="10">
        <f>IFERROR(vlookup('2.4'!H:H,lookup!$A$18:$B$20,2,false),0)</f>
        <v>5</v>
      </c>
      <c r="J26" s="10">
        <f>IFERROR(vlookup('2.4'!I:I,lookup!$A$22:$B$24,2,false),0)</f>
        <v>5</v>
      </c>
      <c r="K26" s="10">
        <f>IFERROR(vlookup('2.4'!J:J,lookup!$A$26:$B$28,2,false),0)</f>
        <v>5</v>
      </c>
      <c r="L26" s="1"/>
      <c r="M26" s="10">
        <v>25.0</v>
      </c>
      <c r="N26" s="11" t="str">
        <f t="shared" si="1"/>
        <v>bnco1025@signalschool.ac.th</v>
      </c>
      <c r="O26" s="12">
        <f t="shared" si="2"/>
        <v>1</v>
      </c>
      <c r="R26" s="6" t="s">
        <v>239</v>
      </c>
    </row>
    <row r="27">
      <c r="A27" s="8">
        <f>'2.4'!A:A</f>
        <v>46213.39701</v>
      </c>
      <c r="B27" s="1" t="str">
        <f>'2.4'!B:B</f>
        <v>bnco1033@signalschool.ac.th</v>
      </c>
      <c r="C27" s="1" t="str">
        <f>'2.4'!C:C</f>
        <v>พ.ต. ไมตรี บุญเหลื่อม</v>
      </c>
      <c r="D27" s="9">
        <v>1.0</v>
      </c>
      <c r="E27" s="10">
        <f>IFERROR(vlookup('2.4'!D:D,lookup!$A$2:$B$4,2,false),0)</f>
        <v>5</v>
      </c>
      <c r="F27" s="10">
        <f>IFERROR(vlookup('2.4'!E:E,lookup!$A$6:$B$8,2,false),0)</f>
        <v>5</v>
      </c>
      <c r="G27" s="10">
        <f>IFERROR(vlookup('2.4'!F:F,lookup!$A$10:$B$12,2,false),0)</f>
        <v>5</v>
      </c>
      <c r="H27" s="10">
        <f>IFERROR(vlookup('2.4'!G:G,lookup!$A$14:$B$16,2,false),0)</f>
        <v>5</v>
      </c>
      <c r="I27" s="10">
        <f>IFERROR(vlookup('2.4'!H:H,lookup!$A$18:$B$20,2,false),0)</f>
        <v>5</v>
      </c>
      <c r="J27" s="10">
        <f>IFERROR(vlookup('2.4'!I:I,lookup!$A$22:$B$24,2,false),0)</f>
        <v>5</v>
      </c>
      <c r="K27" s="10">
        <f>IFERROR(vlookup('2.4'!J:J,lookup!$A$26:$B$28,2,false),0)</f>
        <v>5</v>
      </c>
      <c r="L27" s="1"/>
      <c r="M27" s="10">
        <v>26.0</v>
      </c>
      <c r="N27" s="11" t="str">
        <f t="shared" si="1"/>
        <v>bnco1026@signalschool.ac.th</v>
      </c>
      <c r="O27" s="12">
        <f t="shared" si="2"/>
        <v>1</v>
      </c>
      <c r="R27" s="6" t="s">
        <v>240</v>
      </c>
    </row>
    <row r="28">
      <c r="A28" s="8">
        <f>'2.4'!A:A</f>
        <v>46213.39722</v>
      </c>
      <c r="B28" s="1" t="str">
        <f>'2.4'!B:B</f>
        <v>bnco1011@signalschool.ac.th</v>
      </c>
      <c r="C28" s="1" t="str">
        <f>'2.4'!C:C</f>
        <v>พ.ต.ไมตรี บุญเหลื่อม</v>
      </c>
      <c r="D28" s="9">
        <v>1.0</v>
      </c>
      <c r="E28" s="10">
        <f>IFERROR(vlookup('2.4'!D:D,lookup!$A$2:$B$4,2,false),0)</f>
        <v>5</v>
      </c>
      <c r="F28" s="10">
        <f>IFERROR(vlookup('2.4'!E:E,lookup!$A$6:$B$8,2,false),0)</f>
        <v>5</v>
      </c>
      <c r="G28" s="10">
        <f>IFERROR(vlookup('2.4'!F:F,lookup!$A$10:$B$12,2,false),0)</f>
        <v>5</v>
      </c>
      <c r="H28" s="10">
        <f>IFERROR(vlookup('2.4'!G:G,lookup!$A$14:$B$16,2,false),0)</f>
        <v>5</v>
      </c>
      <c r="I28" s="10">
        <f>IFERROR(vlookup('2.4'!H:H,lookup!$A$18:$B$20,2,false),0)</f>
        <v>5</v>
      </c>
      <c r="J28" s="10">
        <f>IFERROR(vlookup('2.4'!I:I,lookup!$A$22:$B$24,2,false),0)</f>
        <v>5</v>
      </c>
      <c r="K28" s="10">
        <f>IFERROR(vlookup('2.4'!J:J,lookup!$A$26:$B$28,2,false),0)</f>
        <v>5</v>
      </c>
      <c r="L28" s="1"/>
      <c r="M28" s="10">
        <v>27.0</v>
      </c>
      <c r="N28" s="11" t="str">
        <f t="shared" si="1"/>
        <v>bnco1027@signalschool.ac.th</v>
      </c>
      <c r="O28" s="12">
        <f t="shared" si="2"/>
        <v>1</v>
      </c>
      <c r="R28" s="6" t="s">
        <v>241</v>
      </c>
    </row>
    <row r="29">
      <c r="A29" s="8">
        <f>'2.4'!A:A</f>
        <v>46213.39756</v>
      </c>
      <c r="B29" s="1" t="str">
        <f>'2.4'!B:B</f>
        <v>bnco1064@signalschool.ac.th</v>
      </c>
      <c r="C29" s="1" t="str">
        <f>'2.4'!C:C</f>
        <v>ส.อ.ชัยวัฒน์ สมอ่อน</v>
      </c>
      <c r="D29" s="9">
        <v>1.0</v>
      </c>
      <c r="E29" s="10">
        <f>IFERROR(vlookup('2.4'!D:D,lookup!$A$2:$B$4,2,false),0)</f>
        <v>5</v>
      </c>
      <c r="F29" s="10">
        <f>IFERROR(vlookup('2.4'!E:E,lookup!$A$6:$B$8,2,false),0)</f>
        <v>5</v>
      </c>
      <c r="G29" s="10">
        <f>IFERROR(vlookup('2.4'!F:F,lookup!$A$10:$B$12,2,false),0)</f>
        <v>5</v>
      </c>
      <c r="H29" s="10">
        <f>IFERROR(vlookup('2.4'!G:G,lookup!$A$14:$B$16,2,false),0)</f>
        <v>5</v>
      </c>
      <c r="I29" s="10">
        <f>IFERROR(vlookup('2.4'!H:H,lookup!$A$18:$B$20,2,false),0)</f>
        <v>5</v>
      </c>
      <c r="J29" s="10">
        <f>IFERROR(vlookup('2.4'!I:I,lookup!$A$22:$B$24,2,false),0)</f>
        <v>5</v>
      </c>
      <c r="K29" s="10">
        <f>IFERROR(vlookup('2.4'!J:J,lookup!$A$26:$B$28,2,false),0)</f>
        <v>5</v>
      </c>
      <c r="L29" s="1"/>
      <c r="M29" s="10">
        <v>28.0</v>
      </c>
      <c r="N29" s="11" t="str">
        <f t="shared" si="1"/>
        <v>bnco1028@signalschool.ac.th</v>
      </c>
      <c r="O29" s="12">
        <f t="shared" si="2"/>
        <v>0</v>
      </c>
      <c r="R29" s="6" t="s">
        <v>242</v>
      </c>
    </row>
    <row r="30">
      <c r="A30" s="8">
        <f>'2.4'!A:A</f>
        <v>46213.39757</v>
      </c>
      <c r="B30" s="1" t="str">
        <f>'2.4'!B:B</f>
        <v>bnco1079@signalschool.ac.th</v>
      </c>
      <c r="C30" s="1" t="str">
        <f>'2.4'!C:C</f>
        <v>พ.ต. ไมตรี  บุญเหลื่อม</v>
      </c>
      <c r="D30" s="9">
        <v>1.0</v>
      </c>
      <c r="E30" s="10">
        <f>IFERROR(vlookup('2.4'!D:D,lookup!$A$2:$B$4,2,false),0)</f>
        <v>5</v>
      </c>
      <c r="F30" s="10">
        <f>IFERROR(vlookup('2.4'!E:E,lookup!$A$6:$B$8,2,false),0)</f>
        <v>5</v>
      </c>
      <c r="G30" s="10">
        <f>IFERROR(vlookup('2.4'!F:F,lookup!$A$10:$B$12,2,false),0)</f>
        <v>5</v>
      </c>
      <c r="H30" s="10">
        <f>IFERROR(vlookup('2.4'!G:G,lookup!$A$14:$B$16,2,false),0)</f>
        <v>5</v>
      </c>
      <c r="I30" s="10">
        <f>IFERROR(vlookup('2.4'!H:H,lookup!$A$18:$B$20,2,false),0)</f>
        <v>5</v>
      </c>
      <c r="J30" s="10">
        <f>IFERROR(vlookup('2.4'!I:I,lookup!$A$22:$B$24,2,false),0)</f>
        <v>5</v>
      </c>
      <c r="K30" s="10">
        <f>IFERROR(vlookup('2.4'!J:J,lookup!$A$26:$B$28,2,false),0)</f>
        <v>5</v>
      </c>
      <c r="L30" s="1"/>
      <c r="M30" s="10">
        <v>29.0</v>
      </c>
      <c r="N30" s="11" t="str">
        <f t="shared" si="1"/>
        <v>bnco1029@signalschool.ac.th</v>
      </c>
      <c r="O30" s="12">
        <f t="shared" si="2"/>
        <v>0</v>
      </c>
      <c r="R30" s="6" t="s">
        <v>243</v>
      </c>
    </row>
    <row r="31">
      <c r="A31" s="8">
        <f>'2.4'!A:A</f>
        <v>46213.39762</v>
      </c>
      <c r="B31" s="1" t="str">
        <f>'2.4'!B:B</f>
        <v>bnco1061@signalschool.ac.th</v>
      </c>
      <c r="C31" s="1" t="str">
        <f>'2.4'!C:C</f>
        <v>พ.ต.ไมตรี บุญเหลื่อม</v>
      </c>
      <c r="D31" s="9">
        <v>1.0</v>
      </c>
      <c r="E31" s="10">
        <f>IFERROR(vlookup('2.4'!D:D,lookup!$A$2:$B$4,2,false),0)</f>
        <v>5</v>
      </c>
      <c r="F31" s="10">
        <f>IFERROR(vlookup('2.4'!E:E,lookup!$A$6:$B$8,2,false),0)</f>
        <v>5</v>
      </c>
      <c r="G31" s="10">
        <f>IFERROR(vlookup('2.4'!F:F,lookup!$A$10:$B$12,2,false),0)</f>
        <v>5</v>
      </c>
      <c r="H31" s="10">
        <f>IFERROR(vlookup('2.4'!G:G,lookup!$A$14:$B$16,2,false),0)</f>
        <v>5</v>
      </c>
      <c r="I31" s="10">
        <f>IFERROR(vlookup('2.4'!H:H,lookup!$A$18:$B$20,2,false),0)</f>
        <v>5</v>
      </c>
      <c r="J31" s="10">
        <f>IFERROR(vlookup('2.4'!I:I,lookup!$A$22:$B$24,2,false),0)</f>
        <v>5</v>
      </c>
      <c r="K31" s="10">
        <f>IFERROR(vlookup('2.4'!J:J,lookup!$A$26:$B$28,2,false),0)</f>
        <v>5</v>
      </c>
      <c r="L31" s="1"/>
      <c r="M31" s="10">
        <v>30.0</v>
      </c>
      <c r="N31" s="11" t="str">
        <f t="shared" si="1"/>
        <v>bnco1030@signalschool.ac.th</v>
      </c>
      <c r="O31" s="12">
        <f t="shared" si="2"/>
        <v>1</v>
      </c>
      <c r="R31" s="6" t="s">
        <v>244</v>
      </c>
    </row>
    <row r="32">
      <c r="A32" s="8">
        <f>'2.4'!A:A</f>
        <v>46213.39789</v>
      </c>
      <c r="B32" s="1" t="str">
        <f>'2.4'!B:B</f>
        <v>bnco1019@signalschool.ac.th</v>
      </c>
      <c r="C32" s="1" t="str">
        <f>'2.4'!C:C</f>
        <v>พ.ต.ไมตรี  บุญเหลื่อม</v>
      </c>
      <c r="D32" s="9">
        <v>1.0</v>
      </c>
      <c r="E32" s="10">
        <f>IFERROR(vlookup('2.4'!D:D,lookup!$A$2:$B$4,2,false),0)</f>
        <v>5</v>
      </c>
      <c r="F32" s="10">
        <f>IFERROR(vlookup('2.4'!E:E,lookup!$A$6:$B$8,2,false),0)</f>
        <v>5</v>
      </c>
      <c r="G32" s="10">
        <f>IFERROR(vlookup('2.4'!F:F,lookup!$A$10:$B$12,2,false),0)</f>
        <v>5</v>
      </c>
      <c r="H32" s="10">
        <f>IFERROR(vlookup('2.4'!G:G,lookup!$A$14:$B$16,2,false),0)</f>
        <v>5</v>
      </c>
      <c r="I32" s="10">
        <f>IFERROR(vlookup('2.4'!H:H,lookup!$A$18:$B$20,2,false),0)</f>
        <v>5</v>
      </c>
      <c r="J32" s="10">
        <f>IFERROR(vlookup('2.4'!I:I,lookup!$A$22:$B$24,2,false),0)</f>
        <v>5</v>
      </c>
      <c r="K32" s="10">
        <f>IFERROR(vlookup('2.4'!J:J,lookup!$A$26:$B$28,2,false),0)</f>
        <v>5</v>
      </c>
      <c r="L32" s="1"/>
      <c r="M32" s="10">
        <v>31.0</v>
      </c>
      <c r="N32" s="11" t="str">
        <f t="shared" si="1"/>
        <v>bnco1031@signalschool.ac.th</v>
      </c>
      <c r="O32" s="12">
        <f t="shared" si="2"/>
        <v>1</v>
      </c>
      <c r="R32" s="6" t="s">
        <v>245</v>
      </c>
    </row>
    <row r="33">
      <c r="A33" s="8">
        <f>'2.4'!A:A</f>
        <v>46213.39825</v>
      </c>
      <c r="B33" s="1" t="str">
        <f>'2.4'!B:B</f>
        <v>bnco1002@signalschool.ac.th</v>
      </c>
      <c r="C33" s="1" t="str">
        <f>'2.4'!C:C</f>
        <v>พันตรี ไมตรี บุญเหลื่อม</v>
      </c>
      <c r="D33" s="9">
        <v>1.0</v>
      </c>
      <c r="E33" s="10">
        <f>IFERROR(vlookup('2.4'!D:D,lookup!$A$2:$B$4,2,false),0)</f>
        <v>5</v>
      </c>
      <c r="F33" s="10">
        <f>IFERROR(vlookup('2.4'!E:E,lookup!$A$6:$B$8,2,false),0)</f>
        <v>3</v>
      </c>
      <c r="G33" s="10">
        <f>IFERROR(vlookup('2.4'!F:F,lookup!$A$10:$B$12,2,false),0)</f>
        <v>5</v>
      </c>
      <c r="H33" s="10">
        <f>IFERROR(vlookup('2.4'!G:G,lookup!$A$14:$B$16,2,false),0)</f>
        <v>5</v>
      </c>
      <c r="I33" s="10">
        <f>IFERROR(vlookup('2.4'!H:H,lookup!$A$18:$B$20,2,false),0)</f>
        <v>5</v>
      </c>
      <c r="J33" s="10">
        <f>IFERROR(vlookup('2.4'!I:I,lookup!$A$22:$B$24,2,false),0)</f>
        <v>5</v>
      </c>
      <c r="K33" s="10">
        <f>IFERROR(vlookup('2.4'!J:J,lookup!$A$26:$B$28,2,false),0)</f>
        <v>5</v>
      </c>
      <c r="L33" s="1"/>
      <c r="M33" s="10">
        <v>32.0</v>
      </c>
      <c r="N33" s="11" t="str">
        <f t="shared" si="1"/>
        <v>bnco1032@signalschool.ac.th</v>
      </c>
      <c r="O33" s="12">
        <f t="shared" si="2"/>
        <v>1</v>
      </c>
      <c r="R33" s="6" t="s">
        <v>246</v>
      </c>
    </row>
    <row r="34">
      <c r="A34" s="8">
        <f>'2.4'!A:A</f>
        <v>46213.39848</v>
      </c>
      <c r="B34" s="1" t="str">
        <f>'2.4'!B:B</f>
        <v>bnco1044@signalschool.ac.th</v>
      </c>
      <c r="C34" s="1" t="str">
        <f>'2.4'!C:C</f>
        <v>พ.ต. ไมตรี บุญเหลื่อม</v>
      </c>
      <c r="D34" s="9">
        <v>1.0</v>
      </c>
      <c r="E34" s="10">
        <f>IFERROR(vlookup('2.4'!D:D,lookup!$A$2:$B$4,2,false),0)</f>
        <v>5</v>
      </c>
      <c r="F34" s="10">
        <f>IFERROR(vlookup('2.4'!E:E,lookup!$A$6:$B$8,2,false),0)</f>
        <v>3</v>
      </c>
      <c r="G34" s="10">
        <f>IFERROR(vlookup('2.4'!F:F,lookup!$A$10:$B$12,2,false),0)</f>
        <v>5</v>
      </c>
      <c r="H34" s="10">
        <f>IFERROR(vlookup('2.4'!G:G,lookup!$A$14:$B$16,2,false),0)</f>
        <v>5</v>
      </c>
      <c r="I34" s="10">
        <f>IFERROR(vlookup('2.4'!H:H,lookup!$A$18:$B$20,2,false),0)</f>
        <v>5</v>
      </c>
      <c r="J34" s="10">
        <f>IFERROR(vlookup('2.4'!I:I,lookup!$A$22:$B$24,2,false),0)</f>
        <v>5</v>
      </c>
      <c r="K34" s="10">
        <f>IFERROR(vlookup('2.4'!J:J,lookup!$A$26:$B$28,2,false),0)</f>
        <v>5</v>
      </c>
      <c r="L34" s="1"/>
      <c r="M34" s="10">
        <v>33.0</v>
      </c>
      <c r="N34" s="11" t="str">
        <f t="shared" si="1"/>
        <v>bnco1033@signalschool.ac.th</v>
      </c>
      <c r="O34" s="12">
        <f t="shared" si="2"/>
        <v>1</v>
      </c>
      <c r="R34" s="6" t="s">
        <v>247</v>
      </c>
    </row>
    <row r="35">
      <c r="A35" s="8">
        <f>'2.4'!A:A</f>
        <v>46213.39864</v>
      </c>
      <c r="B35" s="1" t="str">
        <f>'2.4'!B:B</f>
        <v>bnco1074@signalschool.ac.th</v>
      </c>
      <c r="C35" s="1" t="str">
        <f>'2.4'!C:C</f>
        <v>พ.ต. ไมตรี  บุญเหลื่อม</v>
      </c>
      <c r="D35" s="9">
        <v>1.0</v>
      </c>
      <c r="E35" s="10">
        <f>IFERROR(vlookup('2.4'!D:D,lookup!$A$2:$B$4,2,false),0)</f>
        <v>5</v>
      </c>
      <c r="F35" s="10">
        <f>IFERROR(vlookup('2.4'!E:E,lookup!$A$6:$B$8,2,false),0)</f>
        <v>5</v>
      </c>
      <c r="G35" s="10">
        <f>IFERROR(vlookup('2.4'!F:F,lookup!$A$10:$B$12,2,false),0)</f>
        <v>5</v>
      </c>
      <c r="H35" s="10">
        <f>IFERROR(vlookup('2.4'!G:G,lookup!$A$14:$B$16,2,false),0)</f>
        <v>5</v>
      </c>
      <c r="I35" s="10">
        <f>IFERROR(vlookup('2.4'!H:H,lookup!$A$18:$B$20,2,false),0)</f>
        <v>5</v>
      </c>
      <c r="J35" s="10">
        <f>IFERROR(vlookup('2.4'!I:I,lookup!$A$22:$B$24,2,false),0)</f>
        <v>5</v>
      </c>
      <c r="K35" s="10">
        <f>IFERROR(vlookup('2.4'!J:J,lookup!$A$26:$B$28,2,false),0)</f>
        <v>5</v>
      </c>
      <c r="L35" s="1"/>
      <c r="M35" s="10">
        <v>34.0</v>
      </c>
      <c r="N35" s="11" t="str">
        <f t="shared" si="1"/>
        <v>bnco1034@signalschool.ac.th</v>
      </c>
      <c r="O35" s="12">
        <f t="shared" si="2"/>
        <v>1</v>
      </c>
      <c r="R35" s="6" t="s">
        <v>248</v>
      </c>
    </row>
    <row r="36">
      <c r="A36" s="8">
        <f>'2.4'!A:A</f>
        <v>46213.3988</v>
      </c>
      <c r="B36" s="1" t="str">
        <f>'2.4'!B:B</f>
        <v>bnco1062@signalschool.ac.th</v>
      </c>
      <c r="C36" s="1" t="str">
        <f>'2.4'!C:C</f>
        <v>พ.ต. ไมตรี  บุญเหลื่อม</v>
      </c>
      <c r="D36" s="9">
        <v>1.0</v>
      </c>
      <c r="E36" s="10">
        <f>IFERROR(vlookup('2.4'!D:D,lookup!$A$2:$B$4,2,false),0)</f>
        <v>3</v>
      </c>
      <c r="F36" s="10">
        <f>IFERROR(vlookup('2.4'!E:E,lookup!$A$6:$B$8,2,false),0)</f>
        <v>5</v>
      </c>
      <c r="G36" s="10">
        <f>IFERROR(vlookup('2.4'!F:F,lookup!$A$10:$B$12,2,false),0)</f>
        <v>3</v>
      </c>
      <c r="H36" s="10">
        <f>IFERROR(vlookup('2.4'!G:G,lookup!$A$14:$B$16,2,false),0)</f>
        <v>5</v>
      </c>
      <c r="I36" s="10">
        <f>IFERROR(vlookup('2.4'!H:H,lookup!$A$18:$B$20,2,false),0)</f>
        <v>5</v>
      </c>
      <c r="J36" s="10">
        <f>IFERROR(vlookup('2.4'!I:I,lookup!$A$22:$B$24,2,false),0)</f>
        <v>5</v>
      </c>
      <c r="K36" s="10">
        <f>IFERROR(vlookup('2.4'!J:J,lookup!$A$26:$B$28,2,false),0)</f>
        <v>5</v>
      </c>
      <c r="L36" s="1"/>
      <c r="M36" s="10">
        <v>35.0</v>
      </c>
      <c r="N36" s="11" t="str">
        <f t="shared" si="1"/>
        <v>bnco1035@signalschool.ac.th</v>
      </c>
      <c r="O36" s="12">
        <f t="shared" si="2"/>
        <v>1</v>
      </c>
      <c r="R36" s="6" t="s">
        <v>249</v>
      </c>
    </row>
    <row r="37">
      <c r="A37" s="8">
        <f>'2.4'!A:A</f>
        <v>46213.39917</v>
      </c>
      <c r="B37" s="1" t="str">
        <f>'2.4'!B:B</f>
        <v>bnco1078@signalschool.ac.th</v>
      </c>
      <c r="C37" s="1" t="str">
        <f>'2.4'!C:C</f>
        <v>พ.ต.ไมตรี บุญเหลื่อม</v>
      </c>
      <c r="D37" s="9">
        <v>1.0</v>
      </c>
      <c r="E37" s="10">
        <f>IFERROR(vlookup('2.4'!D:D,lookup!$A$2:$B$4,2,false),0)</f>
        <v>5</v>
      </c>
      <c r="F37" s="10">
        <f>IFERROR(vlookup('2.4'!E:E,lookup!$A$6:$B$8,2,false),0)</f>
        <v>5</v>
      </c>
      <c r="G37" s="10">
        <f>IFERROR(vlookup('2.4'!F:F,lookup!$A$10:$B$12,2,false),0)</f>
        <v>5</v>
      </c>
      <c r="H37" s="10">
        <f>IFERROR(vlookup('2.4'!G:G,lookup!$A$14:$B$16,2,false),0)</f>
        <v>5</v>
      </c>
      <c r="I37" s="10">
        <f>IFERROR(vlookup('2.4'!H:H,lookup!$A$18:$B$20,2,false),0)</f>
        <v>5</v>
      </c>
      <c r="J37" s="10">
        <f>IFERROR(vlookup('2.4'!I:I,lookup!$A$22:$B$24,2,false),0)</f>
        <v>5</v>
      </c>
      <c r="K37" s="10">
        <f>IFERROR(vlookup('2.4'!J:J,lookup!$A$26:$B$28,2,false),0)</f>
        <v>5</v>
      </c>
      <c r="L37" s="1"/>
      <c r="M37" s="10">
        <v>36.0</v>
      </c>
      <c r="N37" s="11" t="str">
        <f t="shared" si="1"/>
        <v>bnco1036@signalschool.ac.th</v>
      </c>
      <c r="O37" s="12">
        <f t="shared" si="2"/>
        <v>1</v>
      </c>
      <c r="R37" s="6" t="s">
        <v>250</v>
      </c>
    </row>
    <row r="38">
      <c r="A38" s="8">
        <f>'2.4'!A:A</f>
        <v>46213.39941</v>
      </c>
      <c r="B38" s="1" t="str">
        <f>'2.4'!B:B</f>
        <v>bnco1015@signalschool.ac.th</v>
      </c>
      <c r="C38" s="1" t="str">
        <f>'2.4'!C:C</f>
        <v>พ.ต.ไมตรี  บุญเลื่อม</v>
      </c>
      <c r="D38" s="9">
        <v>1.0</v>
      </c>
      <c r="E38" s="10">
        <f>IFERROR(vlookup('2.4'!D:D,lookup!$A$2:$B$4,2,false),0)</f>
        <v>5</v>
      </c>
      <c r="F38" s="10">
        <f>IFERROR(vlookup('2.4'!E:E,lookup!$A$6:$B$8,2,false),0)</f>
        <v>5</v>
      </c>
      <c r="G38" s="10">
        <f>IFERROR(vlookup('2.4'!F:F,lookup!$A$10:$B$12,2,false),0)</f>
        <v>5</v>
      </c>
      <c r="H38" s="10">
        <f>IFERROR(vlookup('2.4'!G:G,lookup!$A$14:$B$16,2,false),0)</f>
        <v>5</v>
      </c>
      <c r="I38" s="10">
        <f>IFERROR(vlookup('2.4'!H:H,lookup!$A$18:$B$20,2,false),0)</f>
        <v>5</v>
      </c>
      <c r="J38" s="10">
        <f>IFERROR(vlookup('2.4'!I:I,lookup!$A$22:$B$24,2,false),0)</f>
        <v>5</v>
      </c>
      <c r="K38" s="10">
        <f>IFERROR(vlookup('2.4'!J:J,lookup!$A$26:$B$28,2,false),0)</f>
        <v>5</v>
      </c>
      <c r="L38" s="1"/>
      <c r="M38" s="10">
        <v>37.0</v>
      </c>
      <c r="N38" s="11" t="str">
        <f t="shared" si="1"/>
        <v>bnco1037@signalschool.ac.th</v>
      </c>
      <c r="O38" s="12">
        <f t="shared" si="2"/>
        <v>1</v>
      </c>
      <c r="R38" s="6" t="s">
        <v>251</v>
      </c>
    </row>
    <row r="39">
      <c r="A39" s="8">
        <f>'2.4'!A:A</f>
        <v>46213.39947</v>
      </c>
      <c r="B39" s="1" t="str">
        <f>'2.4'!B:B</f>
        <v>bnco1025@signalschool.ac.th</v>
      </c>
      <c r="C39" s="1" t="str">
        <f>'2.4'!C:C</f>
        <v>พ.ต.ไมตรี บุญเหลื่อม</v>
      </c>
      <c r="D39" s="9">
        <v>1.0</v>
      </c>
      <c r="E39" s="10">
        <f>IFERROR(vlookup('2.4'!D:D,lookup!$A$2:$B$4,2,false),0)</f>
        <v>5</v>
      </c>
      <c r="F39" s="10">
        <f>IFERROR(vlookup('2.4'!E:E,lookup!$A$6:$B$8,2,false),0)</f>
        <v>5</v>
      </c>
      <c r="G39" s="10">
        <f>IFERROR(vlookup('2.4'!F:F,lookup!$A$10:$B$12,2,false),0)</f>
        <v>5</v>
      </c>
      <c r="H39" s="10">
        <f>IFERROR(vlookup('2.4'!G:G,lookup!$A$14:$B$16,2,false),0)</f>
        <v>5</v>
      </c>
      <c r="I39" s="10">
        <f>IFERROR(vlookup('2.4'!H:H,lookup!$A$18:$B$20,2,false),0)</f>
        <v>5</v>
      </c>
      <c r="J39" s="10">
        <f>IFERROR(vlookup('2.4'!I:I,lookup!$A$22:$B$24,2,false),0)</f>
        <v>5</v>
      </c>
      <c r="K39" s="10">
        <f>IFERROR(vlookup('2.4'!J:J,lookup!$A$26:$B$28,2,false),0)</f>
        <v>5</v>
      </c>
      <c r="L39" s="1"/>
      <c r="M39" s="10">
        <v>38.0</v>
      </c>
      <c r="N39" s="11" t="str">
        <f t="shared" si="1"/>
        <v>bnco1038@signalschool.ac.th</v>
      </c>
      <c r="O39" s="12">
        <f t="shared" si="2"/>
        <v>1</v>
      </c>
      <c r="R39" s="6" t="s">
        <v>252</v>
      </c>
    </row>
    <row r="40">
      <c r="A40" s="8">
        <f>'2.4'!A:A</f>
        <v>46213.40019</v>
      </c>
      <c r="B40" s="1" t="str">
        <f>'2.4'!B:B</f>
        <v>bnco1052@signalschool.ac.th</v>
      </c>
      <c r="C40" s="1" t="str">
        <f>'2.4'!C:C</f>
        <v>พ.ต. ไมตรี  บุญเหลื่อม</v>
      </c>
      <c r="D40" s="9">
        <v>1.0</v>
      </c>
      <c r="E40" s="10">
        <f>IFERROR(vlookup('2.4'!D:D,lookup!$A$2:$B$4,2,false),0)</f>
        <v>5</v>
      </c>
      <c r="F40" s="10">
        <f>IFERROR(vlookup('2.4'!E:E,lookup!$A$6:$B$8,2,false),0)</f>
        <v>5</v>
      </c>
      <c r="G40" s="10">
        <f>IFERROR(vlookup('2.4'!F:F,lookup!$A$10:$B$12,2,false),0)</f>
        <v>5</v>
      </c>
      <c r="H40" s="10">
        <f>IFERROR(vlookup('2.4'!G:G,lookup!$A$14:$B$16,2,false),0)</f>
        <v>5</v>
      </c>
      <c r="I40" s="10">
        <f>IFERROR(vlookup('2.4'!H:H,lookup!$A$18:$B$20,2,false),0)</f>
        <v>5</v>
      </c>
      <c r="J40" s="10">
        <f>IFERROR(vlookup('2.4'!I:I,lookup!$A$22:$B$24,2,false),0)</f>
        <v>5</v>
      </c>
      <c r="K40" s="10">
        <f>IFERROR(vlookup('2.4'!J:J,lookup!$A$26:$B$28,2,false),0)</f>
        <v>5</v>
      </c>
      <c r="L40" s="1"/>
      <c r="M40" s="10">
        <v>39.0</v>
      </c>
      <c r="N40" s="11" t="str">
        <f t="shared" si="1"/>
        <v>bnco1039@signalschool.ac.th</v>
      </c>
      <c r="O40" s="12">
        <f t="shared" si="2"/>
        <v>1</v>
      </c>
      <c r="R40" s="6" t="s">
        <v>253</v>
      </c>
    </row>
    <row r="41">
      <c r="A41" s="8">
        <f>'2.4'!A:A</f>
        <v>46213.4003</v>
      </c>
      <c r="B41" s="1" t="str">
        <f>'2.4'!B:B</f>
        <v>bnco1006@signalschool.ac.th</v>
      </c>
      <c r="C41" s="1" t="str">
        <f>'2.4'!C:C</f>
        <v>ส.อ.ณัฐพงค์ ขอบพิมาย</v>
      </c>
      <c r="D41" s="9">
        <v>1.0</v>
      </c>
      <c r="E41" s="10">
        <f>IFERROR(vlookup('2.4'!D:D,lookup!$A$2:$B$4,2,false),0)</f>
        <v>5</v>
      </c>
      <c r="F41" s="10">
        <f>IFERROR(vlookup('2.4'!E:E,lookup!$A$6:$B$8,2,false),0)</f>
        <v>5</v>
      </c>
      <c r="G41" s="10">
        <f>IFERROR(vlookup('2.4'!F:F,lookup!$A$10:$B$12,2,false),0)</f>
        <v>5</v>
      </c>
      <c r="H41" s="10">
        <f>IFERROR(vlookup('2.4'!G:G,lookup!$A$14:$B$16,2,false),0)</f>
        <v>5</v>
      </c>
      <c r="I41" s="10">
        <f>IFERROR(vlookup('2.4'!H:H,lookup!$A$18:$B$20,2,false),0)</f>
        <v>5</v>
      </c>
      <c r="J41" s="10">
        <f>IFERROR(vlookup('2.4'!I:I,lookup!$A$22:$B$24,2,false),0)</f>
        <v>5</v>
      </c>
      <c r="K41" s="10">
        <f>IFERROR(vlookup('2.4'!J:J,lookup!$A$26:$B$28,2,false),0)</f>
        <v>5</v>
      </c>
      <c r="L41" s="1"/>
      <c r="M41" s="10">
        <v>40.0</v>
      </c>
      <c r="N41" s="11" t="str">
        <f t="shared" si="1"/>
        <v>bnco1040@signalschool.ac.th</v>
      </c>
      <c r="O41" s="12">
        <f t="shared" si="2"/>
        <v>1</v>
      </c>
      <c r="R41" s="6" t="s">
        <v>254</v>
      </c>
    </row>
    <row r="42">
      <c r="A42" s="8">
        <f>'2.4'!A:A</f>
        <v>46213.40133</v>
      </c>
      <c r="B42" s="1" t="str">
        <f>'2.4'!B:B</f>
        <v>bnco1012@signalschool.ac.th</v>
      </c>
      <c r="C42" s="1" t="str">
        <f>'2.4'!C:C</f>
        <v>ส.อ.ทนงศักดิ์  ยุงรัมย์</v>
      </c>
      <c r="D42" s="9">
        <v>1.0</v>
      </c>
      <c r="E42" s="10">
        <f>IFERROR(vlookup('2.4'!D:D,lookup!$A$2:$B$4,2,false),0)</f>
        <v>5</v>
      </c>
      <c r="F42" s="10">
        <f>IFERROR(vlookup('2.4'!E:E,lookup!$A$6:$B$8,2,false),0)</f>
        <v>5</v>
      </c>
      <c r="G42" s="10">
        <f>IFERROR(vlookup('2.4'!F:F,lookup!$A$10:$B$12,2,false),0)</f>
        <v>5</v>
      </c>
      <c r="H42" s="10">
        <f>IFERROR(vlookup('2.4'!G:G,lookup!$A$14:$B$16,2,false),0)</f>
        <v>5</v>
      </c>
      <c r="I42" s="10">
        <f>IFERROR(vlookup('2.4'!H:H,lookup!$A$18:$B$20,2,false),0)</f>
        <v>5</v>
      </c>
      <c r="J42" s="10">
        <f>IFERROR(vlookup('2.4'!I:I,lookup!$A$22:$B$24,2,false),0)</f>
        <v>5</v>
      </c>
      <c r="K42" s="10">
        <f>IFERROR(vlookup('2.4'!J:J,lookup!$A$26:$B$28,2,false),0)</f>
        <v>5</v>
      </c>
      <c r="L42" s="1"/>
      <c r="M42" s="10">
        <v>41.0</v>
      </c>
      <c r="N42" s="11" t="str">
        <f t="shared" si="1"/>
        <v>bnco1041@signalschool.ac.th</v>
      </c>
      <c r="O42" s="12">
        <f t="shared" si="2"/>
        <v>1</v>
      </c>
      <c r="R42" s="6" t="s">
        <v>255</v>
      </c>
    </row>
    <row r="43">
      <c r="A43" s="8">
        <f>'2.4'!A:A</f>
        <v>46213.4015</v>
      </c>
      <c r="B43" s="1" t="str">
        <f>'2.4'!B:B</f>
        <v>bnco1072@signalschool.ac.th</v>
      </c>
      <c r="C43" s="1" t="str">
        <f>'2.4'!C:C</f>
        <v>พ.ต.ไมตรี  บุญเหลื่อม</v>
      </c>
      <c r="D43" s="9">
        <v>1.0</v>
      </c>
      <c r="E43" s="10">
        <f>IFERROR(vlookup('2.4'!D:D,lookup!$A$2:$B$4,2,false),0)</f>
        <v>5</v>
      </c>
      <c r="F43" s="10">
        <f>IFERROR(vlookup('2.4'!E:E,lookup!$A$6:$B$8,2,false),0)</f>
        <v>5</v>
      </c>
      <c r="G43" s="10">
        <f>IFERROR(vlookup('2.4'!F:F,lookup!$A$10:$B$12,2,false),0)</f>
        <v>5</v>
      </c>
      <c r="H43" s="10">
        <f>IFERROR(vlookup('2.4'!G:G,lookup!$A$14:$B$16,2,false),0)</f>
        <v>5</v>
      </c>
      <c r="I43" s="10">
        <f>IFERROR(vlookup('2.4'!H:H,lookup!$A$18:$B$20,2,false),0)</f>
        <v>5</v>
      </c>
      <c r="J43" s="10">
        <f>IFERROR(vlookup('2.4'!I:I,lookup!$A$22:$B$24,2,false),0)</f>
        <v>5</v>
      </c>
      <c r="K43" s="10">
        <f>IFERROR(vlookup('2.4'!J:J,lookup!$A$26:$B$28,2,false),0)</f>
        <v>5</v>
      </c>
      <c r="L43" s="1"/>
      <c r="M43" s="10">
        <v>42.0</v>
      </c>
      <c r="N43" s="11" t="str">
        <f t="shared" si="1"/>
        <v>bnco1042@signalschool.ac.th</v>
      </c>
      <c r="O43" s="12">
        <f t="shared" si="2"/>
        <v>1</v>
      </c>
      <c r="R43" s="6" t="s">
        <v>256</v>
      </c>
    </row>
    <row r="44">
      <c r="A44" s="8">
        <f>'2.4'!A:A</f>
        <v>46213.40165</v>
      </c>
      <c r="B44" s="1" t="str">
        <f>'2.4'!B:B</f>
        <v>bnco1027@signalschool.ac.th</v>
      </c>
      <c r="C44" s="1" t="str">
        <f>'2.4'!C:C</f>
        <v>ส.อ.ไวยวุฒิ จิตต์นิยม</v>
      </c>
      <c r="D44" s="9">
        <v>1.0</v>
      </c>
      <c r="E44" s="10">
        <f>IFERROR(vlookup('2.4'!D:D,lookup!$A$2:$B$4,2,false),0)</f>
        <v>5</v>
      </c>
      <c r="F44" s="10">
        <f>IFERROR(vlookup('2.4'!E:E,lookup!$A$6:$B$8,2,false),0)</f>
        <v>5</v>
      </c>
      <c r="G44" s="10">
        <f>IFERROR(vlookup('2.4'!F:F,lookup!$A$10:$B$12,2,false),0)</f>
        <v>5</v>
      </c>
      <c r="H44" s="10">
        <f>IFERROR(vlookup('2.4'!G:G,lookup!$A$14:$B$16,2,false),0)</f>
        <v>5</v>
      </c>
      <c r="I44" s="10">
        <f>IFERROR(vlookup('2.4'!H:H,lookup!$A$18:$B$20,2,false),0)</f>
        <v>5</v>
      </c>
      <c r="J44" s="10">
        <f>IFERROR(vlookup('2.4'!I:I,lookup!$A$22:$B$24,2,false),0)</f>
        <v>5</v>
      </c>
      <c r="K44" s="10">
        <f>IFERROR(vlookup('2.4'!J:J,lookup!$A$26:$B$28,2,false),0)</f>
        <v>5</v>
      </c>
      <c r="L44" s="1"/>
      <c r="M44" s="10">
        <v>43.0</v>
      </c>
      <c r="N44" s="11" t="str">
        <f t="shared" si="1"/>
        <v>bnco1043@signalschool.ac.th</v>
      </c>
      <c r="O44" s="12">
        <f t="shared" si="2"/>
        <v>1</v>
      </c>
      <c r="R44" s="6" t="s">
        <v>257</v>
      </c>
    </row>
    <row r="45">
      <c r="A45" s="8">
        <f>'2.4'!A:A</f>
        <v>46213.40189</v>
      </c>
      <c r="B45" s="1" t="str">
        <f>'2.4'!B:B</f>
        <v>bnco1066@signalschool.ac.th</v>
      </c>
      <c r="C45" s="1" t="str">
        <f>'2.4'!C:C</f>
        <v>พ.ต. ไมตรี  บุญเหลื่อม</v>
      </c>
      <c r="D45" s="9">
        <v>1.0</v>
      </c>
      <c r="E45" s="10">
        <f>IFERROR(vlookup('2.4'!D:D,lookup!$A$2:$B$4,2,false),0)</f>
        <v>5</v>
      </c>
      <c r="F45" s="10">
        <f>IFERROR(vlookup('2.4'!E:E,lookup!$A$6:$B$8,2,false),0)</f>
        <v>5</v>
      </c>
      <c r="G45" s="10">
        <f>IFERROR(vlookup('2.4'!F:F,lookup!$A$10:$B$12,2,false),0)</f>
        <v>5</v>
      </c>
      <c r="H45" s="10">
        <f>IFERROR(vlookup('2.4'!G:G,lookup!$A$14:$B$16,2,false),0)</f>
        <v>5</v>
      </c>
      <c r="I45" s="10">
        <f>IFERROR(vlookup('2.4'!H:H,lookup!$A$18:$B$20,2,false),0)</f>
        <v>5</v>
      </c>
      <c r="J45" s="10">
        <f>IFERROR(vlookup('2.4'!I:I,lookup!$A$22:$B$24,2,false),0)</f>
        <v>5</v>
      </c>
      <c r="K45" s="10">
        <f>IFERROR(vlookup('2.4'!J:J,lookup!$A$26:$B$28,2,false),0)</f>
        <v>5</v>
      </c>
      <c r="L45" s="1"/>
      <c r="M45" s="10">
        <v>44.0</v>
      </c>
      <c r="N45" s="11" t="str">
        <f t="shared" si="1"/>
        <v>bnco1044@signalschool.ac.th</v>
      </c>
      <c r="O45" s="12">
        <f t="shared" si="2"/>
        <v>1</v>
      </c>
      <c r="R45" s="6" t="s">
        <v>258</v>
      </c>
    </row>
    <row r="46">
      <c r="A46" s="8">
        <f>'2.4'!A:A</f>
        <v>46213.40227</v>
      </c>
      <c r="B46" s="1" t="str">
        <f>'2.4'!B:B</f>
        <v>bnco1060@signalschool.ac.th</v>
      </c>
      <c r="C46" s="1" t="str">
        <f>'2.4'!C:C</f>
        <v>พันตรี ไมตรี บุญเหลื่อม</v>
      </c>
      <c r="D46" s="9">
        <v>1.0</v>
      </c>
      <c r="E46" s="10">
        <f>IFERROR(vlookup('2.4'!D:D,lookup!$A$2:$B$4,2,false),0)</f>
        <v>5</v>
      </c>
      <c r="F46" s="10">
        <f>IFERROR(vlookup('2.4'!E:E,lookup!$A$6:$B$8,2,false),0)</f>
        <v>5</v>
      </c>
      <c r="G46" s="10">
        <f>IFERROR(vlookup('2.4'!F:F,lookup!$A$10:$B$12,2,false),0)</f>
        <v>5</v>
      </c>
      <c r="H46" s="10">
        <f>IFERROR(vlookup('2.4'!G:G,lookup!$A$14:$B$16,2,false),0)</f>
        <v>5</v>
      </c>
      <c r="I46" s="10">
        <f>IFERROR(vlookup('2.4'!H:H,lookup!$A$18:$B$20,2,false),0)</f>
        <v>5</v>
      </c>
      <c r="J46" s="10">
        <f>IFERROR(vlookup('2.4'!I:I,lookup!$A$22:$B$24,2,false),0)</f>
        <v>5</v>
      </c>
      <c r="K46" s="10">
        <f>IFERROR(vlookup('2.4'!J:J,lookup!$A$26:$B$28,2,false),0)</f>
        <v>5</v>
      </c>
      <c r="L46" s="1"/>
      <c r="M46" s="10">
        <v>45.0</v>
      </c>
      <c r="N46" s="11" t="str">
        <f t="shared" si="1"/>
        <v>bnco1045@signalschool.ac.th</v>
      </c>
      <c r="O46" s="12">
        <f t="shared" si="2"/>
        <v>1</v>
      </c>
      <c r="R46" s="6" t="s">
        <v>259</v>
      </c>
    </row>
    <row r="47">
      <c r="A47" s="8">
        <f>'2.4'!A:A</f>
        <v>46213.40279</v>
      </c>
      <c r="B47" s="1" t="str">
        <f>'2.4'!B:B</f>
        <v>bnco1073@signalschool.ac.th</v>
      </c>
      <c r="C47" s="1" t="str">
        <f>'2.4'!C:C</f>
        <v>พ.ต. ไมตรี  บุญเหลื่อม</v>
      </c>
      <c r="D47" s="9">
        <v>1.0</v>
      </c>
      <c r="E47" s="10">
        <f>IFERROR(vlookup('2.4'!D:D,lookup!$A$2:$B$4,2,false),0)</f>
        <v>5</v>
      </c>
      <c r="F47" s="10">
        <f>IFERROR(vlookup('2.4'!E:E,lookup!$A$6:$B$8,2,false),0)</f>
        <v>5</v>
      </c>
      <c r="G47" s="10">
        <f>IFERROR(vlookup('2.4'!F:F,lookup!$A$10:$B$12,2,false),0)</f>
        <v>5</v>
      </c>
      <c r="H47" s="10">
        <f>IFERROR(vlookup('2.4'!G:G,lookup!$A$14:$B$16,2,false),0)</f>
        <v>5</v>
      </c>
      <c r="I47" s="10">
        <f>IFERROR(vlookup('2.4'!H:H,lookup!$A$18:$B$20,2,false),0)</f>
        <v>5</v>
      </c>
      <c r="J47" s="10">
        <f>IFERROR(vlookup('2.4'!I:I,lookup!$A$22:$B$24,2,false),0)</f>
        <v>5</v>
      </c>
      <c r="K47" s="10">
        <f>IFERROR(vlookup('2.4'!J:J,lookup!$A$26:$B$28,2,false),0)</f>
        <v>5</v>
      </c>
      <c r="L47" s="1"/>
      <c r="M47" s="10">
        <v>46.0</v>
      </c>
      <c r="N47" s="11" t="str">
        <f t="shared" si="1"/>
        <v>bnco1046@signalschool.ac.th</v>
      </c>
      <c r="O47" s="12">
        <f t="shared" si="2"/>
        <v>1</v>
      </c>
      <c r="R47" s="6" t="s">
        <v>260</v>
      </c>
    </row>
    <row r="48">
      <c r="A48" s="8">
        <f>'2.4'!A:A</f>
        <v>46213.40314</v>
      </c>
      <c r="B48" s="1" t="str">
        <f>'2.4'!B:B</f>
        <v>bnco1067@signalschool.ac.th</v>
      </c>
      <c r="C48" s="1" t="str">
        <f>'2.4'!C:C</f>
        <v>พ.ต.ไมตรี บุญเหลื่อม</v>
      </c>
      <c r="D48" s="9">
        <v>1.0</v>
      </c>
      <c r="E48" s="10">
        <f>IFERROR(vlookup('2.4'!D:D,lookup!$A$2:$B$4,2,false),0)</f>
        <v>5</v>
      </c>
      <c r="F48" s="10">
        <f>IFERROR(vlookup('2.4'!E:E,lookup!$A$6:$B$8,2,false),0)</f>
        <v>5</v>
      </c>
      <c r="G48" s="10">
        <f>IFERROR(vlookup('2.4'!F:F,lookup!$A$10:$B$12,2,false),0)</f>
        <v>5</v>
      </c>
      <c r="H48" s="10">
        <f>IFERROR(vlookup('2.4'!G:G,lookup!$A$14:$B$16,2,false),0)</f>
        <v>5</v>
      </c>
      <c r="I48" s="10">
        <f>IFERROR(vlookup('2.4'!H:H,lookup!$A$18:$B$20,2,false),0)</f>
        <v>5</v>
      </c>
      <c r="J48" s="10">
        <f>IFERROR(vlookup('2.4'!I:I,lookup!$A$22:$B$24,2,false),0)</f>
        <v>5</v>
      </c>
      <c r="K48" s="10">
        <f>IFERROR(vlookup('2.4'!J:J,lookup!$A$26:$B$28,2,false),0)</f>
        <v>5</v>
      </c>
      <c r="L48" s="1"/>
      <c r="M48" s="10">
        <v>47.0</v>
      </c>
      <c r="N48" s="11" t="str">
        <f t="shared" si="1"/>
        <v>bnco1047@signalschool.ac.th</v>
      </c>
      <c r="O48" s="12">
        <f t="shared" si="2"/>
        <v>1</v>
      </c>
      <c r="R48" s="6" t="s">
        <v>261</v>
      </c>
    </row>
    <row r="49">
      <c r="A49" s="8">
        <f>'2.4'!A:A</f>
        <v>46213.40369</v>
      </c>
      <c r="B49" s="1" t="str">
        <f>'2.4'!B:B</f>
        <v>bnco1080@signalschool.ac.th</v>
      </c>
      <c r="C49" s="1" t="str">
        <f>'2.4'!C:C</f>
        <v>พ.ต.ไมตรี  บุญเหลื่ยม</v>
      </c>
      <c r="D49" s="9">
        <v>1.0</v>
      </c>
      <c r="E49" s="10">
        <f>IFERROR(vlookup('2.4'!D:D,lookup!$A$2:$B$4,2,false),0)</f>
        <v>5</v>
      </c>
      <c r="F49" s="10">
        <f>IFERROR(vlookup('2.4'!E:E,lookup!$A$6:$B$8,2,false),0)</f>
        <v>5</v>
      </c>
      <c r="G49" s="10">
        <f>IFERROR(vlookup('2.4'!F:F,lookup!$A$10:$B$12,2,false),0)</f>
        <v>5</v>
      </c>
      <c r="H49" s="10">
        <f>IFERROR(vlookup('2.4'!G:G,lookup!$A$14:$B$16,2,false),0)</f>
        <v>5</v>
      </c>
      <c r="I49" s="10">
        <f>IFERROR(vlookup('2.4'!H:H,lookup!$A$18:$B$20,2,false),0)</f>
        <v>5</v>
      </c>
      <c r="J49" s="10">
        <f>IFERROR(vlookup('2.4'!I:I,lookup!$A$22:$B$24,2,false),0)</f>
        <v>5</v>
      </c>
      <c r="K49" s="10">
        <f>IFERROR(vlookup('2.4'!J:J,lookup!$A$26:$B$28,2,false),0)</f>
        <v>5</v>
      </c>
      <c r="L49" s="1"/>
      <c r="M49" s="10">
        <v>48.0</v>
      </c>
      <c r="N49" s="11" t="str">
        <f t="shared" si="1"/>
        <v>bnco1048@signalschool.ac.th</v>
      </c>
      <c r="O49" s="12">
        <f t="shared" si="2"/>
        <v>1</v>
      </c>
      <c r="R49" s="6" t="s">
        <v>262</v>
      </c>
    </row>
    <row r="50">
      <c r="A50" s="8">
        <f>'2.4'!A:A</f>
        <v>46213.40447</v>
      </c>
      <c r="B50" s="1" t="str">
        <f>'2.4'!B:B</f>
        <v>bnco1063@signalschool.ac.th</v>
      </c>
      <c r="C50" s="1" t="str">
        <f>'2.4'!C:C</f>
        <v>พ.ต.ไมตรี บุญเหลื่อม</v>
      </c>
      <c r="D50" s="9">
        <v>1.0</v>
      </c>
      <c r="E50" s="10">
        <f>IFERROR(vlookup('2.4'!D:D,lookup!$A$2:$B$4,2,false),0)</f>
        <v>5</v>
      </c>
      <c r="F50" s="10">
        <f>IFERROR(vlookup('2.4'!E:E,lookup!$A$6:$B$8,2,false),0)</f>
        <v>5</v>
      </c>
      <c r="G50" s="10">
        <f>IFERROR(vlookup('2.4'!F:F,lookup!$A$10:$B$12,2,false),0)</f>
        <v>5</v>
      </c>
      <c r="H50" s="10">
        <f>IFERROR(vlookup('2.4'!G:G,lookup!$A$14:$B$16,2,false),0)</f>
        <v>5</v>
      </c>
      <c r="I50" s="10">
        <f>IFERROR(vlookup('2.4'!H:H,lookup!$A$18:$B$20,2,false),0)</f>
        <v>5</v>
      </c>
      <c r="J50" s="10">
        <f>IFERROR(vlookup('2.4'!I:I,lookup!$A$22:$B$24,2,false),0)</f>
        <v>5</v>
      </c>
      <c r="K50" s="10">
        <f>IFERROR(vlookup('2.4'!J:J,lookup!$A$26:$B$28,2,false),0)</f>
        <v>5</v>
      </c>
      <c r="L50" s="1"/>
      <c r="M50" s="10">
        <v>49.0</v>
      </c>
      <c r="N50" s="11" t="str">
        <f t="shared" si="1"/>
        <v>bnco1049@signalschool.ac.th</v>
      </c>
      <c r="O50" s="12">
        <f t="shared" si="2"/>
        <v>1</v>
      </c>
      <c r="R50" s="6" t="s">
        <v>263</v>
      </c>
    </row>
    <row r="51">
      <c r="A51" s="8">
        <f>'2.4'!A:A</f>
        <v>46213.40492</v>
      </c>
      <c r="B51" s="1" t="str">
        <f>'2.4'!B:B</f>
        <v>bnco1068@signalschool.ac.th</v>
      </c>
      <c r="C51" s="1" t="str">
        <f>'2.4'!C:C</f>
        <v>พ.ต. ไมตรี  บุญเหลื่อม</v>
      </c>
      <c r="D51" s="9">
        <v>1.0</v>
      </c>
      <c r="E51" s="10">
        <f>IFERROR(vlookup('2.4'!D:D,lookup!$A$2:$B$4,2,false),0)</f>
        <v>5</v>
      </c>
      <c r="F51" s="10">
        <f>IFERROR(vlookup('2.4'!E:E,lookup!$A$6:$B$8,2,false),0)</f>
        <v>5</v>
      </c>
      <c r="G51" s="10">
        <f>IFERROR(vlookup('2.4'!F:F,lookup!$A$10:$B$12,2,false),0)</f>
        <v>5</v>
      </c>
      <c r="H51" s="10">
        <f>IFERROR(vlookup('2.4'!G:G,lookup!$A$14:$B$16,2,false),0)</f>
        <v>5</v>
      </c>
      <c r="I51" s="10">
        <f>IFERROR(vlookup('2.4'!H:H,lookup!$A$18:$B$20,2,false),0)</f>
        <v>5</v>
      </c>
      <c r="J51" s="10">
        <f>IFERROR(vlookup('2.4'!I:I,lookup!$A$22:$B$24,2,false),0)</f>
        <v>5</v>
      </c>
      <c r="K51" s="10">
        <f>IFERROR(vlookup('2.4'!J:J,lookup!$A$26:$B$28,2,false),0)</f>
        <v>5</v>
      </c>
      <c r="L51" s="1"/>
      <c r="M51" s="10">
        <v>50.0</v>
      </c>
      <c r="N51" s="11" t="str">
        <f t="shared" si="1"/>
        <v>bnco1050@signalschool.ac.th</v>
      </c>
      <c r="O51" s="12">
        <f t="shared" si="2"/>
        <v>1</v>
      </c>
      <c r="R51" s="6" t="s">
        <v>264</v>
      </c>
    </row>
    <row r="52">
      <c r="A52" s="8">
        <f>'2.4'!A:A</f>
        <v>46213.40493</v>
      </c>
      <c r="B52" s="1" t="str">
        <f>'2.4'!B:B</f>
        <v>bnco1050@signalschool.ac.th</v>
      </c>
      <c r="C52" s="1" t="str">
        <f>'2.4'!C:C</f>
        <v>พ.ต.ไมตรี บุญเหลื่อม</v>
      </c>
      <c r="D52" s="9">
        <v>1.0</v>
      </c>
      <c r="E52" s="10">
        <f>IFERROR(vlookup('2.4'!D:D,lookup!$A$2:$B$4,2,false),0)</f>
        <v>5</v>
      </c>
      <c r="F52" s="10">
        <f>IFERROR(vlookup('2.4'!E:E,lookup!$A$6:$B$8,2,false),0)</f>
        <v>5</v>
      </c>
      <c r="G52" s="10">
        <f>IFERROR(vlookup('2.4'!F:F,lookup!$A$10:$B$12,2,false),0)</f>
        <v>5</v>
      </c>
      <c r="H52" s="10">
        <f>IFERROR(vlookup('2.4'!G:G,lookup!$A$14:$B$16,2,false),0)</f>
        <v>5</v>
      </c>
      <c r="I52" s="10">
        <f>IFERROR(vlookup('2.4'!H:H,lookup!$A$18:$B$20,2,false),0)</f>
        <v>5</v>
      </c>
      <c r="J52" s="10">
        <f>IFERROR(vlookup('2.4'!I:I,lookup!$A$22:$B$24,2,false),0)</f>
        <v>5</v>
      </c>
      <c r="K52" s="10">
        <f>IFERROR(vlookup('2.4'!J:J,lookup!$A$26:$B$28,2,false),0)</f>
        <v>5</v>
      </c>
      <c r="L52" s="1"/>
      <c r="M52" s="10">
        <v>51.0</v>
      </c>
      <c r="N52" s="11" t="str">
        <f t="shared" si="1"/>
        <v>bnco1051@signalschool.ac.th</v>
      </c>
      <c r="O52" s="12">
        <f t="shared" si="2"/>
        <v>1</v>
      </c>
      <c r="R52" s="6" t="s">
        <v>265</v>
      </c>
    </row>
    <row r="53">
      <c r="A53" s="8">
        <f>'2.4'!A:A</f>
        <v>46213.40625</v>
      </c>
      <c r="B53" s="1" t="str">
        <f>'2.4'!B:B</f>
        <v>bnco1037@signalschool.ac.th</v>
      </c>
      <c r="C53" s="1" t="str">
        <f>'2.4'!C:C</f>
        <v>ส.อ.ตรีทศพล สุขวัฒนา</v>
      </c>
      <c r="D53" s="9">
        <v>1.0</v>
      </c>
      <c r="E53" s="10">
        <f>IFERROR(vlookup('2.4'!D:D,lookup!$A$2:$B$4,2,false),0)</f>
        <v>5</v>
      </c>
      <c r="F53" s="10">
        <f>IFERROR(vlookup('2.4'!E:E,lookup!$A$6:$B$8,2,false),0)</f>
        <v>5</v>
      </c>
      <c r="G53" s="10">
        <f>IFERROR(vlookup('2.4'!F:F,lookup!$A$10:$B$12,2,false),0)</f>
        <v>5</v>
      </c>
      <c r="H53" s="10">
        <f>IFERROR(vlookup('2.4'!G:G,lookup!$A$14:$B$16,2,false),0)</f>
        <v>5</v>
      </c>
      <c r="I53" s="10">
        <f>IFERROR(vlookup('2.4'!H:H,lookup!$A$18:$B$20,2,false),0)</f>
        <v>5</v>
      </c>
      <c r="J53" s="10">
        <f>IFERROR(vlookup('2.4'!I:I,lookup!$A$22:$B$24,2,false),0)</f>
        <v>5</v>
      </c>
      <c r="K53" s="10">
        <f>IFERROR(vlookup('2.4'!J:J,lookup!$A$26:$B$28,2,false),0)</f>
        <v>5</v>
      </c>
      <c r="L53" s="1"/>
      <c r="M53" s="10">
        <v>52.0</v>
      </c>
      <c r="N53" s="11" t="str">
        <f t="shared" si="1"/>
        <v>bnco1052@signalschool.ac.th</v>
      </c>
      <c r="O53" s="12">
        <f t="shared" si="2"/>
        <v>1</v>
      </c>
      <c r="R53" s="6" t="s">
        <v>266</v>
      </c>
    </row>
    <row r="54">
      <c r="A54" s="8">
        <f>'2.4'!A:A</f>
        <v>46213.41069</v>
      </c>
      <c r="B54" s="1" t="str">
        <f>'2.4'!B:B</f>
        <v>bnco1051@signalschool.ac.th</v>
      </c>
      <c r="C54" s="1" t="str">
        <f>'2.4'!C:C</f>
        <v>พ.ต.ไมตรี บุญเหลื่อม</v>
      </c>
      <c r="D54" s="9">
        <v>1.0</v>
      </c>
      <c r="E54" s="10">
        <f>IFERROR(vlookup('2.4'!D:D,lookup!$A$2:$B$4,2,false),0)</f>
        <v>5</v>
      </c>
      <c r="F54" s="10">
        <f>IFERROR(vlookup('2.4'!E:E,lookup!$A$6:$B$8,2,false),0)</f>
        <v>5</v>
      </c>
      <c r="G54" s="10">
        <f>IFERROR(vlookup('2.4'!F:F,lookup!$A$10:$B$12,2,false),0)</f>
        <v>5</v>
      </c>
      <c r="H54" s="10">
        <f>IFERROR(vlookup('2.4'!G:G,lookup!$A$14:$B$16,2,false),0)</f>
        <v>5</v>
      </c>
      <c r="I54" s="10">
        <f>IFERROR(vlookup('2.4'!H:H,lookup!$A$18:$B$20,2,false),0)</f>
        <v>5</v>
      </c>
      <c r="J54" s="10">
        <f>IFERROR(vlookup('2.4'!I:I,lookup!$A$22:$B$24,2,false),0)</f>
        <v>5</v>
      </c>
      <c r="K54" s="10">
        <f>IFERROR(vlookup('2.4'!J:J,lookup!$A$26:$B$28,2,false),0)</f>
        <v>5</v>
      </c>
      <c r="L54" s="1"/>
      <c r="M54" s="10">
        <v>53.0</v>
      </c>
      <c r="N54" s="11" t="str">
        <f t="shared" si="1"/>
        <v>bnco1053@signalschool.ac.th</v>
      </c>
      <c r="O54" s="12">
        <f t="shared" si="2"/>
        <v>1</v>
      </c>
      <c r="R54" s="6" t="s">
        <v>267</v>
      </c>
    </row>
    <row r="55">
      <c r="A55" s="8">
        <f>'2.4'!A:A</f>
        <v>46213.41072</v>
      </c>
      <c r="B55" s="1" t="str">
        <f>'2.4'!B:B</f>
        <v>bnco1042@signalschool.ac.th</v>
      </c>
      <c r="C55" s="1" t="str">
        <f>'2.4'!C:C</f>
        <v>ส.อ.อภิเษก  แววดี</v>
      </c>
      <c r="D55" s="9">
        <v>1.0</v>
      </c>
      <c r="E55" s="10">
        <f>IFERROR(vlookup('2.4'!D:D,lookup!$A$2:$B$4,2,false),0)</f>
        <v>5</v>
      </c>
      <c r="F55" s="10">
        <f>IFERROR(vlookup('2.4'!E:E,lookup!$A$6:$B$8,2,false),0)</f>
        <v>5</v>
      </c>
      <c r="G55" s="10">
        <f>IFERROR(vlookup('2.4'!F:F,lookup!$A$10:$B$12,2,false),0)</f>
        <v>5</v>
      </c>
      <c r="H55" s="10">
        <f>IFERROR(vlookup('2.4'!G:G,lookup!$A$14:$B$16,2,false),0)</f>
        <v>5</v>
      </c>
      <c r="I55" s="10">
        <f>IFERROR(vlookup('2.4'!H:H,lookup!$A$18:$B$20,2,false),0)</f>
        <v>5</v>
      </c>
      <c r="J55" s="10">
        <f>IFERROR(vlookup('2.4'!I:I,lookup!$A$22:$B$24,2,false),0)</f>
        <v>5</v>
      </c>
      <c r="K55" s="10">
        <f>IFERROR(vlookup('2.4'!J:J,lookup!$A$26:$B$28,2,false),0)</f>
        <v>5</v>
      </c>
      <c r="L55" s="1"/>
      <c r="M55" s="10">
        <v>54.0</v>
      </c>
      <c r="N55" s="11" t="str">
        <f t="shared" si="1"/>
        <v>bnco1054@signalschool.ac.th</v>
      </c>
      <c r="O55" s="12">
        <f t="shared" si="2"/>
        <v>1</v>
      </c>
      <c r="R55" s="6" t="s">
        <v>268</v>
      </c>
    </row>
    <row r="56">
      <c r="A56" s="8">
        <f>'2.4'!A:A</f>
        <v>46213.41106</v>
      </c>
      <c r="B56" s="1" t="str">
        <f>'2.4'!B:B</f>
        <v>bnco1017@signalschool.ac.th</v>
      </c>
      <c r="C56" s="1" t="str">
        <f>'2.4'!C:C</f>
        <v>พ.ต. ไมตรี  บุญเหลื่อม</v>
      </c>
      <c r="D56" s="9">
        <v>1.0</v>
      </c>
      <c r="E56" s="10">
        <f>IFERROR(vlookup('2.4'!D:D,lookup!$A$2:$B$4,2,false),0)</f>
        <v>5</v>
      </c>
      <c r="F56" s="10">
        <f>IFERROR(vlookup('2.4'!E:E,lookup!$A$6:$B$8,2,false),0)</f>
        <v>5</v>
      </c>
      <c r="G56" s="10">
        <f>IFERROR(vlookup('2.4'!F:F,lookup!$A$10:$B$12,2,false),0)</f>
        <v>5</v>
      </c>
      <c r="H56" s="10">
        <f>IFERROR(vlookup('2.4'!G:G,lookup!$A$14:$B$16,2,false),0)</f>
        <v>5</v>
      </c>
      <c r="I56" s="10">
        <f>IFERROR(vlookup('2.4'!H:H,lookup!$A$18:$B$20,2,false),0)</f>
        <v>5</v>
      </c>
      <c r="J56" s="10">
        <f>IFERROR(vlookup('2.4'!I:I,lookup!$A$22:$B$24,2,false),0)</f>
        <v>5</v>
      </c>
      <c r="K56" s="10">
        <f>IFERROR(vlookup('2.4'!J:J,lookup!$A$26:$B$28,2,false),0)</f>
        <v>5</v>
      </c>
      <c r="L56" s="13"/>
      <c r="M56" s="10">
        <v>55.0</v>
      </c>
      <c r="N56" s="11" t="str">
        <f t="shared" si="1"/>
        <v>bnco1055@signalschool.ac.th</v>
      </c>
      <c r="O56" s="12">
        <f t="shared" si="2"/>
        <v>1</v>
      </c>
      <c r="R56" s="6" t="s">
        <v>269</v>
      </c>
    </row>
    <row r="57">
      <c r="A57" s="8">
        <f>'2.4'!A:A</f>
        <v>46213.41172</v>
      </c>
      <c r="B57" s="1" t="str">
        <f>'2.4'!B:B</f>
        <v>bnco1023@signalschool.ac.th</v>
      </c>
      <c r="C57" s="1" t="str">
        <f>'2.4'!C:C</f>
        <v>ส.อ.วีรภัทร ป้อมบุญมี</v>
      </c>
      <c r="D57" s="9">
        <v>1.0</v>
      </c>
      <c r="E57" s="10">
        <f>IFERROR(vlookup('2.4'!D:D,lookup!$A$2:$B$4,2,false),0)</f>
        <v>5</v>
      </c>
      <c r="F57" s="10">
        <f>IFERROR(vlookup('2.4'!E:E,lookup!$A$6:$B$8,2,false),0)</f>
        <v>5</v>
      </c>
      <c r="G57" s="10">
        <f>IFERROR(vlookup('2.4'!F:F,lookup!$A$10:$B$12,2,false),0)</f>
        <v>5</v>
      </c>
      <c r="H57" s="10">
        <f>IFERROR(vlookup('2.4'!G:G,lookup!$A$14:$B$16,2,false),0)</f>
        <v>5</v>
      </c>
      <c r="I57" s="10">
        <f>IFERROR(vlookup('2.4'!H:H,lookup!$A$18:$B$20,2,false),0)</f>
        <v>5</v>
      </c>
      <c r="J57" s="10">
        <f>IFERROR(vlookup('2.4'!I:I,lookup!$A$22:$B$24,2,false),0)</f>
        <v>5</v>
      </c>
      <c r="K57" s="10">
        <f>IFERROR(vlookup('2.4'!J:J,lookup!$A$26:$B$28,2,false),0)</f>
        <v>5</v>
      </c>
      <c r="L57" s="13"/>
      <c r="M57" s="10">
        <v>56.0</v>
      </c>
      <c r="N57" s="11" t="str">
        <f t="shared" si="1"/>
        <v>bnco1056@signalschool.ac.th</v>
      </c>
      <c r="O57" s="12">
        <f t="shared" si="2"/>
        <v>1</v>
      </c>
      <c r="R57" s="6" t="s">
        <v>270</v>
      </c>
    </row>
    <row r="58">
      <c r="A58" s="8">
        <f>'2.4'!A:A</f>
        <v>46213.4162</v>
      </c>
      <c r="B58" s="1" t="str">
        <f>'2.4'!B:B</f>
        <v>bnco1046@signalschool.ac.th</v>
      </c>
      <c r="C58" s="1" t="str">
        <f>'2.4'!C:C</f>
        <v>พ.ต.ไมตรี บุญเหลื่อม</v>
      </c>
      <c r="D58" s="9">
        <v>1.0</v>
      </c>
      <c r="E58" s="10">
        <f>IFERROR(vlookup('2.4'!D:D,lookup!$A$2:$B$4,2,false),0)</f>
        <v>5</v>
      </c>
      <c r="F58" s="10">
        <f>IFERROR(vlookup('2.4'!E:E,lookup!$A$6:$B$8,2,false),0)</f>
        <v>5</v>
      </c>
      <c r="G58" s="10">
        <f>IFERROR(vlookup('2.4'!F:F,lookup!$A$10:$B$12,2,false),0)</f>
        <v>5</v>
      </c>
      <c r="H58" s="10">
        <f>IFERROR(vlookup('2.4'!G:G,lookup!$A$14:$B$16,2,false),0)</f>
        <v>5</v>
      </c>
      <c r="I58" s="10">
        <f>IFERROR(vlookup('2.4'!H:H,lookup!$A$18:$B$20,2,false),0)</f>
        <v>5</v>
      </c>
      <c r="J58" s="10">
        <f>IFERROR(vlookup('2.4'!I:I,lookup!$A$22:$B$24,2,false),0)</f>
        <v>5</v>
      </c>
      <c r="K58" s="10">
        <f>IFERROR(vlookup('2.4'!J:J,lookup!$A$26:$B$28,2,false),0)</f>
        <v>5</v>
      </c>
      <c r="L58" s="13"/>
      <c r="M58" s="10">
        <v>57.0</v>
      </c>
      <c r="N58" s="11" t="str">
        <f t="shared" si="1"/>
        <v>bnco1057@signalschool.ac.th</v>
      </c>
      <c r="O58" s="12">
        <f t="shared" si="2"/>
        <v>1</v>
      </c>
      <c r="R58" s="6" t="s">
        <v>271</v>
      </c>
    </row>
    <row r="59">
      <c r="A59" s="8">
        <f>'2.4'!A:A</f>
        <v>46213.41985</v>
      </c>
      <c r="B59" s="1" t="str">
        <f>'2.4'!B:B</f>
        <v>bnco1076@signalschool.ac.th</v>
      </c>
      <c r="C59" s="1" t="str">
        <f>'2.4'!C:C</f>
        <v>พ.ต. ไมตรี  บุญเหลื่อม</v>
      </c>
      <c r="D59" s="9">
        <v>1.0</v>
      </c>
      <c r="E59" s="10">
        <f>IFERROR(vlookup('2.4'!D:D,lookup!$A$2:$B$4,2,false),0)</f>
        <v>5</v>
      </c>
      <c r="F59" s="10">
        <f>IFERROR(vlookup('2.4'!E:E,lookup!$A$6:$B$8,2,false),0)</f>
        <v>5</v>
      </c>
      <c r="G59" s="10">
        <f>IFERROR(vlookup('2.4'!F:F,lookup!$A$10:$B$12,2,false),0)</f>
        <v>5</v>
      </c>
      <c r="H59" s="10">
        <f>IFERROR(vlookup('2.4'!G:G,lookup!$A$14:$B$16,2,false),0)</f>
        <v>5</v>
      </c>
      <c r="I59" s="10">
        <f>IFERROR(vlookup('2.4'!H:H,lookup!$A$18:$B$20,2,false),0)</f>
        <v>5</v>
      </c>
      <c r="J59" s="10">
        <f>IFERROR(vlookup('2.4'!I:I,lookup!$A$22:$B$24,2,false),0)</f>
        <v>5</v>
      </c>
      <c r="K59" s="10">
        <f>IFERROR(vlookup('2.4'!J:J,lookup!$A$26:$B$28,2,false),0)</f>
        <v>5</v>
      </c>
      <c r="L59" s="14"/>
      <c r="M59" s="10">
        <v>58.0</v>
      </c>
      <c r="N59" s="11" t="str">
        <f t="shared" si="1"/>
        <v>bnco1058@signalschool.ac.th</v>
      </c>
      <c r="O59" s="12">
        <f t="shared" si="2"/>
        <v>1</v>
      </c>
      <c r="R59" s="6" t="s">
        <v>272</v>
      </c>
    </row>
    <row r="60">
      <c r="A60" s="8">
        <f>'2.4'!A:A</f>
        <v>46213.42619</v>
      </c>
      <c r="B60" s="1" t="str">
        <f>'2.4'!B:B</f>
        <v>bnco1054@signalschool.ac.th</v>
      </c>
      <c r="C60" s="1" t="str">
        <f>'2.4'!C:C</f>
        <v>พ.ต.ไมตรี บุญเหลื่อม</v>
      </c>
      <c r="D60" s="9">
        <v>1.0</v>
      </c>
      <c r="E60" s="10">
        <f>IFERROR(vlookup('2.4'!D:D,lookup!$A$2:$B$4,2,false),0)</f>
        <v>5</v>
      </c>
      <c r="F60" s="10">
        <f>IFERROR(vlookup('2.4'!E:E,lookup!$A$6:$B$8,2,false),0)</f>
        <v>5</v>
      </c>
      <c r="G60" s="10">
        <f>IFERROR(vlookup('2.4'!F:F,lookup!$A$10:$B$12,2,false),0)</f>
        <v>5</v>
      </c>
      <c r="H60" s="10">
        <f>IFERROR(vlookup('2.4'!G:G,lookup!$A$14:$B$16,2,false),0)</f>
        <v>5</v>
      </c>
      <c r="I60" s="10">
        <f>IFERROR(vlookup('2.4'!H:H,lookup!$A$18:$B$20,2,false),0)</f>
        <v>5</v>
      </c>
      <c r="J60" s="10">
        <f>IFERROR(vlookup('2.4'!I:I,lookup!$A$22:$B$24,2,false),0)</f>
        <v>5</v>
      </c>
      <c r="K60" s="10">
        <f>IFERROR(vlookup('2.4'!J:J,lookup!$A$26:$B$28,2,false),0)</f>
        <v>5</v>
      </c>
      <c r="L60" s="10"/>
      <c r="M60" s="10">
        <v>59.0</v>
      </c>
      <c r="N60" s="11" t="str">
        <f t="shared" si="1"/>
        <v>bnco1059@signalschool.ac.th</v>
      </c>
      <c r="O60" s="12">
        <f t="shared" si="2"/>
        <v>1</v>
      </c>
      <c r="R60" s="6" t="s">
        <v>273</v>
      </c>
    </row>
    <row r="61">
      <c r="A61" s="8">
        <f>'2.4'!A:A</f>
        <v>46213.42923</v>
      </c>
      <c r="B61" s="1" t="str">
        <f>'2.4'!B:B</f>
        <v>bnco1055@signalschool.ac.th</v>
      </c>
      <c r="C61" s="1" t="str">
        <f>'2.4'!C:C</f>
        <v>พ.ต.ไมตรี บุญเหลื่อม</v>
      </c>
      <c r="D61" s="9">
        <v>1.0</v>
      </c>
      <c r="E61" s="10">
        <f>IFERROR(vlookup('2.4'!D:D,lookup!$A$2:$B$4,2,false),0)</f>
        <v>5</v>
      </c>
      <c r="F61" s="10">
        <f>IFERROR(vlookup('2.4'!E:E,lookup!$A$6:$B$8,2,false),0)</f>
        <v>5</v>
      </c>
      <c r="G61" s="10">
        <f>IFERROR(vlookup('2.4'!F:F,lookup!$A$10:$B$12,2,false),0)</f>
        <v>5</v>
      </c>
      <c r="H61" s="10">
        <f>IFERROR(vlookup('2.4'!G:G,lookup!$A$14:$B$16,2,false),0)</f>
        <v>5</v>
      </c>
      <c r="I61" s="10">
        <f>IFERROR(vlookup('2.4'!H:H,lookup!$A$18:$B$20,2,false),0)</f>
        <v>5</v>
      </c>
      <c r="J61" s="10">
        <f>IFERROR(vlookup('2.4'!I:I,lookup!$A$22:$B$24,2,false),0)</f>
        <v>5</v>
      </c>
      <c r="K61" s="10">
        <f>IFERROR(vlookup('2.4'!J:J,lookup!$A$26:$B$28,2,false),0)</f>
        <v>5</v>
      </c>
      <c r="M61" s="10">
        <v>60.0</v>
      </c>
      <c r="N61" s="11" t="str">
        <f t="shared" si="1"/>
        <v>bnco1060@signalschool.ac.th</v>
      </c>
      <c r="O61" s="12">
        <f t="shared" si="2"/>
        <v>1</v>
      </c>
      <c r="R61" s="6" t="s">
        <v>274</v>
      </c>
    </row>
    <row r="62">
      <c r="A62" s="8">
        <f>'2.4'!A:A</f>
        <v>46213.4309</v>
      </c>
      <c r="B62" s="1" t="str">
        <f>'2.4'!B:B</f>
        <v>bnco1030@signalschool.ac.th</v>
      </c>
      <c r="C62" s="1" t="str">
        <f>'2.4'!C:C</f>
        <v>พ.ต.ไมตรี บุญเหลื่อม</v>
      </c>
      <c r="D62" s="9">
        <v>1.0</v>
      </c>
      <c r="E62" s="10">
        <f>IFERROR(vlookup('2.4'!D:D,lookup!$A$2:$B$4,2,false),0)</f>
        <v>5</v>
      </c>
      <c r="F62" s="10">
        <f>IFERROR(vlookup('2.4'!E:E,lookup!$A$6:$B$8,2,false),0)</f>
        <v>5</v>
      </c>
      <c r="G62" s="10">
        <f>IFERROR(vlookup('2.4'!F:F,lookup!$A$10:$B$12,2,false),0)</f>
        <v>5</v>
      </c>
      <c r="H62" s="10">
        <f>IFERROR(vlookup('2.4'!G:G,lookup!$A$14:$B$16,2,false),0)</f>
        <v>5</v>
      </c>
      <c r="I62" s="10">
        <f>IFERROR(vlookup('2.4'!H:H,lookup!$A$18:$B$20,2,false),0)</f>
        <v>5</v>
      </c>
      <c r="J62" s="10">
        <f>IFERROR(vlookup('2.4'!I:I,lookup!$A$22:$B$24,2,false),0)</f>
        <v>5</v>
      </c>
      <c r="K62" s="10">
        <f>IFERROR(vlookup('2.4'!J:J,lookup!$A$26:$B$28,2,false),0)</f>
        <v>5</v>
      </c>
      <c r="M62" s="10">
        <v>61.0</v>
      </c>
      <c r="N62" s="11" t="str">
        <f t="shared" si="1"/>
        <v>bnco1061@signalschool.ac.th</v>
      </c>
      <c r="O62" s="12">
        <f t="shared" si="2"/>
        <v>1</v>
      </c>
      <c r="R62" s="6" t="s">
        <v>275</v>
      </c>
    </row>
    <row r="63">
      <c r="A63" s="8">
        <f>'2.4'!A:A</f>
        <v>46213.43114</v>
      </c>
      <c r="B63" s="1" t="str">
        <f>'2.4'!B:B</f>
        <v>bnco1010@signalschool.ac.th</v>
      </c>
      <c r="C63" s="1" t="str">
        <f>'2.4'!C:C</f>
        <v>พ.ต. ไมตรี  บุญเหลื่อม</v>
      </c>
      <c r="D63" s="9">
        <v>1.0</v>
      </c>
      <c r="E63" s="10">
        <f>IFERROR(vlookup('2.4'!D:D,lookup!$A$2:$B$4,2,false),0)</f>
        <v>5</v>
      </c>
      <c r="F63" s="10">
        <f>IFERROR(vlookup('2.4'!E:E,lookup!$A$6:$B$8,2,false),0)</f>
        <v>5</v>
      </c>
      <c r="G63" s="10">
        <f>IFERROR(vlookup('2.4'!F:F,lookup!$A$10:$B$12,2,false),0)</f>
        <v>5</v>
      </c>
      <c r="H63" s="10">
        <f>IFERROR(vlookup('2.4'!G:G,lookup!$A$14:$B$16,2,false),0)</f>
        <v>5</v>
      </c>
      <c r="I63" s="10">
        <f>IFERROR(vlookup('2.4'!H:H,lookup!$A$18:$B$20,2,false),0)</f>
        <v>5</v>
      </c>
      <c r="J63" s="10">
        <f>IFERROR(vlookup('2.4'!I:I,lookup!$A$22:$B$24,2,false),0)</f>
        <v>5</v>
      </c>
      <c r="K63" s="10">
        <f>IFERROR(vlookup('2.4'!J:J,lookup!$A$26:$B$28,2,false),0)</f>
        <v>5</v>
      </c>
      <c r="M63" s="10">
        <v>62.0</v>
      </c>
      <c r="N63" s="11" t="str">
        <f t="shared" si="1"/>
        <v>bnco1062@signalschool.ac.th</v>
      </c>
      <c r="O63" s="12">
        <f t="shared" si="2"/>
        <v>1</v>
      </c>
      <c r="R63" s="6" t="s">
        <v>276</v>
      </c>
    </row>
    <row r="64">
      <c r="A64" s="8">
        <f>'2.4'!A:A</f>
        <v>46213.45301</v>
      </c>
      <c r="B64" s="1" t="str">
        <f>'2.4'!B:B</f>
        <v>bnco1048@signalschool.ac.th</v>
      </c>
      <c r="C64" s="1" t="str">
        <f>'2.4'!C:C</f>
        <v>พ.ต. ไมตรี  บุญเหลื่อม</v>
      </c>
      <c r="D64" s="9">
        <v>1.0</v>
      </c>
      <c r="E64" s="10">
        <f>IFERROR(vlookup('2.4'!D:D,lookup!$A$2:$B$4,2,false),0)</f>
        <v>5</v>
      </c>
      <c r="F64" s="10">
        <f>IFERROR(vlookup('2.4'!E:E,lookup!$A$6:$B$8,2,false),0)</f>
        <v>5</v>
      </c>
      <c r="G64" s="10">
        <f>IFERROR(vlookup('2.4'!F:F,lookup!$A$10:$B$12,2,false),0)</f>
        <v>5</v>
      </c>
      <c r="H64" s="10">
        <f>IFERROR(vlookup('2.4'!G:G,lookup!$A$14:$B$16,2,false),0)</f>
        <v>5</v>
      </c>
      <c r="I64" s="10">
        <f>IFERROR(vlookup('2.4'!H:H,lookup!$A$18:$B$20,2,false),0)</f>
        <v>5</v>
      </c>
      <c r="J64" s="10">
        <f>IFERROR(vlookup('2.4'!I:I,lookup!$A$22:$B$24,2,false),0)</f>
        <v>5</v>
      </c>
      <c r="K64" s="10">
        <f>IFERROR(vlookup('2.4'!J:J,lookup!$A$26:$B$28,2,false),0)</f>
        <v>5</v>
      </c>
      <c r="M64" s="10">
        <v>63.0</v>
      </c>
      <c r="N64" s="11" t="str">
        <f t="shared" si="1"/>
        <v>bnco1063@signalschool.ac.th</v>
      </c>
      <c r="O64" s="12">
        <f t="shared" si="2"/>
        <v>1</v>
      </c>
      <c r="R64" s="6" t="s">
        <v>277</v>
      </c>
    </row>
    <row r="65">
      <c r="A65" s="8">
        <f>'2.4'!A:A</f>
        <v>46213.48879</v>
      </c>
      <c r="B65" s="1" t="str">
        <f>'2.4'!B:B</f>
        <v>bnco1014@signalschool.ac.th</v>
      </c>
      <c r="C65" s="1" t="str">
        <f>'2.4'!C:C</f>
        <v>ส.อ.พงษ์พิสิทธิ์ สุธาทัศน์</v>
      </c>
      <c r="D65" s="9">
        <v>1.0</v>
      </c>
      <c r="E65" s="10">
        <f>IFERROR(vlookup('2.4'!D:D,lookup!$A$2:$B$4,2,false),0)</f>
        <v>5</v>
      </c>
      <c r="F65" s="10">
        <f>IFERROR(vlookup('2.4'!E:E,lookup!$A$6:$B$8,2,false),0)</f>
        <v>5</v>
      </c>
      <c r="G65" s="10">
        <f>IFERROR(vlookup('2.4'!F:F,lookup!$A$10:$B$12,2,false),0)</f>
        <v>5</v>
      </c>
      <c r="H65" s="10">
        <f>IFERROR(vlookup('2.4'!G:G,lookup!$A$14:$B$16,2,false),0)</f>
        <v>5</v>
      </c>
      <c r="I65" s="10">
        <f>IFERROR(vlookup('2.4'!H:H,lookup!$A$18:$B$20,2,false),0)</f>
        <v>5</v>
      </c>
      <c r="J65" s="10">
        <f>IFERROR(vlookup('2.4'!I:I,lookup!$A$22:$B$24,2,false),0)</f>
        <v>5</v>
      </c>
      <c r="K65" s="10">
        <f>IFERROR(vlookup('2.4'!J:J,lookup!$A$26:$B$28,2,false),0)</f>
        <v>5</v>
      </c>
      <c r="M65" s="10">
        <v>64.0</v>
      </c>
      <c r="N65" s="11" t="str">
        <f t="shared" si="1"/>
        <v>bnco1064@signalschool.ac.th</v>
      </c>
      <c r="O65" s="12">
        <f t="shared" si="2"/>
        <v>1</v>
      </c>
      <c r="R65" s="6" t="s">
        <v>278</v>
      </c>
    </row>
    <row r="66">
      <c r="A66" s="8">
        <f>'2.4'!A:A</f>
        <v>46213.49971</v>
      </c>
      <c r="B66" s="1" t="str">
        <f>'2.4'!B:B</f>
        <v>bnco1020@signalschool.ac.th</v>
      </c>
      <c r="C66" s="1" t="str">
        <f>'2.4'!C:C</f>
        <v>พ.ต. ไมตรี  บุญเหลื่อม</v>
      </c>
      <c r="D66" s="9">
        <v>1.0</v>
      </c>
      <c r="E66" s="10">
        <f>IFERROR(vlookup('2.4'!D:D,lookup!$A$2:$B$4,2,false),0)</f>
        <v>5</v>
      </c>
      <c r="F66" s="10">
        <f>IFERROR(vlookup('2.4'!E:E,lookup!$A$6:$B$8,2,false),0)</f>
        <v>5</v>
      </c>
      <c r="G66" s="10">
        <f>IFERROR(vlookup('2.4'!F:F,lookup!$A$10:$B$12,2,false),0)</f>
        <v>5</v>
      </c>
      <c r="H66" s="10">
        <f>IFERROR(vlookup('2.4'!G:G,lookup!$A$14:$B$16,2,false),0)</f>
        <v>5</v>
      </c>
      <c r="I66" s="10">
        <f>IFERROR(vlookup('2.4'!H:H,lookup!$A$18:$B$20,2,false),0)</f>
        <v>5</v>
      </c>
      <c r="J66" s="10">
        <f>IFERROR(vlookup('2.4'!I:I,lookup!$A$22:$B$24,2,false),0)</f>
        <v>5</v>
      </c>
      <c r="K66" s="10">
        <f>IFERROR(vlookup('2.4'!J:J,lookup!$A$26:$B$28,2,false),0)</f>
        <v>5</v>
      </c>
      <c r="M66" s="10">
        <v>65.0</v>
      </c>
      <c r="N66" s="11" t="str">
        <f t="shared" si="1"/>
        <v>bnco1065@signalschool.ac.th</v>
      </c>
      <c r="O66" s="12">
        <f t="shared" si="2"/>
        <v>0</v>
      </c>
      <c r="R66" s="6" t="s">
        <v>279</v>
      </c>
    </row>
    <row r="67">
      <c r="A67" s="8">
        <f>'2.4'!A:A</f>
        <v>46213.51243</v>
      </c>
      <c r="B67" s="1" t="str">
        <f>'2.4'!B:B</f>
        <v>bnco1021@signalschool.ac.th</v>
      </c>
      <c r="C67" s="1" t="str">
        <f>'2.4'!C:C</f>
        <v>พ.ต. ไมตรี  บุญเหลื่อม</v>
      </c>
      <c r="D67" s="9">
        <v>1.0</v>
      </c>
      <c r="E67" s="10">
        <f>IFERROR(vlookup('2.4'!D:D,lookup!$A$2:$B$4,2,false),0)</f>
        <v>5</v>
      </c>
      <c r="F67" s="10">
        <f>IFERROR(vlookup('2.4'!E:E,lookup!$A$6:$B$8,2,false),0)</f>
        <v>5</v>
      </c>
      <c r="G67" s="10">
        <f>IFERROR(vlookup('2.4'!F:F,lookup!$A$10:$B$12,2,false),0)</f>
        <v>5</v>
      </c>
      <c r="H67" s="10">
        <f>IFERROR(vlookup('2.4'!G:G,lookup!$A$14:$B$16,2,false),0)</f>
        <v>5</v>
      </c>
      <c r="I67" s="10">
        <f>IFERROR(vlookup('2.4'!H:H,lookup!$A$18:$B$20,2,false),0)</f>
        <v>5</v>
      </c>
      <c r="J67" s="10">
        <f>IFERROR(vlookup('2.4'!I:I,lookup!$A$22:$B$24,2,false),0)</f>
        <v>5</v>
      </c>
      <c r="K67" s="10">
        <f>IFERROR(vlookup('2.4'!J:J,lookup!$A$26:$B$28,2,false),0)</f>
        <v>5</v>
      </c>
      <c r="M67" s="10">
        <v>66.0</v>
      </c>
      <c r="N67" s="11" t="str">
        <f t="shared" si="1"/>
        <v>bnco1066@signalschool.ac.th</v>
      </c>
      <c r="O67" s="12">
        <f t="shared" si="2"/>
        <v>1</v>
      </c>
      <c r="R67" s="6" t="s">
        <v>280</v>
      </c>
    </row>
    <row r="68">
      <c r="A68" s="8">
        <f>'2.4'!A:A</f>
        <v>46214.47631</v>
      </c>
      <c r="B68" s="1" t="str">
        <f>'2.4'!B:B</f>
        <v>bnco1034@signalschool.ac.th</v>
      </c>
      <c r="C68" s="1" t="str">
        <f>'2.4'!C:C</f>
        <v>ส.อ.ภัคณวัตร ฮวดประสิทธิ์ </v>
      </c>
      <c r="D68" s="9">
        <v>1.0</v>
      </c>
      <c r="E68" s="10">
        <f>IFERROR(vlookup('2.4'!D:D,lookup!$A$2:$B$4,2,false),0)</f>
        <v>5</v>
      </c>
      <c r="F68" s="10">
        <f>IFERROR(vlookup('2.4'!E:E,lookup!$A$6:$B$8,2,false),0)</f>
        <v>5</v>
      </c>
      <c r="G68" s="10">
        <f>IFERROR(vlookup('2.4'!F:F,lookup!$A$10:$B$12,2,false),0)</f>
        <v>5</v>
      </c>
      <c r="H68" s="10">
        <f>IFERROR(vlookup('2.4'!G:G,lookup!$A$14:$B$16,2,false),0)</f>
        <v>5</v>
      </c>
      <c r="I68" s="10">
        <f>IFERROR(vlookup('2.4'!H:H,lookup!$A$18:$B$20,2,false),0)</f>
        <v>5</v>
      </c>
      <c r="J68" s="10">
        <f>IFERROR(vlookup('2.4'!I:I,lookup!$A$22:$B$24,2,false),0)</f>
        <v>5</v>
      </c>
      <c r="K68" s="10">
        <f>IFERROR(vlookup('2.4'!J:J,lookup!$A$26:$B$28,2,false),0)</f>
        <v>5</v>
      </c>
      <c r="M68" s="10">
        <v>67.0</v>
      </c>
      <c r="N68" s="11" t="str">
        <f t="shared" si="1"/>
        <v>bnco1067@signalschool.ac.th</v>
      </c>
      <c r="O68" s="12">
        <f t="shared" si="2"/>
        <v>1</v>
      </c>
      <c r="R68" s="6" t="s">
        <v>281</v>
      </c>
    </row>
    <row r="69">
      <c r="A69" s="8">
        <f>'2.4'!A:A</f>
        <v>46217.99917</v>
      </c>
      <c r="B69" s="1" t="str">
        <f>'2.4'!B:B</f>
        <v>bnco1075@signalschool.ac.th</v>
      </c>
      <c r="C69" s="1" t="str">
        <f>'2.4'!C:C</f>
        <v>พ.ต. ไมตรี  บุญเหลื่อม</v>
      </c>
      <c r="D69" s="9">
        <v>1.0</v>
      </c>
      <c r="E69" s="10">
        <f>IFERROR(vlookup('2.4'!D:D,lookup!$A$2:$B$4,2,false),0)</f>
        <v>5</v>
      </c>
      <c r="F69" s="10">
        <f>IFERROR(vlookup('2.4'!E:E,lookup!$A$6:$B$8,2,false),0)</f>
        <v>5</v>
      </c>
      <c r="G69" s="10">
        <f>IFERROR(vlookup('2.4'!F:F,lookup!$A$10:$B$12,2,false),0)</f>
        <v>5</v>
      </c>
      <c r="H69" s="10">
        <f>IFERROR(vlookup('2.4'!G:G,lookup!$A$14:$B$16,2,false),0)</f>
        <v>5</v>
      </c>
      <c r="I69" s="10">
        <f>IFERROR(vlookup('2.4'!H:H,lookup!$A$18:$B$20,2,false),0)</f>
        <v>5</v>
      </c>
      <c r="J69" s="10">
        <f>IFERROR(vlookup('2.4'!I:I,lookup!$A$22:$B$24,2,false),0)</f>
        <v>5</v>
      </c>
      <c r="K69" s="10">
        <f>IFERROR(vlookup('2.4'!J:J,lookup!$A$26:$B$28,2,false),0)</f>
        <v>5</v>
      </c>
      <c r="M69" s="10">
        <v>68.0</v>
      </c>
      <c r="N69" s="11" t="str">
        <f t="shared" si="1"/>
        <v>bnco1068@signalschool.ac.th</v>
      </c>
      <c r="O69" s="12">
        <f t="shared" si="2"/>
        <v>1</v>
      </c>
      <c r="R69" s="6" t="s">
        <v>282</v>
      </c>
    </row>
    <row r="70">
      <c r="A70" s="8">
        <f>'2.4'!A:A</f>
        <v>46262.43379</v>
      </c>
      <c r="B70" s="1" t="str">
        <f>'2.4'!B:B</f>
        <v>bnco1041@signalschool.ac.th</v>
      </c>
      <c r="C70" s="1" t="str">
        <f>'2.4'!C:C</f>
        <v>พ.ต.บุญเหลื่อม บุญเหลื่อม</v>
      </c>
      <c r="D70" s="9">
        <v>1.0</v>
      </c>
      <c r="E70" s="10">
        <f>IFERROR(vlookup('2.4'!D:D,lookup!$A$2:$B$4,2,false),0)</f>
        <v>5</v>
      </c>
      <c r="F70" s="10">
        <f>IFERROR(vlookup('2.4'!E:E,lookup!$A$6:$B$8,2,false),0)</f>
        <v>5</v>
      </c>
      <c r="G70" s="10">
        <f>IFERROR(vlookup('2.4'!F:F,lookup!$A$10:$B$12,2,false),0)</f>
        <v>5</v>
      </c>
      <c r="H70" s="10">
        <f>IFERROR(vlookup('2.4'!G:G,lookup!$A$14:$B$16,2,false),0)</f>
        <v>5</v>
      </c>
      <c r="I70" s="10">
        <f>IFERROR(vlookup('2.4'!H:H,lookup!$A$18:$B$20,2,false),0)</f>
        <v>5</v>
      </c>
      <c r="J70" s="10">
        <f>IFERROR(vlookup('2.4'!I:I,lookup!$A$22:$B$24,2,false),0)</f>
        <v>5</v>
      </c>
      <c r="K70" s="10">
        <f>IFERROR(vlookup('2.4'!J:J,lookup!$A$26:$B$28,2,false),0)</f>
        <v>5</v>
      </c>
      <c r="M70" s="10">
        <v>69.0</v>
      </c>
      <c r="N70" s="11" t="str">
        <f t="shared" si="1"/>
        <v>bnco1069@signalschool.ac.th</v>
      </c>
      <c r="O70" s="12">
        <f t="shared" si="2"/>
        <v>1</v>
      </c>
      <c r="R70" s="6" t="s">
        <v>283</v>
      </c>
    </row>
    <row r="71">
      <c r="A71" s="8">
        <f>'2.4'!A:A</f>
        <v>46262.45301</v>
      </c>
      <c r="B71" s="1" t="str">
        <f>'2.4'!B:B</f>
        <v>bnco1070@signalschool.ac.th</v>
      </c>
      <c r="C71" s="1" t="str">
        <f>'2.4'!C:C</f>
        <v>พ.ต.ไมตรี บุญเหลี่ยม</v>
      </c>
      <c r="D71" s="9">
        <v>1.0</v>
      </c>
      <c r="E71" s="10">
        <f>IFERROR(vlookup('2.4'!D:D,lookup!$A$2:$B$4,2,false),0)</f>
        <v>5</v>
      </c>
      <c r="F71" s="10">
        <f>IFERROR(vlookup('2.4'!E:E,lookup!$A$6:$B$8,2,false),0)</f>
        <v>3</v>
      </c>
      <c r="G71" s="10">
        <f>IFERROR(vlookup('2.4'!F:F,lookup!$A$10:$B$12,2,false),0)</f>
        <v>5</v>
      </c>
      <c r="H71" s="10">
        <f>IFERROR(vlookup('2.4'!G:G,lookup!$A$14:$B$16,2,false),0)</f>
        <v>5</v>
      </c>
      <c r="I71" s="10">
        <f>IFERROR(vlookup('2.4'!H:H,lookup!$A$18:$B$20,2,false),0)</f>
        <v>3</v>
      </c>
      <c r="J71" s="10">
        <f>IFERROR(vlookup('2.4'!I:I,lookup!$A$22:$B$24,2,false),0)</f>
        <v>5</v>
      </c>
      <c r="K71" s="10">
        <f>IFERROR(vlookup('2.4'!J:J,lookup!$A$26:$B$28,2,false),0)</f>
        <v>5</v>
      </c>
      <c r="M71" s="10">
        <v>70.0</v>
      </c>
      <c r="N71" s="11" t="str">
        <f t="shared" si="1"/>
        <v>bnco1070@signalschool.ac.th</v>
      </c>
      <c r="O71" s="12">
        <f t="shared" si="2"/>
        <v>1</v>
      </c>
      <c r="R71" s="6" t="s">
        <v>284</v>
      </c>
    </row>
    <row r="72">
      <c r="A72" s="8">
        <f>'2.4'!A:A</f>
        <v>46262.48995</v>
      </c>
      <c r="B72" s="1" t="str">
        <f>'2.4'!B:B</f>
        <v>bnco1032@signalschool.ac.th</v>
      </c>
      <c r="C72" s="1" t="str">
        <f>'2.4'!C:C</f>
        <v>พ.ต.ไมตรี บุญเหลื่อม</v>
      </c>
      <c r="D72" s="9">
        <v>1.0</v>
      </c>
      <c r="E72" s="10">
        <f>IFERROR(vlookup('2.4'!D:D,lookup!$A$2:$B$4,2,false),0)</f>
        <v>5</v>
      </c>
      <c r="F72" s="10">
        <f>IFERROR(vlookup('2.4'!E:E,lookup!$A$6:$B$8,2,false),0)</f>
        <v>5</v>
      </c>
      <c r="G72" s="10">
        <f>IFERROR(vlookup('2.4'!F:F,lookup!$A$10:$B$12,2,false),0)</f>
        <v>5</v>
      </c>
      <c r="H72" s="10">
        <f>IFERROR(vlookup('2.4'!G:G,lookup!$A$14:$B$16,2,false),0)</f>
        <v>5</v>
      </c>
      <c r="I72" s="10">
        <f>IFERROR(vlookup('2.4'!H:H,lookup!$A$18:$B$20,2,false),0)</f>
        <v>5</v>
      </c>
      <c r="J72" s="10">
        <f>IFERROR(vlookup('2.4'!I:I,lookup!$A$22:$B$24,2,false),0)</f>
        <v>5</v>
      </c>
      <c r="K72" s="10">
        <f>IFERROR(vlookup('2.4'!J:J,lookup!$A$26:$B$28,2,false),0)</f>
        <v>5</v>
      </c>
      <c r="M72" s="10">
        <v>71.0</v>
      </c>
      <c r="N72" s="11" t="str">
        <f t="shared" si="1"/>
        <v>bnco1071@signalschool.ac.th</v>
      </c>
      <c r="O72" s="12">
        <f t="shared" si="2"/>
        <v>1</v>
      </c>
      <c r="R72" s="6" t="s">
        <v>285</v>
      </c>
    </row>
    <row r="73">
      <c r="A73" s="8">
        <f>'2.4'!A:A</f>
        <v>46262.60141</v>
      </c>
      <c r="B73" s="1" t="str">
        <f>'2.4'!B:B</f>
        <v>bnco1045@signalschool.ac.th</v>
      </c>
      <c r="C73" s="1" t="str">
        <f>'2.4'!C:C</f>
        <v>พ.ต.ไมตรี  บุญเหลื่ยม</v>
      </c>
      <c r="D73" s="9">
        <v>1.0</v>
      </c>
      <c r="E73" s="10">
        <f>IFERROR(vlookup('2.4'!D:D,lookup!$A$2:$B$4,2,false),0)</f>
        <v>5</v>
      </c>
      <c r="F73" s="10">
        <f>IFERROR(vlookup('2.4'!E:E,lookup!$A$6:$B$8,2,false),0)</f>
        <v>5</v>
      </c>
      <c r="G73" s="10">
        <f>IFERROR(vlookup('2.4'!F:F,lookup!$A$10:$B$12,2,false),0)</f>
        <v>5</v>
      </c>
      <c r="H73" s="10">
        <f>IFERROR(vlookup('2.4'!G:G,lookup!$A$14:$B$16,2,false),0)</f>
        <v>5</v>
      </c>
      <c r="I73" s="10">
        <f>IFERROR(vlookup('2.4'!H:H,lookup!$A$18:$B$20,2,false),0)</f>
        <v>5</v>
      </c>
      <c r="J73" s="10">
        <f>IFERROR(vlookup('2.4'!I:I,lookup!$A$22:$B$24,2,false),0)</f>
        <v>5</v>
      </c>
      <c r="K73" s="10">
        <f>IFERROR(vlookup('2.4'!J:J,lookup!$A$26:$B$28,2,false),0)</f>
        <v>5</v>
      </c>
      <c r="M73" s="10">
        <v>72.0</v>
      </c>
      <c r="N73" s="11" t="str">
        <f t="shared" si="1"/>
        <v>bnco1072@signalschool.ac.th</v>
      </c>
      <c r="O73" s="12">
        <f t="shared" si="2"/>
        <v>1</v>
      </c>
      <c r="R73" s="6" t="s">
        <v>286</v>
      </c>
    </row>
    <row r="74">
      <c r="A74" s="8">
        <f>'2.4'!A:A</f>
        <v>46264.88161</v>
      </c>
      <c r="B74" s="1" t="str">
        <f>'2.4'!B:B</f>
        <v>edu.rad@signalschool.ac.th</v>
      </c>
      <c r="C74" s="1" t="str">
        <f>'2.4'!C:C</f>
        <v>ครูอาจารย์ รร.ส.สส.</v>
      </c>
      <c r="D74" s="9">
        <v>1.0</v>
      </c>
      <c r="E74" s="10">
        <f>IFERROR(vlookup('2.4'!D:D,lookup!$A$2:$B$4,2,false),0)</f>
        <v>5</v>
      </c>
      <c r="F74" s="10">
        <f>IFERROR(vlookup('2.4'!E:E,lookup!$A$6:$B$8,2,false),0)</f>
        <v>5</v>
      </c>
      <c r="G74" s="10">
        <f>IFERROR(vlookup('2.4'!F:F,lookup!$A$10:$B$12,2,false),0)</f>
        <v>5</v>
      </c>
      <c r="H74" s="10">
        <f>IFERROR(vlookup('2.4'!G:G,lookup!$A$14:$B$16,2,false),0)</f>
        <v>5</v>
      </c>
      <c r="I74" s="10">
        <f>IFERROR(vlookup('2.4'!H:H,lookup!$A$18:$B$20,2,false),0)</f>
        <v>5</v>
      </c>
      <c r="J74" s="10">
        <f>IFERROR(vlookup('2.4'!I:I,lookup!$A$22:$B$24,2,false),0)</f>
        <v>5</v>
      </c>
      <c r="K74" s="10">
        <f>IFERROR(vlookup('2.4'!J:J,lookup!$A$26:$B$28,2,false),0)</f>
        <v>5</v>
      </c>
      <c r="M74" s="10">
        <v>73.0</v>
      </c>
      <c r="N74" s="11" t="str">
        <f t="shared" si="1"/>
        <v>bnco1073@signalschool.ac.th</v>
      </c>
      <c r="O74" s="12">
        <f t="shared" si="2"/>
        <v>1</v>
      </c>
      <c r="R74" s="6" t="s">
        <v>287</v>
      </c>
    </row>
    <row r="75">
      <c r="A75" s="8">
        <f>'2.4'!A:A</f>
        <v>46266.68494</v>
      </c>
      <c r="B75" s="1" t="str">
        <f>'2.4'!B:B</f>
        <v>bnco1053@signalschool.ac.th</v>
      </c>
      <c r="C75" s="1" t="str">
        <f>'2.4'!C:C</f>
        <v>พ.ต.ไมตรี บุญเหลื่อม</v>
      </c>
      <c r="D75" s="9">
        <v>1.0</v>
      </c>
      <c r="E75" s="10">
        <f>IFERROR(vlookup('2.4'!D:D,lookup!$A$2:$B$4,2,false),0)</f>
        <v>5</v>
      </c>
      <c r="F75" s="10">
        <f>IFERROR(vlookup('2.4'!E:E,lookup!$A$6:$B$8,2,false),0)</f>
        <v>5</v>
      </c>
      <c r="G75" s="10">
        <f>IFERROR(vlookup('2.4'!F:F,lookup!$A$10:$B$12,2,false),0)</f>
        <v>5</v>
      </c>
      <c r="H75" s="10">
        <f>IFERROR(vlookup('2.4'!G:G,lookup!$A$14:$B$16,2,false),0)</f>
        <v>5</v>
      </c>
      <c r="I75" s="10">
        <f>IFERROR(vlookup('2.4'!H:H,lookup!$A$18:$B$20,2,false),0)</f>
        <v>5</v>
      </c>
      <c r="J75" s="10">
        <f>IFERROR(vlookup('2.4'!I:I,lookup!$A$22:$B$24,2,false),0)</f>
        <v>5</v>
      </c>
      <c r="K75" s="10">
        <f>IFERROR(vlookup('2.4'!J:J,lookup!$A$26:$B$28,2,false),0)</f>
        <v>5</v>
      </c>
      <c r="M75" s="10">
        <v>74.0</v>
      </c>
      <c r="N75" s="11" t="str">
        <f t="shared" si="1"/>
        <v>bnco1074@signalschool.ac.th</v>
      </c>
      <c r="O75" s="12">
        <f t="shared" si="2"/>
        <v>1</v>
      </c>
      <c r="R75" s="6" t="s">
        <v>288</v>
      </c>
    </row>
    <row r="76">
      <c r="A76" s="8">
        <f>'2.4'!A:A</f>
        <v>46266.68966</v>
      </c>
      <c r="B76" s="1" t="str">
        <f>'2.4'!B:B</f>
        <v>bnco1047@signalschool.ac.th</v>
      </c>
      <c r="C76" s="1" t="str">
        <f>'2.4'!C:C</f>
        <v>พ.ต.ไมตรี บุญเหลื่อม</v>
      </c>
      <c r="D76" s="9">
        <v>1.0</v>
      </c>
      <c r="E76" s="10">
        <f>IFERROR(vlookup('2.4'!D:D,lookup!$A$2:$B$4,2,false),0)</f>
        <v>5</v>
      </c>
      <c r="F76" s="10">
        <f>IFERROR(vlookup('2.4'!E:E,lookup!$A$6:$B$8,2,false),0)</f>
        <v>5</v>
      </c>
      <c r="G76" s="10">
        <f>IFERROR(vlookup('2.4'!F:F,lookup!$A$10:$B$12,2,false),0)</f>
        <v>5</v>
      </c>
      <c r="H76" s="10">
        <f>IFERROR(vlookup('2.4'!G:G,lookup!$A$14:$B$16,2,false),0)</f>
        <v>5</v>
      </c>
      <c r="I76" s="10">
        <f>IFERROR(vlookup('2.4'!H:H,lookup!$A$18:$B$20,2,false),0)</f>
        <v>5</v>
      </c>
      <c r="J76" s="10">
        <f>IFERROR(vlookup('2.4'!I:I,lookup!$A$22:$B$24,2,false),0)</f>
        <v>5</v>
      </c>
      <c r="K76" s="10">
        <f>IFERROR(vlookup('2.4'!J:J,lookup!$A$26:$B$28,2,false),0)</f>
        <v>5</v>
      </c>
      <c r="M76" s="10">
        <v>75.0</v>
      </c>
      <c r="N76" s="11" t="str">
        <f t="shared" si="1"/>
        <v>bnco1075@signalschool.ac.th</v>
      </c>
      <c r="O76" s="12">
        <f t="shared" si="2"/>
        <v>1</v>
      </c>
      <c r="R76" s="6" t="s">
        <v>289</v>
      </c>
    </row>
    <row r="77">
      <c r="A77" s="8">
        <f>'2.4'!A:A</f>
        <v>46267.31214</v>
      </c>
      <c r="B77" s="1" t="str">
        <f>'2.4'!B:B</f>
        <v>bnco1016@signalschool.ac.th</v>
      </c>
      <c r="C77" s="1" t="str">
        <f>'2.4'!C:C</f>
        <v>พ.ต.ไมตรี บุญเหลื่อม</v>
      </c>
      <c r="D77" s="9">
        <v>1.0</v>
      </c>
      <c r="E77" s="10">
        <f>IFERROR(vlookup('2.4'!D:D,lookup!$A$2:$B$4,2,false),0)</f>
        <v>5</v>
      </c>
      <c r="F77" s="10">
        <f>IFERROR(vlookup('2.4'!E:E,lookup!$A$6:$B$8,2,false),0)</f>
        <v>5</v>
      </c>
      <c r="G77" s="10">
        <f>IFERROR(vlookup('2.4'!F:F,lookup!$A$10:$B$12,2,false),0)</f>
        <v>5</v>
      </c>
      <c r="H77" s="10">
        <f>IFERROR(vlookup('2.4'!G:G,lookup!$A$14:$B$16,2,false),0)</f>
        <v>5</v>
      </c>
      <c r="I77" s="10">
        <f>IFERROR(vlookup('2.4'!H:H,lookup!$A$18:$B$20,2,false),0)</f>
        <v>5</v>
      </c>
      <c r="J77" s="10">
        <f>IFERROR(vlookup('2.4'!I:I,lookup!$A$22:$B$24,2,false),0)</f>
        <v>5</v>
      </c>
      <c r="K77" s="10">
        <f>IFERROR(vlookup('2.4'!J:J,lookup!$A$26:$B$28,2,false),0)</f>
        <v>5</v>
      </c>
      <c r="M77" s="10">
        <v>76.0</v>
      </c>
      <c r="N77" s="11" t="str">
        <f t="shared" si="1"/>
        <v>bnco1076@signalschool.ac.th</v>
      </c>
      <c r="O77" s="12">
        <f t="shared" si="2"/>
        <v>1</v>
      </c>
      <c r="R77" s="6" t="s">
        <v>290</v>
      </c>
    </row>
    <row r="78">
      <c r="A78" s="8" t="str">
        <f>'2.4'!A:A</f>
        <v/>
      </c>
      <c r="B78" s="1" t="str">
        <f>'2.4'!B:B</f>
        <v/>
      </c>
      <c r="C78" s="1" t="str">
        <f>'2.4'!C:C</f>
        <v/>
      </c>
      <c r="D78" s="9">
        <v>1.0</v>
      </c>
      <c r="E78" s="10">
        <f>IFERROR(vlookup('2.4'!D:D,lookup!$A$2:$B$4,2,false),0)</f>
        <v>0</v>
      </c>
      <c r="F78" s="10">
        <f>IFERROR(vlookup('2.4'!E:E,lookup!$A$6:$B$8,2,false),0)</f>
        <v>0</v>
      </c>
      <c r="G78" s="10">
        <f>IFERROR(vlookup('2.4'!F:F,lookup!$A$10:$B$12,2,false),0)</f>
        <v>0</v>
      </c>
      <c r="H78" s="10">
        <f>IFERROR(vlookup('2.4'!G:G,lookup!$A$14:$B$16,2,false),0)</f>
        <v>0</v>
      </c>
      <c r="I78" s="10">
        <f>IFERROR(vlookup('2.4'!H:H,lookup!$A$18:$B$20,2,false),0)</f>
        <v>0</v>
      </c>
      <c r="J78" s="10">
        <f>IFERROR(vlookup('2.4'!I:I,lookup!$A$22:$B$24,2,false),0)</f>
        <v>0</v>
      </c>
      <c r="K78" s="10">
        <f>IFERROR(vlookup('2.4'!J:J,lookup!$A$26:$B$28,2,false),0)</f>
        <v>0</v>
      </c>
      <c r="M78" s="10">
        <v>77.0</v>
      </c>
      <c r="N78" s="11" t="str">
        <f t="shared" si="1"/>
        <v>bnco1077@signalschool.ac.th</v>
      </c>
      <c r="O78" s="12">
        <f t="shared" si="2"/>
        <v>0</v>
      </c>
      <c r="R78" s="6" t="s">
        <v>291</v>
      </c>
    </row>
    <row r="79">
      <c r="A79" s="8" t="str">
        <f>'2.4'!A:A</f>
        <v/>
      </c>
      <c r="B79" s="1" t="str">
        <f>'2.4'!B:B</f>
        <v/>
      </c>
      <c r="C79" s="1" t="str">
        <f>'2.4'!C:C</f>
        <v/>
      </c>
      <c r="D79" s="9">
        <v>1.0</v>
      </c>
      <c r="E79" s="10">
        <f>IFERROR(vlookup('2.4'!D:D,lookup!$A$2:$B$4,2,false),0)</f>
        <v>0</v>
      </c>
      <c r="F79" s="10">
        <f>IFERROR(vlookup('2.4'!E:E,lookup!$A$6:$B$8,2,false),0)</f>
        <v>0</v>
      </c>
      <c r="G79" s="10">
        <f>IFERROR(vlookup('2.4'!F:F,lookup!$A$10:$B$12,2,false),0)</f>
        <v>0</v>
      </c>
      <c r="H79" s="10">
        <f>IFERROR(vlookup('2.4'!G:G,lookup!$A$14:$B$16,2,false),0)</f>
        <v>0</v>
      </c>
      <c r="I79" s="10">
        <f>IFERROR(vlookup('2.4'!H:H,lookup!$A$18:$B$20,2,false),0)</f>
        <v>0</v>
      </c>
      <c r="J79" s="10">
        <f>IFERROR(vlookup('2.4'!I:I,lookup!$A$22:$B$24,2,false),0)</f>
        <v>0</v>
      </c>
      <c r="K79" s="10">
        <f>IFERROR(vlookup('2.4'!J:J,lookup!$A$26:$B$28,2,false),0)</f>
        <v>0</v>
      </c>
      <c r="M79" s="10">
        <v>78.0</v>
      </c>
      <c r="N79" s="11" t="str">
        <f t="shared" si="1"/>
        <v>bnco1078@signalschool.ac.th</v>
      </c>
      <c r="O79" s="12">
        <f t="shared" si="2"/>
        <v>1</v>
      </c>
      <c r="R79" s="6" t="s">
        <v>292</v>
      </c>
    </row>
    <row r="80">
      <c r="A80" s="8" t="str">
        <f>'2.4'!A:A</f>
        <v/>
      </c>
      <c r="B80" s="1" t="str">
        <f>'2.4'!B:B</f>
        <v/>
      </c>
      <c r="C80" s="1" t="str">
        <f>'2.4'!C:C</f>
        <v/>
      </c>
      <c r="D80" s="9">
        <v>1.0</v>
      </c>
      <c r="E80" s="10">
        <f>IFERROR(vlookup('2.4'!D:D,lookup!$A$2:$B$4,2,false),0)</f>
        <v>0</v>
      </c>
      <c r="F80" s="10">
        <f>IFERROR(vlookup('2.4'!E:E,lookup!$A$6:$B$8,2,false),0)</f>
        <v>0</v>
      </c>
      <c r="G80" s="10">
        <f>IFERROR(vlookup('2.4'!F:F,lookup!$A$10:$B$12,2,false),0)</f>
        <v>0</v>
      </c>
      <c r="H80" s="10">
        <f>IFERROR(vlookup('2.4'!G:G,lookup!$A$14:$B$16,2,false),0)</f>
        <v>0</v>
      </c>
      <c r="I80" s="10">
        <f>IFERROR(vlookup('2.4'!H:H,lookup!$A$18:$B$20,2,false),0)</f>
        <v>0</v>
      </c>
      <c r="J80" s="10">
        <f>IFERROR(vlookup('2.4'!I:I,lookup!$A$22:$B$24,2,false),0)</f>
        <v>0</v>
      </c>
      <c r="K80" s="10">
        <f>IFERROR(vlookup('2.4'!J:J,lookup!$A$26:$B$28,2,false),0)</f>
        <v>0</v>
      </c>
      <c r="M80" s="10">
        <v>79.0</v>
      </c>
      <c r="N80" s="11" t="str">
        <f t="shared" si="1"/>
        <v>bnco1079@signalschool.ac.th</v>
      </c>
      <c r="O80" s="12">
        <f t="shared" si="2"/>
        <v>1</v>
      </c>
      <c r="R80" s="6" t="s">
        <v>293</v>
      </c>
    </row>
    <row r="81">
      <c r="A81" s="8" t="str">
        <f>'2.4'!A:A</f>
        <v/>
      </c>
      <c r="B81" s="1" t="str">
        <f>'2.4'!B:B</f>
        <v/>
      </c>
      <c r="C81" s="1" t="str">
        <f>'2.4'!C:C</f>
        <v/>
      </c>
      <c r="D81" s="9">
        <v>1.0</v>
      </c>
      <c r="E81" s="10">
        <f>IFERROR(vlookup('2.4'!D:D,lookup!$A$2:$B$4,2,false),0)</f>
        <v>0</v>
      </c>
      <c r="F81" s="10">
        <f>IFERROR(vlookup('2.4'!E:E,lookup!$A$6:$B$8,2,false),0)</f>
        <v>0</v>
      </c>
      <c r="G81" s="10">
        <f>IFERROR(vlookup('2.4'!F:F,lookup!$A$10:$B$12,2,false),0)</f>
        <v>0</v>
      </c>
      <c r="H81" s="10">
        <f>IFERROR(vlookup('2.4'!G:G,lookup!$A$14:$B$16,2,false),0)</f>
        <v>0</v>
      </c>
      <c r="I81" s="10">
        <f>IFERROR(vlookup('2.4'!H:H,lookup!$A$18:$B$20,2,false),0)</f>
        <v>0</v>
      </c>
      <c r="J81" s="10">
        <f>IFERROR(vlookup('2.4'!I:I,lookup!$A$22:$B$24,2,false),0)</f>
        <v>0</v>
      </c>
      <c r="K81" s="10">
        <f>IFERROR(vlookup('2.4'!J:J,lookup!$A$26:$B$28,2,false),0)</f>
        <v>0</v>
      </c>
      <c r="M81" s="10">
        <v>80.0</v>
      </c>
      <c r="N81" s="11" t="str">
        <f t="shared" si="1"/>
        <v>bnco1080@signalschool.ac.th</v>
      </c>
      <c r="O81" s="12">
        <f t="shared" si="2"/>
        <v>1</v>
      </c>
      <c r="R81" s="6" t="s">
        <v>294</v>
      </c>
    </row>
    <row r="82">
      <c r="A82" s="8" t="str">
        <f>'2.4'!A:A</f>
        <v/>
      </c>
      <c r="B82" s="1" t="str">
        <f>'2.4'!B:B</f>
        <v/>
      </c>
      <c r="C82" s="1" t="str">
        <f>'2.4'!C:C</f>
        <v/>
      </c>
      <c r="D82" s="9"/>
      <c r="E82" s="15"/>
      <c r="F82" s="15"/>
      <c r="G82" s="15"/>
      <c r="H82" s="15"/>
      <c r="I82" s="15"/>
      <c r="J82" s="15"/>
      <c r="K82" s="15"/>
    </row>
    <row r="83">
      <c r="A83" s="8" t="str">
        <f>'2.4'!A:A</f>
        <v/>
      </c>
      <c r="B83" s="1" t="str">
        <f>'2.4'!B:B</f>
        <v/>
      </c>
      <c r="C83" s="1" t="str">
        <f>'2.4'!C:C</f>
        <v/>
      </c>
      <c r="D83" s="9"/>
      <c r="E83" s="15"/>
      <c r="F83" s="15"/>
      <c r="G83" s="15"/>
      <c r="H83" s="15"/>
      <c r="I83" s="15"/>
      <c r="J83" s="15"/>
      <c r="K83" s="15"/>
    </row>
    <row r="84">
      <c r="A84" s="8" t="str">
        <f>'2.4'!A:A</f>
        <v/>
      </c>
      <c r="B84" s="1" t="str">
        <f>'2.4'!B:B</f>
        <v/>
      </c>
      <c r="C84" s="1" t="str">
        <f>'2.4'!C:C</f>
        <v/>
      </c>
      <c r="D84" s="9"/>
      <c r="E84" s="15"/>
      <c r="F84" s="15"/>
      <c r="G84" s="15"/>
      <c r="H84" s="15"/>
      <c r="I84" s="15"/>
      <c r="J84" s="15"/>
      <c r="K84" s="15"/>
    </row>
    <row r="85">
      <c r="A85" s="8" t="str">
        <f>'2.4'!A:A</f>
        <v/>
      </c>
      <c r="B85" s="1" t="str">
        <f>'2.4'!B:B</f>
        <v/>
      </c>
      <c r="C85" s="1" t="str">
        <f>'2.4'!C:C</f>
        <v/>
      </c>
      <c r="D85" s="9"/>
      <c r="E85" s="15"/>
      <c r="F85" s="15"/>
      <c r="G85" s="15"/>
      <c r="H85" s="15"/>
      <c r="I85" s="15"/>
      <c r="J85" s="15"/>
      <c r="K85" s="15"/>
    </row>
    <row r="86">
      <c r="A86" s="8" t="str">
        <f>'2.4'!A:A</f>
        <v/>
      </c>
      <c r="B86" s="1" t="str">
        <f>'2.4'!B:B</f>
        <v/>
      </c>
      <c r="C86" s="1" t="str">
        <f>'2.4'!C:C</f>
        <v/>
      </c>
      <c r="D86" s="9"/>
      <c r="E86" s="15"/>
      <c r="F86" s="15"/>
      <c r="G86" s="15"/>
      <c r="H86" s="15"/>
      <c r="I86" s="15"/>
      <c r="J86" s="15"/>
      <c r="K86" s="15"/>
    </row>
    <row r="87">
      <c r="A87" s="8" t="str">
        <f>'2.4'!A:A</f>
        <v/>
      </c>
      <c r="B87" s="1" t="str">
        <f>'2.4'!B:B</f>
        <v/>
      </c>
      <c r="C87" s="1" t="str">
        <f>'2.4'!C:C</f>
        <v/>
      </c>
      <c r="D87" s="9"/>
      <c r="E87" s="15"/>
      <c r="F87" s="15"/>
      <c r="G87" s="15"/>
      <c r="H87" s="15"/>
      <c r="I87" s="15"/>
      <c r="J87" s="15"/>
      <c r="K87" s="15"/>
    </row>
    <row r="88">
      <c r="A88" s="8" t="str">
        <f>'2.4'!A:A</f>
        <v/>
      </c>
      <c r="B88" s="1" t="str">
        <f>'2.4'!B:B</f>
        <v/>
      </c>
      <c r="C88" s="1" t="str">
        <f>'2.4'!C:C</f>
        <v/>
      </c>
      <c r="D88" s="9"/>
      <c r="E88" s="15"/>
      <c r="F88" s="15"/>
      <c r="G88" s="15"/>
      <c r="H88" s="15"/>
      <c r="I88" s="15"/>
      <c r="J88" s="15"/>
      <c r="K88" s="15"/>
    </row>
    <row r="89">
      <c r="A89" s="8" t="str">
        <f>'2.4'!A:A</f>
        <v/>
      </c>
      <c r="B89" s="1" t="str">
        <f>'2.4'!B:B</f>
        <v/>
      </c>
      <c r="C89" s="1" t="str">
        <f>'2.4'!C:C</f>
        <v/>
      </c>
      <c r="D89" s="9"/>
      <c r="E89" s="15"/>
      <c r="F89" s="15"/>
      <c r="G89" s="15"/>
      <c r="H89" s="15"/>
      <c r="I89" s="15"/>
      <c r="J89" s="15"/>
      <c r="K89" s="15"/>
    </row>
    <row r="90">
      <c r="A90" s="8" t="str">
        <f>'2.4'!A:A</f>
        <v/>
      </c>
      <c r="B90" s="1" t="str">
        <f>'2.4'!B:B</f>
        <v/>
      </c>
      <c r="C90" s="1" t="str">
        <f>'2.4'!C:C</f>
        <v/>
      </c>
      <c r="D90" s="9"/>
      <c r="E90" s="15"/>
      <c r="F90" s="15"/>
      <c r="G90" s="15"/>
      <c r="H90" s="15"/>
      <c r="I90" s="15"/>
      <c r="J90" s="15"/>
      <c r="K90" s="15"/>
    </row>
    <row r="91">
      <c r="A91" s="8" t="str">
        <f>'2.4'!A:A</f>
        <v/>
      </c>
      <c r="B91" s="1" t="str">
        <f>'2.4'!B:B</f>
        <v/>
      </c>
      <c r="C91" s="1" t="str">
        <f>'2.4'!C:C</f>
        <v/>
      </c>
      <c r="D91" s="9"/>
      <c r="E91" s="15"/>
      <c r="F91" s="15"/>
      <c r="G91" s="15"/>
      <c r="H91" s="15"/>
      <c r="I91" s="15"/>
      <c r="J91" s="15"/>
      <c r="K91" s="15"/>
    </row>
    <row r="92">
      <c r="A92" s="8" t="str">
        <f>'2.4'!A:A</f>
        <v/>
      </c>
      <c r="B92" s="1" t="str">
        <f>'2.4'!B:B</f>
        <v/>
      </c>
      <c r="C92" s="1" t="str">
        <f>'2.4'!C:C</f>
        <v/>
      </c>
      <c r="D92" s="9"/>
      <c r="E92" s="15"/>
      <c r="F92" s="15"/>
      <c r="G92" s="15"/>
      <c r="H92" s="15"/>
      <c r="I92" s="15"/>
      <c r="J92" s="15"/>
      <c r="K92" s="15"/>
    </row>
    <row r="93">
      <c r="A93" s="8" t="str">
        <f>'2.4'!A:A</f>
        <v/>
      </c>
      <c r="B93" s="1" t="str">
        <f>'2.4'!B:B</f>
        <v/>
      </c>
      <c r="C93" s="1" t="str">
        <f>'2.4'!C:C</f>
        <v/>
      </c>
      <c r="D93" s="9"/>
      <c r="E93" s="15"/>
      <c r="F93" s="15"/>
      <c r="G93" s="15"/>
      <c r="H93" s="15"/>
      <c r="I93" s="15"/>
      <c r="J93" s="15"/>
      <c r="K93" s="15"/>
    </row>
    <row r="94">
      <c r="A94" s="8" t="str">
        <f>'2.4'!A:A</f>
        <v/>
      </c>
      <c r="B94" s="1" t="str">
        <f>'2.4'!B:B</f>
        <v/>
      </c>
      <c r="C94" s="1" t="str">
        <f>'2.4'!C:C</f>
        <v/>
      </c>
      <c r="D94" s="9"/>
      <c r="E94" s="15"/>
      <c r="F94" s="15"/>
      <c r="G94" s="15"/>
      <c r="H94" s="15"/>
      <c r="I94" s="15"/>
      <c r="J94" s="15"/>
      <c r="K94" s="15"/>
    </row>
    <row r="95">
      <c r="A95" s="8" t="str">
        <f>'2.4'!A:A</f>
        <v/>
      </c>
      <c r="B95" s="1" t="str">
        <f>'2.4'!B:B</f>
        <v/>
      </c>
      <c r="C95" s="1" t="str">
        <f>'2.4'!C:C</f>
        <v/>
      </c>
      <c r="D95" s="9"/>
      <c r="E95" s="15"/>
      <c r="F95" s="15"/>
      <c r="G95" s="15"/>
      <c r="H95" s="15"/>
      <c r="I95" s="15"/>
      <c r="J95" s="15"/>
      <c r="K95" s="15"/>
    </row>
    <row r="96">
      <c r="A96" s="8" t="str">
        <f>'2.4'!A:A</f>
        <v/>
      </c>
      <c r="B96" s="1" t="str">
        <f>'2.4'!B:B</f>
        <v/>
      </c>
      <c r="C96" s="1" t="str">
        <f>'2.4'!C:C</f>
        <v/>
      </c>
      <c r="D96" s="9"/>
      <c r="E96" s="15"/>
      <c r="F96" s="15"/>
      <c r="G96" s="15"/>
      <c r="H96" s="15"/>
      <c r="I96" s="15"/>
      <c r="J96" s="15"/>
      <c r="K96" s="15"/>
    </row>
    <row r="97">
      <c r="A97" s="8" t="str">
        <f>'2.4'!A:A</f>
        <v/>
      </c>
      <c r="B97" s="1" t="str">
        <f>'2.4'!B:B</f>
        <v/>
      </c>
      <c r="C97" s="1" t="str">
        <f>'2.4'!C:C</f>
        <v/>
      </c>
      <c r="D97" s="9"/>
      <c r="E97" s="15"/>
      <c r="F97" s="15"/>
      <c r="G97" s="15"/>
      <c r="H97" s="15"/>
      <c r="I97" s="15"/>
      <c r="J97" s="15"/>
      <c r="K97" s="15"/>
    </row>
    <row r="98">
      <c r="A98" s="8" t="str">
        <f>'2.4'!A:A</f>
        <v/>
      </c>
      <c r="B98" s="1" t="str">
        <f>'2.4'!B:B</f>
        <v/>
      </c>
      <c r="C98" s="1" t="str">
        <f>'2.4'!C:C</f>
        <v/>
      </c>
      <c r="D98" s="9"/>
      <c r="E98" s="15"/>
      <c r="F98" s="15"/>
      <c r="G98" s="15"/>
      <c r="H98" s="15"/>
      <c r="I98" s="15"/>
      <c r="J98" s="15"/>
      <c r="K98" s="15"/>
    </row>
    <row r="99">
      <c r="A99" s="8" t="str">
        <f>'2.4'!A:A</f>
        <v/>
      </c>
      <c r="B99" s="1" t="str">
        <f>'2.4'!B:B</f>
        <v/>
      </c>
      <c r="C99" s="1" t="str">
        <f>'2.4'!C:C</f>
        <v/>
      </c>
      <c r="D99" s="9"/>
      <c r="E99" s="15"/>
      <c r="F99" s="15"/>
      <c r="G99" s="15"/>
      <c r="H99" s="15"/>
      <c r="I99" s="15"/>
      <c r="J99" s="15"/>
      <c r="K99" s="15"/>
    </row>
    <row r="100">
      <c r="A100" s="8" t="str">
        <f>'2.4'!A:A</f>
        <v/>
      </c>
      <c r="B100" s="1" t="str">
        <f>'2.4'!B:B</f>
        <v/>
      </c>
      <c r="C100" s="1" t="str">
        <f>'2.4'!C:C</f>
        <v/>
      </c>
      <c r="D100" s="9"/>
      <c r="E100" s="15"/>
      <c r="F100" s="15"/>
      <c r="G100" s="15"/>
      <c r="H100" s="15"/>
      <c r="I100" s="15"/>
      <c r="J100" s="15"/>
      <c r="K100" s="15"/>
    </row>
    <row r="101">
      <c r="A101" s="8" t="str">
        <f>'2.4'!A:A</f>
        <v/>
      </c>
      <c r="B101" s="1" t="str">
        <f>'2.4'!B:B</f>
        <v/>
      </c>
      <c r="C101" s="1" t="str">
        <f>'2.4'!C:C</f>
        <v/>
      </c>
      <c r="D101" s="9"/>
      <c r="E101" s="15"/>
      <c r="F101" s="15"/>
      <c r="G101" s="15"/>
      <c r="H101" s="15"/>
      <c r="I101" s="15"/>
      <c r="J101" s="15"/>
      <c r="K101" s="15"/>
      <c r="N101" s="1" t="s">
        <v>295</v>
      </c>
      <c r="O101" s="12">
        <f>SUM(O2:O81)</f>
        <v>73</v>
      </c>
    </row>
    <row r="102">
      <c r="C102" s="1"/>
      <c r="E102" s="14">
        <f t="shared" ref="E102:K102" si="3">AVERAGE(E2:E81)</f>
        <v>4.725</v>
      </c>
      <c r="F102" s="14">
        <f t="shared" si="3"/>
        <v>4.675</v>
      </c>
      <c r="G102" s="14">
        <f t="shared" si="3"/>
        <v>4.725</v>
      </c>
      <c r="H102" s="14">
        <f t="shared" si="3"/>
        <v>4.75</v>
      </c>
      <c r="I102" s="14">
        <f t="shared" si="3"/>
        <v>4.725</v>
      </c>
      <c r="J102" s="14">
        <f t="shared" si="3"/>
        <v>4.675</v>
      </c>
      <c r="K102" s="14">
        <f t="shared" si="3"/>
        <v>4.675</v>
      </c>
      <c r="L102" s="16">
        <f>AVERAGE(E102:K102)</f>
        <v>4.707142857</v>
      </c>
      <c r="N102" s="1" t="s">
        <v>296</v>
      </c>
      <c r="O102" s="12">
        <f>(O101*100)/80</f>
        <v>91.25</v>
      </c>
    </row>
    <row r="103">
      <c r="A103" s="8"/>
      <c r="C103" s="1"/>
    </row>
    <row r="104">
      <c r="A104" s="8"/>
      <c r="C104" s="1"/>
    </row>
    <row r="105">
      <c r="A105" s="8"/>
      <c r="C105" s="1"/>
    </row>
    <row r="106">
      <c r="A106" s="8"/>
      <c r="C106" s="1"/>
    </row>
    <row r="107">
      <c r="A107" s="8"/>
      <c r="C107" s="1"/>
    </row>
    <row r="108">
      <c r="A108" s="8"/>
      <c r="C108" s="1"/>
    </row>
    <row r="109">
      <c r="A109" s="8"/>
      <c r="C109" s="1"/>
    </row>
    <row r="110">
      <c r="A110" s="8"/>
      <c r="C110" s="1"/>
    </row>
    <row r="111">
      <c r="A111" s="8"/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</sheetData>
  <mergeCells count="1">
    <mergeCell ref="M1:O1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5">
        <v>46213.394311261574</v>
      </c>
      <c r="B2" s="6" t="s">
        <v>79</v>
      </c>
      <c r="C2" s="6" t="s">
        <v>31</v>
      </c>
      <c r="D2" s="6" t="s">
        <v>13</v>
      </c>
      <c r="E2" s="6" t="s">
        <v>14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</row>
    <row r="3">
      <c r="A3" s="5">
        <v>46213.394313125</v>
      </c>
      <c r="B3" s="6" t="s">
        <v>46</v>
      </c>
      <c r="C3" s="6" t="s">
        <v>459</v>
      </c>
      <c r="D3" s="6" t="s">
        <v>13</v>
      </c>
      <c r="E3" s="6" t="s">
        <v>14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</row>
    <row r="4">
      <c r="A4" s="5">
        <v>46213.39437206018</v>
      </c>
      <c r="B4" s="6" t="s">
        <v>51</v>
      </c>
      <c r="C4" s="6" t="s">
        <v>459</v>
      </c>
      <c r="D4" s="6" t="s">
        <v>13</v>
      </c>
      <c r="E4" s="6" t="s">
        <v>14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</row>
    <row r="5">
      <c r="A5" s="5">
        <v>46213.39440871528</v>
      </c>
      <c r="B5" s="6" t="s">
        <v>133</v>
      </c>
      <c r="C5" s="6" t="s">
        <v>459</v>
      </c>
      <c r="D5" s="6" t="s">
        <v>13</v>
      </c>
      <c r="E5" s="6" t="s">
        <v>14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</row>
    <row r="6">
      <c r="A6" s="5">
        <v>46213.394445555554</v>
      </c>
      <c r="B6" s="6" t="s">
        <v>111</v>
      </c>
      <c r="C6" s="6" t="s">
        <v>468</v>
      </c>
      <c r="D6" s="6" t="s">
        <v>13</v>
      </c>
      <c r="E6" s="6" t="s">
        <v>14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20</v>
      </c>
      <c r="K6" s="6" t="s">
        <v>539</v>
      </c>
    </row>
    <row r="7">
      <c r="A7" s="5">
        <v>46213.3948790625</v>
      </c>
      <c r="B7" s="6" t="s">
        <v>49</v>
      </c>
      <c r="C7" s="6" t="s">
        <v>31</v>
      </c>
      <c r="D7" s="6" t="s">
        <v>13</v>
      </c>
      <c r="E7" s="6" t="s">
        <v>14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460</v>
      </c>
    </row>
    <row r="8">
      <c r="A8" s="5">
        <v>46213.394922719905</v>
      </c>
      <c r="B8" s="6" t="s">
        <v>25</v>
      </c>
      <c r="C8" s="6" t="s">
        <v>462</v>
      </c>
      <c r="D8" s="6" t="s">
        <v>13</v>
      </c>
      <c r="E8" s="6" t="s">
        <v>14</v>
      </c>
      <c r="F8" s="6" t="s">
        <v>16</v>
      </c>
      <c r="G8" s="6" t="s">
        <v>17</v>
      </c>
      <c r="H8" s="6" t="s">
        <v>18</v>
      </c>
      <c r="I8" s="6" t="s">
        <v>19</v>
      </c>
      <c r="J8" s="6" t="s">
        <v>20</v>
      </c>
      <c r="K8" s="6" t="s">
        <v>463</v>
      </c>
    </row>
    <row r="9">
      <c r="A9" s="5">
        <v>46213.39492361111</v>
      </c>
      <c r="B9" s="6" t="s">
        <v>140</v>
      </c>
      <c r="C9" s="6" t="s">
        <v>459</v>
      </c>
      <c r="D9" s="6" t="s">
        <v>13</v>
      </c>
      <c r="E9" s="6" t="s">
        <v>14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>
      <c r="A10" s="5">
        <v>46213.394949548616</v>
      </c>
      <c r="B10" s="6" t="s">
        <v>136</v>
      </c>
      <c r="C10" s="6" t="s">
        <v>459</v>
      </c>
      <c r="D10" s="6" t="s">
        <v>13</v>
      </c>
      <c r="E10" s="6" t="s">
        <v>14</v>
      </c>
      <c r="F10" s="6" t="s">
        <v>16</v>
      </c>
      <c r="G10" s="6" t="s">
        <v>17</v>
      </c>
      <c r="H10" s="6" t="s">
        <v>18</v>
      </c>
      <c r="I10" s="6" t="s">
        <v>19</v>
      </c>
      <c r="J10" s="6" t="s">
        <v>20</v>
      </c>
    </row>
    <row r="11">
      <c r="A11" s="5">
        <v>46213.394994999995</v>
      </c>
      <c r="B11" s="6" t="s">
        <v>11</v>
      </c>
      <c r="C11" s="6" t="s">
        <v>31</v>
      </c>
      <c r="D11" s="6" t="s">
        <v>13</v>
      </c>
      <c r="E11" s="6" t="s">
        <v>14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20</v>
      </c>
    </row>
    <row r="12">
      <c r="A12" s="5">
        <v>46213.39500471065</v>
      </c>
      <c r="B12" s="6" t="s">
        <v>40</v>
      </c>
      <c r="C12" s="6" t="s">
        <v>31</v>
      </c>
      <c r="D12" s="6" t="s">
        <v>13</v>
      </c>
      <c r="E12" s="6" t="s">
        <v>14</v>
      </c>
      <c r="F12" s="6" t="s">
        <v>16</v>
      </c>
      <c r="G12" s="6" t="s">
        <v>17</v>
      </c>
      <c r="H12" s="6" t="s">
        <v>18</v>
      </c>
      <c r="I12" s="6" t="s">
        <v>19</v>
      </c>
      <c r="J12" s="6" t="s">
        <v>20</v>
      </c>
    </row>
    <row r="13">
      <c r="A13" s="5">
        <v>46213.39522115741</v>
      </c>
      <c r="B13" s="6" t="s">
        <v>113</v>
      </c>
      <c r="C13" s="6" t="s">
        <v>466</v>
      </c>
      <c r="D13" s="6" t="s">
        <v>13</v>
      </c>
      <c r="E13" s="6" t="s">
        <v>14</v>
      </c>
      <c r="F13" s="6" t="s">
        <v>16</v>
      </c>
      <c r="G13" s="6" t="s">
        <v>17</v>
      </c>
      <c r="H13" s="6" t="s">
        <v>18</v>
      </c>
      <c r="I13" s="6" t="s">
        <v>19</v>
      </c>
      <c r="J13" s="6" t="s">
        <v>20</v>
      </c>
    </row>
    <row r="14">
      <c r="A14" s="5">
        <v>46213.39526733797</v>
      </c>
      <c r="B14" s="6" t="s">
        <v>78</v>
      </c>
      <c r="C14" s="6" t="s">
        <v>459</v>
      </c>
      <c r="D14" s="6" t="s">
        <v>13</v>
      </c>
      <c r="E14" s="6" t="s">
        <v>14</v>
      </c>
      <c r="F14" s="6" t="s">
        <v>16</v>
      </c>
      <c r="G14" s="6" t="s">
        <v>17</v>
      </c>
      <c r="H14" s="6" t="s">
        <v>18</v>
      </c>
      <c r="I14" s="6" t="s">
        <v>19</v>
      </c>
      <c r="J14" s="6" t="s">
        <v>20</v>
      </c>
    </row>
    <row r="15">
      <c r="A15" s="5">
        <v>46213.395281307865</v>
      </c>
      <c r="B15" s="6" t="s">
        <v>469</v>
      </c>
      <c r="C15" s="6" t="s">
        <v>31</v>
      </c>
      <c r="D15" s="6" t="s">
        <v>13</v>
      </c>
      <c r="E15" s="6" t="s">
        <v>14</v>
      </c>
      <c r="F15" s="6" t="s">
        <v>16</v>
      </c>
      <c r="G15" s="6" t="s">
        <v>17</v>
      </c>
      <c r="H15" s="6" t="s">
        <v>18</v>
      </c>
      <c r="I15" s="6" t="s">
        <v>55</v>
      </c>
      <c r="J15" s="6" t="s">
        <v>56</v>
      </c>
    </row>
    <row r="16">
      <c r="A16" s="5">
        <v>46213.39549465278</v>
      </c>
      <c r="B16" s="6" t="s">
        <v>80</v>
      </c>
      <c r="C16" s="6" t="s">
        <v>31</v>
      </c>
      <c r="D16" s="6" t="s">
        <v>13</v>
      </c>
      <c r="E16" s="6" t="s">
        <v>14</v>
      </c>
      <c r="F16" s="6" t="s">
        <v>16</v>
      </c>
      <c r="G16" s="6" t="s">
        <v>17</v>
      </c>
      <c r="H16" s="6" t="s">
        <v>18</v>
      </c>
      <c r="I16" s="6" t="s">
        <v>19</v>
      </c>
      <c r="J16" s="6" t="s">
        <v>20</v>
      </c>
      <c r="K16" s="6" t="s">
        <v>540</v>
      </c>
    </row>
    <row r="17">
      <c r="A17" s="5">
        <v>46213.39561762731</v>
      </c>
      <c r="B17" s="6" t="s">
        <v>138</v>
      </c>
      <c r="C17" s="6" t="s">
        <v>459</v>
      </c>
      <c r="D17" s="6" t="s">
        <v>13</v>
      </c>
      <c r="E17" s="6" t="s">
        <v>14</v>
      </c>
      <c r="F17" s="6" t="s">
        <v>16</v>
      </c>
      <c r="G17" s="6" t="s">
        <v>17</v>
      </c>
      <c r="H17" s="6" t="s">
        <v>18</v>
      </c>
      <c r="I17" s="6" t="s">
        <v>55</v>
      </c>
      <c r="J17" s="6" t="s">
        <v>56</v>
      </c>
      <c r="K17" s="6" t="s">
        <v>541</v>
      </c>
    </row>
    <row r="18">
      <c r="A18" s="5">
        <v>46213.395717754625</v>
      </c>
      <c r="B18" s="6" t="s">
        <v>57</v>
      </c>
      <c r="C18" s="6" t="s">
        <v>459</v>
      </c>
      <c r="D18" s="6" t="s">
        <v>13</v>
      </c>
      <c r="E18" s="6" t="s">
        <v>14</v>
      </c>
      <c r="F18" s="6" t="s">
        <v>16</v>
      </c>
      <c r="G18" s="6" t="s">
        <v>17</v>
      </c>
      <c r="H18" s="6" t="s">
        <v>18</v>
      </c>
      <c r="I18" s="6" t="s">
        <v>19</v>
      </c>
      <c r="J18" s="6" t="s">
        <v>20</v>
      </c>
    </row>
    <row r="19">
      <c r="A19" s="5">
        <v>46213.39582289352</v>
      </c>
      <c r="B19" s="6" t="s">
        <v>60</v>
      </c>
      <c r="C19" s="6" t="s">
        <v>459</v>
      </c>
      <c r="D19" s="6" t="s">
        <v>13</v>
      </c>
      <c r="E19" s="6" t="s">
        <v>14</v>
      </c>
      <c r="F19" s="6" t="s">
        <v>16</v>
      </c>
      <c r="G19" s="6" t="s">
        <v>17</v>
      </c>
      <c r="H19" s="6" t="s">
        <v>18</v>
      </c>
      <c r="I19" s="6" t="s">
        <v>19</v>
      </c>
      <c r="J19" s="6" t="s">
        <v>20</v>
      </c>
    </row>
    <row r="20">
      <c r="A20" s="5">
        <v>46213.39606641204</v>
      </c>
      <c r="B20" s="6" t="s">
        <v>74</v>
      </c>
      <c r="C20" s="6" t="s">
        <v>374</v>
      </c>
      <c r="D20" s="6" t="s">
        <v>13</v>
      </c>
      <c r="E20" s="6" t="s">
        <v>14</v>
      </c>
      <c r="F20" s="6" t="s">
        <v>16</v>
      </c>
      <c r="G20" s="6" t="s">
        <v>17</v>
      </c>
      <c r="H20" s="6" t="s">
        <v>18</v>
      </c>
      <c r="I20" s="6" t="s">
        <v>19</v>
      </c>
      <c r="J20" s="6" t="s">
        <v>20</v>
      </c>
    </row>
    <row r="21">
      <c r="A21" s="5">
        <v>46213.39622819444</v>
      </c>
      <c r="B21" s="6" t="s">
        <v>21</v>
      </c>
      <c r="C21" s="6" t="s">
        <v>459</v>
      </c>
      <c r="D21" s="6" t="s">
        <v>13</v>
      </c>
      <c r="E21" s="6" t="s">
        <v>14</v>
      </c>
      <c r="F21" s="6" t="s">
        <v>16</v>
      </c>
      <c r="G21" s="6" t="s">
        <v>17</v>
      </c>
      <c r="H21" s="6" t="s">
        <v>18</v>
      </c>
      <c r="I21" s="6" t="s">
        <v>55</v>
      </c>
      <c r="J21" s="6" t="s">
        <v>56</v>
      </c>
    </row>
    <row r="22">
      <c r="A22" s="5">
        <v>46213.396316053244</v>
      </c>
      <c r="B22" s="6" t="s">
        <v>116</v>
      </c>
      <c r="C22" s="6" t="s">
        <v>466</v>
      </c>
      <c r="D22" s="6" t="s">
        <v>13</v>
      </c>
      <c r="E22" s="6" t="s">
        <v>14</v>
      </c>
      <c r="F22" s="6" t="s">
        <v>16</v>
      </c>
      <c r="G22" s="6" t="s">
        <v>17</v>
      </c>
      <c r="H22" s="6" t="s">
        <v>18</v>
      </c>
      <c r="I22" s="6" t="s">
        <v>19</v>
      </c>
      <c r="J22" s="6" t="s">
        <v>20</v>
      </c>
      <c r="K22" s="6" t="s">
        <v>542</v>
      </c>
    </row>
    <row r="23">
      <c r="A23" s="5">
        <v>46213.39639646991</v>
      </c>
      <c r="B23" s="6" t="s">
        <v>24</v>
      </c>
      <c r="C23" s="6" t="s">
        <v>459</v>
      </c>
      <c r="D23" s="6" t="s">
        <v>13</v>
      </c>
      <c r="E23" s="6" t="s">
        <v>14</v>
      </c>
      <c r="F23" s="6" t="s">
        <v>16</v>
      </c>
      <c r="G23" s="6" t="s">
        <v>17</v>
      </c>
      <c r="H23" s="6" t="s">
        <v>18</v>
      </c>
      <c r="I23" s="6" t="s">
        <v>19</v>
      </c>
      <c r="J23" s="6" t="s">
        <v>20</v>
      </c>
    </row>
    <row r="24">
      <c r="A24" s="5">
        <v>46213.39657679398</v>
      </c>
      <c r="B24" s="6" t="s">
        <v>464</v>
      </c>
      <c r="C24" s="6" t="s">
        <v>459</v>
      </c>
      <c r="D24" s="6" t="s">
        <v>13</v>
      </c>
      <c r="E24" s="6" t="s">
        <v>14</v>
      </c>
      <c r="F24" s="6" t="s">
        <v>16</v>
      </c>
      <c r="G24" s="6" t="s">
        <v>17</v>
      </c>
      <c r="H24" s="6" t="s">
        <v>18</v>
      </c>
      <c r="I24" s="6" t="s">
        <v>19</v>
      </c>
      <c r="J24" s="6" t="s">
        <v>20</v>
      </c>
      <c r="K24" s="6" t="s">
        <v>543</v>
      </c>
    </row>
    <row r="25">
      <c r="A25" s="5">
        <v>46213.39682041667</v>
      </c>
      <c r="B25" s="6" t="s">
        <v>90</v>
      </c>
      <c r="C25" s="6" t="s">
        <v>530</v>
      </c>
      <c r="D25" s="6" t="s">
        <v>13</v>
      </c>
      <c r="E25" s="6" t="s">
        <v>14</v>
      </c>
      <c r="F25" s="6" t="s">
        <v>16</v>
      </c>
      <c r="G25" s="6" t="s">
        <v>17</v>
      </c>
      <c r="H25" s="6" t="s">
        <v>18</v>
      </c>
      <c r="I25" s="6" t="s">
        <v>19</v>
      </c>
      <c r="J25" s="6" t="s">
        <v>20</v>
      </c>
    </row>
    <row r="26">
      <c r="A26" s="5">
        <v>46213.397127916665</v>
      </c>
      <c r="B26" s="6" t="s">
        <v>85</v>
      </c>
      <c r="C26" s="6" t="s">
        <v>459</v>
      </c>
      <c r="D26" s="6" t="s">
        <v>13</v>
      </c>
      <c r="E26" s="6" t="s">
        <v>14</v>
      </c>
      <c r="F26" s="6" t="s">
        <v>16</v>
      </c>
      <c r="G26" s="6" t="s">
        <v>17</v>
      </c>
      <c r="H26" s="6" t="s">
        <v>18</v>
      </c>
      <c r="I26" s="6" t="s">
        <v>19</v>
      </c>
      <c r="J26" s="6" t="s">
        <v>20</v>
      </c>
    </row>
    <row r="27">
      <c r="A27" s="5">
        <v>46213.397645069446</v>
      </c>
      <c r="B27" s="6" t="s">
        <v>100</v>
      </c>
      <c r="C27" s="6" t="s">
        <v>466</v>
      </c>
      <c r="D27" s="6" t="s">
        <v>13</v>
      </c>
      <c r="E27" s="6" t="s">
        <v>14</v>
      </c>
      <c r="F27" s="6" t="s">
        <v>16</v>
      </c>
      <c r="G27" s="6" t="s">
        <v>17</v>
      </c>
      <c r="H27" s="6" t="s">
        <v>18</v>
      </c>
      <c r="I27" s="6" t="s">
        <v>19</v>
      </c>
      <c r="J27" s="6" t="s">
        <v>20</v>
      </c>
      <c r="K27" s="6" t="s">
        <v>499</v>
      </c>
    </row>
    <row r="28">
      <c r="A28" s="5">
        <v>46213.39764619213</v>
      </c>
      <c r="B28" s="6" t="s">
        <v>135</v>
      </c>
      <c r="C28" s="6" t="s">
        <v>31</v>
      </c>
      <c r="D28" s="6" t="s">
        <v>13</v>
      </c>
      <c r="E28" s="6" t="s">
        <v>14</v>
      </c>
      <c r="F28" s="6" t="s">
        <v>16</v>
      </c>
      <c r="G28" s="6" t="s">
        <v>17</v>
      </c>
      <c r="H28" s="6" t="s">
        <v>18</v>
      </c>
      <c r="I28" s="6" t="s">
        <v>19</v>
      </c>
      <c r="J28" s="6" t="s">
        <v>20</v>
      </c>
    </row>
    <row r="29">
      <c r="A29" s="5">
        <v>46213.39769416666</v>
      </c>
      <c r="B29" s="6" t="s">
        <v>210</v>
      </c>
      <c r="C29" s="6" t="s">
        <v>462</v>
      </c>
      <c r="D29" s="6" t="s">
        <v>13</v>
      </c>
      <c r="E29" s="6" t="s">
        <v>14</v>
      </c>
      <c r="F29" s="6" t="s">
        <v>16</v>
      </c>
      <c r="G29" s="6" t="s">
        <v>17</v>
      </c>
      <c r="H29" s="6" t="s">
        <v>18</v>
      </c>
      <c r="I29" s="6" t="s">
        <v>19</v>
      </c>
      <c r="J29" s="6" t="s">
        <v>20</v>
      </c>
      <c r="K29" s="6" t="s">
        <v>544</v>
      </c>
    </row>
    <row r="30">
      <c r="A30" s="5">
        <v>46213.397900868054</v>
      </c>
      <c r="B30" s="6" t="s">
        <v>101</v>
      </c>
      <c r="C30" s="6" t="s">
        <v>31</v>
      </c>
      <c r="D30" s="6" t="s">
        <v>13</v>
      </c>
      <c r="E30" s="6" t="s">
        <v>14</v>
      </c>
      <c r="F30" s="6" t="s">
        <v>16</v>
      </c>
      <c r="G30" s="6" t="s">
        <v>17</v>
      </c>
      <c r="H30" s="6" t="s">
        <v>18</v>
      </c>
      <c r="I30" s="6" t="s">
        <v>19</v>
      </c>
      <c r="J30" s="6" t="s">
        <v>370</v>
      </c>
    </row>
    <row r="31">
      <c r="A31" s="5">
        <v>46213.398095358796</v>
      </c>
      <c r="B31" s="6" t="s">
        <v>61</v>
      </c>
      <c r="C31" s="6" t="s">
        <v>459</v>
      </c>
      <c r="D31" s="6" t="s">
        <v>13</v>
      </c>
      <c r="E31" s="6" t="s">
        <v>14</v>
      </c>
      <c r="F31" s="6" t="s">
        <v>16</v>
      </c>
      <c r="G31" s="6" t="s">
        <v>17</v>
      </c>
      <c r="H31" s="6" t="s">
        <v>18</v>
      </c>
      <c r="I31" s="6" t="s">
        <v>19</v>
      </c>
      <c r="J31" s="6" t="s">
        <v>20</v>
      </c>
      <c r="K31" s="6" t="s">
        <v>478</v>
      </c>
    </row>
    <row r="32">
      <c r="A32" s="5">
        <v>46213.39842075232</v>
      </c>
      <c r="B32" s="6" t="s">
        <v>127</v>
      </c>
      <c r="C32" s="6" t="s">
        <v>466</v>
      </c>
      <c r="D32" s="6" t="s">
        <v>13</v>
      </c>
      <c r="E32" s="6" t="s">
        <v>14</v>
      </c>
      <c r="F32" s="6" t="s">
        <v>16</v>
      </c>
      <c r="G32" s="6" t="s">
        <v>17</v>
      </c>
      <c r="H32" s="6" t="s">
        <v>18</v>
      </c>
      <c r="I32" s="6" t="s">
        <v>19</v>
      </c>
      <c r="J32" s="6" t="s">
        <v>20</v>
      </c>
      <c r="K32" s="6" t="s">
        <v>545</v>
      </c>
    </row>
    <row r="33">
      <c r="A33" s="5">
        <v>46213.39891741898</v>
      </c>
      <c r="B33" s="6" t="s">
        <v>196</v>
      </c>
      <c r="C33" s="6" t="s">
        <v>459</v>
      </c>
      <c r="D33" s="6" t="s">
        <v>13</v>
      </c>
      <c r="E33" s="6" t="s">
        <v>14</v>
      </c>
      <c r="F33" s="6" t="s">
        <v>16</v>
      </c>
      <c r="G33" s="6" t="s">
        <v>17</v>
      </c>
      <c r="H33" s="6" t="s">
        <v>18</v>
      </c>
      <c r="I33" s="6" t="s">
        <v>19</v>
      </c>
      <c r="J33" s="6" t="s">
        <v>20</v>
      </c>
    </row>
    <row r="34">
      <c r="A34" s="5">
        <v>46213.39895375</v>
      </c>
      <c r="B34" s="6" t="s">
        <v>77</v>
      </c>
      <c r="C34" s="6" t="s">
        <v>459</v>
      </c>
      <c r="D34" s="6" t="s">
        <v>13</v>
      </c>
      <c r="E34" s="6" t="s">
        <v>14</v>
      </c>
      <c r="F34" s="6" t="s">
        <v>16</v>
      </c>
      <c r="G34" s="6" t="s">
        <v>17</v>
      </c>
      <c r="H34" s="6" t="s">
        <v>18</v>
      </c>
      <c r="I34" s="6" t="s">
        <v>19</v>
      </c>
      <c r="J34" s="6" t="s">
        <v>20</v>
      </c>
      <c r="K34" s="6" t="s">
        <v>546</v>
      </c>
    </row>
    <row r="35">
      <c r="A35" s="5">
        <v>46213.39903305555</v>
      </c>
      <c r="B35" s="6" t="s">
        <v>106</v>
      </c>
      <c r="C35" s="6" t="s">
        <v>475</v>
      </c>
      <c r="D35" s="6" t="s">
        <v>13</v>
      </c>
      <c r="E35" s="6" t="s">
        <v>14</v>
      </c>
      <c r="F35" s="6" t="s">
        <v>16</v>
      </c>
      <c r="G35" s="6" t="s">
        <v>17</v>
      </c>
      <c r="H35" s="6" t="s">
        <v>18</v>
      </c>
      <c r="I35" s="6" t="s">
        <v>19</v>
      </c>
      <c r="J35" s="6" t="s">
        <v>20</v>
      </c>
      <c r="K35" s="6" t="s">
        <v>547</v>
      </c>
    </row>
    <row r="36">
      <c r="A36" s="5">
        <v>46213.399340185184</v>
      </c>
      <c r="B36" s="6" t="s">
        <v>28</v>
      </c>
      <c r="C36" s="6" t="s">
        <v>459</v>
      </c>
      <c r="D36" s="6" t="s">
        <v>13</v>
      </c>
      <c r="E36" s="6" t="s">
        <v>14</v>
      </c>
      <c r="F36" s="6" t="s">
        <v>16</v>
      </c>
      <c r="G36" s="6" t="s">
        <v>17</v>
      </c>
      <c r="H36" s="6" t="s">
        <v>18</v>
      </c>
      <c r="I36" s="6" t="s">
        <v>19</v>
      </c>
      <c r="J36" s="6" t="s">
        <v>20</v>
      </c>
      <c r="K36" s="34" t="s">
        <v>504</v>
      </c>
    </row>
    <row r="37">
      <c r="A37" s="5">
        <v>46213.399381400464</v>
      </c>
      <c r="B37" s="6" t="s">
        <v>115</v>
      </c>
      <c r="C37" s="6" t="s">
        <v>31</v>
      </c>
      <c r="D37" s="6" t="s">
        <v>13</v>
      </c>
      <c r="E37" s="6" t="s">
        <v>14</v>
      </c>
      <c r="F37" s="6" t="s">
        <v>16</v>
      </c>
      <c r="G37" s="6" t="s">
        <v>17</v>
      </c>
      <c r="H37" s="6" t="s">
        <v>18</v>
      </c>
      <c r="I37" s="6" t="s">
        <v>19</v>
      </c>
      <c r="J37" s="6" t="s">
        <v>20</v>
      </c>
    </row>
    <row r="38">
      <c r="A38" s="5">
        <v>46213.399446469906</v>
      </c>
      <c r="B38" s="6" t="s">
        <v>75</v>
      </c>
      <c r="C38" s="6" t="s">
        <v>462</v>
      </c>
      <c r="D38" s="6" t="s">
        <v>13</v>
      </c>
      <c r="E38" s="6" t="s">
        <v>120</v>
      </c>
      <c r="F38" s="6" t="s">
        <v>16</v>
      </c>
      <c r="G38" s="6" t="s">
        <v>17</v>
      </c>
      <c r="H38" s="6" t="s">
        <v>18</v>
      </c>
      <c r="I38" s="6" t="s">
        <v>19</v>
      </c>
      <c r="J38" s="6" t="s">
        <v>20</v>
      </c>
      <c r="K38" s="6" t="s">
        <v>533</v>
      </c>
    </row>
    <row r="39">
      <c r="A39" s="5">
        <v>46213.39981855324</v>
      </c>
      <c r="B39" s="6" t="s">
        <v>105</v>
      </c>
      <c r="C39" s="6" t="s">
        <v>505</v>
      </c>
      <c r="D39" s="6" t="s">
        <v>13</v>
      </c>
      <c r="E39" s="6" t="s">
        <v>14</v>
      </c>
      <c r="F39" s="6" t="s">
        <v>16</v>
      </c>
      <c r="G39" s="6" t="s">
        <v>17</v>
      </c>
      <c r="H39" s="6" t="s">
        <v>18</v>
      </c>
      <c r="I39" s="6" t="s">
        <v>19</v>
      </c>
      <c r="J39" s="6" t="s">
        <v>20</v>
      </c>
    </row>
    <row r="40">
      <c r="A40" s="5">
        <v>46213.39982990741</v>
      </c>
      <c r="B40" s="6" t="s">
        <v>205</v>
      </c>
      <c r="C40" s="6" t="s">
        <v>31</v>
      </c>
      <c r="D40" s="6" t="s">
        <v>13</v>
      </c>
      <c r="E40" s="6" t="s">
        <v>14</v>
      </c>
      <c r="F40" s="6" t="s">
        <v>16</v>
      </c>
      <c r="G40" s="6" t="s">
        <v>17</v>
      </c>
      <c r="H40" s="6" t="s">
        <v>18</v>
      </c>
      <c r="I40" s="6" t="s">
        <v>19</v>
      </c>
      <c r="J40" s="6" t="s">
        <v>20</v>
      </c>
    </row>
    <row r="41">
      <c r="A41" s="5">
        <v>46213.40064962963</v>
      </c>
      <c r="B41" s="6" t="s">
        <v>37</v>
      </c>
      <c r="C41" s="6" t="s">
        <v>486</v>
      </c>
      <c r="D41" s="6" t="s">
        <v>13</v>
      </c>
      <c r="E41" s="6" t="s">
        <v>14</v>
      </c>
      <c r="F41" s="6" t="s">
        <v>16</v>
      </c>
      <c r="G41" s="6" t="s">
        <v>17</v>
      </c>
      <c r="H41" s="6" t="s">
        <v>18</v>
      </c>
      <c r="I41" s="6" t="s">
        <v>19</v>
      </c>
      <c r="J41" s="6" t="s">
        <v>20</v>
      </c>
      <c r="K41" s="6" t="s">
        <v>487</v>
      </c>
    </row>
    <row r="42">
      <c r="A42" s="5">
        <v>46213.4021559838</v>
      </c>
      <c r="B42" s="6" t="s">
        <v>95</v>
      </c>
      <c r="C42" s="6" t="s">
        <v>208</v>
      </c>
      <c r="D42" s="6" t="s">
        <v>13</v>
      </c>
      <c r="E42" s="6" t="s">
        <v>14</v>
      </c>
      <c r="F42" s="6" t="s">
        <v>16</v>
      </c>
      <c r="G42" s="6" t="s">
        <v>17</v>
      </c>
      <c r="H42" s="6" t="s">
        <v>18</v>
      </c>
      <c r="I42" s="6" t="s">
        <v>19</v>
      </c>
      <c r="J42" s="6" t="s">
        <v>20</v>
      </c>
    </row>
    <row r="43">
      <c r="A43" s="5">
        <v>46213.40216391203</v>
      </c>
      <c r="B43" s="6" t="s">
        <v>114</v>
      </c>
      <c r="C43" s="6" t="s">
        <v>459</v>
      </c>
      <c r="D43" s="6" t="s">
        <v>13</v>
      </c>
      <c r="E43" s="6" t="s">
        <v>14</v>
      </c>
      <c r="F43" s="6" t="s">
        <v>16</v>
      </c>
      <c r="G43" s="6" t="s">
        <v>17</v>
      </c>
      <c r="H43" s="6" t="s">
        <v>18</v>
      </c>
      <c r="I43" s="6" t="s">
        <v>19</v>
      </c>
      <c r="J43" s="6" t="s">
        <v>20</v>
      </c>
    </row>
    <row r="44">
      <c r="A44" s="5">
        <v>46213.40227554398</v>
      </c>
      <c r="B44" s="6" t="s">
        <v>33</v>
      </c>
      <c r="C44" s="6" t="s">
        <v>473</v>
      </c>
      <c r="D44" s="6" t="s">
        <v>13</v>
      </c>
      <c r="E44" s="6" t="s">
        <v>14</v>
      </c>
      <c r="F44" s="6" t="s">
        <v>16</v>
      </c>
      <c r="G44" s="6" t="s">
        <v>17</v>
      </c>
      <c r="H44" s="6" t="s">
        <v>18</v>
      </c>
      <c r="I44" s="6" t="s">
        <v>19</v>
      </c>
      <c r="J44" s="6" t="s">
        <v>20</v>
      </c>
    </row>
    <row r="45">
      <c r="A45" s="5">
        <v>46213.40264423611</v>
      </c>
      <c r="B45" s="6" t="s">
        <v>66</v>
      </c>
      <c r="C45" s="6" t="s">
        <v>475</v>
      </c>
      <c r="D45" s="6" t="s">
        <v>13</v>
      </c>
      <c r="E45" s="6" t="s">
        <v>14</v>
      </c>
      <c r="F45" s="6" t="s">
        <v>16</v>
      </c>
      <c r="G45" s="6" t="s">
        <v>17</v>
      </c>
      <c r="H45" s="6" t="s">
        <v>18</v>
      </c>
      <c r="I45" s="6" t="s">
        <v>19</v>
      </c>
      <c r="J45" s="6" t="s">
        <v>20</v>
      </c>
      <c r="K45" s="6" t="s">
        <v>489</v>
      </c>
    </row>
    <row r="46">
      <c r="A46" s="5">
        <v>46213.402894548606</v>
      </c>
      <c r="B46" s="6" t="s">
        <v>97</v>
      </c>
      <c r="C46" s="6" t="s">
        <v>31</v>
      </c>
      <c r="D46" s="6" t="s">
        <v>13</v>
      </c>
      <c r="E46" s="6" t="s">
        <v>14</v>
      </c>
      <c r="F46" s="6" t="s">
        <v>16</v>
      </c>
      <c r="G46" s="6" t="s">
        <v>17</v>
      </c>
      <c r="H46" s="6" t="s">
        <v>18</v>
      </c>
      <c r="I46" s="6" t="s">
        <v>19</v>
      </c>
      <c r="J46" s="6" t="s">
        <v>20</v>
      </c>
      <c r="K46" s="6" t="s">
        <v>548</v>
      </c>
    </row>
    <row r="47">
      <c r="A47" s="5">
        <v>46213.403595752316</v>
      </c>
      <c r="B47" s="6" t="s">
        <v>83</v>
      </c>
      <c r="C47" s="6" t="s">
        <v>31</v>
      </c>
      <c r="D47" s="6" t="s">
        <v>13</v>
      </c>
      <c r="E47" s="6" t="s">
        <v>14</v>
      </c>
      <c r="F47" s="6" t="s">
        <v>16</v>
      </c>
      <c r="G47" s="6" t="s">
        <v>17</v>
      </c>
      <c r="H47" s="6" t="s">
        <v>18</v>
      </c>
      <c r="I47" s="6" t="s">
        <v>19</v>
      </c>
      <c r="J47" s="6" t="s">
        <v>20</v>
      </c>
    </row>
    <row r="48">
      <c r="A48" s="5">
        <v>46213.40433958333</v>
      </c>
      <c r="B48" s="6" t="s">
        <v>88</v>
      </c>
      <c r="C48" s="6" t="s">
        <v>480</v>
      </c>
      <c r="D48" s="6" t="s">
        <v>13</v>
      </c>
      <c r="E48" s="6" t="s">
        <v>14</v>
      </c>
      <c r="F48" s="6" t="s">
        <v>16</v>
      </c>
      <c r="G48" s="6" t="s">
        <v>17</v>
      </c>
      <c r="H48" s="6" t="s">
        <v>18</v>
      </c>
      <c r="I48" s="6" t="s">
        <v>19</v>
      </c>
      <c r="J48" s="6" t="s">
        <v>20</v>
      </c>
    </row>
    <row r="49">
      <c r="A49" s="5">
        <v>46213.404595451386</v>
      </c>
      <c r="B49" s="6" t="s">
        <v>44</v>
      </c>
      <c r="C49" s="6" t="s">
        <v>459</v>
      </c>
      <c r="D49" s="6" t="s">
        <v>13</v>
      </c>
      <c r="E49" s="6" t="s">
        <v>14</v>
      </c>
      <c r="F49" s="6" t="s">
        <v>16</v>
      </c>
      <c r="G49" s="6" t="s">
        <v>17</v>
      </c>
      <c r="H49" s="6" t="s">
        <v>18</v>
      </c>
      <c r="I49" s="6" t="s">
        <v>19</v>
      </c>
      <c r="J49" s="6" t="s">
        <v>20</v>
      </c>
      <c r="K49" s="6" t="s">
        <v>549</v>
      </c>
    </row>
    <row r="50">
      <c r="A50" s="5">
        <v>46213.40481383102</v>
      </c>
      <c r="B50" s="6" t="s">
        <v>71</v>
      </c>
      <c r="C50" s="6" t="s">
        <v>31</v>
      </c>
      <c r="D50" s="6" t="s">
        <v>13</v>
      </c>
      <c r="E50" s="6" t="s">
        <v>14</v>
      </c>
      <c r="F50" s="6" t="s">
        <v>16</v>
      </c>
      <c r="G50" s="6" t="s">
        <v>17</v>
      </c>
      <c r="H50" s="6" t="s">
        <v>18</v>
      </c>
      <c r="I50" s="6" t="s">
        <v>19</v>
      </c>
      <c r="J50" s="6" t="s">
        <v>20</v>
      </c>
    </row>
    <row r="51">
      <c r="A51" s="5">
        <v>46213.40550471065</v>
      </c>
      <c r="B51" s="6" t="s">
        <v>42</v>
      </c>
      <c r="C51" s="6" t="s">
        <v>31</v>
      </c>
      <c r="D51" s="6" t="s">
        <v>13</v>
      </c>
      <c r="E51" s="6" t="s">
        <v>14</v>
      </c>
      <c r="F51" s="6" t="s">
        <v>16</v>
      </c>
      <c r="G51" s="6" t="s">
        <v>17</v>
      </c>
      <c r="H51" s="6" t="s">
        <v>18</v>
      </c>
      <c r="I51" s="6" t="s">
        <v>19</v>
      </c>
      <c r="J51" s="6" t="s">
        <v>20</v>
      </c>
    </row>
    <row r="52">
      <c r="A52" s="5">
        <v>46213.40659899305</v>
      </c>
      <c r="B52" s="6" t="s">
        <v>201</v>
      </c>
      <c r="C52" s="6" t="s">
        <v>491</v>
      </c>
      <c r="D52" s="6" t="s">
        <v>13</v>
      </c>
      <c r="E52" s="6" t="s">
        <v>14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>
      <c r="A53" s="5">
        <v>46213.40983958333</v>
      </c>
      <c r="B53" s="6" t="s">
        <v>104</v>
      </c>
      <c r="C53" s="6" t="s">
        <v>550</v>
      </c>
      <c r="D53" s="6" t="s">
        <v>13</v>
      </c>
      <c r="E53" s="6" t="s">
        <v>14</v>
      </c>
      <c r="F53" s="6" t="s">
        <v>16</v>
      </c>
      <c r="G53" s="6" t="s">
        <v>17</v>
      </c>
      <c r="H53" s="6" t="s">
        <v>18</v>
      </c>
      <c r="I53" s="6" t="s">
        <v>19</v>
      </c>
      <c r="J53" s="6" t="s">
        <v>20</v>
      </c>
    </row>
    <row r="54">
      <c r="A54" s="5">
        <v>46213.411379537036</v>
      </c>
      <c r="B54" s="6" t="s">
        <v>126</v>
      </c>
      <c r="C54" s="6" t="s">
        <v>459</v>
      </c>
      <c r="D54" s="6" t="s">
        <v>13</v>
      </c>
      <c r="E54" s="6" t="s">
        <v>14</v>
      </c>
      <c r="F54" s="6" t="s">
        <v>16</v>
      </c>
      <c r="G54" s="6" t="s">
        <v>17</v>
      </c>
      <c r="H54" s="6" t="s">
        <v>18</v>
      </c>
      <c r="I54" s="6" t="s">
        <v>19</v>
      </c>
      <c r="J54" s="6" t="s">
        <v>20</v>
      </c>
    </row>
    <row r="55">
      <c r="A55" s="5">
        <v>46213.411605243055</v>
      </c>
      <c r="B55" s="6" t="s">
        <v>59</v>
      </c>
      <c r="C55" s="6" t="s">
        <v>492</v>
      </c>
      <c r="D55" s="6" t="s">
        <v>13</v>
      </c>
      <c r="E55" s="6" t="s">
        <v>14</v>
      </c>
      <c r="F55" s="6" t="s">
        <v>16</v>
      </c>
      <c r="G55" s="6" t="s">
        <v>17</v>
      </c>
      <c r="H55" s="6" t="s">
        <v>18</v>
      </c>
      <c r="I55" s="6" t="s">
        <v>19</v>
      </c>
      <c r="J55" s="6" t="s">
        <v>20</v>
      </c>
    </row>
    <row r="56">
      <c r="A56" s="5">
        <v>46213.41245746528</v>
      </c>
      <c r="B56" s="6" t="s">
        <v>72</v>
      </c>
      <c r="C56" s="6" t="s">
        <v>459</v>
      </c>
      <c r="D56" s="6" t="s">
        <v>13</v>
      </c>
      <c r="E56" s="6" t="s">
        <v>14</v>
      </c>
      <c r="F56" s="6" t="s">
        <v>16</v>
      </c>
      <c r="G56" s="6" t="s">
        <v>17</v>
      </c>
      <c r="H56" s="6" t="s">
        <v>18</v>
      </c>
      <c r="I56" s="6" t="s">
        <v>19</v>
      </c>
      <c r="J56" s="6" t="s">
        <v>20</v>
      </c>
    </row>
    <row r="57">
      <c r="A57" s="5">
        <v>46213.416634270834</v>
      </c>
      <c r="B57" s="6" t="s">
        <v>112</v>
      </c>
      <c r="C57" s="6" t="s">
        <v>462</v>
      </c>
      <c r="D57" s="6" t="s">
        <v>13</v>
      </c>
      <c r="E57" s="6" t="s">
        <v>14</v>
      </c>
      <c r="F57" s="6" t="s">
        <v>16</v>
      </c>
      <c r="G57" s="6" t="s">
        <v>17</v>
      </c>
      <c r="H57" s="6" t="s">
        <v>18</v>
      </c>
      <c r="I57" s="6" t="s">
        <v>19</v>
      </c>
      <c r="J57" s="6" t="s">
        <v>20</v>
      </c>
    </row>
    <row r="58">
      <c r="A58" s="5">
        <v>46213.42004545139</v>
      </c>
      <c r="B58" s="6" t="s">
        <v>69</v>
      </c>
      <c r="C58" s="6" t="s">
        <v>459</v>
      </c>
      <c r="D58" s="6" t="s">
        <v>13</v>
      </c>
      <c r="E58" s="6" t="s">
        <v>14</v>
      </c>
      <c r="F58" s="6" t="s">
        <v>16</v>
      </c>
      <c r="G58" s="6" t="s">
        <v>17</v>
      </c>
      <c r="H58" s="6" t="s">
        <v>18</v>
      </c>
      <c r="I58" s="6" t="s">
        <v>19</v>
      </c>
      <c r="J58" s="6" t="s">
        <v>20</v>
      </c>
    </row>
    <row r="59">
      <c r="A59" s="5">
        <v>46213.42050489583</v>
      </c>
      <c r="B59" s="6" t="s">
        <v>99</v>
      </c>
      <c r="C59" s="6" t="s">
        <v>459</v>
      </c>
      <c r="D59" s="6" t="s">
        <v>13</v>
      </c>
      <c r="E59" s="6" t="s">
        <v>14</v>
      </c>
      <c r="F59" s="6" t="s">
        <v>16</v>
      </c>
      <c r="G59" s="6" t="s">
        <v>17</v>
      </c>
      <c r="H59" s="6" t="s">
        <v>18</v>
      </c>
      <c r="I59" s="6" t="s">
        <v>19</v>
      </c>
      <c r="J59" s="6" t="s">
        <v>20</v>
      </c>
    </row>
    <row r="60">
      <c r="A60" s="5">
        <v>46213.42652072917</v>
      </c>
      <c r="B60" s="6" t="s">
        <v>103</v>
      </c>
      <c r="C60" s="6" t="s">
        <v>31</v>
      </c>
      <c r="D60" s="6" t="s">
        <v>13</v>
      </c>
      <c r="E60" s="6" t="s">
        <v>14</v>
      </c>
      <c r="F60" s="6" t="s">
        <v>16</v>
      </c>
      <c r="G60" s="6" t="s">
        <v>17</v>
      </c>
      <c r="H60" s="6" t="s">
        <v>18</v>
      </c>
      <c r="I60" s="6" t="s">
        <v>55</v>
      </c>
      <c r="J60" s="6" t="s">
        <v>56</v>
      </c>
      <c r="K60" s="6" t="s">
        <v>92</v>
      </c>
    </row>
    <row r="61">
      <c r="A61" s="5">
        <v>46213.42982990741</v>
      </c>
      <c r="B61" s="6" t="s">
        <v>125</v>
      </c>
      <c r="C61" s="6" t="s">
        <v>31</v>
      </c>
      <c r="D61" s="6" t="s">
        <v>13</v>
      </c>
      <c r="E61" s="6" t="s">
        <v>14</v>
      </c>
      <c r="F61" s="6" t="s">
        <v>16</v>
      </c>
      <c r="G61" s="6" t="s">
        <v>17</v>
      </c>
      <c r="H61" s="6" t="s">
        <v>18</v>
      </c>
      <c r="I61" s="6" t="s">
        <v>19</v>
      </c>
      <c r="J61" s="6" t="s">
        <v>20</v>
      </c>
    </row>
    <row r="62">
      <c r="A62" s="5">
        <v>46213.43122474537</v>
      </c>
      <c r="B62" s="6" t="s">
        <v>178</v>
      </c>
      <c r="C62" s="6" t="s">
        <v>31</v>
      </c>
      <c r="D62" s="6" t="s">
        <v>13</v>
      </c>
      <c r="E62" s="6" t="s">
        <v>14</v>
      </c>
      <c r="F62" s="6" t="s">
        <v>16</v>
      </c>
      <c r="G62" s="6" t="s">
        <v>17</v>
      </c>
      <c r="H62" s="6" t="s">
        <v>18</v>
      </c>
      <c r="I62" s="6" t="s">
        <v>19</v>
      </c>
      <c r="J62" s="6" t="s">
        <v>20</v>
      </c>
    </row>
    <row r="63">
      <c r="A63" s="5">
        <v>46213.431607604165</v>
      </c>
      <c r="B63" s="6" t="s">
        <v>176</v>
      </c>
      <c r="C63" s="6" t="s">
        <v>459</v>
      </c>
      <c r="D63" s="6" t="s">
        <v>13</v>
      </c>
      <c r="E63" s="6" t="s">
        <v>14</v>
      </c>
      <c r="F63" s="6" t="s">
        <v>16</v>
      </c>
      <c r="G63" s="6" t="s">
        <v>17</v>
      </c>
      <c r="H63" s="6" t="s">
        <v>18</v>
      </c>
      <c r="I63" s="6" t="s">
        <v>19</v>
      </c>
      <c r="J63" s="6" t="s">
        <v>20</v>
      </c>
    </row>
    <row r="64">
      <c r="A64" s="5">
        <v>46213.45235396991</v>
      </c>
      <c r="B64" s="6" t="s">
        <v>199</v>
      </c>
      <c r="C64" s="6" t="s">
        <v>459</v>
      </c>
      <c r="D64" s="6" t="s">
        <v>13</v>
      </c>
      <c r="E64" s="6" t="s">
        <v>14</v>
      </c>
      <c r="F64" s="6" t="s">
        <v>16</v>
      </c>
      <c r="G64" s="6" t="s">
        <v>17</v>
      </c>
      <c r="H64" s="6" t="s">
        <v>18</v>
      </c>
      <c r="I64" s="6" t="s">
        <v>19</v>
      </c>
      <c r="J64" s="6" t="s">
        <v>20</v>
      </c>
    </row>
    <row r="65">
      <c r="A65" s="5">
        <v>46213.48925383102</v>
      </c>
      <c r="B65" s="6" t="s">
        <v>98</v>
      </c>
      <c r="C65" s="6" t="s">
        <v>372</v>
      </c>
      <c r="D65" s="6" t="s">
        <v>13</v>
      </c>
      <c r="E65" s="6" t="s">
        <v>14</v>
      </c>
      <c r="F65" s="6" t="s">
        <v>16</v>
      </c>
      <c r="G65" s="6" t="s">
        <v>17</v>
      </c>
      <c r="H65" s="6" t="s">
        <v>18</v>
      </c>
      <c r="I65" s="6" t="s">
        <v>19</v>
      </c>
      <c r="J65" s="6" t="s">
        <v>20</v>
      </c>
    </row>
    <row r="66">
      <c r="A66" s="5">
        <v>46213.50006652778</v>
      </c>
      <c r="B66" s="6" t="s">
        <v>130</v>
      </c>
      <c r="C66" s="6" t="s">
        <v>459</v>
      </c>
      <c r="D66" s="6" t="s">
        <v>13</v>
      </c>
      <c r="E66" s="6" t="s">
        <v>14</v>
      </c>
      <c r="F66" s="6" t="s">
        <v>16</v>
      </c>
      <c r="G66" s="6" t="s">
        <v>17</v>
      </c>
      <c r="H66" s="6" t="s">
        <v>18</v>
      </c>
      <c r="I66" s="6" t="s">
        <v>19</v>
      </c>
      <c r="J66" s="6" t="s">
        <v>20</v>
      </c>
    </row>
    <row r="67">
      <c r="A67" s="5">
        <v>46213.512689814816</v>
      </c>
      <c r="B67" s="6" t="s">
        <v>93</v>
      </c>
      <c r="C67" s="6" t="s">
        <v>459</v>
      </c>
      <c r="D67" s="6" t="s">
        <v>13</v>
      </c>
      <c r="E67" s="6" t="s">
        <v>14</v>
      </c>
      <c r="F67" s="6" t="s">
        <v>16</v>
      </c>
      <c r="G67" s="6" t="s">
        <v>17</v>
      </c>
      <c r="H67" s="6" t="s">
        <v>18</v>
      </c>
      <c r="I67" s="6" t="s">
        <v>19</v>
      </c>
      <c r="J67" s="6" t="s">
        <v>20</v>
      </c>
    </row>
    <row r="68">
      <c r="A68" s="5">
        <v>46213.579379999996</v>
      </c>
      <c r="B68" s="6" t="s">
        <v>52</v>
      </c>
      <c r="C68" s="6" t="s">
        <v>495</v>
      </c>
      <c r="D68" s="6" t="s">
        <v>73</v>
      </c>
      <c r="E68" s="6" t="s">
        <v>14</v>
      </c>
      <c r="F68" s="6" t="s">
        <v>16</v>
      </c>
      <c r="G68" s="6" t="s">
        <v>17</v>
      </c>
      <c r="H68" s="6" t="s">
        <v>18</v>
      </c>
      <c r="I68" s="6" t="s">
        <v>19</v>
      </c>
      <c r="J68" s="6" t="s">
        <v>20</v>
      </c>
    </row>
    <row r="69">
      <c r="A69" s="5">
        <v>46214.47682200231</v>
      </c>
      <c r="B69" s="6" t="s">
        <v>132</v>
      </c>
      <c r="C69" s="6" t="s">
        <v>180</v>
      </c>
      <c r="D69" s="6" t="s">
        <v>13</v>
      </c>
      <c r="E69" s="6" t="s">
        <v>14</v>
      </c>
      <c r="F69" s="6" t="s">
        <v>16</v>
      </c>
      <c r="G69" s="6" t="s">
        <v>17</v>
      </c>
      <c r="H69" s="6" t="s">
        <v>18</v>
      </c>
      <c r="I69" s="6" t="s">
        <v>19</v>
      </c>
      <c r="J69" s="6" t="s">
        <v>20</v>
      </c>
    </row>
    <row r="70">
      <c r="A70" s="5">
        <v>46217.99964259259</v>
      </c>
      <c r="B70" s="6" t="s">
        <v>203</v>
      </c>
      <c r="C70" s="6" t="s">
        <v>459</v>
      </c>
      <c r="D70" s="6" t="s">
        <v>13</v>
      </c>
      <c r="E70" s="6" t="s">
        <v>14</v>
      </c>
      <c r="F70" s="6" t="s">
        <v>16</v>
      </c>
      <c r="G70" s="6" t="s">
        <v>17</v>
      </c>
      <c r="H70" s="6" t="s">
        <v>18</v>
      </c>
      <c r="I70" s="6" t="s">
        <v>19</v>
      </c>
      <c r="J70" s="6" t="s">
        <v>20</v>
      </c>
    </row>
    <row r="71">
      <c r="A71" s="5">
        <v>46262.434183171295</v>
      </c>
      <c r="B71" s="6" t="s">
        <v>30</v>
      </c>
      <c r="C71" s="6" t="s">
        <v>31</v>
      </c>
      <c r="D71" s="6" t="s">
        <v>13</v>
      </c>
      <c r="E71" s="6" t="s">
        <v>14</v>
      </c>
      <c r="F71" s="6" t="s">
        <v>16</v>
      </c>
      <c r="G71" s="6" t="s">
        <v>17</v>
      </c>
      <c r="H71" s="6" t="s">
        <v>18</v>
      </c>
      <c r="I71" s="6" t="s">
        <v>19</v>
      </c>
      <c r="J71" s="6" t="s">
        <v>20</v>
      </c>
    </row>
    <row r="72">
      <c r="A72" s="5">
        <v>46262.490338449075</v>
      </c>
      <c r="B72" s="6" t="s">
        <v>63</v>
      </c>
      <c r="C72" s="6" t="s">
        <v>31</v>
      </c>
      <c r="D72" s="6" t="s">
        <v>13</v>
      </c>
      <c r="E72" s="6" t="s">
        <v>14</v>
      </c>
      <c r="F72" s="6" t="s">
        <v>16</v>
      </c>
      <c r="G72" s="6" t="s">
        <v>17</v>
      </c>
      <c r="H72" s="6" t="s">
        <v>18</v>
      </c>
      <c r="I72" s="6" t="s">
        <v>19</v>
      </c>
      <c r="J72" s="6" t="s">
        <v>20</v>
      </c>
      <c r="K72" s="6" t="s">
        <v>496</v>
      </c>
    </row>
    <row r="73">
      <c r="A73" s="5">
        <v>46262.60183934028</v>
      </c>
      <c r="B73" s="6" t="s">
        <v>86</v>
      </c>
      <c r="C73" s="6" t="s">
        <v>480</v>
      </c>
      <c r="D73" s="6" t="s">
        <v>13</v>
      </c>
      <c r="E73" s="6" t="s">
        <v>14</v>
      </c>
      <c r="F73" s="6" t="s">
        <v>16</v>
      </c>
      <c r="G73" s="6" t="s">
        <v>17</v>
      </c>
      <c r="H73" s="6" t="s">
        <v>18</v>
      </c>
      <c r="I73" s="6" t="s">
        <v>19</v>
      </c>
      <c r="J73" s="6" t="s">
        <v>20</v>
      </c>
    </row>
    <row r="74">
      <c r="A74" s="5">
        <v>46264.881817974536</v>
      </c>
      <c r="B74" s="6" t="s">
        <v>108</v>
      </c>
      <c r="C74" s="6" t="s">
        <v>109</v>
      </c>
      <c r="D74" s="6" t="s">
        <v>13</v>
      </c>
      <c r="E74" s="6" t="s">
        <v>14</v>
      </c>
      <c r="F74" s="6" t="s">
        <v>16</v>
      </c>
      <c r="G74" s="6" t="s">
        <v>17</v>
      </c>
      <c r="H74" s="6" t="s">
        <v>18</v>
      </c>
      <c r="I74" s="6" t="s">
        <v>19</v>
      </c>
      <c r="J74" s="6" t="s">
        <v>20</v>
      </c>
    </row>
    <row r="75">
      <c r="A75" s="5">
        <v>46266.55497304398</v>
      </c>
      <c r="B75" s="6" t="s">
        <v>118</v>
      </c>
      <c r="C75" s="6" t="s">
        <v>119</v>
      </c>
      <c r="D75" s="6" t="s">
        <v>73</v>
      </c>
      <c r="E75" s="6" t="s">
        <v>120</v>
      </c>
      <c r="F75" s="6" t="s">
        <v>54</v>
      </c>
      <c r="G75" s="6" t="s">
        <v>39</v>
      </c>
      <c r="H75" s="6" t="s">
        <v>87</v>
      </c>
      <c r="I75" s="6" t="s">
        <v>55</v>
      </c>
      <c r="J75" s="6" t="s">
        <v>56</v>
      </c>
    </row>
    <row r="76">
      <c r="A76" s="5">
        <v>46266.685256006946</v>
      </c>
      <c r="B76" s="6" t="s">
        <v>121</v>
      </c>
      <c r="C76" s="6" t="s">
        <v>31</v>
      </c>
      <c r="D76" s="6" t="s">
        <v>13</v>
      </c>
      <c r="E76" s="6" t="s">
        <v>14</v>
      </c>
      <c r="F76" s="6" t="s">
        <v>16</v>
      </c>
      <c r="G76" s="6" t="s">
        <v>17</v>
      </c>
      <c r="H76" s="6" t="s">
        <v>18</v>
      </c>
      <c r="I76" s="6" t="s">
        <v>19</v>
      </c>
      <c r="J76" s="6" t="s">
        <v>20</v>
      </c>
    </row>
    <row r="77">
      <c r="A77" s="5">
        <v>46266.68998178241</v>
      </c>
      <c r="B77" s="6" t="s">
        <v>124</v>
      </c>
      <c r="C77" s="6" t="s">
        <v>31</v>
      </c>
      <c r="D77" s="6" t="s">
        <v>13</v>
      </c>
      <c r="E77" s="6" t="s">
        <v>14</v>
      </c>
      <c r="F77" s="6" t="s">
        <v>16</v>
      </c>
      <c r="G77" s="6" t="s">
        <v>17</v>
      </c>
      <c r="H77" s="6" t="s">
        <v>18</v>
      </c>
      <c r="I77" s="6" t="s">
        <v>19</v>
      </c>
      <c r="J77" s="6" t="s">
        <v>20</v>
      </c>
    </row>
    <row r="78">
      <c r="A78" s="5">
        <v>46267.31269359954</v>
      </c>
      <c r="B78" s="6" t="s">
        <v>129</v>
      </c>
      <c r="C78" s="6" t="s">
        <v>31</v>
      </c>
      <c r="D78" s="6" t="s">
        <v>13</v>
      </c>
      <c r="E78" s="6" t="s">
        <v>14</v>
      </c>
      <c r="F78" s="6" t="s">
        <v>16</v>
      </c>
      <c r="G78" s="6" t="s">
        <v>17</v>
      </c>
      <c r="H78" s="6" t="s">
        <v>18</v>
      </c>
      <c r="I78" s="6" t="s">
        <v>19</v>
      </c>
      <c r="J78" s="6" t="s">
        <v>20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1" t="s">
        <v>0</v>
      </c>
      <c r="B1" s="1" t="s">
        <v>1</v>
      </c>
      <c r="C1" s="3" t="s">
        <v>2</v>
      </c>
      <c r="D1" s="4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1"/>
      <c r="M1" s="7" t="s">
        <v>15</v>
      </c>
    </row>
    <row r="2">
      <c r="A2" s="8">
        <f>'3.1'!A:A</f>
        <v>46213.39431</v>
      </c>
      <c r="B2" s="1" t="str">
        <f>'3.1'!B:B</f>
        <v>bnco1008@signalschool.ac.th</v>
      </c>
      <c r="C2" s="1" t="str">
        <f>'3.1'!C:C</f>
        <v>พ.ต.ไมตรี บุญเหลื่อม</v>
      </c>
      <c r="D2" s="9">
        <v>1.0</v>
      </c>
      <c r="E2" s="10">
        <f>IFERROR(vlookup('3.1'!D:D,lookup!$A$2:$B$4,2,false),0)</f>
        <v>5</v>
      </c>
      <c r="F2" s="10">
        <f>IFERROR(vlookup('3.1'!E:E,lookup!$A$6:$B$8,2,false),0)</f>
        <v>5</v>
      </c>
      <c r="G2" s="10">
        <f>IFERROR(vlookup('3.1'!F:F,lookup!$A$10:$B$12,2,false),0)</f>
        <v>5</v>
      </c>
      <c r="H2" s="10">
        <f>IFERROR(vlookup('3.1'!G:G,lookup!$A$14:$B$16,2,false),0)</f>
        <v>5</v>
      </c>
      <c r="I2" s="10">
        <f>IFERROR(vlookup('3.1'!H:H,lookup!$A$18:$B$20,2,false),0)</f>
        <v>5</v>
      </c>
      <c r="J2" s="10">
        <f>IFERROR(vlookup('3.1'!I:I,lookup!$A$22:$B$24,2,false),0)</f>
        <v>5</v>
      </c>
      <c r="K2" s="10">
        <f>IFERROR(vlookup('3.1'!J:J,lookup!$A$26:$B$28,2,false),0)</f>
        <v>5</v>
      </c>
      <c r="L2" s="1"/>
      <c r="M2" s="10">
        <v>1.0</v>
      </c>
      <c r="N2" s="11" t="str">
        <f t="shared" ref="N2:N81" si="1">CONCAT(R2,"@signalschool.ac.th")</f>
        <v>bnco1001@signalschool.ac.th</v>
      </c>
      <c r="O2" s="12">
        <f t="shared" ref="O2:O81" si="2">IFERROR(VLOOKUP(N2,B$2:D$81,3,FALSE),0)</f>
        <v>1</v>
      </c>
      <c r="R2" s="6" t="s">
        <v>91</v>
      </c>
    </row>
    <row r="3">
      <c r="A3" s="8">
        <f>'3.1'!A:A</f>
        <v>46213.39431</v>
      </c>
      <c r="B3" s="1" t="str">
        <f>'3.1'!B:B</f>
        <v>bnco1018@signalschool.ac.th</v>
      </c>
      <c r="C3" s="1" t="str">
        <f>'3.1'!C:C</f>
        <v>พ.ต. ไมตรี  บุญเหลื่อม</v>
      </c>
      <c r="D3" s="9">
        <v>1.0</v>
      </c>
      <c r="E3" s="10">
        <f>IFERROR(vlookup('3.1'!D:D,lookup!$A$2:$B$4,2,false),0)</f>
        <v>5</v>
      </c>
      <c r="F3" s="10">
        <f>IFERROR(vlookup('3.1'!E:E,lookup!$A$6:$B$8,2,false),0)</f>
        <v>5</v>
      </c>
      <c r="G3" s="10">
        <f>IFERROR(vlookup('3.1'!F:F,lookup!$A$10:$B$12,2,false),0)</f>
        <v>5</v>
      </c>
      <c r="H3" s="10">
        <f>IFERROR(vlookup('3.1'!G:G,lookup!$A$14:$B$16,2,false),0)</f>
        <v>5</v>
      </c>
      <c r="I3" s="10">
        <f>IFERROR(vlookup('3.1'!H:H,lookup!$A$18:$B$20,2,false),0)</f>
        <v>5</v>
      </c>
      <c r="J3" s="10">
        <f>IFERROR(vlookup('3.1'!I:I,lookup!$A$22:$B$24,2,false),0)</f>
        <v>5</v>
      </c>
      <c r="K3" s="10">
        <f>IFERROR(vlookup('3.1'!J:J,lookup!$A$26:$B$28,2,false),0)</f>
        <v>5</v>
      </c>
      <c r="L3" s="1"/>
      <c r="M3" s="10">
        <v>2.0</v>
      </c>
      <c r="N3" s="11" t="str">
        <f t="shared" si="1"/>
        <v>bnco1002@signalschool.ac.th</v>
      </c>
      <c r="O3" s="12">
        <f t="shared" si="2"/>
        <v>1</v>
      </c>
      <c r="R3" s="6" t="s">
        <v>123</v>
      </c>
    </row>
    <row r="4">
      <c r="A4" s="8">
        <f>'3.1'!A:A</f>
        <v>46213.39437</v>
      </c>
      <c r="B4" s="1" t="str">
        <f>'3.1'!B:B</f>
        <v>bnco1035@signalschool.ac.th</v>
      </c>
      <c r="C4" s="1" t="str">
        <f>'3.1'!C:C</f>
        <v>พ.ต. ไมตรี  บุญเหลื่อม</v>
      </c>
      <c r="D4" s="9">
        <v>1.0</v>
      </c>
      <c r="E4" s="10">
        <f>IFERROR(vlookup('3.1'!D:D,lookup!$A$2:$B$4,2,false),0)</f>
        <v>5</v>
      </c>
      <c r="F4" s="10">
        <f>IFERROR(vlookup('3.1'!E:E,lookup!$A$6:$B$8,2,false),0)</f>
        <v>5</v>
      </c>
      <c r="G4" s="10">
        <f>IFERROR(vlookup('3.1'!F:F,lookup!$A$10:$B$12,2,false),0)</f>
        <v>5</v>
      </c>
      <c r="H4" s="10">
        <f>IFERROR(vlookup('3.1'!G:G,lookup!$A$14:$B$16,2,false),0)</f>
        <v>5</v>
      </c>
      <c r="I4" s="10">
        <f>IFERROR(vlookup('3.1'!H:H,lookup!$A$18:$B$20,2,false),0)</f>
        <v>5</v>
      </c>
      <c r="J4" s="10">
        <f>IFERROR(vlookup('3.1'!I:I,lookup!$A$22:$B$24,2,false),0)</f>
        <v>5</v>
      </c>
      <c r="K4" s="10">
        <f>IFERROR(vlookup('3.1'!J:J,lookup!$A$26:$B$28,2,false),0)</f>
        <v>5</v>
      </c>
      <c r="L4" s="1"/>
      <c r="M4" s="10">
        <v>3.0</v>
      </c>
      <c r="N4" s="11" t="str">
        <f t="shared" si="1"/>
        <v>bnco1003@signalschool.ac.th</v>
      </c>
      <c r="O4" s="12">
        <f t="shared" si="2"/>
        <v>1</v>
      </c>
      <c r="R4" s="6" t="s">
        <v>141</v>
      </c>
    </row>
    <row r="5">
      <c r="A5" s="8">
        <f>'3.1'!A:A</f>
        <v>46213.39441</v>
      </c>
      <c r="B5" s="1" t="str">
        <f>'3.1'!B:B</f>
        <v>bnco1001@signalschool.ac.th</v>
      </c>
      <c r="C5" s="1" t="str">
        <f>'3.1'!C:C</f>
        <v>พ.ต. ไมตรี  บุญเหลื่อม</v>
      </c>
      <c r="D5" s="9">
        <v>1.0</v>
      </c>
      <c r="E5" s="10">
        <f>IFERROR(vlookup('3.1'!D:D,lookup!$A$2:$B$4,2,false),0)</f>
        <v>5</v>
      </c>
      <c r="F5" s="10">
        <f>IFERROR(vlookup('3.1'!E:E,lookup!$A$6:$B$8,2,false),0)</f>
        <v>5</v>
      </c>
      <c r="G5" s="10">
        <f>IFERROR(vlookup('3.1'!F:F,lookup!$A$10:$B$12,2,false),0)</f>
        <v>5</v>
      </c>
      <c r="H5" s="10">
        <f>IFERROR(vlookup('3.1'!G:G,lookup!$A$14:$B$16,2,false),0)</f>
        <v>5</v>
      </c>
      <c r="I5" s="10">
        <f>IFERROR(vlookup('3.1'!H:H,lookup!$A$18:$B$20,2,false),0)</f>
        <v>5</v>
      </c>
      <c r="J5" s="10">
        <f>IFERROR(vlookup('3.1'!I:I,lookup!$A$22:$B$24,2,false),0)</f>
        <v>5</v>
      </c>
      <c r="K5" s="10">
        <f>IFERROR(vlookup('3.1'!J:J,lookup!$A$26:$B$28,2,false),0)</f>
        <v>5</v>
      </c>
      <c r="L5" s="1"/>
      <c r="M5" s="10">
        <v>4.0</v>
      </c>
      <c r="N5" s="11" t="str">
        <f t="shared" si="1"/>
        <v>bnco1004@signalschool.ac.th</v>
      </c>
      <c r="O5" s="12">
        <f t="shared" si="2"/>
        <v>1</v>
      </c>
      <c r="R5" s="6" t="s">
        <v>143</v>
      </c>
    </row>
    <row r="6">
      <c r="A6" s="8">
        <f>'3.1'!A:A</f>
        <v>46213.39445</v>
      </c>
      <c r="B6" s="1" t="str">
        <f>'3.1'!B:B</f>
        <v>bnco1059@signalschool.ac.th</v>
      </c>
      <c r="C6" s="1" t="str">
        <f>'3.1'!C:C</f>
        <v>ส.อ.ภากร  จรรยาประเสริฐ</v>
      </c>
      <c r="D6" s="9">
        <v>1.0</v>
      </c>
      <c r="E6" s="10">
        <f>IFERROR(vlookup('3.1'!D:D,lookup!$A$2:$B$4,2,false),0)</f>
        <v>5</v>
      </c>
      <c r="F6" s="10">
        <f>IFERROR(vlookup('3.1'!E:E,lookup!$A$6:$B$8,2,false),0)</f>
        <v>5</v>
      </c>
      <c r="G6" s="10">
        <f>IFERROR(vlookup('3.1'!F:F,lookup!$A$10:$B$12,2,false),0)</f>
        <v>5</v>
      </c>
      <c r="H6" s="10">
        <f>IFERROR(vlookup('3.1'!G:G,lookup!$A$14:$B$16,2,false),0)</f>
        <v>5</v>
      </c>
      <c r="I6" s="10">
        <f>IFERROR(vlookup('3.1'!H:H,lookup!$A$18:$B$20,2,false),0)</f>
        <v>5</v>
      </c>
      <c r="J6" s="10">
        <f>IFERROR(vlookup('3.1'!I:I,lookup!$A$22:$B$24,2,false),0)</f>
        <v>5</v>
      </c>
      <c r="K6" s="10">
        <f>IFERROR(vlookup('3.1'!J:J,lookup!$A$26:$B$28,2,false),0)</f>
        <v>5</v>
      </c>
      <c r="L6" s="1"/>
      <c r="M6" s="10">
        <v>5.0</v>
      </c>
      <c r="N6" s="11" t="str">
        <f t="shared" si="1"/>
        <v>bnco1005@signalschool.ac.th</v>
      </c>
      <c r="O6" s="12">
        <f t="shared" si="2"/>
        <v>0</v>
      </c>
      <c r="R6" s="6" t="s">
        <v>144</v>
      </c>
    </row>
    <row r="7">
      <c r="A7" s="8">
        <f>'3.1'!A:A</f>
        <v>46213.39488</v>
      </c>
      <c r="B7" s="1" t="str">
        <f>'3.1'!B:B</f>
        <v>bnco1038@signalschool.ac.th</v>
      </c>
      <c r="C7" s="1" t="str">
        <f>'3.1'!C:C</f>
        <v>พ.ต.ไมตรี บุญเหลื่อม</v>
      </c>
      <c r="D7" s="9">
        <v>1.0</v>
      </c>
      <c r="E7" s="10">
        <f>IFERROR(vlookup('3.1'!D:D,lookup!$A$2:$B$4,2,false),0)</f>
        <v>5</v>
      </c>
      <c r="F7" s="10">
        <f>IFERROR(vlookup('3.1'!E:E,lookup!$A$6:$B$8,2,false),0)</f>
        <v>5</v>
      </c>
      <c r="G7" s="10">
        <f>IFERROR(vlookup('3.1'!F:F,lookup!$A$10:$B$12,2,false),0)</f>
        <v>5</v>
      </c>
      <c r="H7" s="10">
        <f>IFERROR(vlookup('3.1'!G:G,lookup!$A$14:$B$16,2,false),0)</f>
        <v>5</v>
      </c>
      <c r="I7" s="10">
        <f>IFERROR(vlookup('3.1'!H:H,lookup!$A$18:$B$20,2,false),0)</f>
        <v>5</v>
      </c>
      <c r="J7" s="10">
        <f>IFERROR(vlookup('3.1'!I:I,lookup!$A$22:$B$24,2,false),0)</f>
        <v>5</v>
      </c>
      <c r="K7" s="10">
        <f>IFERROR(vlookup('3.1'!J:J,lookup!$A$26:$B$28,2,false),0)</f>
        <v>5</v>
      </c>
      <c r="L7" s="1"/>
      <c r="M7" s="10">
        <v>6.0</v>
      </c>
      <c r="N7" s="11" t="str">
        <f t="shared" si="1"/>
        <v>bnco1006@signalschool.ac.th</v>
      </c>
      <c r="O7" s="12">
        <f t="shared" si="2"/>
        <v>1</v>
      </c>
      <c r="R7" s="6" t="s">
        <v>145</v>
      </c>
    </row>
    <row r="8">
      <c r="A8" s="8">
        <f>'3.1'!A:A</f>
        <v>46213.39492</v>
      </c>
      <c r="B8" s="1" t="str">
        <f>'3.1'!B:B</f>
        <v>bnco1056@signalschool.ac.th</v>
      </c>
      <c r="C8" s="1" t="str">
        <f>'3.1'!C:C</f>
        <v>พ.ต. ไมตรี บุญเหลื่อม</v>
      </c>
      <c r="D8" s="9">
        <v>1.0</v>
      </c>
      <c r="E8" s="10">
        <f>IFERROR(vlookup('3.1'!D:D,lookup!$A$2:$B$4,2,false),0)</f>
        <v>5</v>
      </c>
      <c r="F8" s="10">
        <f>IFERROR(vlookup('3.1'!E:E,lookup!$A$6:$B$8,2,false),0)</f>
        <v>5</v>
      </c>
      <c r="G8" s="10">
        <f>IFERROR(vlookup('3.1'!F:F,lookup!$A$10:$B$12,2,false),0)</f>
        <v>5</v>
      </c>
      <c r="H8" s="10">
        <f>IFERROR(vlookup('3.1'!G:G,lookup!$A$14:$B$16,2,false),0)</f>
        <v>5</v>
      </c>
      <c r="I8" s="10">
        <f>IFERROR(vlookup('3.1'!H:H,lookup!$A$18:$B$20,2,false),0)</f>
        <v>5</v>
      </c>
      <c r="J8" s="10">
        <f>IFERROR(vlookup('3.1'!I:I,lookup!$A$22:$B$24,2,false),0)</f>
        <v>5</v>
      </c>
      <c r="K8" s="10">
        <f>IFERROR(vlookup('3.1'!J:J,lookup!$A$26:$B$28,2,false),0)</f>
        <v>5</v>
      </c>
      <c r="L8" s="1"/>
      <c r="M8" s="10">
        <v>7.0</v>
      </c>
      <c r="N8" s="11" t="str">
        <f t="shared" si="1"/>
        <v>bnco1007@signalschool.ac.th</v>
      </c>
      <c r="O8" s="12">
        <f t="shared" si="2"/>
        <v>0</v>
      </c>
      <c r="R8" s="6" t="s">
        <v>155</v>
      </c>
    </row>
    <row r="9">
      <c r="A9" s="8">
        <f>'3.1'!A:A</f>
        <v>46213.39492</v>
      </c>
      <c r="B9" s="1" t="str">
        <f>'3.1'!B:B</f>
        <v>bnco1040@signalschool.ac.th</v>
      </c>
      <c r="C9" s="1" t="str">
        <f>'3.1'!C:C</f>
        <v>พ.ต. ไมตรี  บุญเหลื่อม</v>
      </c>
      <c r="D9" s="9">
        <v>1.0</v>
      </c>
      <c r="E9" s="10">
        <f>IFERROR(vlookup('3.1'!D:D,lookup!$A$2:$B$4,2,false),0)</f>
        <v>5</v>
      </c>
      <c r="F9" s="10">
        <f>IFERROR(vlookup('3.1'!E:E,lookup!$A$6:$B$8,2,false),0)</f>
        <v>5</v>
      </c>
      <c r="G9" s="10">
        <f>IFERROR(vlookup('3.1'!F:F,lookup!$A$10:$B$12,2,false),0)</f>
        <v>5</v>
      </c>
      <c r="H9" s="10">
        <f>IFERROR(vlookup('3.1'!G:G,lookup!$A$14:$B$16,2,false),0)</f>
        <v>5</v>
      </c>
      <c r="I9" s="10">
        <f>IFERROR(vlookup('3.1'!H:H,lookup!$A$18:$B$20,2,false),0)</f>
        <v>5</v>
      </c>
      <c r="J9" s="10">
        <f>IFERROR(vlookup('3.1'!I:I,lookup!$A$22:$B$24,2,false),0)</f>
        <v>5</v>
      </c>
      <c r="K9" s="10">
        <f>IFERROR(vlookup('3.1'!J:J,lookup!$A$26:$B$28,2,false),0)</f>
        <v>5</v>
      </c>
      <c r="L9" s="1"/>
      <c r="M9" s="10">
        <v>8.0</v>
      </c>
      <c r="N9" s="11" t="str">
        <f t="shared" si="1"/>
        <v>bnco1008@signalschool.ac.th</v>
      </c>
      <c r="O9" s="12">
        <f t="shared" si="2"/>
        <v>1</v>
      </c>
      <c r="R9" s="6" t="s">
        <v>166</v>
      </c>
    </row>
    <row r="10">
      <c r="A10" s="8">
        <f>'3.1'!A:A</f>
        <v>46213.39495</v>
      </c>
      <c r="B10" s="1" t="str">
        <f>'3.1'!B:B</f>
        <v>bnco1043@signalschool.ac.th</v>
      </c>
      <c r="C10" s="1" t="str">
        <f>'3.1'!C:C</f>
        <v>พ.ต. ไมตรี  บุญเหลื่อม</v>
      </c>
      <c r="D10" s="9">
        <v>1.0</v>
      </c>
      <c r="E10" s="10">
        <f>IFERROR(vlookup('3.1'!D:D,lookup!$A$2:$B$4,2,false),0)</f>
        <v>5</v>
      </c>
      <c r="F10" s="10">
        <f>IFERROR(vlookup('3.1'!E:E,lookup!$A$6:$B$8,2,false),0)</f>
        <v>5</v>
      </c>
      <c r="G10" s="10">
        <f>IFERROR(vlookup('3.1'!F:F,lookup!$A$10:$B$12,2,false),0)</f>
        <v>5</v>
      </c>
      <c r="H10" s="10">
        <f>IFERROR(vlookup('3.1'!G:G,lookup!$A$14:$B$16,2,false),0)</f>
        <v>5</v>
      </c>
      <c r="I10" s="10">
        <f>IFERROR(vlookup('3.1'!H:H,lookup!$A$18:$B$20,2,false),0)</f>
        <v>5</v>
      </c>
      <c r="J10" s="10">
        <f>IFERROR(vlookup('3.1'!I:I,lookup!$A$22:$B$24,2,false),0)</f>
        <v>5</v>
      </c>
      <c r="K10" s="10">
        <f>IFERROR(vlookup('3.1'!J:J,lookup!$A$26:$B$28,2,false),0)</f>
        <v>5</v>
      </c>
      <c r="L10" s="1"/>
      <c r="M10" s="10">
        <v>9.0</v>
      </c>
      <c r="N10" s="11" t="str">
        <f t="shared" si="1"/>
        <v>bnco1009@signalschool.ac.th</v>
      </c>
      <c r="O10" s="12">
        <f t="shared" si="2"/>
        <v>1</v>
      </c>
      <c r="R10" s="6" t="s">
        <v>175</v>
      </c>
    </row>
    <row r="11">
      <c r="A11" s="8">
        <f>'3.1'!A:A</f>
        <v>46213.395</v>
      </c>
      <c r="B11" s="1" t="str">
        <f>'3.1'!B:B</f>
        <v>bnco1013@signalschool.ac.th</v>
      </c>
      <c r="C11" s="1" t="str">
        <f>'3.1'!C:C</f>
        <v>พ.ต.ไมตรี บุญเหลื่อม</v>
      </c>
      <c r="D11" s="9">
        <v>1.0</v>
      </c>
      <c r="E11" s="10">
        <f>IFERROR(vlookup('3.1'!D:D,lookup!$A$2:$B$4,2,false),0)</f>
        <v>5</v>
      </c>
      <c r="F11" s="10">
        <f>IFERROR(vlookup('3.1'!E:E,lookup!$A$6:$B$8,2,false),0)</f>
        <v>5</v>
      </c>
      <c r="G11" s="10">
        <f>IFERROR(vlookup('3.1'!F:F,lookup!$A$10:$B$12,2,false),0)</f>
        <v>5</v>
      </c>
      <c r="H11" s="10">
        <f>IFERROR(vlookup('3.1'!G:G,lookup!$A$14:$B$16,2,false),0)</f>
        <v>5</v>
      </c>
      <c r="I11" s="10">
        <f>IFERROR(vlookup('3.1'!H:H,lookup!$A$18:$B$20,2,false),0)</f>
        <v>5</v>
      </c>
      <c r="J11" s="10">
        <f>IFERROR(vlookup('3.1'!I:I,lookup!$A$22:$B$24,2,false),0)</f>
        <v>5</v>
      </c>
      <c r="K11" s="10">
        <f>IFERROR(vlookup('3.1'!J:J,lookup!$A$26:$B$28,2,false),0)</f>
        <v>5</v>
      </c>
      <c r="L11" s="1"/>
      <c r="M11" s="10">
        <v>10.0</v>
      </c>
      <c r="N11" s="11" t="str">
        <f t="shared" si="1"/>
        <v>bnco1010@signalschool.ac.th</v>
      </c>
      <c r="O11" s="12">
        <f t="shared" si="2"/>
        <v>1</v>
      </c>
      <c r="R11" s="6" t="s">
        <v>192</v>
      </c>
    </row>
    <row r="12">
      <c r="A12" s="8">
        <f>'3.1'!A:A</f>
        <v>46213.395</v>
      </c>
      <c r="B12" s="1" t="str">
        <f>'3.1'!B:B</f>
        <v>bnco1051@signalschool.ac.th</v>
      </c>
      <c r="C12" s="1" t="str">
        <f>'3.1'!C:C</f>
        <v>พ.ต.ไมตรี บุญเหลื่อม</v>
      </c>
      <c r="D12" s="9">
        <v>1.0</v>
      </c>
      <c r="E12" s="10">
        <f>IFERROR(vlookup('3.1'!D:D,lookup!$A$2:$B$4,2,false),0)</f>
        <v>5</v>
      </c>
      <c r="F12" s="10">
        <f>IFERROR(vlookup('3.1'!E:E,lookup!$A$6:$B$8,2,false),0)</f>
        <v>5</v>
      </c>
      <c r="G12" s="10">
        <f>IFERROR(vlookup('3.1'!F:F,lookup!$A$10:$B$12,2,false),0)</f>
        <v>5</v>
      </c>
      <c r="H12" s="10">
        <f>IFERROR(vlookup('3.1'!G:G,lookup!$A$14:$B$16,2,false),0)</f>
        <v>5</v>
      </c>
      <c r="I12" s="10">
        <f>IFERROR(vlookup('3.1'!H:H,lookup!$A$18:$B$20,2,false),0)</f>
        <v>5</v>
      </c>
      <c r="J12" s="10">
        <f>IFERROR(vlookup('3.1'!I:I,lookup!$A$22:$B$24,2,false),0)</f>
        <v>5</v>
      </c>
      <c r="K12" s="10">
        <f>IFERROR(vlookup('3.1'!J:J,lookup!$A$26:$B$28,2,false),0)</f>
        <v>5</v>
      </c>
      <c r="L12" s="1"/>
      <c r="M12" s="10">
        <v>11.0</v>
      </c>
      <c r="N12" s="11" t="str">
        <f t="shared" si="1"/>
        <v>bnco1011@signalschool.ac.th</v>
      </c>
      <c r="O12" s="12">
        <f t="shared" si="2"/>
        <v>1</v>
      </c>
      <c r="R12" s="6" t="s">
        <v>209</v>
      </c>
    </row>
    <row r="13">
      <c r="A13" s="8">
        <f>'3.1'!A:A</f>
        <v>46213.39522</v>
      </c>
      <c r="B13" s="1" t="str">
        <f>'3.1'!B:B</f>
        <v>bnco1024@signalschool.ac.th</v>
      </c>
      <c r="C13" s="1" t="str">
        <f>'3.1'!C:C</f>
        <v>พ.ต.ไมตรี  บุญเหลื่อม</v>
      </c>
      <c r="D13" s="9">
        <v>1.0</v>
      </c>
      <c r="E13" s="10">
        <f>IFERROR(vlookup('3.1'!D:D,lookup!$A$2:$B$4,2,false),0)</f>
        <v>5</v>
      </c>
      <c r="F13" s="10">
        <f>IFERROR(vlookup('3.1'!E:E,lookup!$A$6:$B$8,2,false),0)</f>
        <v>5</v>
      </c>
      <c r="G13" s="10">
        <f>IFERROR(vlookup('3.1'!F:F,lookup!$A$10:$B$12,2,false),0)</f>
        <v>5</v>
      </c>
      <c r="H13" s="10">
        <f>IFERROR(vlookup('3.1'!G:G,lookup!$A$14:$B$16,2,false),0)</f>
        <v>5</v>
      </c>
      <c r="I13" s="10">
        <f>IFERROR(vlookup('3.1'!H:H,lookup!$A$18:$B$20,2,false),0)</f>
        <v>5</v>
      </c>
      <c r="J13" s="10">
        <f>IFERROR(vlookup('3.1'!I:I,lookup!$A$22:$B$24,2,false),0)</f>
        <v>5</v>
      </c>
      <c r="K13" s="10">
        <f>IFERROR(vlookup('3.1'!J:J,lookup!$A$26:$B$28,2,false),0)</f>
        <v>5</v>
      </c>
      <c r="L13" s="1"/>
      <c r="M13" s="10">
        <v>12.0</v>
      </c>
      <c r="N13" s="11" t="str">
        <f t="shared" si="1"/>
        <v>bnco1012@signalschool.ac.th</v>
      </c>
      <c r="O13" s="12">
        <f t="shared" si="2"/>
        <v>1</v>
      </c>
      <c r="R13" s="6" t="s">
        <v>213</v>
      </c>
    </row>
    <row r="14">
      <c r="A14" s="8">
        <f>'3.1'!A:A</f>
        <v>46213.39527</v>
      </c>
      <c r="B14" s="1" t="str">
        <f>'3.1'!B:B</f>
        <v>bnco1049@signalschool.ac.th</v>
      </c>
      <c r="C14" s="1" t="str">
        <f>'3.1'!C:C</f>
        <v>พ.ต. ไมตรี  บุญเหลื่อม</v>
      </c>
      <c r="D14" s="9">
        <v>1.0</v>
      </c>
      <c r="E14" s="10">
        <f>IFERROR(vlookup('3.1'!D:D,lookup!$A$2:$B$4,2,false),0)</f>
        <v>5</v>
      </c>
      <c r="F14" s="10">
        <f>IFERROR(vlookup('3.1'!E:E,lookup!$A$6:$B$8,2,false),0)</f>
        <v>5</v>
      </c>
      <c r="G14" s="10">
        <f>IFERROR(vlookup('3.1'!F:F,lookup!$A$10:$B$12,2,false),0)</f>
        <v>5</v>
      </c>
      <c r="H14" s="10">
        <f>IFERROR(vlookup('3.1'!G:G,lookup!$A$14:$B$16,2,false),0)</f>
        <v>5</v>
      </c>
      <c r="I14" s="10">
        <f>IFERROR(vlookup('3.1'!H:H,lookup!$A$18:$B$20,2,false),0)</f>
        <v>5</v>
      </c>
      <c r="J14" s="10">
        <f>IFERROR(vlookup('3.1'!I:I,lookup!$A$22:$B$24,2,false),0)</f>
        <v>5</v>
      </c>
      <c r="K14" s="10">
        <f>IFERROR(vlookup('3.1'!J:J,lookup!$A$26:$B$28,2,false),0)</f>
        <v>5</v>
      </c>
      <c r="L14" s="1"/>
      <c r="M14" s="10">
        <v>13.0</v>
      </c>
      <c r="N14" s="11" t="str">
        <f t="shared" si="1"/>
        <v>bnco1013@signalschool.ac.th</v>
      </c>
      <c r="O14" s="12">
        <f t="shared" si="2"/>
        <v>1</v>
      </c>
      <c r="R14" s="6" t="s">
        <v>214</v>
      </c>
    </row>
    <row r="15">
      <c r="A15" s="8">
        <f>'3.1'!A:A</f>
        <v>46213.39528</v>
      </c>
      <c r="B15" s="1" t="str">
        <f>'3.1'!B:B</f>
        <v>anusonroddara861@gmail.com</v>
      </c>
      <c r="C15" s="1" t="str">
        <f>'3.1'!C:C</f>
        <v>พ.ต.ไมตรี บุญเหลื่อม</v>
      </c>
      <c r="D15" s="9">
        <v>1.0</v>
      </c>
      <c r="E15" s="10">
        <f>IFERROR(vlookup('3.1'!D:D,lookup!$A$2:$B$4,2,false),0)</f>
        <v>5</v>
      </c>
      <c r="F15" s="10">
        <f>IFERROR(vlookup('3.1'!E:E,lookup!$A$6:$B$8,2,false),0)</f>
        <v>5</v>
      </c>
      <c r="G15" s="10">
        <f>IFERROR(vlookup('3.1'!F:F,lookup!$A$10:$B$12,2,false),0)</f>
        <v>5</v>
      </c>
      <c r="H15" s="10">
        <f>IFERROR(vlookup('3.1'!G:G,lookup!$A$14:$B$16,2,false),0)</f>
        <v>5</v>
      </c>
      <c r="I15" s="10">
        <f>IFERROR(vlookup('3.1'!H:H,lookup!$A$18:$B$20,2,false),0)</f>
        <v>5</v>
      </c>
      <c r="J15" s="10">
        <f>IFERROR(vlookup('3.1'!I:I,lookup!$A$22:$B$24,2,false),0)</f>
        <v>3</v>
      </c>
      <c r="K15" s="10">
        <f>IFERROR(vlookup('3.1'!J:J,lookup!$A$26:$B$28,2,false),0)</f>
        <v>3</v>
      </c>
      <c r="L15" s="1"/>
      <c r="M15" s="10">
        <v>14.0</v>
      </c>
      <c r="N15" s="11" t="str">
        <f t="shared" si="1"/>
        <v>bnco1014@signalschool.ac.th</v>
      </c>
      <c r="O15" s="12">
        <f t="shared" si="2"/>
        <v>1</v>
      </c>
      <c r="R15" s="6" t="s">
        <v>215</v>
      </c>
    </row>
    <row r="16">
      <c r="A16" s="8">
        <f>'3.1'!A:A</f>
        <v>46213.39549</v>
      </c>
      <c r="B16" s="1" t="str">
        <f>'3.1'!B:B</f>
        <v>bnco1022@signalschool.ac.th</v>
      </c>
      <c r="C16" s="1" t="str">
        <f>'3.1'!C:C</f>
        <v>พ.ต.ไมตรี บุญเหลื่อม</v>
      </c>
      <c r="D16" s="9">
        <v>1.0</v>
      </c>
      <c r="E16" s="10">
        <f>IFERROR(vlookup('3.1'!D:D,lookup!$A$2:$B$4,2,false),0)</f>
        <v>5</v>
      </c>
      <c r="F16" s="10">
        <f>IFERROR(vlookup('3.1'!E:E,lookup!$A$6:$B$8,2,false),0)</f>
        <v>5</v>
      </c>
      <c r="G16" s="10">
        <f>IFERROR(vlookup('3.1'!F:F,lookup!$A$10:$B$12,2,false),0)</f>
        <v>5</v>
      </c>
      <c r="H16" s="10">
        <f>IFERROR(vlookup('3.1'!G:G,lookup!$A$14:$B$16,2,false),0)</f>
        <v>5</v>
      </c>
      <c r="I16" s="10">
        <f>IFERROR(vlookup('3.1'!H:H,lookup!$A$18:$B$20,2,false),0)</f>
        <v>5</v>
      </c>
      <c r="J16" s="10">
        <f>IFERROR(vlookup('3.1'!I:I,lookup!$A$22:$B$24,2,false),0)</f>
        <v>5</v>
      </c>
      <c r="K16" s="10">
        <f>IFERROR(vlookup('3.1'!J:J,lookup!$A$26:$B$28,2,false),0)</f>
        <v>5</v>
      </c>
      <c r="L16" s="1"/>
      <c r="M16" s="10">
        <v>15.0</v>
      </c>
      <c r="N16" s="11" t="str">
        <f t="shared" si="1"/>
        <v>bnco1015@signalschool.ac.th</v>
      </c>
      <c r="O16" s="12">
        <f t="shared" si="2"/>
        <v>1</v>
      </c>
      <c r="R16" s="6" t="s">
        <v>221</v>
      </c>
    </row>
    <row r="17">
      <c r="A17" s="8">
        <f>'3.1'!A:A</f>
        <v>46213.39562</v>
      </c>
      <c r="B17" s="1" t="str">
        <f>'3.1'!B:B</f>
        <v>bnco1026@signalschool.ac.th</v>
      </c>
      <c r="C17" s="1" t="str">
        <f>'3.1'!C:C</f>
        <v>พ.ต. ไมตรี  บุญเหลื่อม</v>
      </c>
      <c r="D17" s="9">
        <v>1.0</v>
      </c>
      <c r="E17" s="10">
        <f>IFERROR(vlookup('3.1'!D:D,lookup!$A$2:$B$4,2,false),0)</f>
        <v>5</v>
      </c>
      <c r="F17" s="10">
        <f>IFERROR(vlookup('3.1'!E:E,lookup!$A$6:$B$8,2,false),0)</f>
        <v>5</v>
      </c>
      <c r="G17" s="10">
        <f>IFERROR(vlookup('3.1'!F:F,lookup!$A$10:$B$12,2,false),0)</f>
        <v>5</v>
      </c>
      <c r="H17" s="10">
        <f>IFERROR(vlookup('3.1'!G:G,lookup!$A$14:$B$16,2,false),0)</f>
        <v>5</v>
      </c>
      <c r="I17" s="10">
        <f>IFERROR(vlookup('3.1'!H:H,lookup!$A$18:$B$20,2,false),0)</f>
        <v>5</v>
      </c>
      <c r="J17" s="10">
        <f>IFERROR(vlookup('3.1'!I:I,lookup!$A$22:$B$24,2,false),0)</f>
        <v>3</v>
      </c>
      <c r="K17" s="10">
        <f>IFERROR(vlookup('3.1'!J:J,lookup!$A$26:$B$28,2,false),0)</f>
        <v>3</v>
      </c>
      <c r="L17" s="1"/>
      <c r="M17" s="10">
        <v>16.0</v>
      </c>
      <c r="N17" s="11" t="str">
        <f t="shared" si="1"/>
        <v>bnco1016@signalschool.ac.th</v>
      </c>
      <c r="O17" s="12">
        <f t="shared" si="2"/>
        <v>1</v>
      </c>
      <c r="R17" s="6" t="s">
        <v>223</v>
      </c>
    </row>
    <row r="18">
      <c r="A18" s="8">
        <f>'3.1'!A:A</f>
        <v>46213.39572</v>
      </c>
      <c r="B18" s="1" t="str">
        <f>'3.1'!B:B</f>
        <v>bnco1036@signalschool.ac.th</v>
      </c>
      <c r="C18" s="1" t="str">
        <f>'3.1'!C:C</f>
        <v>พ.ต. ไมตรี  บุญเหลื่อม</v>
      </c>
      <c r="D18" s="9">
        <v>1.0</v>
      </c>
      <c r="E18" s="10">
        <f>IFERROR(vlookup('3.1'!D:D,lookup!$A$2:$B$4,2,false),0)</f>
        <v>5</v>
      </c>
      <c r="F18" s="10">
        <f>IFERROR(vlookup('3.1'!E:E,lookup!$A$6:$B$8,2,false),0)</f>
        <v>5</v>
      </c>
      <c r="G18" s="10">
        <f>IFERROR(vlookup('3.1'!F:F,lookup!$A$10:$B$12,2,false),0)</f>
        <v>5</v>
      </c>
      <c r="H18" s="10">
        <f>IFERROR(vlookup('3.1'!G:G,lookup!$A$14:$B$16,2,false),0)</f>
        <v>5</v>
      </c>
      <c r="I18" s="10">
        <f>IFERROR(vlookup('3.1'!H:H,lookup!$A$18:$B$20,2,false),0)</f>
        <v>5</v>
      </c>
      <c r="J18" s="10">
        <f>IFERROR(vlookup('3.1'!I:I,lookup!$A$22:$B$24,2,false),0)</f>
        <v>5</v>
      </c>
      <c r="K18" s="10">
        <f>IFERROR(vlookup('3.1'!J:J,lookup!$A$26:$B$28,2,false),0)</f>
        <v>5</v>
      </c>
      <c r="L18" s="1"/>
      <c r="M18" s="10">
        <v>17.0</v>
      </c>
      <c r="N18" s="11" t="str">
        <f t="shared" si="1"/>
        <v>bnco1017@signalschool.ac.th</v>
      </c>
      <c r="O18" s="12">
        <f t="shared" si="2"/>
        <v>1</v>
      </c>
      <c r="R18" s="6" t="s">
        <v>229</v>
      </c>
    </row>
    <row r="19">
      <c r="A19" s="8">
        <f>'3.1'!A:A</f>
        <v>46213.39582</v>
      </c>
      <c r="B19" s="1" t="str">
        <f>'3.1'!B:B</f>
        <v>bnco1003@signalschool.ac.th</v>
      </c>
      <c r="C19" s="1" t="str">
        <f>'3.1'!C:C</f>
        <v>พ.ต. ไมตรี  บุญเหลื่อม</v>
      </c>
      <c r="D19" s="9">
        <v>1.0</v>
      </c>
      <c r="E19" s="10">
        <f>IFERROR(vlookup('3.1'!D:D,lookup!$A$2:$B$4,2,false),0)</f>
        <v>5</v>
      </c>
      <c r="F19" s="10">
        <f>IFERROR(vlookup('3.1'!E:E,lookup!$A$6:$B$8,2,false),0)</f>
        <v>5</v>
      </c>
      <c r="G19" s="10">
        <f>IFERROR(vlookup('3.1'!F:F,lookup!$A$10:$B$12,2,false),0)</f>
        <v>5</v>
      </c>
      <c r="H19" s="10">
        <f>IFERROR(vlookup('3.1'!G:G,lookup!$A$14:$B$16,2,false),0)</f>
        <v>5</v>
      </c>
      <c r="I19" s="10">
        <f>IFERROR(vlookup('3.1'!H:H,lookup!$A$18:$B$20,2,false),0)</f>
        <v>5</v>
      </c>
      <c r="J19" s="10">
        <f>IFERROR(vlookup('3.1'!I:I,lookup!$A$22:$B$24,2,false),0)</f>
        <v>5</v>
      </c>
      <c r="K19" s="10">
        <f>IFERROR(vlookup('3.1'!J:J,lookup!$A$26:$B$28,2,false),0)</f>
        <v>5</v>
      </c>
      <c r="L19" s="1"/>
      <c r="M19" s="10">
        <v>18.0</v>
      </c>
      <c r="N19" s="11" t="str">
        <f t="shared" si="1"/>
        <v>bnco1018@signalschool.ac.th</v>
      </c>
      <c r="O19" s="12">
        <f t="shared" si="2"/>
        <v>1</v>
      </c>
      <c r="R19" s="6" t="s">
        <v>232</v>
      </c>
    </row>
    <row r="20">
      <c r="A20" s="8">
        <f>'3.1'!A:A</f>
        <v>46213.39607</v>
      </c>
      <c r="B20" s="1" t="str">
        <f>'3.1'!B:B</f>
        <v>bnco1069@signalschool.ac.th</v>
      </c>
      <c r="C20" s="1" t="str">
        <f>'3.1'!C:C</f>
        <v>ส.อ.วรเดช  จิตตารมย์</v>
      </c>
      <c r="D20" s="9">
        <v>1.0</v>
      </c>
      <c r="E20" s="10">
        <f>IFERROR(vlookup('3.1'!D:D,lookup!$A$2:$B$4,2,false),0)</f>
        <v>5</v>
      </c>
      <c r="F20" s="10">
        <f>IFERROR(vlookup('3.1'!E:E,lookup!$A$6:$B$8,2,false),0)</f>
        <v>5</v>
      </c>
      <c r="G20" s="10">
        <f>IFERROR(vlookup('3.1'!F:F,lookup!$A$10:$B$12,2,false),0)</f>
        <v>5</v>
      </c>
      <c r="H20" s="10">
        <f>IFERROR(vlookup('3.1'!G:G,lookup!$A$14:$B$16,2,false),0)</f>
        <v>5</v>
      </c>
      <c r="I20" s="10">
        <f>IFERROR(vlookup('3.1'!H:H,lookup!$A$18:$B$20,2,false),0)</f>
        <v>5</v>
      </c>
      <c r="J20" s="10">
        <f>IFERROR(vlookup('3.1'!I:I,lookup!$A$22:$B$24,2,false),0)</f>
        <v>5</v>
      </c>
      <c r="K20" s="10">
        <f>IFERROR(vlookup('3.1'!J:J,lookup!$A$26:$B$28,2,false),0)</f>
        <v>5</v>
      </c>
      <c r="L20" s="1"/>
      <c r="M20" s="10">
        <v>19.0</v>
      </c>
      <c r="N20" s="11" t="str">
        <f t="shared" si="1"/>
        <v>bnco1019@signalschool.ac.th</v>
      </c>
      <c r="O20" s="12">
        <f t="shared" si="2"/>
        <v>1</v>
      </c>
      <c r="R20" s="6" t="s">
        <v>233</v>
      </c>
    </row>
    <row r="21">
      <c r="A21" s="8">
        <f>'3.1'!A:A</f>
        <v>46213.39623</v>
      </c>
      <c r="B21" s="1" t="str">
        <f>'3.1'!B:B</f>
        <v>bnco1058@signalschool.ac.th</v>
      </c>
      <c r="C21" s="1" t="str">
        <f>'3.1'!C:C</f>
        <v>พ.ต. ไมตรี  บุญเหลื่อม</v>
      </c>
      <c r="D21" s="9">
        <v>1.0</v>
      </c>
      <c r="E21" s="10">
        <f>IFERROR(vlookup('3.1'!D:D,lookup!$A$2:$B$4,2,false),0)</f>
        <v>5</v>
      </c>
      <c r="F21" s="10">
        <f>IFERROR(vlookup('3.1'!E:E,lookup!$A$6:$B$8,2,false),0)</f>
        <v>5</v>
      </c>
      <c r="G21" s="10">
        <f>IFERROR(vlookup('3.1'!F:F,lookup!$A$10:$B$12,2,false),0)</f>
        <v>5</v>
      </c>
      <c r="H21" s="10">
        <f>IFERROR(vlookup('3.1'!G:G,lookup!$A$14:$B$16,2,false),0)</f>
        <v>5</v>
      </c>
      <c r="I21" s="10">
        <f>IFERROR(vlookup('3.1'!H:H,lookup!$A$18:$B$20,2,false),0)</f>
        <v>5</v>
      </c>
      <c r="J21" s="10">
        <f>IFERROR(vlookup('3.1'!I:I,lookup!$A$22:$B$24,2,false),0)</f>
        <v>3</v>
      </c>
      <c r="K21" s="10">
        <f>IFERROR(vlookup('3.1'!J:J,lookup!$A$26:$B$28,2,false),0)</f>
        <v>3</v>
      </c>
      <c r="L21" s="1"/>
      <c r="M21" s="10">
        <v>20.0</v>
      </c>
      <c r="N21" s="11" t="str">
        <f t="shared" si="1"/>
        <v>bnco1020@signalschool.ac.th</v>
      </c>
      <c r="O21" s="12">
        <f t="shared" si="2"/>
        <v>1</v>
      </c>
      <c r="R21" s="6" t="s">
        <v>234</v>
      </c>
    </row>
    <row r="22">
      <c r="A22" s="8">
        <f>'3.1'!A:A</f>
        <v>46213.39632</v>
      </c>
      <c r="B22" s="1" t="str">
        <f>'3.1'!B:B</f>
        <v>bnco1057@signalschool.ac.th</v>
      </c>
      <c r="C22" s="1" t="str">
        <f>'3.1'!C:C</f>
        <v>พ.ต.ไมตรี  บุญเหลื่อม</v>
      </c>
      <c r="D22" s="9">
        <v>1.0</v>
      </c>
      <c r="E22" s="10">
        <f>IFERROR(vlookup('3.1'!D:D,lookup!$A$2:$B$4,2,false),0)</f>
        <v>5</v>
      </c>
      <c r="F22" s="10">
        <f>IFERROR(vlookup('3.1'!E:E,lookup!$A$6:$B$8,2,false),0)</f>
        <v>5</v>
      </c>
      <c r="G22" s="10">
        <f>IFERROR(vlookup('3.1'!F:F,lookup!$A$10:$B$12,2,false),0)</f>
        <v>5</v>
      </c>
      <c r="H22" s="10">
        <f>IFERROR(vlookup('3.1'!G:G,lookup!$A$14:$B$16,2,false),0)</f>
        <v>5</v>
      </c>
      <c r="I22" s="10">
        <f>IFERROR(vlookup('3.1'!H:H,lookup!$A$18:$B$20,2,false),0)</f>
        <v>5</v>
      </c>
      <c r="J22" s="10">
        <f>IFERROR(vlookup('3.1'!I:I,lookup!$A$22:$B$24,2,false),0)</f>
        <v>5</v>
      </c>
      <c r="K22" s="10">
        <f>IFERROR(vlookup('3.1'!J:J,lookup!$A$26:$B$28,2,false),0)</f>
        <v>5</v>
      </c>
      <c r="L22" s="1"/>
      <c r="M22" s="10">
        <v>21.0</v>
      </c>
      <c r="N22" s="11" t="str">
        <f t="shared" si="1"/>
        <v>bnco1021@signalschool.ac.th</v>
      </c>
      <c r="O22" s="12">
        <f t="shared" si="2"/>
        <v>1</v>
      </c>
      <c r="R22" s="6" t="s">
        <v>235</v>
      </c>
    </row>
    <row r="23">
      <c r="A23" s="8">
        <f>'3.1'!A:A</f>
        <v>46213.3964</v>
      </c>
      <c r="B23" s="1" t="str">
        <f>'3.1'!B:B</f>
        <v>bnco1009@signalschool.ac.th</v>
      </c>
      <c r="C23" s="1" t="str">
        <f>'3.1'!C:C</f>
        <v>พ.ต. ไมตรี  บุญเหลื่อม</v>
      </c>
      <c r="D23" s="9">
        <v>1.0</v>
      </c>
      <c r="E23" s="10">
        <f>IFERROR(vlookup('3.1'!D:D,lookup!$A$2:$B$4,2,false),0)</f>
        <v>5</v>
      </c>
      <c r="F23" s="10">
        <f>IFERROR(vlookup('3.1'!E:E,lookup!$A$6:$B$8,2,false),0)</f>
        <v>5</v>
      </c>
      <c r="G23" s="10">
        <f>IFERROR(vlookup('3.1'!F:F,lookup!$A$10:$B$12,2,false),0)</f>
        <v>5</v>
      </c>
      <c r="H23" s="10">
        <f>IFERROR(vlookup('3.1'!G:G,lookup!$A$14:$B$16,2,false),0)</f>
        <v>5</v>
      </c>
      <c r="I23" s="10">
        <f>IFERROR(vlookup('3.1'!H:H,lookup!$A$18:$B$20,2,false),0)</f>
        <v>5</v>
      </c>
      <c r="J23" s="10">
        <f>IFERROR(vlookup('3.1'!I:I,lookup!$A$22:$B$24,2,false),0)</f>
        <v>5</v>
      </c>
      <c r="K23" s="10">
        <f>IFERROR(vlookup('3.1'!J:J,lookup!$A$26:$B$28,2,false),0)</f>
        <v>5</v>
      </c>
      <c r="L23" s="1"/>
      <c r="M23" s="10">
        <v>22.0</v>
      </c>
      <c r="N23" s="11" t="str">
        <f t="shared" si="1"/>
        <v>bnco1022@signalschool.ac.th</v>
      </c>
      <c r="O23" s="12">
        <f t="shared" si="2"/>
        <v>1</v>
      </c>
      <c r="R23" s="6" t="s">
        <v>236</v>
      </c>
    </row>
    <row r="24">
      <c r="A24" s="8">
        <f>'3.1'!A:A</f>
        <v>46213.39658</v>
      </c>
      <c r="B24" s="1" t="str">
        <f>'3.1'!B:B</f>
        <v>earthtynattapon@gmail.com</v>
      </c>
      <c r="C24" s="1" t="str">
        <f>'3.1'!C:C</f>
        <v>พ.ต. ไมตรี  บุญเหลื่อม</v>
      </c>
      <c r="D24" s="9">
        <v>1.0</v>
      </c>
      <c r="E24" s="10">
        <f>IFERROR(vlookup('3.1'!D:D,lookup!$A$2:$B$4,2,false),0)</f>
        <v>5</v>
      </c>
      <c r="F24" s="10">
        <f>IFERROR(vlookup('3.1'!E:E,lookup!$A$6:$B$8,2,false),0)</f>
        <v>5</v>
      </c>
      <c r="G24" s="10">
        <f>IFERROR(vlookup('3.1'!F:F,lookup!$A$10:$B$12,2,false),0)</f>
        <v>5</v>
      </c>
      <c r="H24" s="10">
        <f>IFERROR(vlookup('3.1'!G:G,lookup!$A$14:$B$16,2,false),0)</f>
        <v>5</v>
      </c>
      <c r="I24" s="10">
        <f>IFERROR(vlookup('3.1'!H:H,lookup!$A$18:$B$20,2,false),0)</f>
        <v>5</v>
      </c>
      <c r="J24" s="10">
        <f>IFERROR(vlookup('3.1'!I:I,lookup!$A$22:$B$24,2,false),0)</f>
        <v>5</v>
      </c>
      <c r="K24" s="10">
        <f>IFERROR(vlookup('3.1'!J:J,lookup!$A$26:$B$28,2,false),0)</f>
        <v>5</v>
      </c>
      <c r="L24" s="1"/>
      <c r="M24" s="10">
        <v>23.0</v>
      </c>
      <c r="N24" s="11" t="str">
        <f t="shared" si="1"/>
        <v>bnco1023@signalschool.ac.th</v>
      </c>
      <c r="O24" s="12">
        <f t="shared" si="2"/>
        <v>1</v>
      </c>
      <c r="R24" s="6" t="s">
        <v>237</v>
      </c>
    </row>
    <row r="25">
      <c r="A25" s="8">
        <f>'3.1'!A:A</f>
        <v>46213.39682</v>
      </c>
      <c r="B25" s="1" t="str">
        <f>'3.1'!B:B</f>
        <v>bnco1064@signalschool.ac.th</v>
      </c>
      <c r="C25" s="1" t="str">
        <f>'3.1'!C:C</f>
        <v>ส.อ.ชัยวัฒน์ สมอ่อน</v>
      </c>
      <c r="D25" s="9">
        <v>1.0</v>
      </c>
      <c r="E25" s="10">
        <f>IFERROR(vlookup('3.1'!D:D,lookup!$A$2:$B$4,2,false),0)</f>
        <v>5</v>
      </c>
      <c r="F25" s="10">
        <f>IFERROR(vlookup('3.1'!E:E,lookup!$A$6:$B$8,2,false),0)</f>
        <v>5</v>
      </c>
      <c r="G25" s="10">
        <f>IFERROR(vlookup('3.1'!F:F,lookup!$A$10:$B$12,2,false),0)</f>
        <v>5</v>
      </c>
      <c r="H25" s="10">
        <f>IFERROR(vlookup('3.1'!G:G,lookup!$A$14:$B$16,2,false),0)</f>
        <v>5</v>
      </c>
      <c r="I25" s="10">
        <f>IFERROR(vlookup('3.1'!H:H,lookup!$A$18:$B$20,2,false),0)</f>
        <v>5</v>
      </c>
      <c r="J25" s="10">
        <f>IFERROR(vlookup('3.1'!I:I,lookup!$A$22:$B$24,2,false),0)</f>
        <v>5</v>
      </c>
      <c r="K25" s="10">
        <f>IFERROR(vlookup('3.1'!J:J,lookup!$A$26:$B$28,2,false),0)</f>
        <v>5</v>
      </c>
      <c r="L25" s="1"/>
      <c r="M25" s="10">
        <v>24.0</v>
      </c>
      <c r="N25" s="11" t="str">
        <f t="shared" si="1"/>
        <v>bnco1024@signalschool.ac.th</v>
      </c>
      <c r="O25" s="12">
        <f t="shared" si="2"/>
        <v>1</v>
      </c>
      <c r="R25" s="6" t="s">
        <v>238</v>
      </c>
    </row>
    <row r="26">
      <c r="A26" s="8">
        <f>'3.1'!A:A</f>
        <v>46213.39713</v>
      </c>
      <c r="B26" s="1" t="str">
        <f>'3.1'!B:B</f>
        <v>bnco1039@signalschool.ac.th</v>
      </c>
      <c r="C26" s="1" t="str">
        <f>'3.1'!C:C</f>
        <v>พ.ต. ไมตรี  บุญเหลื่อม</v>
      </c>
      <c r="D26" s="9">
        <v>1.0</v>
      </c>
      <c r="E26" s="10">
        <f>IFERROR(vlookup('3.1'!D:D,lookup!$A$2:$B$4,2,false),0)</f>
        <v>5</v>
      </c>
      <c r="F26" s="10">
        <f>IFERROR(vlookup('3.1'!E:E,lookup!$A$6:$B$8,2,false),0)</f>
        <v>5</v>
      </c>
      <c r="G26" s="10">
        <f>IFERROR(vlookup('3.1'!F:F,lookup!$A$10:$B$12,2,false),0)</f>
        <v>5</v>
      </c>
      <c r="H26" s="10">
        <f>IFERROR(vlookup('3.1'!G:G,lookup!$A$14:$B$16,2,false),0)</f>
        <v>5</v>
      </c>
      <c r="I26" s="10">
        <f>IFERROR(vlookup('3.1'!H:H,lookup!$A$18:$B$20,2,false),0)</f>
        <v>5</v>
      </c>
      <c r="J26" s="10">
        <f>IFERROR(vlookup('3.1'!I:I,lookup!$A$22:$B$24,2,false),0)</f>
        <v>5</v>
      </c>
      <c r="K26" s="10">
        <f>IFERROR(vlookup('3.1'!J:J,lookup!$A$26:$B$28,2,false),0)</f>
        <v>5</v>
      </c>
      <c r="L26" s="1"/>
      <c r="M26" s="10">
        <v>25.0</v>
      </c>
      <c r="N26" s="11" t="str">
        <f t="shared" si="1"/>
        <v>bnco1025@signalschool.ac.th</v>
      </c>
      <c r="O26" s="12">
        <f t="shared" si="2"/>
        <v>1</v>
      </c>
      <c r="R26" s="6" t="s">
        <v>239</v>
      </c>
    </row>
    <row r="27">
      <c r="A27" s="8">
        <f>'3.1'!A:A</f>
        <v>46213.39765</v>
      </c>
      <c r="B27" s="1" t="str">
        <f>'3.1'!B:B</f>
        <v>bnco1071@signalschool.ac.th</v>
      </c>
      <c r="C27" s="1" t="str">
        <f>'3.1'!C:C</f>
        <v>พ.ต.ไมตรี  บุญเหลื่อม</v>
      </c>
      <c r="D27" s="9">
        <v>1.0</v>
      </c>
      <c r="E27" s="10">
        <f>IFERROR(vlookup('3.1'!D:D,lookup!$A$2:$B$4,2,false),0)</f>
        <v>5</v>
      </c>
      <c r="F27" s="10">
        <f>IFERROR(vlookup('3.1'!E:E,lookup!$A$6:$B$8,2,false),0)</f>
        <v>5</v>
      </c>
      <c r="G27" s="10">
        <f>IFERROR(vlookup('3.1'!F:F,lookup!$A$10:$B$12,2,false),0)</f>
        <v>5</v>
      </c>
      <c r="H27" s="10">
        <f>IFERROR(vlookup('3.1'!G:G,lookup!$A$14:$B$16,2,false),0)</f>
        <v>5</v>
      </c>
      <c r="I27" s="10">
        <f>IFERROR(vlookup('3.1'!H:H,lookup!$A$18:$B$20,2,false),0)</f>
        <v>5</v>
      </c>
      <c r="J27" s="10">
        <f>IFERROR(vlookup('3.1'!I:I,lookup!$A$22:$B$24,2,false),0)</f>
        <v>5</v>
      </c>
      <c r="K27" s="10">
        <f>IFERROR(vlookup('3.1'!J:J,lookup!$A$26:$B$28,2,false),0)</f>
        <v>5</v>
      </c>
      <c r="L27" s="1"/>
      <c r="M27" s="10">
        <v>26.0</v>
      </c>
      <c r="N27" s="11" t="str">
        <f t="shared" si="1"/>
        <v>bnco1026@signalschool.ac.th</v>
      </c>
      <c r="O27" s="12">
        <f t="shared" si="2"/>
        <v>1</v>
      </c>
      <c r="R27" s="6" t="s">
        <v>240</v>
      </c>
    </row>
    <row r="28">
      <c r="A28" s="8">
        <f>'3.1'!A:A</f>
        <v>46213.39765</v>
      </c>
      <c r="B28" s="1" t="str">
        <f>'3.1'!B:B</f>
        <v>bnco1011@signalschool.ac.th</v>
      </c>
      <c r="C28" s="1" t="str">
        <f>'3.1'!C:C</f>
        <v>พ.ต.ไมตรี บุญเหลื่อม</v>
      </c>
      <c r="D28" s="9">
        <v>1.0</v>
      </c>
      <c r="E28" s="10">
        <f>IFERROR(vlookup('3.1'!D:D,lookup!$A$2:$B$4,2,false),0)</f>
        <v>5</v>
      </c>
      <c r="F28" s="10">
        <f>IFERROR(vlookup('3.1'!E:E,lookup!$A$6:$B$8,2,false),0)</f>
        <v>5</v>
      </c>
      <c r="G28" s="10">
        <f>IFERROR(vlookup('3.1'!F:F,lookup!$A$10:$B$12,2,false),0)</f>
        <v>5</v>
      </c>
      <c r="H28" s="10">
        <f>IFERROR(vlookup('3.1'!G:G,lookup!$A$14:$B$16,2,false),0)</f>
        <v>5</v>
      </c>
      <c r="I28" s="10">
        <f>IFERROR(vlookup('3.1'!H:H,lookup!$A$18:$B$20,2,false),0)</f>
        <v>5</v>
      </c>
      <c r="J28" s="10">
        <f>IFERROR(vlookup('3.1'!I:I,lookup!$A$22:$B$24,2,false),0)</f>
        <v>5</v>
      </c>
      <c r="K28" s="10">
        <f>IFERROR(vlookup('3.1'!J:J,lookup!$A$26:$B$28,2,false),0)</f>
        <v>5</v>
      </c>
      <c r="L28" s="1"/>
      <c r="M28" s="10">
        <v>27.0</v>
      </c>
      <c r="N28" s="11" t="str">
        <f t="shared" si="1"/>
        <v>bnco1027@signalschool.ac.th</v>
      </c>
      <c r="O28" s="12">
        <f t="shared" si="2"/>
        <v>1</v>
      </c>
      <c r="R28" s="6" t="s">
        <v>241</v>
      </c>
    </row>
    <row r="29">
      <c r="A29" s="8">
        <f>'3.1'!A:A</f>
        <v>46213.39769</v>
      </c>
      <c r="B29" s="1" t="str">
        <f>'3.1'!B:B</f>
        <v>bnco1033@signalschool.ac.th</v>
      </c>
      <c r="C29" s="1" t="str">
        <f>'3.1'!C:C</f>
        <v>พ.ต. ไมตรี บุญเหลื่อม</v>
      </c>
      <c r="D29" s="9">
        <v>1.0</v>
      </c>
      <c r="E29" s="10">
        <f>IFERROR(vlookup('3.1'!D:D,lookup!$A$2:$B$4,2,false),0)</f>
        <v>5</v>
      </c>
      <c r="F29" s="10">
        <f>IFERROR(vlookup('3.1'!E:E,lookup!$A$6:$B$8,2,false),0)</f>
        <v>5</v>
      </c>
      <c r="G29" s="10">
        <f>IFERROR(vlookup('3.1'!F:F,lookup!$A$10:$B$12,2,false),0)</f>
        <v>5</v>
      </c>
      <c r="H29" s="10">
        <f>IFERROR(vlookup('3.1'!G:G,lookup!$A$14:$B$16,2,false),0)</f>
        <v>5</v>
      </c>
      <c r="I29" s="10">
        <f>IFERROR(vlookup('3.1'!H:H,lookup!$A$18:$B$20,2,false),0)</f>
        <v>5</v>
      </c>
      <c r="J29" s="10">
        <f>IFERROR(vlookup('3.1'!I:I,lookup!$A$22:$B$24,2,false),0)</f>
        <v>5</v>
      </c>
      <c r="K29" s="10">
        <f>IFERROR(vlookup('3.1'!J:J,lookup!$A$26:$B$28,2,false),0)</f>
        <v>5</v>
      </c>
      <c r="L29" s="1"/>
      <c r="M29" s="10">
        <v>28.0</v>
      </c>
      <c r="N29" s="11" t="str">
        <f t="shared" si="1"/>
        <v>bnco1028@signalschool.ac.th</v>
      </c>
      <c r="O29" s="12">
        <f t="shared" si="2"/>
        <v>0</v>
      </c>
      <c r="R29" s="6" t="s">
        <v>242</v>
      </c>
    </row>
    <row r="30">
      <c r="A30" s="8">
        <f>'3.1'!A:A</f>
        <v>46213.3979</v>
      </c>
      <c r="B30" s="1" t="str">
        <f>'3.1'!B:B</f>
        <v>bnco1061@signalschool.ac.th</v>
      </c>
      <c r="C30" s="1" t="str">
        <f>'3.1'!C:C</f>
        <v>พ.ต.ไมตรี บุญเหลื่อม</v>
      </c>
      <c r="D30" s="9">
        <v>1.0</v>
      </c>
      <c r="E30" s="10">
        <f>IFERROR(vlookup('3.1'!D:D,lookup!$A$2:$B$4,2,false),0)</f>
        <v>5</v>
      </c>
      <c r="F30" s="10">
        <f>IFERROR(vlookup('3.1'!E:E,lookup!$A$6:$B$8,2,false),0)</f>
        <v>5</v>
      </c>
      <c r="G30" s="10">
        <f>IFERROR(vlookup('3.1'!F:F,lookup!$A$10:$B$12,2,false),0)</f>
        <v>5</v>
      </c>
      <c r="H30" s="10">
        <f>IFERROR(vlookup('3.1'!G:G,lookup!$A$14:$B$16,2,false),0)</f>
        <v>5</v>
      </c>
      <c r="I30" s="10">
        <f>IFERROR(vlookup('3.1'!H:H,lookup!$A$18:$B$20,2,false),0)</f>
        <v>5</v>
      </c>
      <c r="J30" s="10">
        <f>IFERROR(vlookup('3.1'!I:I,lookup!$A$22:$B$24,2,false),0)</f>
        <v>5</v>
      </c>
      <c r="K30" s="10">
        <f>IFERROR(vlookup('3.1'!J:J,lookup!$A$26:$B$28,2,false),0)</f>
        <v>1</v>
      </c>
      <c r="L30" s="1"/>
      <c r="M30" s="10">
        <v>29.0</v>
      </c>
      <c r="N30" s="11" t="str">
        <f t="shared" si="1"/>
        <v>bnco1029@signalschool.ac.th</v>
      </c>
      <c r="O30" s="12">
        <f t="shared" si="2"/>
        <v>0</v>
      </c>
      <c r="R30" s="6" t="s">
        <v>243</v>
      </c>
    </row>
    <row r="31">
      <c r="A31" s="8">
        <f>'3.1'!A:A</f>
        <v>46213.3981</v>
      </c>
      <c r="B31" s="1" t="str">
        <f>'3.1'!B:B</f>
        <v>bnco1079@signalschool.ac.th</v>
      </c>
      <c r="C31" s="1" t="str">
        <f>'3.1'!C:C</f>
        <v>พ.ต. ไมตรี  บุญเหลื่อม</v>
      </c>
      <c r="D31" s="9">
        <v>1.0</v>
      </c>
      <c r="E31" s="10">
        <f>IFERROR(vlookup('3.1'!D:D,lookup!$A$2:$B$4,2,false),0)</f>
        <v>5</v>
      </c>
      <c r="F31" s="10">
        <f>IFERROR(vlookup('3.1'!E:E,lookup!$A$6:$B$8,2,false),0)</f>
        <v>5</v>
      </c>
      <c r="G31" s="10">
        <f>IFERROR(vlookup('3.1'!F:F,lookup!$A$10:$B$12,2,false),0)</f>
        <v>5</v>
      </c>
      <c r="H31" s="10">
        <f>IFERROR(vlookup('3.1'!G:G,lookup!$A$14:$B$16,2,false),0)</f>
        <v>5</v>
      </c>
      <c r="I31" s="10">
        <f>IFERROR(vlookup('3.1'!H:H,lookup!$A$18:$B$20,2,false),0)</f>
        <v>5</v>
      </c>
      <c r="J31" s="10">
        <f>IFERROR(vlookup('3.1'!I:I,lookup!$A$22:$B$24,2,false),0)</f>
        <v>5</v>
      </c>
      <c r="K31" s="10">
        <f>IFERROR(vlookup('3.1'!J:J,lookup!$A$26:$B$28,2,false),0)</f>
        <v>5</v>
      </c>
      <c r="L31" s="1"/>
      <c r="M31" s="10">
        <v>30.0</v>
      </c>
      <c r="N31" s="11" t="str">
        <f t="shared" si="1"/>
        <v>bnco1030@signalschool.ac.th</v>
      </c>
      <c r="O31" s="12">
        <f t="shared" si="2"/>
        <v>1</v>
      </c>
      <c r="R31" s="6" t="s">
        <v>244</v>
      </c>
    </row>
    <row r="32">
      <c r="A32" s="8">
        <f>'3.1'!A:A</f>
        <v>46213.39842</v>
      </c>
      <c r="B32" s="1" t="str">
        <f>'3.1'!B:B</f>
        <v>bnco1019@signalschool.ac.th</v>
      </c>
      <c r="C32" s="1" t="str">
        <f>'3.1'!C:C</f>
        <v>พ.ต.ไมตรี  บุญเหลื่อม</v>
      </c>
      <c r="D32" s="9">
        <v>1.0</v>
      </c>
      <c r="E32" s="10">
        <f>IFERROR(vlookup('3.1'!D:D,lookup!$A$2:$B$4,2,false),0)</f>
        <v>5</v>
      </c>
      <c r="F32" s="10">
        <f>IFERROR(vlookup('3.1'!E:E,lookup!$A$6:$B$8,2,false),0)</f>
        <v>5</v>
      </c>
      <c r="G32" s="10">
        <f>IFERROR(vlookup('3.1'!F:F,lookup!$A$10:$B$12,2,false),0)</f>
        <v>5</v>
      </c>
      <c r="H32" s="10">
        <f>IFERROR(vlookup('3.1'!G:G,lookup!$A$14:$B$16,2,false),0)</f>
        <v>5</v>
      </c>
      <c r="I32" s="10">
        <f>IFERROR(vlookup('3.1'!H:H,lookup!$A$18:$B$20,2,false),0)</f>
        <v>5</v>
      </c>
      <c r="J32" s="10">
        <f>IFERROR(vlookup('3.1'!I:I,lookup!$A$22:$B$24,2,false),0)</f>
        <v>5</v>
      </c>
      <c r="K32" s="10">
        <f>IFERROR(vlookup('3.1'!J:J,lookup!$A$26:$B$28,2,false),0)</f>
        <v>5</v>
      </c>
      <c r="L32" s="1"/>
      <c r="M32" s="10">
        <v>31.0</v>
      </c>
      <c r="N32" s="11" t="str">
        <f t="shared" si="1"/>
        <v>bnco1031@signalschool.ac.th</v>
      </c>
      <c r="O32" s="12">
        <f t="shared" si="2"/>
        <v>1</v>
      </c>
      <c r="R32" s="6" t="s">
        <v>245</v>
      </c>
    </row>
    <row r="33">
      <c r="A33" s="8">
        <f>'3.1'!A:A</f>
        <v>46213.39892</v>
      </c>
      <c r="B33" s="1" t="str">
        <f>'3.1'!B:B</f>
        <v>bnco1074@signalschool.ac.th</v>
      </c>
      <c r="C33" s="1" t="str">
        <f>'3.1'!C:C</f>
        <v>พ.ต. ไมตรี  บุญเหลื่อม</v>
      </c>
      <c r="D33" s="9">
        <v>1.0</v>
      </c>
      <c r="E33" s="10">
        <f>IFERROR(vlookup('3.1'!D:D,lookup!$A$2:$B$4,2,false),0)</f>
        <v>5</v>
      </c>
      <c r="F33" s="10">
        <f>IFERROR(vlookup('3.1'!E:E,lookup!$A$6:$B$8,2,false),0)</f>
        <v>5</v>
      </c>
      <c r="G33" s="10">
        <f>IFERROR(vlookup('3.1'!F:F,lookup!$A$10:$B$12,2,false),0)</f>
        <v>5</v>
      </c>
      <c r="H33" s="10">
        <f>IFERROR(vlookup('3.1'!G:G,lookup!$A$14:$B$16,2,false),0)</f>
        <v>5</v>
      </c>
      <c r="I33" s="10">
        <f>IFERROR(vlookup('3.1'!H:H,lookup!$A$18:$B$20,2,false),0)</f>
        <v>5</v>
      </c>
      <c r="J33" s="10">
        <f>IFERROR(vlookup('3.1'!I:I,lookup!$A$22:$B$24,2,false),0)</f>
        <v>5</v>
      </c>
      <c r="K33" s="10">
        <f>IFERROR(vlookup('3.1'!J:J,lookup!$A$26:$B$28,2,false),0)</f>
        <v>5</v>
      </c>
      <c r="L33" s="1"/>
      <c r="M33" s="10">
        <v>32.0</v>
      </c>
      <c r="N33" s="11" t="str">
        <f t="shared" si="1"/>
        <v>bnco1032@signalschool.ac.th</v>
      </c>
      <c r="O33" s="12">
        <f t="shared" si="2"/>
        <v>1</v>
      </c>
      <c r="R33" s="6" t="s">
        <v>246</v>
      </c>
    </row>
    <row r="34">
      <c r="A34" s="8">
        <f>'3.1'!A:A</f>
        <v>46213.39895</v>
      </c>
      <c r="B34" s="1" t="str">
        <f>'3.1'!B:B</f>
        <v>bnco1068@signalschool.ac.th</v>
      </c>
      <c r="C34" s="1" t="str">
        <f>'3.1'!C:C</f>
        <v>พ.ต. ไมตรี  บุญเหลื่อม</v>
      </c>
      <c r="D34" s="9">
        <v>1.0</v>
      </c>
      <c r="E34" s="10">
        <f>IFERROR(vlookup('3.1'!D:D,lookup!$A$2:$B$4,2,false),0)</f>
        <v>5</v>
      </c>
      <c r="F34" s="10">
        <f>IFERROR(vlookup('3.1'!E:E,lookup!$A$6:$B$8,2,false),0)</f>
        <v>5</v>
      </c>
      <c r="G34" s="10">
        <f>IFERROR(vlookup('3.1'!F:F,lookup!$A$10:$B$12,2,false),0)</f>
        <v>5</v>
      </c>
      <c r="H34" s="10">
        <f>IFERROR(vlookup('3.1'!G:G,lookup!$A$14:$B$16,2,false),0)</f>
        <v>5</v>
      </c>
      <c r="I34" s="10">
        <f>IFERROR(vlookup('3.1'!H:H,lookup!$A$18:$B$20,2,false),0)</f>
        <v>5</v>
      </c>
      <c r="J34" s="10">
        <f>IFERROR(vlookup('3.1'!I:I,lookup!$A$22:$B$24,2,false),0)</f>
        <v>5</v>
      </c>
      <c r="K34" s="10">
        <f>IFERROR(vlookup('3.1'!J:J,lookup!$A$26:$B$28,2,false),0)</f>
        <v>5</v>
      </c>
      <c r="L34" s="1"/>
      <c r="M34" s="10">
        <v>33.0</v>
      </c>
      <c r="N34" s="11" t="str">
        <f t="shared" si="1"/>
        <v>bnco1033@signalschool.ac.th</v>
      </c>
      <c r="O34" s="12">
        <f t="shared" si="2"/>
        <v>1</v>
      </c>
      <c r="R34" s="6" t="s">
        <v>247</v>
      </c>
    </row>
    <row r="35">
      <c r="A35" s="8">
        <f>'3.1'!A:A</f>
        <v>46213.39903</v>
      </c>
      <c r="B35" s="1" t="str">
        <f>'3.1'!B:B</f>
        <v>bnco1002@signalschool.ac.th</v>
      </c>
      <c r="C35" s="1" t="str">
        <f>'3.1'!C:C</f>
        <v>พันตรี ไมตรี บุญเหลื่อม</v>
      </c>
      <c r="D35" s="9">
        <v>1.0</v>
      </c>
      <c r="E35" s="10">
        <f>IFERROR(vlookup('3.1'!D:D,lookup!$A$2:$B$4,2,false),0)</f>
        <v>5</v>
      </c>
      <c r="F35" s="10">
        <f>IFERROR(vlookup('3.1'!E:E,lookup!$A$6:$B$8,2,false),0)</f>
        <v>5</v>
      </c>
      <c r="G35" s="10">
        <f>IFERROR(vlookup('3.1'!F:F,lookup!$A$10:$B$12,2,false),0)</f>
        <v>5</v>
      </c>
      <c r="H35" s="10">
        <f>IFERROR(vlookup('3.1'!G:G,lookup!$A$14:$B$16,2,false),0)</f>
        <v>5</v>
      </c>
      <c r="I35" s="10">
        <f>IFERROR(vlookup('3.1'!H:H,lookup!$A$18:$B$20,2,false),0)</f>
        <v>5</v>
      </c>
      <c r="J35" s="10">
        <f>IFERROR(vlookup('3.1'!I:I,lookup!$A$22:$B$24,2,false),0)</f>
        <v>5</v>
      </c>
      <c r="K35" s="10">
        <f>IFERROR(vlookup('3.1'!J:J,lookup!$A$26:$B$28,2,false),0)</f>
        <v>5</v>
      </c>
      <c r="L35" s="1"/>
      <c r="M35" s="10">
        <v>34.0</v>
      </c>
      <c r="N35" s="11" t="str">
        <f t="shared" si="1"/>
        <v>bnco1034@signalschool.ac.th</v>
      </c>
      <c r="O35" s="12">
        <f t="shared" si="2"/>
        <v>1</v>
      </c>
      <c r="R35" s="6" t="s">
        <v>248</v>
      </c>
    </row>
    <row r="36">
      <c r="A36" s="8">
        <f>'3.1'!A:A</f>
        <v>46213.39934</v>
      </c>
      <c r="B36" s="1" t="str">
        <f>'3.1'!B:B</f>
        <v>bnco1062@signalschool.ac.th</v>
      </c>
      <c r="C36" s="1" t="str">
        <f>'3.1'!C:C</f>
        <v>พ.ต. ไมตรี  บุญเหลื่อม</v>
      </c>
      <c r="D36" s="9">
        <v>1.0</v>
      </c>
      <c r="E36" s="10">
        <f>IFERROR(vlookup('3.1'!D:D,lookup!$A$2:$B$4,2,false),0)</f>
        <v>5</v>
      </c>
      <c r="F36" s="10">
        <f>IFERROR(vlookup('3.1'!E:E,lookup!$A$6:$B$8,2,false),0)</f>
        <v>5</v>
      </c>
      <c r="G36" s="10">
        <f>IFERROR(vlookup('3.1'!F:F,lookup!$A$10:$B$12,2,false),0)</f>
        <v>5</v>
      </c>
      <c r="H36" s="10">
        <f>IFERROR(vlookup('3.1'!G:G,lookup!$A$14:$B$16,2,false),0)</f>
        <v>5</v>
      </c>
      <c r="I36" s="10">
        <f>IFERROR(vlookup('3.1'!H:H,lookup!$A$18:$B$20,2,false),0)</f>
        <v>5</v>
      </c>
      <c r="J36" s="10">
        <f>IFERROR(vlookup('3.1'!I:I,lookup!$A$22:$B$24,2,false),0)</f>
        <v>5</v>
      </c>
      <c r="K36" s="10">
        <f>IFERROR(vlookup('3.1'!J:J,lookup!$A$26:$B$28,2,false),0)</f>
        <v>5</v>
      </c>
      <c r="L36" s="1"/>
      <c r="M36" s="10">
        <v>35.0</v>
      </c>
      <c r="N36" s="11" t="str">
        <f t="shared" si="1"/>
        <v>bnco1035@signalschool.ac.th</v>
      </c>
      <c r="O36" s="12">
        <f t="shared" si="2"/>
        <v>1</v>
      </c>
      <c r="R36" s="6" t="s">
        <v>249</v>
      </c>
    </row>
    <row r="37">
      <c r="A37" s="8">
        <f>'3.1'!A:A</f>
        <v>46213.39938</v>
      </c>
      <c r="B37" s="1" t="str">
        <f>'3.1'!B:B</f>
        <v>bnco1078@signalschool.ac.th</v>
      </c>
      <c r="C37" s="1" t="str">
        <f>'3.1'!C:C</f>
        <v>พ.ต.ไมตรี บุญเหลื่อม</v>
      </c>
      <c r="D37" s="9">
        <v>1.0</v>
      </c>
      <c r="E37" s="10">
        <f>IFERROR(vlookup('3.1'!D:D,lookup!$A$2:$B$4,2,false),0)</f>
        <v>5</v>
      </c>
      <c r="F37" s="10">
        <f>IFERROR(vlookup('3.1'!E:E,lookup!$A$6:$B$8,2,false),0)</f>
        <v>5</v>
      </c>
      <c r="G37" s="10">
        <f>IFERROR(vlookup('3.1'!F:F,lookup!$A$10:$B$12,2,false),0)</f>
        <v>5</v>
      </c>
      <c r="H37" s="10">
        <f>IFERROR(vlookup('3.1'!G:G,lookup!$A$14:$B$16,2,false),0)</f>
        <v>5</v>
      </c>
      <c r="I37" s="10">
        <f>IFERROR(vlookup('3.1'!H:H,lookup!$A$18:$B$20,2,false),0)</f>
        <v>5</v>
      </c>
      <c r="J37" s="10">
        <f>IFERROR(vlookup('3.1'!I:I,lookup!$A$22:$B$24,2,false),0)</f>
        <v>5</v>
      </c>
      <c r="K37" s="10">
        <f>IFERROR(vlookup('3.1'!J:J,lookup!$A$26:$B$28,2,false),0)</f>
        <v>5</v>
      </c>
      <c r="L37" s="1"/>
      <c r="M37" s="10">
        <v>36.0</v>
      </c>
      <c r="N37" s="11" t="str">
        <f t="shared" si="1"/>
        <v>bnco1036@signalschool.ac.th</v>
      </c>
      <c r="O37" s="12">
        <f t="shared" si="2"/>
        <v>1</v>
      </c>
      <c r="R37" s="6" t="s">
        <v>250</v>
      </c>
    </row>
    <row r="38">
      <c r="A38" s="8">
        <f>'3.1'!A:A</f>
        <v>46213.39945</v>
      </c>
      <c r="B38" s="1" t="str">
        <f>'3.1'!B:B</f>
        <v>bnco1044@signalschool.ac.th</v>
      </c>
      <c r="C38" s="1" t="str">
        <f>'3.1'!C:C</f>
        <v>พ.ต. ไมตรี บุญเหลื่อม</v>
      </c>
      <c r="D38" s="9">
        <v>1.0</v>
      </c>
      <c r="E38" s="10">
        <f>IFERROR(vlookup('3.1'!D:D,lookup!$A$2:$B$4,2,false),0)</f>
        <v>5</v>
      </c>
      <c r="F38" s="10">
        <f>IFERROR(vlookup('3.1'!E:E,lookup!$A$6:$B$8,2,false),0)</f>
        <v>3</v>
      </c>
      <c r="G38" s="10">
        <f>IFERROR(vlookup('3.1'!F:F,lookup!$A$10:$B$12,2,false),0)</f>
        <v>5</v>
      </c>
      <c r="H38" s="10">
        <f>IFERROR(vlookup('3.1'!G:G,lookup!$A$14:$B$16,2,false),0)</f>
        <v>5</v>
      </c>
      <c r="I38" s="10">
        <f>IFERROR(vlookup('3.1'!H:H,lookup!$A$18:$B$20,2,false),0)</f>
        <v>5</v>
      </c>
      <c r="J38" s="10">
        <f>IFERROR(vlookup('3.1'!I:I,lookup!$A$22:$B$24,2,false),0)</f>
        <v>5</v>
      </c>
      <c r="K38" s="10">
        <f>IFERROR(vlookup('3.1'!J:J,lookup!$A$26:$B$28,2,false),0)</f>
        <v>5</v>
      </c>
      <c r="L38" s="1"/>
      <c r="M38" s="10">
        <v>37.0</v>
      </c>
      <c r="N38" s="11" t="str">
        <f t="shared" si="1"/>
        <v>bnco1037@signalschool.ac.th</v>
      </c>
      <c r="O38" s="12">
        <f t="shared" si="2"/>
        <v>1</v>
      </c>
      <c r="R38" s="6" t="s">
        <v>251</v>
      </c>
    </row>
    <row r="39">
      <c r="A39" s="8">
        <f>'3.1'!A:A</f>
        <v>46213.39982</v>
      </c>
      <c r="B39" s="1" t="str">
        <f>'3.1'!B:B</f>
        <v>bnco1015@signalschool.ac.th</v>
      </c>
      <c r="C39" s="1" t="str">
        <f>'3.1'!C:C</f>
        <v>พ.ต.ไมตรี  บุญเลื่อม</v>
      </c>
      <c r="D39" s="9">
        <v>1.0</v>
      </c>
      <c r="E39" s="10">
        <f>IFERROR(vlookup('3.1'!D:D,lookup!$A$2:$B$4,2,false),0)</f>
        <v>5</v>
      </c>
      <c r="F39" s="10">
        <f>IFERROR(vlookup('3.1'!E:E,lookup!$A$6:$B$8,2,false),0)</f>
        <v>5</v>
      </c>
      <c r="G39" s="10">
        <f>IFERROR(vlookup('3.1'!F:F,lookup!$A$10:$B$12,2,false),0)</f>
        <v>5</v>
      </c>
      <c r="H39" s="10">
        <f>IFERROR(vlookup('3.1'!G:G,lookup!$A$14:$B$16,2,false),0)</f>
        <v>5</v>
      </c>
      <c r="I39" s="10">
        <f>IFERROR(vlookup('3.1'!H:H,lookup!$A$18:$B$20,2,false),0)</f>
        <v>5</v>
      </c>
      <c r="J39" s="10">
        <f>IFERROR(vlookup('3.1'!I:I,lookup!$A$22:$B$24,2,false),0)</f>
        <v>5</v>
      </c>
      <c r="K39" s="10">
        <f>IFERROR(vlookup('3.1'!J:J,lookup!$A$26:$B$28,2,false),0)</f>
        <v>5</v>
      </c>
      <c r="L39" s="1"/>
      <c r="M39" s="10">
        <v>38.0</v>
      </c>
      <c r="N39" s="11" t="str">
        <f t="shared" si="1"/>
        <v>bnco1038@signalschool.ac.th</v>
      </c>
      <c r="O39" s="12">
        <f t="shared" si="2"/>
        <v>1</v>
      </c>
      <c r="R39" s="6" t="s">
        <v>252</v>
      </c>
    </row>
    <row r="40">
      <c r="A40" s="8">
        <f>'3.1'!A:A</f>
        <v>46213.39983</v>
      </c>
      <c r="B40" s="1" t="str">
        <f>'3.1'!B:B</f>
        <v>bnco1025@signalschool.ac.th</v>
      </c>
      <c r="C40" s="1" t="str">
        <f>'3.1'!C:C</f>
        <v>พ.ต.ไมตรี บุญเหลื่อม</v>
      </c>
      <c r="D40" s="9">
        <v>1.0</v>
      </c>
      <c r="E40" s="10">
        <f>IFERROR(vlookup('3.1'!D:D,lookup!$A$2:$B$4,2,false),0)</f>
        <v>5</v>
      </c>
      <c r="F40" s="10">
        <f>IFERROR(vlookup('3.1'!E:E,lookup!$A$6:$B$8,2,false),0)</f>
        <v>5</v>
      </c>
      <c r="G40" s="10">
        <f>IFERROR(vlookup('3.1'!F:F,lookup!$A$10:$B$12,2,false),0)</f>
        <v>5</v>
      </c>
      <c r="H40" s="10">
        <f>IFERROR(vlookup('3.1'!G:G,lookup!$A$14:$B$16,2,false),0)</f>
        <v>5</v>
      </c>
      <c r="I40" s="10">
        <f>IFERROR(vlookup('3.1'!H:H,lookup!$A$18:$B$20,2,false),0)</f>
        <v>5</v>
      </c>
      <c r="J40" s="10">
        <f>IFERROR(vlookup('3.1'!I:I,lookup!$A$22:$B$24,2,false),0)</f>
        <v>5</v>
      </c>
      <c r="K40" s="10">
        <f>IFERROR(vlookup('3.1'!J:J,lookup!$A$26:$B$28,2,false),0)</f>
        <v>5</v>
      </c>
      <c r="L40" s="1"/>
      <c r="M40" s="10">
        <v>39.0</v>
      </c>
      <c r="N40" s="11" t="str">
        <f t="shared" si="1"/>
        <v>bnco1039@signalschool.ac.th</v>
      </c>
      <c r="O40" s="12">
        <f t="shared" si="2"/>
        <v>1</v>
      </c>
      <c r="R40" s="6" t="s">
        <v>253</v>
      </c>
    </row>
    <row r="41">
      <c r="A41" s="8">
        <f>'3.1'!A:A</f>
        <v>46213.40065</v>
      </c>
      <c r="B41" s="1" t="str">
        <f>'3.1'!B:B</f>
        <v>bnco1006@signalschool.ac.th</v>
      </c>
      <c r="C41" s="1" t="str">
        <f>'3.1'!C:C</f>
        <v>ส.อ.ณัฐพงค์ ขอบพิมาย</v>
      </c>
      <c r="D41" s="9">
        <v>1.0</v>
      </c>
      <c r="E41" s="10">
        <f>IFERROR(vlookup('3.1'!D:D,lookup!$A$2:$B$4,2,false),0)</f>
        <v>5</v>
      </c>
      <c r="F41" s="10">
        <f>IFERROR(vlookup('3.1'!E:E,lookup!$A$6:$B$8,2,false),0)</f>
        <v>5</v>
      </c>
      <c r="G41" s="10">
        <f>IFERROR(vlookup('3.1'!F:F,lookup!$A$10:$B$12,2,false),0)</f>
        <v>5</v>
      </c>
      <c r="H41" s="10">
        <f>IFERROR(vlookup('3.1'!G:G,lookup!$A$14:$B$16,2,false),0)</f>
        <v>5</v>
      </c>
      <c r="I41" s="10">
        <f>IFERROR(vlookup('3.1'!H:H,lookup!$A$18:$B$20,2,false),0)</f>
        <v>5</v>
      </c>
      <c r="J41" s="10">
        <f>IFERROR(vlookup('3.1'!I:I,lookup!$A$22:$B$24,2,false),0)</f>
        <v>5</v>
      </c>
      <c r="K41" s="10">
        <f>IFERROR(vlookup('3.1'!J:J,lookup!$A$26:$B$28,2,false),0)</f>
        <v>5</v>
      </c>
      <c r="L41" s="1"/>
      <c r="M41" s="10">
        <v>40.0</v>
      </c>
      <c r="N41" s="11" t="str">
        <f t="shared" si="1"/>
        <v>bnco1040@signalschool.ac.th</v>
      </c>
      <c r="O41" s="12">
        <f t="shared" si="2"/>
        <v>1</v>
      </c>
      <c r="R41" s="6" t="s">
        <v>254</v>
      </c>
    </row>
    <row r="42">
      <c r="A42" s="8">
        <f>'3.1'!A:A</f>
        <v>46213.40216</v>
      </c>
      <c r="B42" s="1" t="str">
        <f>'3.1'!B:B</f>
        <v>bnco1027@signalschool.ac.th</v>
      </c>
      <c r="C42" s="1" t="str">
        <f>'3.1'!C:C</f>
        <v>ส.อ.ไวยวุฒิ จิตต์นิยม</v>
      </c>
      <c r="D42" s="9">
        <v>1.0</v>
      </c>
      <c r="E42" s="10">
        <f>IFERROR(vlookup('3.1'!D:D,lookup!$A$2:$B$4,2,false),0)</f>
        <v>5</v>
      </c>
      <c r="F42" s="10">
        <f>IFERROR(vlookup('3.1'!E:E,lookup!$A$6:$B$8,2,false),0)</f>
        <v>5</v>
      </c>
      <c r="G42" s="10">
        <f>IFERROR(vlookup('3.1'!F:F,lookup!$A$10:$B$12,2,false),0)</f>
        <v>5</v>
      </c>
      <c r="H42" s="10">
        <f>IFERROR(vlookup('3.1'!G:G,lookup!$A$14:$B$16,2,false),0)</f>
        <v>5</v>
      </c>
      <c r="I42" s="10">
        <f>IFERROR(vlookup('3.1'!H:H,lookup!$A$18:$B$20,2,false),0)</f>
        <v>5</v>
      </c>
      <c r="J42" s="10">
        <f>IFERROR(vlookup('3.1'!I:I,lookup!$A$22:$B$24,2,false),0)</f>
        <v>5</v>
      </c>
      <c r="K42" s="10">
        <f>IFERROR(vlookup('3.1'!J:J,lookup!$A$26:$B$28,2,false),0)</f>
        <v>5</v>
      </c>
      <c r="L42" s="1"/>
      <c r="M42" s="10">
        <v>41.0</v>
      </c>
      <c r="N42" s="11" t="str">
        <f t="shared" si="1"/>
        <v>bnco1041@signalschool.ac.th</v>
      </c>
      <c r="O42" s="12">
        <f t="shared" si="2"/>
        <v>1</v>
      </c>
      <c r="R42" s="6" t="s">
        <v>255</v>
      </c>
    </row>
    <row r="43">
      <c r="A43" s="8">
        <f>'3.1'!A:A</f>
        <v>46213.40216</v>
      </c>
      <c r="B43" s="1" t="str">
        <f>'3.1'!B:B</f>
        <v>bnco1073@signalschool.ac.th</v>
      </c>
      <c r="C43" s="1" t="str">
        <f>'3.1'!C:C</f>
        <v>พ.ต. ไมตรี  บุญเหลื่อม</v>
      </c>
      <c r="D43" s="9">
        <v>1.0</v>
      </c>
      <c r="E43" s="10">
        <f>IFERROR(vlookup('3.1'!D:D,lookup!$A$2:$B$4,2,false),0)</f>
        <v>5</v>
      </c>
      <c r="F43" s="10">
        <f>IFERROR(vlookup('3.1'!E:E,lookup!$A$6:$B$8,2,false),0)</f>
        <v>5</v>
      </c>
      <c r="G43" s="10">
        <f>IFERROR(vlookup('3.1'!F:F,lookup!$A$10:$B$12,2,false),0)</f>
        <v>5</v>
      </c>
      <c r="H43" s="10">
        <f>IFERROR(vlookup('3.1'!G:G,lookup!$A$14:$B$16,2,false),0)</f>
        <v>5</v>
      </c>
      <c r="I43" s="10">
        <f>IFERROR(vlookup('3.1'!H:H,lookup!$A$18:$B$20,2,false),0)</f>
        <v>5</v>
      </c>
      <c r="J43" s="10">
        <f>IFERROR(vlookup('3.1'!I:I,lookup!$A$22:$B$24,2,false),0)</f>
        <v>5</v>
      </c>
      <c r="K43" s="10">
        <f>IFERROR(vlookup('3.1'!J:J,lookup!$A$26:$B$28,2,false),0)</f>
        <v>5</v>
      </c>
      <c r="L43" s="1"/>
      <c r="M43" s="10">
        <v>42.0</v>
      </c>
      <c r="N43" s="11" t="str">
        <f t="shared" si="1"/>
        <v>bnco1042@signalschool.ac.th</v>
      </c>
      <c r="O43" s="12">
        <f t="shared" si="2"/>
        <v>1</v>
      </c>
      <c r="R43" s="6" t="s">
        <v>256</v>
      </c>
    </row>
    <row r="44">
      <c r="A44" s="8">
        <f>'3.1'!A:A</f>
        <v>46213.40228</v>
      </c>
      <c r="B44" s="1" t="str">
        <f>'3.1'!B:B</f>
        <v>bnco1012@signalschool.ac.th</v>
      </c>
      <c r="C44" s="1" t="str">
        <f>'3.1'!C:C</f>
        <v>ส.อ.ทนงศักดิ์  ยุงรัมย์</v>
      </c>
      <c r="D44" s="9">
        <v>1.0</v>
      </c>
      <c r="E44" s="10">
        <f>IFERROR(vlookup('3.1'!D:D,lookup!$A$2:$B$4,2,false),0)</f>
        <v>5</v>
      </c>
      <c r="F44" s="10">
        <f>IFERROR(vlookup('3.1'!E:E,lookup!$A$6:$B$8,2,false),0)</f>
        <v>5</v>
      </c>
      <c r="G44" s="10">
        <f>IFERROR(vlookup('3.1'!F:F,lookup!$A$10:$B$12,2,false),0)</f>
        <v>5</v>
      </c>
      <c r="H44" s="10">
        <f>IFERROR(vlookup('3.1'!G:G,lookup!$A$14:$B$16,2,false),0)</f>
        <v>5</v>
      </c>
      <c r="I44" s="10">
        <f>IFERROR(vlookup('3.1'!H:H,lookup!$A$18:$B$20,2,false),0)</f>
        <v>5</v>
      </c>
      <c r="J44" s="10">
        <f>IFERROR(vlookup('3.1'!I:I,lookup!$A$22:$B$24,2,false),0)</f>
        <v>5</v>
      </c>
      <c r="K44" s="10">
        <f>IFERROR(vlookup('3.1'!J:J,lookup!$A$26:$B$28,2,false),0)</f>
        <v>5</v>
      </c>
      <c r="L44" s="1"/>
      <c r="M44" s="10">
        <v>43.0</v>
      </c>
      <c r="N44" s="11" t="str">
        <f t="shared" si="1"/>
        <v>bnco1043@signalschool.ac.th</v>
      </c>
      <c r="O44" s="12">
        <f t="shared" si="2"/>
        <v>1</v>
      </c>
      <c r="R44" s="6" t="s">
        <v>257</v>
      </c>
    </row>
    <row r="45">
      <c r="A45" s="8">
        <f>'3.1'!A:A</f>
        <v>46213.40264</v>
      </c>
      <c r="B45" s="1" t="str">
        <f>'3.1'!B:B</f>
        <v>bnco1060@signalschool.ac.th</v>
      </c>
      <c r="C45" s="1" t="str">
        <f>'3.1'!C:C</f>
        <v>พันตรี ไมตรี บุญเหลื่อม</v>
      </c>
      <c r="D45" s="9">
        <v>1.0</v>
      </c>
      <c r="E45" s="10">
        <f>IFERROR(vlookup('3.1'!D:D,lookup!$A$2:$B$4,2,false),0)</f>
        <v>5</v>
      </c>
      <c r="F45" s="10">
        <f>IFERROR(vlookup('3.1'!E:E,lookup!$A$6:$B$8,2,false),0)</f>
        <v>5</v>
      </c>
      <c r="G45" s="10">
        <f>IFERROR(vlookup('3.1'!F:F,lookup!$A$10:$B$12,2,false),0)</f>
        <v>5</v>
      </c>
      <c r="H45" s="10">
        <f>IFERROR(vlookup('3.1'!G:G,lookup!$A$14:$B$16,2,false),0)</f>
        <v>5</v>
      </c>
      <c r="I45" s="10">
        <f>IFERROR(vlookup('3.1'!H:H,lookup!$A$18:$B$20,2,false),0)</f>
        <v>5</v>
      </c>
      <c r="J45" s="10">
        <f>IFERROR(vlookup('3.1'!I:I,lookup!$A$22:$B$24,2,false),0)</f>
        <v>5</v>
      </c>
      <c r="K45" s="10">
        <f>IFERROR(vlookup('3.1'!J:J,lookup!$A$26:$B$28,2,false),0)</f>
        <v>5</v>
      </c>
      <c r="L45" s="1"/>
      <c r="M45" s="10">
        <v>44.0</v>
      </c>
      <c r="N45" s="11" t="str">
        <f t="shared" si="1"/>
        <v>bnco1044@signalschool.ac.th</v>
      </c>
      <c r="O45" s="12">
        <f t="shared" si="2"/>
        <v>1</v>
      </c>
      <c r="R45" s="6" t="s">
        <v>258</v>
      </c>
    </row>
    <row r="46">
      <c r="A46" s="8">
        <f>'3.1'!A:A</f>
        <v>46213.40289</v>
      </c>
      <c r="B46" s="1" t="str">
        <f>'3.1'!B:B</f>
        <v>bnco1072@signalschool.ac.th</v>
      </c>
      <c r="C46" s="1" t="str">
        <f>'3.1'!C:C</f>
        <v>พ.ต.ไมตรี บุญเหลื่อม</v>
      </c>
      <c r="D46" s="9">
        <v>1.0</v>
      </c>
      <c r="E46" s="10">
        <f>IFERROR(vlookup('3.1'!D:D,lookup!$A$2:$B$4,2,false),0)</f>
        <v>5</v>
      </c>
      <c r="F46" s="10">
        <f>IFERROR(vlookup('3.1'!E:E,lookup!$A$6:$B$8,2,false),0)</f>
        <v>5</v>
      </c>
      <c r="G46" s="10">
        <f>IFERROR(vlookup('3.1'!F:F,lookup!$A$10:$B$12,2,false),0)</f>
        <v>5</v>
      </c>
      <c r="H46" s="10">
        <f>IFERROR(vlookup('3.1'!G:G,lookup!$A$14:$B$16,2,false),0)</f>
        <v>5</v>
      </c>
      <c r="I46" s="10">
        <f>IFERROR(vlookup('3.1'!H:H,lookup!$A$18:$B$20,2,false),0)</f>
        <v>5</v>
      </c>
      <c r="J46" s="10">
        <f>IFERROR(vlookup('3.1'!I:I,lookup!$A$22:$B$24,2,false),0)</f>
        <v>5</v>
      </c>
      <c r="K46" s="10">
        <f>IFERROR(vlookup('3.1'!J:J,lookup!$A$26:$B$28,2,false),0)</f>
        <v>5</v>
      </c>
      <c r="L46" s="1"/>
      <c r="M46" s="10">
        <v>45.0</v>
      </c>
      <c r="N46" s="11" t="str">
        <f t="shared" si="1"/>
        <v>bnco1045@signalschool.ac.th</v>
      </c>
      <c r="O46" s="12">
        <f t="shared" si="2"/>
        <v>1</v>
      </c>
      <c r="R46" s="6" t="s">
        <v>259</v>
      </c>
    </row>
    <row r="47">
      <c r="A47" s="8">
        <f>'3.1'!A:A</f>
        <v>46213.4036</v>
      </c>
      <c r="B47" s="1" t="str">
        <f>'3.1'!B:B</f>
        <v>bnco1067@signalschool.ac.th</v>
      </c>
      <c r="C47" s="1" t="str">
        <f>'3.1'!C:C</f>
        <v>พ.ต.ไมตรี บุญเหลื่อม</v>
      </c>
      <c r="D47" s="9">
        <v>1.0</v>
      </c>
      <c r="E47" s="10">
        <f>IFERROR(vlookup('3.1'!D:D,lookup!$A$2:$B$4,2,false),0)</f>
        <v>5</v>
      </c>
      <c r="F47" s="10">
        <f>IFERROR(vlookup('3.1'!E:E,lookup!$A$6:$B$8,2,false),0)</f>
        <v>5</v>
      </c>
      <c r="G47" s="10">
        <f>IFERROR(vlookup('3.1'!F:F,lookup!$A$10:$B$12,2,false),0)</f>
        <v>5</v>
      </c>
      <c r="H47" s="10">
        <f>IFERROR(vlookup('3.1'!G:G,lookup!$A$14:$B$16,2,false),0)</f>
        <v>5</v>
      </c>
      <c r="I47" s="10">
        <f>IFERROR(vlookup('3.1'!H:H,lookup!$A$18:$B$20,2,false),0)</f>
        <v>5</v>
      </c>
      <c r="J47" s="10">
        <f>IFERROR(vlookup('3.1'!I:I,lookup!$A$22:$B$24,2,false),0)</f>
        <v>5</v>
      </c>
      <c r="K47" s="10">
        <f>IFERROR(vlookup('3.1'!J:J,lookup!$A$26:$B$28,2,false),0)</f>
        <v>5</v>
      </c>
      <c r="L47" s="1"/>
      <c r="M47" s="10">
        <v>46.0</v>
      </c>
      <c r="N47" s="11" t="str">
        <f t="shared" si="1"/>
        <v>bnco1046@signalschool.ac.th</v>
      </c>
      <c r="O47" s="12">
        <f t="shared" si="2"/>
        <v>1</v>
      </c>
      <c r="R47" s="6" t="s">
        <v>260</v>
      </c>
    </row>
    <row r="48">
      <c r="A48" s="8">
        <f>'3.1'!A:A</f>
        <v>46213.40434</v>
      </c>
      <c r="B48" s="1" t="str">
        <f>'3.1'!B:B</f>
        <v>bnco1080@signalschool.ac.th</v>
      </c>
      <c r="C48" s="1" t="str">
        <f>'3.1'!C:C</f>
        <v>พ.ต.ไมตรี  บุญเหลื่ยม</v>
      </c>
      <c r="D48" s="9">
        <v>1.0</v>
      </c>
      <c r="E48" s="10">
        <f>IFERROR(vlookup('3.1'!D:D,lookup!$A$2:$B$4,2,false),0)</f>
        <v>5</v>
      </c>
      <c r="F48" s="10">
        <f>IFERROR(vlookup('3.1'!E:E,lookup!$A$6:$B$8,2,false),0)</f>
        <v>5</v>
      </c>
      <c r="G48" s="10">
        <f>IFERROR(vlookup('3.1'!F:F,lookup!$A$10:$B$12,2,false),0)</f>
        <v>5</v>
      </c>
      <c r="H48" s="10">
        <f>IFERROR(vlookup('3.1'!G:G,lookup!$A$14:$B$16,2,false),0)</f>
        <v>5</v>
      </c>
      <c r="I48" s="10">
        <f>IFERROR(vlookup('3.1'!H:H,lookup!$A$18:$B$20,2,false),0)</f>
        <v>5</v>
      </c>
      <c r="J48" s="10">
        <f>IFERROR(vlookup('3.1'!I:I,lookup!$A$22:$B$24,2,false),0)</f>
        <v>5</v>
      </c>
      <c r="K48" s="10">
        <f>IFERROR(vlookup('3.1'!J:J,lookup!$A$26:$B$28,2,false),0)</f>
        <v>5</v>
      </c>
      <c r="L48" s="1"/>
      <c r="M48" s="10">
        <v>47.0</v>
      </c>
      <c r="N48" s="11" t="str">
        <f t="shared" si="1"/>
        <v>bnco1047@signalschool.ac.th</v>
      </c>
      <c r="O48" s="12">
        <f t="shared" si="2"/>
        <v>1</v>
      </c>
      <c r="R48" s="6" t="s">
        <v>261</v>
      </c>
    </row>
    <row r="49">
      <c r="A49" s="8">
        <f>'3.1'!A:A</f>
        <v>46213.4046</v>
      </c>
      <c r="B49" s="1" t="str">
        <f>'3.1'!B:B</f>
        <v>bnco1052@signalschool.ac.th</v>
      </c>
      <c r="C49" s="1" t="str">
        <f>'3.1'!C:C</f>
        <v>พ.ต. ไมตรี  บุญเหลื่อม</v>
      </c>
      <c r="D49" s="9">
        <v>1.0</v>
      </c>
      <c r="E49" s="10">
        <f>IFERROR(vlookup('3.1'!D:D,lookup!$A$2:$B$4,2,false),0)</f>
        <v>5</v>
      </c>
      <c r="F49" s="10">
        <f>IFERROR(vlookup('3.1'!E:E,lookup!$A$6:$B$8,2,false),0)</f>
        <v>5</v>
      </c>
      <c r="G49" s="10">
        <f>IFERROR(vlookup('3.1'!F:F,lookup!$A$10:$B$12,2,false),0)</f>
        <v>5</v>
      </c>
      <c r="H49" s="10">
        <f>IFERROR(vlookup('3.1'!G:G,lookup!$A$14:$B$16,2,false),0)</f>
        <v>5</v>
      </c>
      <c r="I49" s="10">
        <f>IFERROR(vlookup('3.1'!H:H,lookup!$A$18:$B$20,2,false),0)</f>
        <v>5</v>
      </c>
      <c r="J49" s="10">
        <f>IFERROR(vlookup('3.1'!I:I,lookup!$A$22:$B$24,2,false),0)</f>
        <v>5</v>
      </c>
      <c r="K49" s="10">
        <f>IFERROR(vlookup('3.1'!J:J,lookup!$A$26:$B$28,2,false),0)</f>
        <v>5</v>
      </c>
      <c r="L49" s="1"/>
      <c r="M49" s="10">
        <v>48.0</v>
      </c>
      <c r="N49" s="11" t="str">
        <f t="shared" si="1"/>
        <v>bnco1048@signalschool.ac.th</v>
      </c>
      <c r="O49" s="12">
        <f t="shared" si="2"/>
        <v>1</v>
      </c>
      <c r="R49" s="6" t="s">
        <v>262</v>
      </c>
    </row>
    <row r="50">
      <c r="A50" s="8">
        <f>'3.1'!A:A</f>
        <v>46213.40481</v>
      </c>
      <c r="B50" s="1" t="str">
        <f>'3.1'!B:B</f>
        <v>bnco1063@signalschool.ac.th</v>
      </c>
      <c r="C50" s="1" t="str">
        <f>'3.1'!C:C</f>
        <v>พ.ต.ไมตรี บุญเหลื่อม</v>
      </c>
      <c r="D50" s="9">
        <v>1.0</v>
      </c>
      <c r="E50" s="10">
        <f>IFERROR(vlookup('3.1'!D:D,lookup!$A$2:$B$4,2,false),0)</f>
        <v>5</v>
      </c>
      <c r="F50" s="10">
        <f>IFERROR(vlookup('3.1'!E:E,lookup!$A$6:$B$8,2,false),0)</f>
        <v>5</v>
      </c>
      <c r="G50" s="10">
        <f>IFERROR(vlookup('3.1'!F:F,lookup!$A$10:$B$12,2,false),0)</f>
        <v>5</v>
      </c>
      <c r="H50" s="10">
        <f>IFERROR(vlookup('3.1'!G:G,lookup!$A$14:$B$16,2,false),0)</f>
        <v>5</v>
      </c>
      <c r="I50" s="10">
        <f>IFERROR(vlookup('3.1'!H:H,lookup!$A$18:$B$20,2,false),0)</f>
        <v>5</v>
      </c>
      <c r="J50" s="10">
        <f>IFERROR(vlookup('3.1'!I:I,lookup!$A$22:$B$24,2,false),0)</f>
        <v>5</v>
      </c>
      <c r="K50" s="10">
        <f>IFERROR(vlookup('3.1'!J:J,lookup!$A$26:$B$28,2,false),0)</f>
        <v>5</v>
      </c>
      <c r="L50" s="1"/>
      <c r="M50" s="10">
        <v>49.0</v>
      </c>
      <c r="N50" s="11" t="str">
        <f t="shared" si="1"/>
        <v>bnco1049@signalschool.ac.th</v>
      </c>
      <c r="O50" s="12">
        <f t="shared" si="2"/>
        <v>1</v>
      </c>
      <c r="R50" s="6" t="s">
        <v>263</v>
      </c>
    </row>
    <row r="51">
      <c r="A51" s="8">
        <f>'3.1'!A:A</f>
        <v>46213.4055</v>
      </c>
      <c r="B51" s="1" t="str">
        <f>'3.1'!B:B</f>
        <v>bnco1050@signalschool.ac.th</v>
      </c>
      <c r="C51" s="1" t="str">
        <f>'3.1'!C:C</f>
        <v>พ.ต.ไมตรี บุญเหลื่อม</v>
      </c>
      <c r="D51" s="9">
        <v>1.0</v>
      </c>
      <c r="E51" s="10">
        <f>IFERROR(vlookup('3.1'!D:D,lookup!$A$2:$B$4,2,false),0)</f>
        <v>5</v>
      </c>
      <c r="F51" s="10">
        <f>IFERROR(vlookup('3.1'!E:E,lookup!$A$6:$B$8,2,false),0)</f>
        <v>5</v>
      </c>
      <c r="G51" s="10">
        <f>IFERROR(vlookup('3.1'!F:F,lookup!$A$10:$B$12,2,false),0)</f>
        <v>5</v>
      </c>
      <c r="H51" s="10">
        <f>IFERROR(vlookup('3.1'!G:G,lookup!$A$14:$B$16,2,false),0)</f>
        <v>5</v>
      </c>
      <c r="I51" s="10">
        <f>IFERROR(vlookup('3.1'!H:H,lookup!$A$18:$B$20,2,false),0)</f>
        <v>5</v>
      </c>
      <c r="J51" s="10">
        <f>IFERROR(vlookup('3.1'!I:I,lookup!$A$22:$B$24,2,false),0)</f>
        <v>5</v>
      </c>
      <c r="K51" s="10">
        <f>IFERROR(vlookup('3.1'!J:J,lookup!$A$26:$B$28,2,false),0)</f>
        <v>5</v>
      </c>
      <c r="L51" s="1"/>
      <c r="M51" s="10">
        <v>50.0</v>
      </c>
      <c r="N51" s="11" t="str">
        <f t="shared" si="1"/>
        <v>bnco1050@signalschool.ac.th</v>
      </c>
      <c r="O51" s="12">
        <f t="shared" si="2"/>
        <v>1</v>
      </c>
      <c r="R51" s="6" t="s">
        <v>264</v>
      </c>
    </row>
    <row r="52">
      <c r="A52" s="8">
        <f>'3.1'!A:A</f>
        <v>46213.4066</v>
      </c>
      <c r="B52" s="1" t="str">
        <f>'3.1'!B:B</f>
        <v>bnco1037@signalschool.ac.th</v>
      </c>
      <c r="C52" s="1" t="str">
        <f>'3.1'!C:C</f>
        <v>ส.อ.ตรีทศพล สุขวัฒนา</v>
      </c>
      <c r="D52" s="9">
        <v>1.0</v>
      </c>
      <c r="E52" s="10">
        <f>IFERROR(vlookup('3.1'!D:D,lookup!$A$2:$B$4,2,false),0)</f>
        <v>5</v>
      </c>
      <c r="F52" s="10">
        <f>IFERROR(vlookup('3.1'!E:E,lookup!$A$6:$B$8,2,false),0)</f>
        <v>5</v>
      </c>
      <c r="G52" s="10">
        <f>IFERROR(vlookup('3.1'!F:F,lookup!$A$10:$B$12,2,false),0)</f>
        <v>5</v>
      </c>
      <c r="H52" s="10">
        <f>IFERROR(vlookup('3.1'!G:G,lookup!$A$14:$B$16,2,false),0)</f>
        <v>5</v>
      </c>
      <c r="I52" s="10">
        <f>IFERROR(vlookup('3.1'!H:H,lookup!$A$18:$B$20,2,false),0)</f>
        <v>5</v>
      </c>
      <c r="J52" s="10">
        <f>IFERROR(vlookup('3.1'!I:I,lookup!$A$22:$B$24,2,false),0)</f>
        <v>5</v>
      </c>
      <c r="K52" s="10">
        <f>IFERROR(vlookup('3.1'!J:J,lookup!$A$26:$B$28,2,false),0)</f>
        <v>5</v>
      </c>
      <c r="L52" s="1"/>
      <c r="M52" s="10">
        <v>51.0</v>
      </c>
      <c r="N52" s="11" t="str">
        <f t="shared" si="1"/>
        <v>bnco1051@signalschool.ac.th</v>
      </c>
      <c r="O52" s="12">
        <f t="shared" si="2"/>
        <v>1</v>
      </c>
      <c r="R52" s="6" t="s">
        <v>265</v>
      </c>
    </row>
    <row r="53">
      <c r="A53" s="8">
        <f>'3.1'!A:A</f>
        <v>46213.40984</v>
      </c>
      <c r="B53" s="1" t="str">
        <f>'3.1'!B:B</f>
        <v>bnco1023@signalschool.ac.th</v>
      </c>
      <c r="C53" s="1" t="str">
        <f>'3.1'!C:C</f>
        <v>23 ส.อ.วีรภัทร ป้อมบุญมี</v>
      </c>
      <c r="D53" s="9">
        <v>1.0</v>
      </c>
      <c r="E53" s="10">
        <f>IFERROR(vlookup('3.1'!D:D,lookup!$A$2:$B$4,2,false),0)</f>
        <v>5</v>
      </c>
      <c r="F53" s="10">
        <f>IFERROR(vlookup('3.1'!E:E,lookup!$A$6:$B$8,2,false),0)</f>
        <v>5</v>
      </c>
      <c r="G53" s="10">
        <f>IFERROR(vlookup('3.1'!F:F,lookup!$A$10:$B$12,2,false),0)</f>
        <v>5</v>
      </c>
      <c r="H53" s="10">
        <f>IFERROR(vlookup('3.1'!G:G,lookup!$A$14:$B$16,2,false),0)</f>
        <v>5</v>
      </c>
      <c r="I53" s="10">
        <f>IFERROR(vlookup('3.1'!H:H,lookup!$A$18:$B$20,2,false),0)</f>
        <v>5</v>
      </c>
      <c r="J53" s="10">
        <f>IFERROR(vlookup('3.1'!I:I,lookup!$A$22:$B$24,2,false),0)</f>
        <v>5</v>
      </c>
      <c r="K53" s="10">
        <f>IFERROR(vlookup('3.1'!J:J,lookup!$A$26:$B$28,2,false),0)</f>
        <v>5</v>
      </c>
      <c r="L53" s="1"/>
      <c r="M53" s="10">
        <v>52.0</v>
      </c>
      <c r="N53" s="11" t="str">
        <f t="shared" si="1"/>
        <v>bnco1052@signalschool.ac.th</v>
      </c>
      <c r="O53" s="12">
        <f t="shared" si="2"/>
        <v>1</v>
      </c>
      <c r="R53" s="6" t="s">
        <v>266</v>
      </c>
    </row>
    <row r="54">
      <c r="A54" s="8">
        <f>'3.1'!A:A</f>
        <v>46213.41138</v>
      </c>
      <c r="B54" s="1" t="str">
        <f>'3.1'!B:B</f>
        <v>bnco1017@signalschool.ac.th</v>
      </c>
      <c r="C54" s="1" t="str">
        <f>'3.1'!C:C</f>
        <v>พ.ต. ไมตรี  บุญเหลื่อม</v>
      </c>
      <c r="D54" s="9">
        <v>1.0</v>
      </c>
      <c r="E54" s="10">
        <f>IFERROR(vlookup('3.1'!D:D,lookup!$A$2:$B$4,2,false),0)</f>
        <v>5</v>
      </c>
      <c r="F54" s="10">
        <f>IFERROR(vlookup('3.1'!E:E,lookup!$A$6:$B$8,2,false),0)</f>
        <v>5</v>
      </c>
      <c r="G54" s="10">
        <f>IFERROR(vlookup('3.1'!F:F,lookup!$A$10:$B$12,2,false),0)</f>
        <v>5</v>
      </c>
      <c r="H54" s="10">
        <f>IFERROR(vlookup('3.1'!G:G,lookup!$A$14:$B$16,2,false),0)</f>
        <v>5</v>
      </c>
      <c r="I54" s="10">
        <f>IFERROR(vlookup('3.1'!H:H,lookup!$A$18:$B$20,2,false),0)</f>
        <v>5</v>
      </c>
      <c r="J54" s="10">
        <f>IFERROR(vlookup('3.1'!I:I,lookup!$A$22:$B$24,2,false),0)</f>
        <v>5</v>
      </c>
      <c r="K54" s="10">
        <f>IFERROR(vlookup('3.1'!J:J,lookup!$A$26:$B$28,2,false),0)</f>
        <v>5</v>
      </c>
      <c r="L54" s="1"/>
      <c r="M54" s="10">
        <v>53.0</v>
      </c>
      <c r="N54" s="11" t="str">
        <f t="shared" si="1"/>
        <v>bnco1053@signalschool.ac.th</v>
      </c>
      <c r="O54" s="12">
        <f t="shared" si="2"/>
        <v>1</v>
      </c>
      <c r="R54" s="6" t="s">
        <v>267</v>
      </c>
    </row>
    <row r="55">
      <c r="A55" s="8">
        <f>'3.1'!A:A</f>
        <v>46213.41161</v>
      </c>
      <c r="B55" s="1" t="str">
        <f>'3.1'!B:B</f>
        <v>bnco1042@signalschool.ac.th</v>
      </c>
      <c r="C55" s="1" t="str">
        <f>'3.1'!C:C</f>
        <v>ส.อ.อภิเษก  แววดี</v>
      </c>
      <c r="D55" s="9">
        <v>1.0</v>
      </c>
      <c r="E55" s="10">
        <f>IFERROR(vlookup('3.1'!D:D,lookup!$A$2:$B$4,2,false),0)</f>
        <v>5</v>
      </c>
      <c r="F55" s="10">
        <f>IFERROR(vlookup('3.1'!E:E,lookup!$A$6:$B$8,2,false),0)</f>
        <v>5</v>
      </c>
      <c r="G55" s="10">
        <f>IFERROR(vlookup('3.1'!F:F,lookup!$A$10:$B$12,2,false),0)</f>
        <v>5</v>
      </c>
      <c r="H55" s="10">
        <f>IFERROR(vlookup('3.1'!G:G,lookup!$A$14:$B$16,2,false),0)</f>
        <v>5</v>
      </c>
      <c r="I55" s="10">
        <f>IFERROR(vlookup('3.1'!H:H,lookup!$A$18:$B$20,2,false),0)</f>
        <v>5</v>
      </c>
      <c r="J55" s="10">
        <f>IFERROR(vlookup('3.1'!I:I,lookup!$A$22:$B$24,2,false),0)</f>
        <v>5</v>
      </c>
      <c r="K55" s="10">
        <f>IFERROR(vlookup('3.1'!J:J,lookup!$A$26:$B$28,2,false),0)</f>
        <v>5</v>
      </c>
      <c r="L55" s="1"/>
      <c r="M55" s="10">
        <v>54.0</v>
      </c>
      <c r="N55" s="11" t="str">
        <f t="shared" si="1"/>
        <v>bnco1054@signalschool.ac.th</v>
      </c>
      <c r="O55" s="12">
        <f t="shared" si="2"/>
        <v>1</v>
      </c>
      <c r="R55" s="6" t="s">
        <v>268</v>
      </c>
    </row>
    <row r="56">
      <c r="A56" s="8">
        <f>'3.1'!A:A</f>
        <v>46213.41246</v>
      </c>
      <c r="B56" s="1" t="str">
        <f>'3.1'!B:B</f>
        <v>bnco1066@signalschool.ac.th</v>
      </c>
      <c r="C56" s="1" t="str">
        <f>'3.1'!C:C</f>
        <v>พ.ต. ไมตรี  บุญเหลื่อม</v>
      </c>
      <c r="D56" s="9">
        <v>1.0</v>
      </c>
      <c r="E56" s="10">
        <f>IFERROR(vlookup('3.1'!D:D,lookup!$A$2:$B$4,2,false),0)</f>
        <v>5</v>
      </c>
      <c r="F56" s="10">
        <f>IFERROR(vlookup('3.1'!E:E,lookup!$A$6:$B$8,2,false),0)</f>
        <v>5</v>
      </c>
      <c r="G56" s="10">
        <f>IFERROR(vlookup('3.1'!F:F,lookup!$A$10:$B$12,2,false),0)</f>
        <v>5</v>
      </c>
      <c r="H56" s="10">
        <f>IFERROR(vlookup('3.1'!G:G,lookup!$A$14:$B$16,2,false),0)</f>
        <v>5</v>
      </c>
      <c r="I56" s="10">
        <f>IFERROR(vlookup('3.1'!H:H,lookup!$A$18:$B$20,2,false),0)</f>
        <v>5</v>
      </c>
      <c r="J56" s="10">
        <f>IFERROR(vlookup('3.1'!I:I,lookup!$A$22:$B$24,2,false),0)</f>
        <v>5</v>
      </c>
      <c r="K56" s="10">
        <f>IFERROR(vlookup('3.1'!J:J,lookup!$A$26:$B$28,2,false),0)</f>
        <v>5</v>
      </c>
      <c r="L56" s="13"/>
      <c r="M56" s="10">
        <v>55.0</v>
      </c>
      <c r="N56" s="11" t="str">
        <f t="shared" si="1"/>
        <v>bnco1055@signalschool.ac.th</v>
      </c>
      <c r="O56" s="12">
        <f t="shared" si="2"/>
        <v>1</v>
      </c>
      <c r="R56" s="6" t="s">
        <v>269</v>
      </c>
    </row>
    <row r="57">
      <c r="A57" s="8">
        <f>'3.1'!A:A</f>
        <v>46213.41663</v>
      </c>
      <c r="B57" s="1" t="str">
        <f>'3.1'!B:B</f>
        <v>bnco1046@signalschool.ac.th</v>
      </c>
      <c r="C57" s="1" t="str">
        <f>'3.1'!C:C</f>
        <v>พ.ต. ไมตรี บุญเหลื่อม</v>
      </c>
      <c r="D57" s="9">
        <v>1.0</v>
      </c>
      <c r="E57" s="10">
        <f>IFERROR(vlookup('3.1'!D:D,lookup!$A$2:$B$4,2,false),0)</f>
        <v>5</v>
      </c>
      <c r="F57" s="10">
        <f>IFERROR(vlookup('3.1'!E:E,lookup!$A$6:$B$8,2,false),0)</f>
        <v>5</v>
      </c>
      <c r="G57" s="10">
        <f>IFERROR(vlookup('3.1'!F:F,lookup!$A$10:$B$12,2,false),0)</f>
        <v>5</v>
      </c>
      <c r="H57" s="10">
        <f>IFERROR(vlookup('3.1'!G:G,lookup!$A$14:$B$16,2,false),0)</f>
        <v>5</v>
      </c>
      <c r="I57" s="10">
        <f>IFERROR(vlookup('3.1'!H:H,lookup!$A$18:$B$20,2,false),0)</f>
        <v>5</v>
      </c>
      <c r="J57" s="10">
        <f>IFERROR(vlookup('3.1'!I:I,lookup!$A$22:$B$24,2,false),0)</f>
        <v>5</v>
      </c>
      <c r="K57" s="10">
        <f>IFERROR(vlookup('3.1'!J:J,lookup!$A$26:$B$28,2,false),0)</f>
        <v>5</v>
      </c>
      <c r="L57" s="13"/>
      <c r="M57" s="10">
        <v>56.0</v>
      </c>
      <c r="N57" s="11" t="str">
        <f t="shared" si="1"/>
        <v>bnco1056@signalschool.ac.th</v>
      </c>
      <c r="O57" s="12">
        <f t="shared" si="2"/>
        <v>1</v>
      </c>
      <c r="R57" s="6" t="s">
        <v>270</v>
      </c>
    </row>
    <row r="58">
      <c r="A58" s="8">
        <f>'3.1'!A:A</f>
        <v>46213.42005</v>
      </c>
      <c r="B58" s="1" t="str">
        <f>'3.1'!B:B</f>
        <v>bnco1031@signalschool.ac.th</v>
      </c>
      <c r="C58" s="1" t="str">
        <f>'3.1'!C:C</f>
        <v>พ.ต. ไมตรี  บุญเหลื่อม</v>
      </c>
      <c r="D58" s="9">
        <v>1.0</v>
      </c>
      <c r="E58" s="10">
        <f>IFERROR(vlookup('3.1'!D:D,lookup!$A$2:$B$4,2,false),0)</f>
        <v>5</v>
      </c>
      <c r="F58" s="10">
        <f>IFERROR(vlookup('3.1'!E:E,lookup!$A$6:$B$8,2,false),0)</f>
        <v>5</v>
      </c>
      <c r="G58" s="10">
        <f>IFERROR(vlookup('3.1'!F:F,lookup!$A$10:$B$12,2,false),0)</f>
        <v>5</v>
      </c>
      <c r="H58" s="10">
        <f>IFERROR(vlookup('3.1'!G:G,lookup!$A$14:$B$16,2,false),0)</f>
        <v>5</v>
      </c>
      <c r="I58" s="10">
        <f>IFERROR(vlookup('3.1'!H:H,lookup!$A$18:$B$20,2,false),0)</f>
        <v>5</v>
      </c>
      <c r="J58" s="10">
        <f>IFERROR(vlookup('3.1'!I:I,lookup!$A$22:$B$24,2,false),0)</f>
        <v>5</v>
      </c>
      <c r="K58" s="10">
        <f>IFERROR(vlookup('3.1'!J:J,lookup!$A$26:$B$28,2,false),0)</f>
        <v>5</v>
      </c>
      <c r="L58" s="13"/>
      <c r="M58" s="10">
        <v>57.0</v>
      </c>
      <c r="N58" s="11" t="str">
        <f t="shared" si="1"/>
        <v>bnco1057@signalschool.ac.th</v>
      </c>
      <c r="O58" s="12">
        <f t="shared" si="2"/>
        <v>1</v>
      </c>
      <c r="R58" s="6" t="s">
        <v>271</v>
      </c>
    </row>
    <row r="59">
      <c r="A59" s="8">
        <f>'3.1'!A:A</f>
        <v>46213.4205</v>
      </c>
      <c r="B59" s="1" t="str">
        <f>'3.1'!B:B</f>
        <v>bnco1076@signalschool.ac.th</v>
      </c>
      <c r="C59" s="1" t="str">
        <f>'3.1'!C:C</f>
        <v>พ.ต. ไมตรี  บุญเหลื่อม</v>
      </c>
      <c r="D59" s="9">
        <v>1.0</v>
      </c>
      <c r="E59" s="10">
        <f>IFERROR(vlookup('3.1'!D:D,lookup!$A$2:$B$4,2,false),0)</f>
        <v>5</v>
      </c>
      <c r="F59" s="10">
        <f>IFERROR(vlookup('3.1'!E:E,lookup!$A$6:$B$8,2,false),0)</f>
        <v>5</v>
      </c>
      <c r="G59" s="10">
        <f>IFERROR(vlookup('3.1'!F:F,lookup!$A$10:$B$12,2,false),0)</f>
        <v>5</v>
      </c>
      <c r="H59" s="10">
        <f>IFERROR(vlookup('3.1'!G:G,lookup!$A$14:$B$16,2,false),0)</f>
        <v>5</v>
      </c>
      <c r="I59" s="10">
        <f>IFERROR(vlookup('3.1'!H:H,lookup!$A$18:$B$20,2,false),0)</f>
        <v>5</v>
      </c>
      <c r="J59" s="10">
        <f>IFERROR(vlookup('3.1'!I:I,lookup!$A$22:$B$24,2,false),0)</f>
        <v>5</v>
      </c>
      <c r="K59" s="10">
        <f>IFERROR(vlookup('3.1'!J:J,lookup!$A$26:$B$28,2,false),0)</f>
        <v>5</v>
      </c>
      <c r="L59" s="14"/>
      <c r="M59" s="10">
        <v>58.0</v>
      </c>
      <c r="N59" s="11" t="str">
        <f t="shared" si="1"/>
        <v>bnco1058@signalschool.ac.th</v>
      </c>
      <c r="O59" s="12">
        <f t="shared" si="2"/>
        <v>1</v>
      </c>
      <c r="R59" s="6" t="s">
        <v>272</v>
      </c>
    </row>
    <row r="60">
      <c r="A60" s="8">
        <f>'3.1'!A:A</f>
        <v>46213.42652</v>
      </c>
      <c r="B60" s="1" t="str">
        <f>'3.1'!B:B</f>
        <v>bnco1054@signalschool.ac.th</v>
      </c>
      <c r="C60" s="1" t="str">
        <f>'3.1'!C:C</f>
        <v>พ.ต.ไมตรี บุญเหลื่อม</v>
      </c>
      <c r="D60" s="9">
        <v>1.0</v>
      </c>
      <c r="E60" s="10">
        <f>IFERROR(vlookup('3.1'!D:D,lookup!$A$2:$B$4,2,false),0)</f>
        <v>5</v>
      </c>
      <c r="F60" s="10">
        <f>IFERROR(vlookup('3.1'!E:E,lookup!$A$6:$B$8,2,false),0)</f>
        <v>5</v>
      </c>
      <c r="G60" s="10">
        <f>IFERROR(vlookup('3.1'!F:F,lookup!$A$10:$B$12,2,false),0)</f>
        <v>5</v>
      </c>
      <c r="H60" s="10">
        <f>IFERROR(vlookup('3.1'!G:G,lookup!$A$14:$B$16,2,false),0)</f>
        <v>5</v>
      </c>
      <c r="I60" s="10">
        <f>IFERROR(vlookup('3.1'!H:H,lookup!$A$18:$B$20,2,false),0)</f>
        <v>5</v>
      </c>
      <c r="J60" s="10">
        <f>IFERROR(vlookup('3.1'!I:I,lookup!$A$22:$B$24,2,false),0)</f>
        <v>3</v>
      </c>
      <c r="K60" s="10">
        <f>IFERROR(vlookup('3.1'!J:J,lookup!$A$26:$B$28,2,false),0)</f>
        <v>3</v>
      </c>
      <c r="L60" s="10"/>
      <c r="M60" s="10">
        <v>59.0</v>
      </c>
      <c r="N60" s="11" t="str">
        <f t="shared" si="1"/>
        <v>bnco1059@signalschool.ac.th</v>
      </c>
      <c r="O60" s="12">
        <f t="shared" si="2"/>
        <v>1</v>
      </c>
      <c r="R60" s="6" t="s">
        <v>273</v>
      </c>
    </row>
    <row r="61">
      <c r="A61" s="8">
        <f>'3.1'!A:A</f>
        <v>46213.42983</v>
      </c>
      <c r="B61" s="1" t="str">
        <f>'3.1'!B:B</f>
        <v>bnco1055@signalschool.ac.th</v>
      </c>
      <c r="C61" s="1" t="str">
        <f>'3.1'!C:C</f>
        <v>พ.ต.ไมตรี บุญเหลื่อม</v>
      </c>
      <c r="D61" s="9">
        <v>1.0</v>
      </c>
      <c r="E61" s="10">
        <f>IFERROR(vlookup('3.1'!D:D,lookup!$A$2:$B$4,2,false),0)</f>
        <v>5</v>
      </c>
      <c r="F61" s="10">
        <f>IFERROR(vlookup('3.1'!E:E,lookup!$A$6:$B$8,2,false),0)</f>
        <v>5</v>
      </c>
      <c r="G61" s="10">
        <f>IFERROR(vlookup('3.1'!F:F,lookup!$A$10:$B$12,2,false),0)</f>
        <v>5</v>
      </c>
      <c r="H61" s="10">
        <f>IFERROR(vlookup('3.1'!G:G,lookup!$A$14:$B$16,2,false),0)</f>
        <v>5</v>
      </c>
      <c r="I61" s="10">
        <f>IFERROR(vlookup('3.1'!H:H,lookup!$A$18:$B$20,2,false),0)</f>
        <v>5</v>
      </c>
      <c r="J61" s="10">
        <f>IFERROR(vlookup('3.1'!I:I,lookup!$A$22:$B$24,2,false),0)</f>
        <v>5</v>
      </c>
      <c r="K61" s="10">
        <f>IFERROR(vlookup('3.1'!J:J,lookup!$A$26:$B$28,2,false),0)</f>
        <v>5</v>
      </c>
      <c r="M61" s="10">
        <v>60.0</v>
      </c>
      <c r="N61" s="11" t="str">
        <f t="shared" si="1"/>
        <v>bnco1060@signalschool.ac.th</v>
      </c>
      <c r="O61" s="12">
        <f t="shared" si="2"/>
        <v>1</v>
      </c>
      <c r="R61" s="6" t="s">
        <v>274</v>
      </c>
    </row>
    <row r="62">
      <c r="A62" s="8">
        <f>'3.1'!A:A</f>
        <v>46213.43122</v>
      </c>
      <c r="B62" s="1" t="str">
        <f>'3.1'!B:B</f>
        <v>bnco1030@signalschool.ac.th</v>
      </c>
      <c r="C62" s="1" t="str">
        <f>'3.1'!C:C</f>
        <v>พ.ต.ไมตรี บุญเหลื่อม</v>
      </c>
      <c r="D62" s="9">
        <v>1.0</v>
      </c>
      <c r="E62" s="10">
        <f>IFERROR(vlookup('3.1'!D:D,lookup!$A$2:$B$4,2,false),0)</f>
        <v>5</v>
      </c>
      <c r="F62" s="10">
        <f>IFERROR(vlookup('3.1'!E:E,lookup!$A$6:$B$8,2,false),0)</f>
        <v>5</v>
      </c>
      <c r="G62" s="10">
        <f>IFERROR(vlookup('3.1'!F:F,lookup!$A$10:$B$12,2,false),0)</f>
        <v>5</v>
      </c>
      <c r="H62" s="10">
        <f>IFERROR(vlookup('3.1'!G:G,lookup!$A$14:$B$16,2,false),0)</f>
        <v>5</v>
      </c>
      <c r="I62" s="10">
        <f>IFERROR(vlookup('3.1'!H:H,lookup!$A$18:$B$20,2,false),0)</f>
        <v>5</v>
      </c>
      <c r="J62" s="10">
        <f>IFERROR(vlookup('3.1'!I:I,lookup!$A$22:$B$24,2,false),0)</f>
        <v>5</v>
      </c>
      <c r="K62" s="10">
        <f>IFERROR(vlookup('3.1'!J:J,lookup!$A$26:$B$28,2,false),0)</f>
        <v>5</v>
      </c>
      <c r="M62" s="10">
        <v>61.0</v>
      </c>
      <c r="N62" s="11" t="str">
        <f t="shared" si="1"/>
        <v>bnco1061@signalschool.ac.th</v>
      </c>
      <c r="O62" s="12">
        <f t="shared" si="2"/>
        <v>1</v>
      </c>
      <c r="R62" s="6" t="s">
        <v>275</v>
      </c>
    </row>
    <row r="63">
      <c r="A63" s="8">
        <f>'3.1'!A:A</f>
        <v>46213.43161</v>
      </c>
      <c r="B63" s="1" t="str">
        <f>'3.1'!B:B</f>
        <v>bnco1010@signalschool.ac.th</v>
      </c>
      <c r="C63" s="1" t="str">
        <f>'3.1'!C:C</f>
        <v>พ.ต. ไมตรี  บุญเหลื่อม</v>
      </c>
      <c r="D63" s="9">
        <v>1.0</v>
      </c>
      <c r="E63" s="10">
        <f>IFERROR(vlookup('3.1'!D:D,lookup!$A$2:$B$4,2,false),0)</f>
        <v>5</v>
      </c>
      <c r="F63" s="10">
        <f>IFERROR(vlookup('3.1'!E:E,lookup!$A$6:$B$8,2,false),0)</f>
        <v>5</v>
      </c>
      <c r="G63" s="10">
        <f>IFERROR(vlookup('3.1'!F:F,lookup!$A$10:$B$12,2,false),0)</f>
        <v>5</v>
      </c>
      <c r="H63" s="10">
        <f>IFERROR(vlookup('3.1'!G:G,lookup!$A$14:$B$16,2,false),0)</f>
        <v>5</v>
      </c>
      <c r="I63" s="10">
        <f>IFERROR(vlookup('3.1'!H:H,lookup!$A$18:$B$20,2,false),0)</f>
        <v>5</v>
      </c>
      <c r="J63" s="10">
        <f>IFERROR(vlookup('3.1'!I:I,lookup!$A$22:$B$24,2,false),0)</f>
        <v>5</v>
      </c>
      <c r="K63" s="10">
        <f>IFERROR(vlookup('3.1'!J:J,lookup!$A$26:$B$28,2,false),0)</f>
        <v>5</v>
      </c>
      <c r="M63" s="10">
        <v>62.0</v>
      </c>
      <c r="N63" s="11" t="str">
        <f t="shared" si="1"/>
        <v>bnco1062@signalschool.ac.th</v>
      </c>
      <c r="O63" s="12">
        <f t="shared" si="2"/>
        <v>1</v>
      </c>
      <c r="R63" s="6" t="s">
        <v>276</v>
      </c>
    </row>
    <row r="64">
      <c r="A64" s="8">
        <f>'3.1'!A:A</f>
        <v>46213.45235</v>
      </c>
      <c r="B64" s="1" t="str">
        <f>'3.1'!B:B</f>
        <v>bnco1048@signalschool.ac.th</v>
      </c>
      <c r="C64" s="1" t="str">
        <f>'3.1'!C:C</f>
        <v>พ.ต. ไมตรี  บุญเหลื่อม</v>
      </c>
      <c r="D64" s="9">
        <v>1.0</v>
      </c>
      <c r="E64" s="10">
        <f>IFERROR(vlookup('3.1'!D:D,lookup!$A$2:$B$4,2,false),0)</f>
        <v>5</v>
      </c>
      <c r="F64" s="10">
        <f>IFERROR(vlookup('3.1'!E:E,lookup!$A$6:$B$8,2,false),0)</f>
        <v>5</v>
      </c>
      <c r="G64" s="10">
        <f>IFERROR(vlookup('3.1'!F:F,lookup!$A$10:$B$12,2,false),0)</f>
        <v>5</v>
      </c>
      <c r="H64" s="10">
        <f>IFERROR(vlookup('3.1'!G:G,lookup!$A$14:$B$16,2,false),0)</f>
        <v>5</v>
      </c>
      <c r="I64" s="10">
        <f>IFERROR(vlookup('3.1'!H:H,lookup!$A$18:$B$20,2,false),0)</f>
        <v>5</v>
      </c>
      <c r="J64" s="10">
        <f>IFERROR(vlookup('3.1'!I:I,lookup!$A$22:$B$24,2,false),0)</f>
        <v>5</v>
      </c>
      <c r="K64" s="10">
        <f>IFERROR(vlookup('3.1'!J:J,lookup!$A$26:$B$28,2,false),0)</f>
        <v>5</v>
      </c>
      <c r="M64" s="10">
        <v>63.0</v>
      </c>
      <c r="N64" s="11" t="str">
        <f t="shared" si="1"/>
        <v>bnco1063@signalschool.ac.th</v>
      </c>
      <c r="O64" s="12">
        <f t="shared" si="2"/>
        <v>1</v>
      </c>
      <c r="R64" s="6" t="s">
        <v>277</v>
      </c>
    </row>
    <row r="65">
      <c r="A65" s="8">
        <f>'3.1'!A:A</f>
        <v>46213.48925</v>
      </c>
      <c r="B65" s="1" t="str">
        <f>'3.1'!B:B</f>
        <v>bnco1014@signalschool.ac.th</v>
      </c>
      <c r="C65" s="1" t="str">
        <f>'3.1'!C:C</f>
        <v>ส.อ. พงษ์พิสิทธิ์ สุธาทัศน์</v>
      </c>
      <c r="D65" s="9">
        <v>1.0</v>
      </c>
      <c r="E65" s="10">
        <f>IFERROR(vlookup('3.1'!D:D,lookup!$A$2:$B$4,2,false),0)</f>
        <v>5</v>
      </c>
      <c r="F65" s="10">
        <f>IFERROR(vlookup('3.1'!E:E,lookup!$A$6:$B$8,2,false),0)</f>
        <v>5</v>
      </c>
      <c r="G65" s="10">
        <f>IFERROR(vlookup('3.1'!F:F,lookup!$A$10:$B$12,2,false),0)</f>
        <v>5</v>
      </c>
      <c r="H65" s="10">
        <f>IFERROR(vlookup('3.1'!G:G,lookup!$A$14:$B$16,2,false),0)</f>
        <v>5</v>
      </c>
      <c r="I65" s="10">
        <f>IFERROR(vlookup('3.1'!H:H,lookup!$A$18:$B$20,2,false),0)</f>
        <v>5</v>
      </c>
      <c r="J65" s="10">
        <f>IFERROR(vlookup('3.1'!I:I,lookup!$A$22:$B$24,2,false),0)</f>
        <v>5</v>
      </c>
      <c r="K65" s="10">
        <f>IFERROR(vlookup('3.1'!J:J,lookup!$A$26:$B$28,2,false),0)</f>
        <v>5</v>
      </c>
      <c r="M65" s="10">
        <v>64.0</v>
      </c>
      <c r="N65" s="11" t="str">
        <f t="shared" si="1"/>
        <v>bnco1064@signalschool.ac.th</v>
      </c>
      <c r="O65" s="12">
        <f t="shared" si="2"/>
        <v>1</v>
      </c>
      <c r="R65" s="6" t="s">
        <v>278</v>
      </c>
    </row>
    <row r="66">
      <c r="A66" s="8">
        <f>'3.1'!A:A</f>
        <v>46213.50007</v>
      </c>
      <c r="B66" s="1" t="str">
        <f>'3.1'!B:B</f>
        <v>bnco1020@signalschool.ac.th</v>
      </c>
      <c r="C66" s="1" t="str">
        <f>'3.1'!C:C</f>
        <v>พ.ต. ไมตรี  บุญเหลื่อม</v>
      </c>
      <c r="D66" s="9">
        <v>1.0</v>
      </c>
      <c r="E66" s="10">
        <f>IFERROR(vlookup('3.1'!D:D,lookup!$A$2:$B$4,2,false),0)</f>
        <v>5</v>
      </c>
      <c r="F66" s="10">
        <f>IFERROR(vlookup('3.1'!E:E,lookup!$A$6:$B$8,2,false),0)</f>
        <v>5</v>
      </c>
      <c r="G66" s="10">
        <f>IFERROR(vlookup('3.1'!F:F,lookup!$A$10:$B$12,2,false),0)</f>
        <v>5</v>
      </c>
      <c r="H66" s="10">
        <f>IFERROR(vlookup('3.1'!G:G,lookup!$A$14:$B$16,2,false),0)</f>
        <v>5</v>
      </c>
      <c r="I66" s="10">
        <f>IFERROR(vlookup('3.1'!H:H,lookup!$A$18:$B$20,2,false),0)</f>
        <v>5</v>
      </c>
      <c r="J66" s="10">
        <f>IFERROR(vlookup('3.1'!I:I,lookup!$A$22:$B$24,2,false),0)</f>
        <v>5</v>
      </c>
      <c r="K66" s="10">
        <f>IFERROR(vlookup('3.1'!J:J,lookup!$A$26:$B$28,2,false),0)</f>
        <v>5</v>
      </c>
      <c r="M66" s="10">
        <v>65.0</v>
      </c>
      <c r="N66" s="11" t="str">
        <f t="shared" si="1"/>
        <v>bnco1065@signalschool.ac.th</v>
      </c>
      <c r="O66" s="12">
        <f t="shared" si="2"/>
        <v>0</v>
      </c>
      <c r="R66" s="6" t="s">
        <v>279</v>
      </c>
    </row>
    <row r="67">
      <c r="A67" s="8">
        <f>'3.1'!A:A</f>
        <v>46213.51269</v>
      </c>
      <c r="B67" s="1" t="str">
        <f>'3.1'!B:B</f>
        <v>bnco1021@signalschool.ac.th</v>
      </c>
      <c r="C67" s="1" t="str">
        <f>'3.1'!C:C</f>
        <v>พ.ต. ไมตรี  บุญเหลื่อม</v>
      </c>
      <c r="D67" s="9">
        <v>1.0</v>
      </c>
      <c r="E67" s="10">
        <f>IFERROR(vlookup('3.1'!D:D,lookup!$A$2:$B$4,2,false),0)</f>
        <v>5</v>
      </c>
      <c r="F67" s="10">
        <f>IFERROR(vlookup('3.1'!E:E,lookup!$A$6:$B$8,2,false),0)</f>
        <v>5</v>
      </c>
      <c r="G67" s="10">
        <f>IFERROR(vlookup('3.1'!F:F,lookup!$A$10:$B$12,2,false),0)</f>
        <v>5</v>
      </c>
      <c r="H67" s="10">
        <f>IFERROR(vlookup('3.1'!G:G,lookup!$A$14:$B$16,2,false),0)</f>
        <v>5</v>
      </c>
      <c r="I67" s="10">
        <f>IFERROR(vlookup('3.1'!H:H,lookup!$A$18:$B$20,2,false),0)</f>
        <v>5</v>
      </c>
      <c r="J67" s="10">
        <f>IFERROR(vlookup('3.1'!I:I,lookup!$A$22:$B$24,2,false),0)</f>
        <v>5</v>
      </c>
      <c r="K67" s="10">
        <f>IFERROR(vlookup('3.1'!J:J,lookup!$A$26:$B$28,2,false),0)</f>
        <v>5</v>
      </c>
      <c r="M67" s="10">
        <v>66.0</v>
      </c>
      <c r="N67" s="11" t="str">
        <f t="shared" si="1"/>
        <v>bnco1066@signalschool.ac.th</v>
      </c>
      <c r="O67" s="12">
        <f t="shared" si="2"/>
        <v>1</v>
      </c>
      <c r="R67" s="6" t="s">
        <v>280</v>
      </c>
    </row>
    <row r="68">
      <c r="A68" s="8">
        <f>'3.1'!A:A</f>
        <v>46213.57938</v>
      </c>
      <c r="B68" s="1" t="str">
        <f>'3.1'!B:B</f>
        <v>bnco1070@signalschool.ac.th</v>
      </c>
      <c r="C68" s="1" t="str">
        <f>'3.1'!C:C</f>
        <v>ส.อ.รณกร กุนันท์</v>
      </c>
      <c r="D68" s="9">
        <v>1.0</v>
      </c>
      <c r="E68" s="10">
        <f>IFERROR(vlookup('3.1'!D:D,lookup!$A$2:$B$4,2,false),0)</f>
        <v>3</v>
      </c>
      <c r="F68" s="10">
        <f>IFERROR(vlookup('3.1'!E:E,lookup!$A$6:$B$8,2,false),0)</f>
        <v>5</v>
      </c>
      <c r="G68" s="10">
        <f>IFERROR(vlookup('3.1'!F:F,lookup!$A$10:$B$12,2,false),0)</f>
        <v>5</v>
      </c>
      <c r="H68" s="10">
        <f>IFERROR(vlookup('3.1'!G:G,lookup!$A$14:$B$16,2,false),0)</f>
        <v>5</v>
      </c>
      <c r="I68" s="10">
        <f>IFERROR(vlookup('3.1'!H:H,lookup!$A$18:$B$20,2,false),0)</f>
        <v>5</v>
      </c>
      <c r="J68" s="10">
        <f>IFERROR(vlookup('3.1'!I:I,lookup!$A$22:$B$24,2,false),0)</f>
        <v>5</v>
      </c>
      <c r="K68" s="10">
        <f>IFERROR(vlookup('3.1'!J:J,lookup!$A$26:$B$28,2,false),0)</f>
        <v>5</v>
      </c>
      <c r="M68" s="10">
        <v>67.0</v>
      </c>
      <c r="N68" s="11" t="str">
        <f t="shared" si="1"/>
        <v>bnco1067@signalschool.ac.th</v>
      </c>
      <c r="O68" s="12">
        <f t="shared" si="2"/>
        <v>1</v>
      </c>
      <c r="R68" s="6" t="s">
        <v>281</v>
      </c>
    </row>
    <row r="69">
      <c r="A69" s="8">
        <f>'3.1'!A:A</f>
        <v>46214.47682</v>
      </c>
      <c r="B69" s="1" t="str">
        <f>'3.1'!B:B</f>
        <v>bnco1034@signalschool.ac.th</v>
      </c>
      <c r="C69" s="1" t="str">
        <f>'3.1'!C:C</f>
        <v>ส.อ.ภัคณวัตร ฮวดประสิทธิ์ </v>
      </c>
      <c r="D69" s="9">
        <v>1.0</v>
      </c>
      <c r="E69" s="10">
        <f>IFERROR(vlookup('3.1'!D:D,lookup!$A$2:$B$4,2,false),0)</f>
        <v>5</v>
      </c>
      <c r="F69" s="10">
        <f>IFERROR(vlookup('3.1'!E:E,lookup!$A$6:$B$8,2,false),0)</f>
        <v>5</v>
      </c>
      <c r="G69" s="10">
        <f>IFERROR(vlookup('3.1'!F:F,lookup!$A$10:$B$12,2,false),0)</f>
        <v>5</v>
      </c>
      <c r="H69" s="10">
        <f>IFERROR(vlookup('3.1'!G:G,lookup!$A$14:$B$16,2,false),0)</f>
        <v>5</v>
      </c>
      <c r="I69" s="10">
        <f>IFERROR(vlookup('3.1'!H:H,lookup!$A$18:$B$20,2,false),0)</f>
        <v>5</v>
      </c>
      <c r="J69" s="10">
        <f>IFERROR(vlookup('3.1'!I:I,lookup!$A$22:$B$24,2,false),0)</f>
        <v>5</v>
      </c>
      <c r="K69" s="10">
        <f>IFERROR(vlookup('3.1'!J:J,lookup!$A$26:$B$28,2,false),0)</f>
        <v>5</v>
      </c>
      <c r="M69" s="10">
        <v>68.0</v>
      </c>
      <c r="N69" s="11" t="str">
        <f t="shared" si="1"/>
        <v>bnco1068@signalschool.ac.th</v>
      </c>
      <c r="O69" s="12">
        <f t="shared" si="2"/>
        <v>1</v>
      </c>
      <c r="R69" s="6" t="s">
        <v>282</v>
      </c>
    </row>
    <row r="70">
      <c r="A70" s="8">
        <f>'3.1'!A:A</f>
        <v>46217.99964</v>
      </c>
      <c r="B70" s="1" t="str">
        <f>'3.1'!B:B</f>
        <v>bnco1075@signalschool.ac.th</v>
      </c>
      <c r="C70" s="1" t="str">
        <f>'3.1'!C:C</f>
        <v>พ.ต. ไมตรี  บุญเหลื่อม</v>
      </c>
      <c r="D70" s="9">
        <v>1.0</v>
      </c>
      <c r="E70" s="10">
        <f>IFERROR(vlookup('3.1'!D:D,lookup!$A$2:$B$4,2,false),0)</f>
        <v>5</v>
      </c>
      <c r="F70" s="10">
        <f>IFERROR(vlookup('3.1'!E:E,lookup!$A$6:$B$8,2,false),0)</f>
        <v>5</v>
      </c>
      <c r="G70" s="10">
        <f>IFERROR(vlookup('3.1'!F:F,lookup!$A$10:$B$12,2,false),0)</f>
        <v>5</v>
      </c>
      <c r="H70" s="10">
        <f>IFERROR(vlookup('3.1'!G:G,lookup!$A$14:$B$16,2,false),0)</f>
        <v>5</v>
      </c>
      <c r="I70" s="10">
        <f>IFERROR(vlookup('3.1'!H:H,lookup!$A$18:$B$20,2,false),0)</f>
        <v>5</v>
      </c>
      <c r="J70" s="10">
        <f>IFERROR(vlookup('3.1'!I:I,lookup!$A$22:$B$24,2,false),0)</f>
        <v>5</v>
      </c>
      <c r="K70" s="10">
        <f>IFERROR(vlookup('3.1'!J:J,lookup!$A$26:$B$28,2,false),0)</f>
        <v>5</v>
      </c>
      <c r="M70" s="10">
        <v>69.0</v>
      </c>
      <c r="N70" s="11" t="str">
        <f t="shared" si="1"/>
        <v>bnco1069@signalschool.ac.th</v>
      </c>
      <c r="O70" s="12">
        <f t="shared" si="2"/>
        <v>1</v>
      </c>
      <c r="R70" s="6" t="s">
        <v>283</v>
      </c>
    </row>
    <row r="71">
      <c r="A71" s="8">
        <f>'3.1'!A:A</f>
        <v>46262.43418</v>
      </c>
      <c r="B71" s="1" t="str">
        <f>'3.1'!B:B</f>
        <v>bnco1041@signalschool.ac.th</v>
      </c>
      <c r="C71" s="1" t="str">
        <f>'3.1'!C:C</f>
        <v>พ.ต.ไมตรี บุญเหลื่อม</v>
      </c>
      <c r="D71" s="9">
        <v>1.0</v>
      </c>
      <c r="E71" s="10">
        <f>IFERROR(vlookup('3.1'!D:D,lookup!$A$2:$B$4,2,false),0)</f>
        <v>5</v>
      </c>
      <c r="F71" s="10">
        <f>IFERROR(vlookup('3.1'!E:E,lookup!$A$6:$B$8,2,false),0)</f>
        <v>5</v>
      </c>
      <c r="G71" s="10">
        <f>IFERROR(vlookup('3.1'!F:F,lookup!$A$10:$B$12,2,false),0)</f>
        <v>5</v>
      </c>
      <c r="H71" s="10">
        <f>IFERROR(vlookup('3.1'!G:G,lookup!$A$14:$B$16,2,false),0)</f>
        <v>5</v>
      </c>
      <c r="I71" s="10">
        <f>IFERROR(vlookup('3.1'!H:H,lookup!$A$18:$B$20,2,false),0)</f>
        <v>5</v>
      </c>
      <c r="J71" s="10">
        <f>IFERROR(vlookup('3.1'!I:I,lookup!$A$22:$B$24,2,false),0)</f>
        <v>5</v>
      </c>
      <c r="K71" s="10">
        <f>IFERROR(vlookup('3.1'!J:J,lookup!$A$26:$B$28,2,false),0)</f>
        <v>5</v>
      </c>
      <c r="M71" s="10">
        <v>70.0</v>
      </c>
      <c r="N71" s="11" t="str">
        <f t="shared" si="1"/>
        <v>bnco1070@signalschool.ac.th</v>
      </c>
      <c r="O71" s="12">
        <f t="shared" si="2"/>
        <v>1</v>
      </c>
      <c r="R71" s="6" t="s">
        <v>284</v>
      </c>
    </row>
    <row r="72">
      <c r="A72" s="8">
        <f>'3.1'!A:A</f>
        <v>46262.49034</v>
      </c>
      <c r="B72" s="1" t="str">
        <f>'3.1'!B:B</f>
        <v>bnco1032@signalschool.ac.th</v>
      </c>
      <c r="C72" s="1" t="str">
        <f>'3.1'!C:C</f>
        <v>พ.ต.ไมตรี บุญเหลื่อม</v>
      </c>
      <c r="D72" s="9">
        <v>1.0</v>
      </c>
      <c r="E72" s="10">
        <f>IFERROR(vlookup('3.1'!D:D,lookup!$A$2:$B$4,2,false),0)</f>
        <v>5</v>
      </c>
      <c r="F72" s="10">
        <f>IFERROR(vlookup('3.1'!E:E,lookup!$A$6:$B$8,2,false),0)</f>
        <v>5</v>
      </c>
      <c r="G72" s="10">
        <f>IFERROR(vlookup('3.1'!F:F,lookup!$A$10:$B$12,2,false),0)</f>
        <v>5</v>
      </c>
      <c r="H72" s="10">
        <f>IFERROR(vlookup('3.1'!G:G,lookup!$A$14:$B$16,2,false),0)</f>
        <v>5</v>
      </c>
      <c r="I72" s="10">
        <f>IFERROR(vlookup('3.1'!H:H,lookup!$A$18:$B$20,2,false),0)</f>
        <v>5</v>
      </c>
      <c r="J72" s="10">
        <f>IFERROR(vlookup('3.1'!I:I,lookup!$A$22:$B$24,2,false),0)</f>
        <v>5</v>
      </c>
      <c r="K72" s="10">
        <f>IFERROR(vlookup('3.1'!J:J,lookup!$A$26:$B$28,2,false),0)</f>
        <v>5</v>
      </c>
      <c r="M72" s="10">
        <v>71.0</v>
      </c>
      <c r="N72" s="11" t="str">
        <f t="shared" si="1"/>
        <v>bnco1071@signalschool.ac.th</v>
      </c>
      <c r="O72" s="12">
        <f t="shared" si="2"/>
        <v>1</v>
      </c>
      <c r="R72" s="6" t="s">
        <v>285</v>
      </c>
    </row>
    <row r="73">
      <c r="A73" s="8">
        <f>'3.1'!A:A</f>
        <v>46262.60184</v>
      </c>
      <c r="B73" s="1" t="str">
        <f>'3.1'!B:B</f>
        <v>bnco1045@signalschool.ac.th</v>
      </c>
      <c r="C73" s="1" t="str">
        <f>'3.1'!C:C</f>
        <v>พ.ต.ไมตรี  บุญเหลื่ยม</v>
      </c>
      <c r="D73" s="9">
        <v>1.0</v>
      </c>
      <c r="E73" s="10">
        <f>IFERROR(vlookup('3.1'!D:D,lookup!$A$2:$B$4,2,false),0)</f>
        <v>5</v>
      </c>
      <c r="F73" s="10">
        <f>IFERROR(vlookup('3.1'!E:E,lookup!$A$6:$B$8,2,false),0)</f>
        <v>5</v>
      </c>
      <c r="G73" s="10">
        <f>IFERROR(vlookup('3.1'!F:F,lookup!$A$10:$B$12,2,false),0)</f>
        <v>5</v>
      </c>
      <c r="H73" s="10">
        <f>IFERROR(vlookup('3.1'!G:G,lookup!$A$14:$B$16,2,false),0)</f>
        <v>5</v>
      </c>
      <c r="I73" s="10">
        <f>IFERROR(vlookup('3.1'!H:H,lookup!$A$18:$B$20,2,false),0)</f>
        <v>5</v>
      </c>
      <c r="J73" s="10">
        <f>IFERROR(vlookup('3.1'!I:I,lookup!$A$22:$B$24,2,false),0)</f>
        <v>5</v>
      </c>
      <c r="K73" s="10">
        <f>IFERROR(vlookup('3.1'!J:J,lookup!$A$26:$B$28,2,false),0)</f>
        <v>5</v>
      </c>
      <c r="M73" s="10">
        <v>72.0</v>
      </c>
      <c r="N73" s="11" t="str">
        <f t="shared" si="1"/>
        <v>bnco1072@signalschool.ac.th</v>
      </c>
      <c r="O73" s="12">
        <f t="shared" si="2"/>
        <v>1</v>
      </c>
      <c r="R73" s="6" t="s">
        <v>286</v>
      </c>
    </row>
    <row r="74">
      <c r="A74" s="8">
        <f>'3.1'!A:A</f>
        <v>46264.88182</v>
      </c>
      <c r="B74" s="1" t="str">
        <f>'3.1'!B:B</f>
        <v>edu.rad@signalschool.ac.th</v>
      </c>
      <c r="C74" s="1" t="str">
        <f>'3.1'!C:C</f>
        <v>ครูอาจารย์ รร.ส.สส.</v>
      </c>
      <c r="D74" s="9">
        <v>1.0</v>
      </c>
      <c r="E74" s="10">
        <f>IFERROR(vlookup('3.1'!D:D,lookup!$A$2:$B$4,2,false),0)</f>
        <v>5</v>
      </c>
      <c r="F74" s="10">
        <f>IFERROR(vlookup('3.1'!E:E,lookup!$A$6:$B$8,2,false),0)</f>
        <v>5</v>
      </c>
      <c r="G74" s="10">
        <f>IFERROR(vlookup('3.1'!F:F,lookup!$A$10:$B$12,2,false),0)</f>
        <v>5</v>
      </c>
      <c r="H74" s="10">
        <f>IFERROR(vlookup('3.1'!G:G,lookup!$A$14:$B$16,2,false),0)</f>
        <v>5</v>
      </c>
      <c r="I74" s="10">
        <f>IFERROR(vlookup('3.1'!H:H,lookup!$A$18:$B$20,2,false),0)</f>
        <v>5</v>
      </c>
      <c r="J74" s="10">
        <f>IFERROR(vlookup('3.1'!I:I,lookup!$A$22:$B$24,2,false),0)</f>
        <v>5</v>
      </c>
      <c r="K74" s="10">
        <f>IFERROR(vlookup('3.1'!J:J,lookup!$A$26:$B$28,2,false),0)</f>
        <v>5</v>
      </c>
      <c r="M74" s="10">
        <v>73.0</v>
      </c>
      <c r="N74" s="11" t="str">
        <f t="shared" si="1"/>
        <v>bnco1073@signalschool.ac.th</v>
      </c>
      <c r="O74" s="12">
        <f t="shared" si="2"/>
        <v>1</v>
      </c>
      <c r="R74" s="6" t="s">
        <v>287</v>
      </c>
    </row>
    <row r="75">
      <c r="A75" s="8">
        <f>'3.1'!A:A</f>
        <v>46266.55497</v>
      </c>
      <c r="B75" s="1" t="str">
        <f>'3.1'!B:B</f>
        <v>bnco1004@signalschool.ac.th</v>
      </c>
      <c r="C75" s="1" t="str">
        <f>'3.1'!C:C</f>
        <v>จ่าสิบเอก อนิชิท ธิบมนทรา</v>
      </c>
      <c r="D75" s="9">
        <v>1.0</v>
      </c>
      <c r="E75" s="10">
        <f>IFERROR(vlookup('3.1'!D:D,lookup!$A$2:$B$4,2,false),0)</f>
        <v>3</v>
      </c>
      <c r="F75" s="10">
        <f>IFERROR(vlookup('3.1'!E:E,lookup!$A$6:$B$8,2,false),0)</f>
        <v>3</v>
      </c>
      <c r="G75" s="10">
        <f>IFERROR(vlookup('3.1'!F:F,lookup!$A$10:$B$12,2,false),0)</f>
        <v>3</v>
      </c>
      <c r="H75" s="10">
        <f>IFERROR(vlookup('3.1'!G:G,lookup!$A$14:$B$16,2,false),0)</f>
        <v>3</v>
      </c>
      <c r="I75" s="10">
        <f>IFERROR(vlookup('3.1'!H:H,lookup!$A$18:$B$20,2,false),0)</f>
        <v>3</v>
      </c>
      <c r="J75" s="10">
        <f>IFERROR(vlookup('3.1'!I:I,lookup!$A$22:$B$24,2,false),0)</f>
        <v>3</v>
      </c>
      <c r="K75" s="10">
        <f>IFERROR(vlookup('3.1'!J:J,lookup!$A$26:$B$28,2,false),0)</f>
        <v>3</v>
      </c>
      <c r="M75" s="10">
        <v>74.0</v>
      </c>
      <c r="N75" s="11" t="str">
        <f t="shared" si="1"/>
        <v>bnco1074@signalschool.ac.th</v>
      </c>
      <c r="O75" s="12">
        <f t="shared" si="2"/>
        <v>1</v>
      </c>
      <c r="R75" s="6" t="s">
        <v>288</v>
      </c>
    </row>
    <row r="76">
      <c r="A76" s="8">
        <f>'3.1'!A:A</f>
        <v>46266.68526</v>
      </c>
      <c r="B76" s="1" t="str">
        <f>'3.1'!B:B</f>
        <v>bnco1053@signalschool.ac.th</v>
      </c>
      <c r="C76" s="1" t="str">
        <f>'3.1'!C:C</f>
        <v>พ.ต.ไมตรี บุญเหลื่อม</v>
      </c>
      <c r="D76" s="9">
        <v>1.0</v>
      </c>
      <c r="E76" s="10">
        <f>IFERROR(vlookup('3.1'!D:D,lookup!$A$2:$B$4,2,false),0)</f>
        <v>5</v>
      </c>
      <c r="F76" s="10">
        <f>IFERROR(vlookup('3.1'!E:E,lookup!$A$6:$B$8,2,false),0)</f>
        <v>5</v>
      </c>
      <c r="G76" s="10">
        <f>IFERROR(vlookup('3.1'!F:F,lookup!$A$10:$B$12,2,false),0)</f>
        <v>5</v>
      </c>
      <c r="H76" s="10">
        <f>IFERROR(vlookup('3.1'!G:G,lookup!$A$14:$B$16,2,false),0)</f>
        <v>5</v>
      </c>
      <c r="I76" s="10">
        <f>IFERROR(vlookup('3.1'!H:H,lookup!$A$18:$B$20,2,false),0)</f>
        <v>5</v>
      </c>
      <c r="J76" s="10">
        <f>IFERROR(vlookup('3.1'!I:I,lookup!$A$22:$B$24,2,false),0)</f>
        <v>5</v>
      </c>
      <c r="K76" s="10">
        <f>IFERROR(vlookup('3.1'!J:J,lookup!$A$26:$B$28,2,false),0)</f>
        <v>5</v>
      </c>
      <c r="M76" s="10">
        <v>75.0</v>
      </c>
      <c r="N76" s="11" t="str">
        <f t="shared" si="1"/>
        <v>bnco1075@signalschool.ac.th</v>
      </c>
      <c r="O76" s="12">
        <f t="shared" si="2"/>
        <v>1</v>
      </c>
      <c r="R76" s="6" t="s">
        <v>289</v>
      </c>
    </row>
    <row r="77">
      <c r="A77" s="8">
        <f>'3.1'!A:A</f>
        <v>46266.68998</v>
      </c>
      <c r="B77" s="1" t="str">
        <f>'3.1'!B:B</f>
        <v>bnco1047@signalschool.ac.th</v>
      </c>
      <c r="C77" s="1" t="str">
        <f>'3.1'!C:C</f>
        <v>พ.ต.ไมตรี บุญเหลื่อม</v>
      </c>
      <c r="D77" s="9">
        <v>1.0</v>
      </c>
      <c r="E77" s="10">
        <f>IFERROR(vlookup('3.1'!D:D,lookup!$A$2:$B$4,2,false),0)</f>
        <v>5</v>
      </c>
      <c r="F77" s="10">
        <f>IFERROR(vlookup('3.1'!E:E,lookup!$A$6:$B$8,2,false),0)</f>
        <v>5</v>
      </c>
      <c r="G77" s="10">
        <f>IFERROR(vlookup('3.1'!F:F,lookup!$A$10:$B$12,2,false),0)</f>
        <v>5</v>
      </c>
      <c r="H77" s="10">
        <f>IFERROR(vlookup('3.1'!G:G,lookup!$A$14:$B$16,2,false),0)</f>
        <v>5</v>
      </c>
      <c r="I77" s="10">
        <f>IFERROR(vlookup('3.1'!H:H,lookup!$A$18:$B$20,2,false),0)</f>
        <v>5</v>
      </c>
      <c r="J77" s="10">
        <f>IFERROR(vlookup('3.1'!I:I,lookup!$A$22:$B$24,2,false),0)</f>
        <v>5</v>
      </c>
      <c r="K77" s="10">
        <f>IFERROR(vlookup('3.1'!J:J,lookup!$A$26:$B$28,2,false),0)</f>
        <v>5</v>
      </c>
      <c r="M77" s="10">
        <v>76.0</v>
      </c>
      <c r="N77" s="11" t="str">
        <f t="shared" si="1"/>
        <v>bnco1076@signalschool.ac.th</v>
      </c>
      <c r="O77" s="12">
        <f t="shared" si="2"/>
        <v>1</v>
      </c>
      <c r="R77" s="6" t="s">
        <v>290</v>
      </c>
    </row>
    <row r="78">
      <c r="A78" s="8">
        <f>'3.1'!A:A</f>
        <v>46267.31269</v>
      </c>
      <c r="B78" s="1" t="str">
        <f>'3.1'!B:B</f>
        <v>bnco1016@signalschool.ac.th</v>
      </c>
      <c r="C78" s="1" t="str">
        <f>'3.1'!C:C</f>
        <v>พ.ต.ไมตรี บุญเหลื่อม</v>
      </c>
      <c r="D78" s="9">
        <v>1.0</v>
      </c>
      <c r="E78" s="10">
        <f>IFERROR(vlookup('3.1'!D:D,lookup!$A$2:$B$4,2,false),0)</f>
        <v>5</v>
      </c>
      <c r="F78" s="10">
        <f>IFERROR(vlookup('3.1'!E:E,lookup!$A$6:$B$8,2,false),0)</f>
        <v>5</v>
      </c>
      <c r="G78" s="10">
        <f>IFERROR(vlookup('3.1'!F:F,lookup!$A$10:$B$12,2,false),0)</f>
        <v>5</v>
      </c>
      <c r="H78" s="10">
        <f>IFERROR(vlookup('3.1'!G:G,lookup!$A$14:$B$16,2,false),0)</f>
        <v>5</v>
      </c>
      <c r="I78" s="10">
        <f>IFERROR(vlookup('3.1'!H:H,lookup!$A$18:$B$20,2,false),0)</f>
        <v>5</v>
      </c>
      <c r="J78" s="10">
        <f>IFERROR(vlookup('3.1'!I:I,lookup!$A$22:$B$24,2,false),0)</f>
        <v>5</v>
      </c>
      <c r="K78" s="10">
        <f>IFERROR(vlookup('3.1'!J:J,lookup!$A$26:$B$28,2,false),0)</f>
        <v>5</v>
      </c>
      <c r="M78" s="10">
        <v>77.0</v>
      </c>
      <c r="N78" s="11" t="str">
        <f t="shared" si="1"/>
        <v>bnco1077@signalschool.ac.th</v>
      </c>
      <c r="O78" s="12">
        <f t="shared" si="2"/>
        <v>0</v>
      </c>
      <c r="R78" s="6" t="s">
        <v>291</v>
      </c>
    </row>
    <row r="79">
      <c r="A79" s="8" t="str">
        <f>'3.1'!A:A</f>
        <v/>
      </c>
      <c r="B79" s="1" t="str">
        <f>'3.1'!B:B</f>
        <v/>
      </c>
      <c r="C79" s="1" t="str">
        <f>'3.1'!C:C</f>
        <v/>
      </c>
      <c r="D79" s="9">
        <v>1.0</v>
      </c>
      <c r="E79" s="10">
        <f>IFERROR(vlookup('3.1'!D:D,lookup!$A$2:$B$4,2,false),0)</f>
        <v>0</v>
      </c>
      <c r="F79" s="10">
        <f>IFERROR(vlookup('3.1'!E:E,lookup!$A$6:$B$8,2,false),0)</f>
        <v>0</v>
      </c>
      <c r="G79" s="10">
        <f>IFERROR(vlookup('3.1'!F:F,lookup!$A$10:$B$12,2,false),0)</f>
        <v>0</v>
      </c>
      <c r="H79" s="10">
        <f>IFERROR(vlookup('3.1'!G:G,lookup!$A$14:$B$16,2,false),0)</f>
        <v>0</v>
      </c>
      <c r="I79" s="10">
        <f>IFERROR(vlookup('3.1'!H:H,lookup!$A$18:$B$20,2,false),0)</f>
        <v>0</v>
      </c>
      <c r="J79" s="10">
        <f>IFERROR(vlookup('3.1'!I:I,lookup!$A$22:$B$24,2,false),0)</f>
        <v>0</v>
      </c>
      <c r="K79" s="10">
        <f>IFERROR(vlookup('3.1'!J:J,lookup!$A$26:$B$28,2,false),0)</f>
        <v>0</v>
      </c>
      <c r="M79" s="10">
        <v>78.0</v>
      </c>
      <c r="N79" s="11" t="str">
        <f t="shared" si="1"/>
        <v>bnco1078@signalschool.ac.th</v>
      </c>
      <c r="O79" s="12">
        <f t="shared" si="2"/>
        <v>1</v>
      </c>
      <c r="R79" s="6" t="s">
        <v>292</v>
      </c>
    </row>
    <row r="80">
      <c r="A80" s="8" t="str">
        <f>'3.1'!A:A</f>
        <v/>
      </c>
      <c r="B80" s="1" t="str">
        <f>'3.1'!B:B</f>
        <v/>
      </c>
      <c r="C80" s="1" t="str">
        <f>'3.1'!C:C</f>
        <v/>
      </c>
      <c r="D80" s="9">
        <v>1.0</v>
      </c>
      <c r="E80" s="10">
        <f>IFERROR(vlookup('3.1'!D:D,lookup!$A$2:$B$4,2,false),0)</f>
        <v>0</v>
      </c>
      <c r="F80" s="10">
        <f>IFERROR(vlookup('3.1'!E:E,lookup!$A$6:$B$8,2,false),0)</f>
        <v>0</v>
      </c>
      <c r="G80" s="10">
        <f>IFERROR(vlookup('3.1'!F:F,lookup!$A$10:$B$12,2,false),0)</f>
        <v>0</v>
      </c>
      <c r="H80" s="10">
        <f>IFERROR(vlookup('3.1'!G:G,lookup!$A$14:$B$16,2,false),0)</f>
        <v>0</v>
      </c>
      <c r="I80" s="10">
        <f>IFERROR(vlookup('3.1'!H:H,lookup!$A$18:$B$20,2,false),0)</f>
        <v>0</v>
      </c>
      <c r="J80" s="10">
        <f>IFERROR(vlookup('3.1'!I:I,lookup!$A$22:$B$24,2,false),0)</f>
        <v>0</v>
      </c>
      <c r="K80" s="10">
        <f>IFERROR(vlookup('3.1'!J:J,lookup!$A$26:$B$28,2,false),0)</f>
        <v>0</v>
      </c>
      <c r="M80" s="10">
        <v>79.0</v>
      </c>
      <c r="N80" s="11" t="str">
        <f t="shared" si="1"/>
        <v>bnco1079@signalschool.ac.th</v>
      </c>
      <c r="O80" s="12">
        <f t="shared" si="2"/>
        <v>1</v>
      </c>
      <c r="R80" s="6" t="s">
        <v>293</v>
      </c>
    </row>
    <row r="81">
      <c r="A81" s="8" t="str">
        <f>'3.1'!A:A</f>
        <v/>
      </c>
      <c r="B81" s="1" t="str">
        <f>'3.1'!B:B</f>
        <v/>
      </c>
      <c r="C81" s="1" t="str">
        <f>'3.1'!C:C</f>
        <v/>
      </c>
      <c r="D81" s="9">
        <v>1.0</v>
      </c>
      <c r="E81" s="10">
        <f>IFERROR(vlookup('3.1'!D:D,lookup!$A$2:$B$4,2,false),0)</f>
        <v>0</v>
      </c>
      <c r="F81" s="10">
        <f>IFERROR(vlookup('3.1'!E:E,lookup!$A$6:$B$8,2,false),0)</f>
        <v>0</v>
      </c>
      <c r="G81" s="10">
        <f>IFERROR(vlookup('3.1'!F:F,lookup!$A$10:$B$12,2,false),0)</f>
        <v>0</v>
      </c>
      <c r="H81" s="10">
        <f>IFERROR(vlookup('3.1'!G:G,lookup!$A$14:$B$16,2,false),0)</f>
        <v>0</v>
      </c>
      <c r="I81" s="10">
        <f>IFERROR(vlookup('3.1'!H:H,lookup!$A$18:$B$20,2,false),0)</f>
        <v>0</v>
      </c>
      <c r="J81" s="10">
        <f>IFERROR(vlookup('3.1'!I:I,lookup!$A$22:$B$24,2,false),0)</f>
        <v>0</v>
      </c>
      <c r="K81" s="10">
        <f>IFERROR(vlookup('3.1'!J:J,lookup!$A$26:$B$28,2,false),0)</f>
        <v>0</v>
      </c>
      <c r="M81" s="10">
        <v>80.0</v>
      </c>
      <c r="N81" s="11" t="str">
        <f t="shared" si="1"/>
        <v>bnco1080@signalschool.ac.th</v>
      </c>
      <c r="O81" s="12">
        <f t="shared" si="2"/>
        <v>1</v>
      </c>
      <c r="R81" s="6" t="s">
        <v>294</v>
      </c>
    </row>
    <row r="82">
      <c r="A82" s="8" t="str">
        <f>'3.1'!A:A</f>
        <v/>
      </c>
      <c r="B82" s="1" t="str">
        <f>'3.1'!B:B</f>
        <v/>
      </c>
      <c r="C82" s="1" t="str">
        <f>'3.1'!C:C</f>
        <v/>
      </c>
      <c r="D82" s="9"/>
      <c r="E82" s="15"/>
      <c r="F82" s="15"/>
      <c r="G82" s="15"/>
      <c r="H82" s="15"/>
      <c r="I82" s="15"/>
      <c r="J82" s="15"/>
      <c r="K82" s="15"/>
    </row>
    <row r="83">
      <c r="A83" s="8" t="str">
        <f>'3.1'!A:A</f>
        <v/>
      </c>
      <c r="B83" s="1" t="str">
        <f>'3.1'!B:B</f>
        <v/>
      </c>
      <c r="C83" s="1" t="str">
        <f>'3.1'!C:C</f>
        <v/>
      </c>
      <c r="D83" s="9"/>
      <c r="E83" s="15"/>
      <c r="F83" s="15"/>
      <c r="G83" s="15"/>
      <c r="H83" s="15"/>
      <c r="I83" s="15"/>
      <c r="J83" s="15"/>
      <c r="K83" s="15"/>
    </row>
    <row r="84">
      <c r="A84" s="8" t="str">
        <f>'3.1'!A:A</f>
        <v/>
      </c>
      <c r="B84" s="1" t="str">
        <f>'3.1'!B:B</f>
        <v/>
      </c>
      <c r="C84" s="1" t="str">
        <f>'3.1'!C:C</f>
        <v/>
      </c>
      <c r="D84" s="9"/>
      <c r="E84" s="15"/>
      <c r="F84" s="15"/>
      <c r="G84" s="15"/>
      <c r="H84" s="15"/>
      <c r="I84" s="15"/>
      <c r="J84" s="15"/>
      <c r="K84" s="15"/>
    </row>
    <row r="85">
      <c r="A85" s="8" t="str">
        <f>'3.1'!A:A</f>
        <v/>
      </c>
      <c r="B85" s="1" t="str">
        <f>'3.1'!B:B</f>
        <v/>
      </c>
      <c r="C85" s="1" t="str">
        <f>'3.1'!C:C</f>
        <v/>
      </c>
      <c r="D85" s="9"/>
      <c r="E85" s="15"/>
      <c r="F85" s="15"/>
      <c r="G85" s="15"/>
      <c r="H85" s="15"/>
      <c r="I85" s="15"/>
      <c r="J85" s="15"/>
      <c r="K85" s="15"/>
    </row>
    <row r="86">
      <c r="A86" s="8" t="str">
        <f>'3.1'!A:A</f>
        <v/>
      </c>
      <c r="B86" s="1" t="str">
        <f>'3.1'!B:B</f>
        <v/>
      </c>
      <c r="C86" s="1" t="str">
        <f>'3.1'!C:C</f>
        <v/>
      </c>
      <c r="D86" s="9"/>
      <c r="E86" s="15"/>
      <c r="F86" s="15"/>
      <c r="G86" s="15"/>
      <c r="H86" s="15"/>
      <c r="I86" s="15"/>
      <c r="J86" s="15"/>
      <c r="K86" s="15"/>
    </row>
    <row r="87">
      <c r="A87" s="8" t="str">
        <f>'3.1'!A:A</f>
        <v/>
      </c>
      <c r="B87" s="1" t="str">
        <f>'3.1'!B:B</f>
        <v/>
      </c>
      <c r="C87" s="1" t="str">
        <f>'3.1'!C:C</f>
        <v/>
      </c>
      <c r="D87" s="9"/>
      <c r="E87" s="15"/>
      <c r="F87" s="15"/>
      <c r="G87" s="15"/>
      <c r="H87" s="15"/>
      <c r="I87" s="15"/>
      <c r="J87" s="15"/>
      <c r="K87" s="15"/>
    </row>
    <row r="88">
      <c r="A88" s="8" t="str">
        <f>'3.1'!A:A</f>
        <v/>
      </c>
      <c r="B88" s="1" t="str">
        <f>'3.1'!B:B</f>
        <v/>
      </c>
      <c r="C88" s="1" t="str">
        <f>'3.1'!C:C</f>
        <v/>
      </c>
      <c r="D88" s="9"/>
      <c r="E88" s="15"/>
      <c r="F88" s="15"/>
      <c r="G88" s="15"/>
      <c r="H88" s="15"/>
      <c r="I88" s="15"/>
      <c r="J88" s="15"/>
      <c r="K88" s="15"/>
    </row>
    <row r="89">
      <c r="A89" s="8" t="str">
        <f>'3.1'!A:A</f>
        <v/>
      </c>
      <c r="B89" s="1" t="str">
        <f>'3.1'!B:B</f>
        <v/>
      </c>
      <c r="C89" s="1" t="str">
        <f>'3.1'!C:C</f>
        <v/>
      </c>
      <c r="D89" s="9"/>
      <c r="E89" s="15"/>
      <c r="F89" s="15"/>
      <c r="G89" s="15"/>
      <c r="H89" s="15"/>
      <c r="I89" s="15"/>
      <c r="J89" s="15"/>
      <c r="K89" s="15"/>
    </row>
    <row r="90">
      <c r="A90" s="8" t="str">
        <f>'3.1'!A:A</f>
        <v/>
      </c>
      <c r="B90" s="1" t="str">
        <f>'3.1'!B:B</f>
        <v/>
      </c>
      <c r="C90" s="1" t="str">
        <f>'3.1'!C:C</f>
        <v/>
      </c>
      <c r="D90" s="9"/>
      <c r="E90" s="15"/>
      <c r="F90" s="15"/>
      <c r="G90" s="15"/>
      <c r="H90" s="15"/>
      <c r="I90" s="15"/>
      <c r="J90" s="15"/>
      <c r="K90" s="15"/>
    </row>
    <row r="91">
      <c r="A91" s="8" t="str">
        <f>'3.1'!A:A</f>
        <v/>
      </c>
      <c r="B91" s="1" t="str">
        <f>'3.1'!B:B</f>
        <v/>
      </c>
      <c r="C91" s="1" t="str">
        <f>'3.1'!C:C</f>
        <v/>
      </c>
      <c r="D91" s="9"/>
      <c r="E91" s="15"/>
      <c r="F91" s="15"/>
      <c r="G91" s="15"/>
      <c r="H91" s="15"/>
      <c r="I91" s="15"/>
      <c r="J91" s="15"/>
      <c r="K91" s="15"/>
    </row>
    <row r="92">
      <c r="A92" s="8" t="str">
        <f>'3.1'!A:A</f>
        <v/>
      </c>
      <c r="B92" s="1" t="str">
        <f>'3.1'!B:B</f>
        <v/>
      </c>
      <c r="C92" s="1" t="str">
        <f>'3.1'!C:C</f>
        <v/>
      </c>
      <c r="D92" s="9"/>
      <c r="E92" s="15"/>
      <c r="F92" s="15"/>
      <c r="G92" s="15"/>
      <c r="H92" s="15"/>
      <c r="I92" s="15"/>
      <c r="J92" s="15"/>
      <c r="K92" s="15"/>
    </row>
    <row r="93">
      <c r="A93" s="8" t="str">
        <f>'3.1'!A:A</f>
        <v/>
      </c>
      <c r="B93" s="1" t="str">
        <f>'3.1'!B:B</f>
        <v/>
      </c>
      <c r="C93" s="1" t="str">
        <f>'3.1'!C:C</f>
        <v/>
      </c>
      <c r="D93" s="9"/>
      <c r="E93" s="15"/>
      <c r="F93" s="15"/>
      <c r="G93" s="15"/>
      <c r="H93" s="15"/>
      <c r="I93" s="15"/>
      <c r="J93" s="15"/>
      <c r="K93" s="15"/>
    </row>
    <row r="94">
      <c r="A94" s="8" t="str">
        <f>'3.1'!A:A</f>
        <v/>
      </c>
      <c r="B94" s="1" t="str">
        <f>'3.1'!B:B</f>
        <v/>
      </c>
      <c r="C94" s="1" t="str">
        <f>'3.1'!C:C</f>
        <v/>
      </c>
      <c r="D94" s="9"/>
      <c r="E94" s="15"/>
      <c r="F94" s="15"/>
      <c r="G94" s="15"/>
      <c r="H94" s="15"/>
      <c r="I94" s="15"/>
      <c r="J94" s="15"/>
      <c r="K94" s="15"/>
    </row>
    <row r="95">
      <c r="A95" s="8" t="str">
        <f>'3.1'!A:A</f>
        <v/>
      </c>
      <c r="B95" s="1" t="str">
        <f>'3.1'!B:B</f>
        <v/>
      </c>
      <c r="C95" s="1" t="str">
        <f>'3.1'!C:C</f>
        <v/>
      </c>
      <c r="D95" s="9"/>
      <c r="E95" s="15"/>
      <c r="F95" s="15"/>
      <c r="G95" s="15"/>
      <c r="H95" s="15"/>
      <c r="I95" s="15"/>
      <c r="J95" s="15"/>
      <c r="K95" s="15"/>
    </row>
    <row r="96">
      <c r="A96" s="8" t="str">
        <f>'3.1'!A:A</f>
        <v/>
      </c>
      <c r="B96" s="1" t="str">
        <f>'3.1'!B:B</f>
        <v/>
      </c>
      <c r="C96" s="1" t="str">
        <f>'3.1'!C:C</f>
        <v/>
      </c>
      <c r="D96" s="9"/>
      <c r="E96" s="15"/>
      <c r="F96" s="15"/>
      <c r="G96" s="15"/>
      <c r="H96" s="15"/>
      <c r="I96" s="15"/>
      <c r="J96" s="15"/>
      <c r="K96" s="15"/>
    </row>
    <row r="97">
      <c r="A97" s="8" t="str">
        <f>'3.1'!A:A</f>
        <v/>
      </c>
      <c r="B97" s="1" t="str">
        <f>'3.1'!B:B</f>
        <v/>
      </c>
      <c r="C97" s="1" t="str">
        <f>'3.1'!C:C</f>
        <v/>
      </c>
      <c r="D97" s="9"/>
      <c r="E97" s="15"/>
      <c r="F97" s="15"/>
      <c r="G97" s="15"/>
      <c r="H97" s="15"/>
      <c r="I97" s="15"/>
      <c r="J97" s="15"/>
      <c r="K97" s="15"/>
    </row>
    <row r="98">
      <c r="A98" s="8" t="str">
        <f>'3.1'!A:A</f>
        <v/>
      </c>
      <c r="B98" s="1" t="str">
        <f>'3.1'!B:B</f>
        <v/>
      </c>
      <c r="C98" s="1" t="str">
        <f>'3.1'!C:C</f>
        <v/>
      </c>
      <c r="D98" s="9"/>
      <c r="E98" s="15"/>
      <c r="F98" s="15"/>
      <c r="G98" s="15"/>
      <c r="H98" s="15"/>
      <c r="I98" s="15"/>
      <c r="J98" s="15"/>
      <c r="K98" s="15"/>
    </row>
    <row r="99">
      <c r="A99" s="8" t="str">
        <f>'3.1'!A:A</f>
        <v/>
      </c>
      <c r="B99" s="1" t="str">
        <f>'3.1'!B:B</f>
        <v/>
      </c>
      <c r="C99" s="1" t="str">
        <f>'3.1'!C:C</f>
        <v/>
      </c>
      <c r="D99" s="9"/>
      <c r="E99" s="15"/>
      <c r="F99" s="15"/>
      <c r="G99" s="15"/>
      <c r="H99" s="15"/>
      <c r="I99" s="15"/>
      <c r="J99" s="15"/>
      <c r="K99" s="15"/>
    </row>
    <row r="100">
      <c r="A100" s="8" t="str">
        <f>'3.1'!A:A</f>
        <v/>
      </c>
      <c r="B100" s="1" t="str">
        <f>'3.1'!B:B</f>
        <v/>
      </c>
      <c r="C100" s="1" t="str">
        <f>'3.1'!C:C</f>
        <v/>
      </c>
      <c r="D100" s="9"/>
      <c r="E100" s="15"/>
      <c r="F100" s="15"/>
      <c r="G100" s="15"/>
      <c r="H100" s="15"/>
      <c r="I100" s="15"/>
      <c r="J100" s="15"/>
      <c r="K100" s="15"/>
    </row>
    <row r="101">
      <c r="A101" s="8" t="str">
        <f>'3.1'!A:A</f>
        <v/>
      </c>
      <c r="B101" s="1" t="str">
        <f>'3.1'!B:B</f>
        <v/>
      </c>
      <c r="C101" s="1" t="str">
        <f>'3.1'!C:C</f>
        <v/>
      </c>
      <c r="D101" s="9"/>
      <c r="E101" s="15"/>
      <c r="F101" s="15"/>
      <c r="G101" s="15"/>
      <c r="H101" s="15"/>
      <c r="I101" s="15"/>
      <c r="J101" s="15"/>
      <c r="K101" s="15"/>
      <c r="N101" s="1" t="s">
        <v>295</v>
      </c>
      <c r="O101" s="12">
        <f>SUM(O2:O81)</f>
        <v>74</v>
      </c>
    </row>
    <row r="102">
      <c r="C102" s="1"/>
      <c r="E102" s="14">
        <f t="shared" ref="E102:K102" si="3">AVERAGE(E2:E81)</f>
        <v>4.7625</v>
      </c>
      <c r="F102" s="14">
        <f t="shared" si="3"/>
        <v>4.7625</v>
      </c>
      <c r="G102" s="14">
        <f t="shared" si="3"/>
        <v>4.7875</v>
      </c>
      <c r="H102" s="14">
        <f t="shared" si="3"/>
        <v>4.7875</v>
      </c>
      <c r="I102" s="14">
        <f t="shared" si="3"/>
        <v>4.7875</v>
      </c>
      <c r="J102" s="14">
        <f t="shared" si="3"/>
        <v>4.6875</v>
      </c>
      <c r="K102" s="14">
        <f t="shared" si="3"/>
        <v>4.6375</v>
      </c>
      <c r="L102" s="16">
        <f>AVERAGE(E102:K102)</f>
        <v>4.744642857</v>
      </c>
      <c r="N102" s="1" t="s">
        <v>296</v>
      </c>
      <c r="O102" s="12">
        <f>(O101*100)/80</f>
        <v>92.5</v>
      </c>
    </row>
    <row r="103">
      <c r="A103" s="8"/>
      <c r="C103" s="1"/>
    </row>
    <row r="104">
      <c r="A104" s="8"/>
      <c r="C104" s="1"/>
    </row>
    <row r="105">
      <c r="A105" s="8"/>
      <c r="C105" s="1"/>
    </row>
    <row r="106">
      <c r="A106" s="8"/>
      <c r="C106" s="1"/>
    </row>
    <row r="107">
      <c r="A107" s="8"/>
      <c r="C107" s="1"/>
    </row>
    <row r="108">
      <c r="A108" s="8"/>
      <c r="C108" s="1"/>
    </row>
    <row r="109">
      <c r="A109" s="8"/>
      <c r="C109" s="1"/>
    </row>
    <row r="110">
      <c r="A110" s="8"/>
      <c r="C110" s="1"/>
    </row>
    <row r="111">
      <c r="A111" s="8"/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</sheetData>
  <mergeCells count="1">
    <mergeCell ref="M1:O1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5">
        <v>46262.42624180556</v>
      </c>
      <c r="B2" s="6" t="s">
        <v>21</v>
      </c>
      <c r="C2" s="6" t="s">
        <v>551</v>
      </c>
      <c r="D2" s="6" t="s">
        <v>13</v>
      </c>
      <c r="E2" s="6" t="s">
        <v>14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</row>
    <row r="3">
      <c r="A3" s="5">
        <v>46262.427348831014</v>
      </c>
      <c r="B3" s="6" t="s">
        <v>24</v>
      </c>
      <c r="C3" s="6" t="s">
        <v>552</v>
      </c>
      <c r="D3" s="6" t="s">
        <v>73</v>
      </c>
      <c r="E3" s="6" t="s">
        <v>120</v>
      </c>
      <c r="F3" s="6" t="s">
        <v>54</v>
      </c>
      <c r="G3" s="6" t="s">
        <v>39</v>
      </c>
      <c r="H3" s="6" t="s">
        <v>87</v>
      </c>
      <c r="I3" s="6" t="s">
        <v>55</v>
      </c>
      <c r="J3" s="6" t="s">
        <v>56</v>
      </c>
    </row>
    <row r="4">
      <c r="A4" s="5">
        <v>46262.428494085645</v>
      </c>
      <c r="B4" s="6" t="s">
        <v>25</v>
      </c>
      <c r="C4" s="6" t="s">
        <v>553</v>
      </c>
      <c r="D4" s="6" t="s">
        <v>13</v>
      </c>
      <c r="E4" s="6" t="s">
        <v>14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</row>
    <row r="5">
      <c r="A5" s="5">
        <v>46262.434936053236</v>
      </c>
      <c r="B5" s="6" t="s">
        <v>30</v>
      </c>
      <c r="C5" s="6" t="s">
        <v>554</v>
      </c>
      <c r="D5" s="6" t="s">
        <v>13</v>
      </c>
      <c r="E5" s="6" t="s">
        <v>14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</row>
    <row r="6">
      <c r="A6" s="5">
        <v>46262.43582628472</v>
      </c>
      <c r="B6" s="6" t="s">
        <v>28</v>
      </c>
      <c r="C6" s="6" t="s">
        <v>555</v>
      </c>
      <c r="D6" s="6" t="s">
        <v>13</v>
      </c>
      <c r="E6" s="6" t="s">
        <v>14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20</v>
      </c>
    </row>
    <row r="7">
      <c r="A7" s="5">
        <v>46262.44193806713</v>
      </c>
      <c r="B7" s="6" t="s">
        <v>33</v>
      </c>
      <c r="C7" s="6" t="s">
        <v>556</v>
      </c>
      <c r="D7" s="6" t="s">
        <v>13</v>
      </c>
      <c r="E7" s="6" t="s">
        <v>14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36</v>
      </c>
    </row>
    <row r="8">
      <c r="A8" s="5">
        <v>46262.44457869213</v>
      </c>
      <c r="B8" s="6" t="s">
        <v>37</v>
      </c>
      <c r="C8" s="6" t="s">
        <v>555</v>
      </c>
      <c r="D8" s="6" t="s">
        <v>13</v>
      </c>
      <c r="E8" s="6" t="s">
        <v>14</v>
      </c>
      <c r="F8" s="6" t="s">
        <v>16</v>
      </c>
      <c r="G8" s="6" t="s">
        <v>17</v>
      </c>
      <c r="H8" s="6" t="s">
        <v>18</v>
      </c>
      <c r="I8" s="6" t="s">
        <v>19</v>
      </c>
      <c r="J8" s="6" t="s">
        <v>20</v>
      </c>
    </row>
    <row r="9">
      <c r="A9" s="5">
        <v>46262.44851253473</v>
      </c>
      <c r="B9" s="6" t="s">
        <v>46</v>
      </c>
      <c r="C9" s="6" t="s">
        <v>557</v>
      </c>
      <c r="D9" s="6" t="s">
        <v>13</v>
      </c>
      <c r="E9" s="6" t="s">
        <v>14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  <c r="K9" s="6" t="s">
        <v>48</v>
      </c>
    </row>
    <row r="10">
      <c r="A10" s="5">
        <v>46262.44988043982</v>
      </c>
      <c r="B10" s="6" t="s">
        <v>44</v>
      </c>
      <c r="C10" s="6" t="s">
        <v>554</v>
      </c>
      <c r="D10" s="6" t="s">
        <v>13</v>
      </c>
      <c r="E10" s="6" t="s">
        <v>14</v>
      </c>
      <c r="F10" s="6" t="s">
        <v>16</v>
      </c>
      <c r="G10" s="6" t="s">
        <v>17</v>
      </c>
      <c r="H10" s="6" t="s">
        <v>18</v>
      </c>
      <c r="I10" s="6" t="s">
        <v>19</v>
      </c>
      <c r="J10" s="6" t="s">
        <v>20</v>
      </c>
    </row>
    <row r="11">
      <c r="A11" s="5">
        <v>46262.4502952662</v>
      </c>
      <c r="B11" s="6" t="s">
        <v>11</v>
      </c>
      <c r="C11" s="6" t="s">
        <v>555</v>
      </c>
      <c r="D11" s="6" t="s">
        <v>13</v>
      </c>
      <c r="E11" s="6" t="s">
        <v>14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20</v>
      </c>
    </row>
    <row r="12">
      <c r="A12" s="5">
        <v>46262.450797094905</v>
      </c>
      <c r="B12" s="6" t="s">
        <v>40</v>
      </c>
      <c r="C12" s="6" t="s">
        <v>555</v>
      </c>
      <c r="D12" s="6" t="s">
        <v>13</v>
      </c>
      <c r="E12" s="6" t="s">
        <v>14</v>
      </c>
      <c r="F12" s="6" t="s">
        <v>16</v>
      </c>
      <c r="G12" s="6" t="s">
        <v>17</v>
      </c>
      <c r="H12" s="6" t="s">
        <v>18</v>
      </c>
      <c r="I12" s="6" t="s">
        <v>19</v>
      </c>
      <c r="J12" s="6" t="s">
        <v>20</v>
      </c>
    </row>
    <row r="13">
      <c r="A13" s="5">
        <v>46262.45093181713</v>
      </c>
      <c r="B13" s="6" t="s">
        <v>42</v>
      </c>
      <c r="C13" s="6" t="s">
        <v>555</v>
      </c>
      <c r="D13" s="6" t="s">
        <v>13</v>
      </c>
      <c r="E13" s="6" t="s">
        <v>14</v>
      </c>
      <c r="F13" s="6" t="s">
        <v>16</v>
      </c>
      <c r="G13" s="6" t="s">
        <v>17</v>
      </c>
      <c r="H13" s="6" t="s">
        <v>18</v>
      </c>
      <c r="I13" s="6" t="s">
        <v>19</v>
      </c>
      <c r="J13" s="6" t="s">
        <v>20</v>
      </c>
    </row>
    <row r="14">
      <c r="A14" s="5">
        <v>46262.454131805556</v>
      </c>
      <c r="B14" s="6" t="s">
        <v>52</v>
      </c>
      <c r="C14" s="6" t="s">
        <v>53</v>
      </c>
      <c r="D14" s="6" t="s">
        <v>73</v>
      </c>
      <c r="E14" s="6" t="s">
        <v>14</v>
      </c>
      <c r="F14" s="6" t="s">
        <v>54</v>
      </c>
      <c r="G14" s="6" t="s">
        <v>17</v>
      </c>
      <c r="H14" s="6" t="s">
        <v>18</v>
      </c>
      <c r="I14" s="6" t="s">
        <v>19</v>
      </c>
      <c r="J14" s="6" t="s">
        <v>56</v>
      </c>
    </row>
    <row r="15">
      <c r="A15" s="5">
        <v>46262.45483459491</v>
      </c>
      <c r="B15" s="6" t="s">
        <v>51</v>
      </c>
      <c r="C15" s="6" t="s">
        <v>558</v>
      </c>
      <c r="D15" s="6" t="s">
        <v>13</v>
      </c>
      <c r="E15" s="6" t="s">
        <v>14</v>
      </c>
      <c r="F15" s="6" t="s">
        <v>16</v>
      </c>
      <c r="G15" s="6" t="s">
        <v>17</v>
      </c>
      <c r="H15" s="6" t="s">
        <v>18</v>
      </c>
      <c r="I15" s="6" t="s">
        <v>19</v>
      </c>
      <c r="J15" s="6" t="s">
        <v>20</v>
      </c>
    </row>
    <row r="16">
      <c r="A16" s="5">
        <v>46262.4555784375</v>
      </c>
      <c r="B16" s="6" t="s">
        <v>49</v>
      </c>
      <c r="C16" s="6" t="s">
        <v>555</v>
      </c>
      <c r="D16" s="6" t="s">
        <v>13</v>
      </c>
      <c r="E16" s="6" t="s">
        <v>14</v>
      </c>
      <c r="F16" s="6" t="s">
        <v>16</v>
      </c>
      <c r="G16" s="6" t="s">
        <v>17</v>
      </c>
      <c r="H16" s="6" t="s">
        <v>18</v>
      </c>
      <c r="I16" s="6" t="s">
        <v>19</v>
      </c>
      <c r="J16" s="6" t="s">
        <v>20</v>
      </c>
      <c r="K16" s="6" t="s">
        <v>559</v>
      </c>
    </row>
    <row r="17">
      <c r="A17" s="5">
        <v>46262.464226550925</v>
      </c>
      <c r="B17" s="6" t="s">
        <v>57</v>
      </c>
      <c r="C17" s="6" t="s">
        <v>560</v>
      </c>
      <c r="D17" s="6" t="s">
        <v>13</v>
      </c>
      <c r="E17" s="6" t="s">
        <v>14</v>
      </c>
      <c r="F17" s="6" t="s">
        <v>16</v>
      </c>
      <c r="G17" s="6" t="s">
        <v>17</v>
      </c>
      <c r="H17" s="6" t="s">
        <v>18</v>
      </c>
      <c r="I17" s="6" t="s">
        <v>19</v>
      </c>
      <c r="J17" s="6" t="s">
        <v>20</v>
      </c>
    </row>
    <row r="18">
      <c r="A18" s="5">
        <v>46262.46596408565</v>
      </c>
      <c r="B18" s="6" t="s">
        <v>59</v>
      </c>
      <c r="C18" s="6" t="s">
        <v>551</v>
      </c>
      <c r="D18" s="6" t="s">
        <v>13</v>
      </c>
      <c r="E18" s="6" t="s">
        <v>14</v>
      </c>
      <c r="F18" s="6" t="s">
        <v>16</v>
      </c>
      <c r="G18" s="6" t="s">
        <v>17</v>
      </c>
      <c r="H18" s="6" t="s">
        <v>18</v>
      </c>
      <c r="I18" s="6" t="s">
        <v>19</v>
      </c>
      <c r="J18" s="6" t="s">
        <v>20</v>
      </c>
    </row>
    <row r="19">
      <c r="A19" s="5">
        <v>46262.47213422453</v>
      </c>
      <c r="B19" s="6" t="s">
        <v>60</v>
      </c>
      <c r="C19" s="6" t="s">
        <v>561</v>
      </c>
      <c r="D19" s="6" t="s">
        <v>13</v>
      </c>
      <c r="E19" s="6" t="s">
        <v>14</v>
      </c>
      <c r="F19" s="6" t="s">
        <v>16</v>
      </c>
      <c r="G19" s="6" t="s">
        <v>17</v>
      </c>
      <c r="H19" s="6" t="s">
        <v>18</v>
      </c>
      <c r="I19" s="6" t="s">
        <v>19</v>
      </c>
      <c r="J19" s="6" t="s">
        <v>20</v>
      </c>
    </row>
    <row r="20">
      <c r="A20" s="5">
        <v>46262.49074407408</v>
      </c>
      <c r="B20" s="6" t="s">
        <v>66</v>
      </c>
      <c r="C20" s="6" t="s">
        <v>557</v>
      </c>
      <c r="D20" s="6" t="s">
        <v>13</v>
      </c>
      <c r="E20" s="6" t="s">
        <v>14</v>
      </c>
      <c r="F20" s="6" t="s">
        <v>16</v>
      </c>
      <c r="G20" s="6" t="s">
        <v>17</v>
      </c>
      <c r="H20" s="6" t="s">
        <v>18</v>
      </c>
      <c r="I20" s="6" t="s">
        <v>19</v>
      </c>
      <c r="J20" s="6" t="s">
        <v>20</v>
      </c>
      <c r="K20" s="6" t="s">
        <v>68</v>
      </c>
    </row>
    <row r="21">
      <c r="A21" s="5">
        <v>46262.491790625005</v>
      </c>
      <c r="B21" s="6" t="s">
        <v>63</v>
      </c>
      <c r="C21" s="6" t="s">
        <v>557</v>
      </c>
      <c r="D21" s="6" t="s">
        <v>13</v>
      </c>
      <c r="E21" s="6" t="s">
        <v>14</v>
      </c>
      <c r="F21" s="6" t="s">
        <v>16</v>
      </c>
      <c r="G21" s="6" t="s">
        <v>17</v>
      </c>
      <c r="H21" s="6" t="s">
        <v>18</v>
      </c>
      <c r="I21" s="6" t="s">
        <v>19</v>
      </c>
      <c r="J21" s="6" t="s">
        <v>20</v>
      </c>
      <c r="K21" s="6" t="s">
        <v>496</v>
      </c>
    </row>
    <row r="22">
      <c r="A22" s="5">
        <v>46262.50869170139</v>
      </c>
      <c r="B22" s="6" t="s">
        <v>71</v>
      </c>
      <c r="C22" s="6" t="s">
        <v>562</v>
      </c>
      <c r="D22" s="6" t="s">
        <v>13</v>
      </c>
      <c r="E22" s="6" t="s">
        <v>14</v>
      </c>
      <c r="F22" s="6" t="s">
        <v>16</v>
      </c>
      <c r="G22" s="6" t="s">
        <v>17</v>
      </c>
      <c r="H22" s="6" t="s">
        <v>18</v>
      </c>
      <c r="I22" s="6" t="s">
        <v>19</v>
      </c>
      <c r="J22" s="6" t="s">
        <v>20</v>
      </c>
    </row>
    <row r="23">
      <c r="A23" s="5">
        <v>46262.524126979166</v>
      </c>
      <c r="B23" s="6" t="s">
        <v>69</v>
      </c>
      <c r="C23" s="6" t="s">
        <v>563</v>
      </c>
      <c r="D23" s="6" t="s">
        <v>13</v>
      </c>
      <c r="E23" s="6" t="s">
        <v>14</v>
      </c>
      <c r="F23" s="6" t="s">
        <v>16</v>
      </c>
      <c r="G23" s="6" t="s">
        <v>17</v>
      </c>
      <c r="H23" s="6" t="s">
        <v>18</v>
      </c>
      <c r="I23" s="6" t="s">
        <v>19</v>
      </c>
      <c r="J23" s="6" t="s">
        <v>20</v>
      </c>
    </row>
    <row r="24">
      <c r="A24" s="5">
        <v>46262.53431920139</v>
      </c>
      <c r="B24" s="6" t="s">
        <v>74</v>
      </c>
      <c r="C24" s="6" t="s">
        <v>561</v>
      </c>
      <c r="D24" s="6" t="s">
        <v>13</v>
      </c>
      <c r="E24" s="6" t="s">
        <v>14</v>
      </c>
      <c r="F24" s="6" t="s">
        <v>16</v>
      </c>
      <c r="G24" s="6" t="s">
        <v>17</v>
      </c>
      <c r="H24" s="6" t="s">
        <v>18</v>
      </c>
      <c r="I24" s="6" t="s">
        <v>19</v>
      </c>
      <c r="J24" s="6" t="s">
        <v>20</v>
      </c>
    </row>
    <row r="25">
      <c r="A25" s="5">
        <v>46262.54715831019</v>
      </c>
      <c r="B25" s="6" t="s">
        <v>61</v>
      </c>
      <c r="C25" s="6" t="s">
        <v>560</v>
      </c>
      <c r="D25" s="6" t="s">
        <v>13</v>
      </c>
      <c r="E25" s="6" t="s">
        <v>14</v>
      </c>
      <c r="F25" s="6" t="s">
        <v>16</v>
      </c>
      <c r="G25" s="6" t="s">
        <v>17</v>
      </c>
      <c r="H25" s="6" t="s">
        <v>18</v>
      </c>
      <c r="I25" s="6" t="s">
        <v>19</v>
      </c>
      <c r="J25" s="6" t="s">
        <v>20</v>
      </c>
    </row>
    <row r="26">
      <c r="A26" s="5">
        <v>46262.547776666666</v>
      </c>
      <c r="B26" s="6" t="s">
        <v>72</v>
      </c>
      <c r="C26" s="6" t="s">
        <v>564</v>
      </c>
      <c r="D26" s="6" t="s">
        <v>13</v>
      </c>
      <c r="E26" s="6" t="s">
        <v>14</v>
      </c>
      <c r="F26" s="6" t="s">
        <v>16</v>
      </c>
      <c r="G26" s="6" t="s">
        <v>17</v>
      </c>
      <c r="H26" s="6" t="s">
        <v>18</v>
      </c>
      <c r="I26" s="6" t="s">
        <v>19</v>
      </c>
      <c r="J26" s="6" t="s">
        <v>20</v>
      </c>
    </row>
    <row r="27">
      <c r="A27" s="5">
        <v>46262.55741729167</v>
      </c>
      <c r="B27" s="6" t="s">
        <v>77</v>
      </c>
      <c r="C27" s="6" t="s">
        <v>565</v>
      </c>
      <c r="D27" s="6" t="s">
        <v>13</v>
      </c>
      <c r="E27" s="6" t="s">
        <v>14</v>
      </c>
      <c r="F27" s="6" t="s">
        <v>16</v>
      </c>
      <c r="G27" s="6" t="s">
        <v>17</v>
      </c>
      <c r="H27" s="6" t="s">
        <v>18</v>
      </c>
      <c r="I27" s="6" t="s">
        <v>19</v>
      </c>
      <c r="J27" s="6" t="s">
        <v>20</v>
      </c>
    </row>
    <row r="28">
      <c r="A28" s="5">
        <v>46262.55775545139</v>
      </c>
      <c r="B28" s="6" t="s">
        <v>75</v>
      </c>
      <c r="C28" s="6" t="s">
        <v>566</v>
      </c>
      <c r="D28" s="6" t="s">
        <v>13</v>
      </c>
      <c r="E28" s="6" t="s">
        <v>14</v>
      </c>
      <c r="F28" s="6" t="s">
        <v>16</v>
      </c>
      <c r="G28" s="6" t="s">
        <v>17</v>
      </c>
      <c r="H28" s="6" t="s">
        <v>18</v>
      </c>
      <c r="I28" s="6" t="s">
        <v>19</v>
      </c>
      <c r="J28" s="6" t="s">
        <v>20</v>
      </c>
    </row>
    <row r="29">
      <c r="A29" s="5">
        <v>46262.56813853009</v>
      </c>
      <c r="B29" s="6" t="s">
        <v>79</v>
      </c>
      <c r="C29" s="6" t="s">
        <v>567</v>
      </c>
      <c r="D29" s="6" t="s">
        <v>13</v>
      </c>
      <c r="E29" s="6" t="s">
        <v>14</v>
      </c>
      <c r="F29" s="6" t="s">
        <v>16</v>
      </c>
      <c r="G29" s="6" t="s">
        <v>17</v>
      </c>
      <c r="H29" s="6" t="s">
        <v>18</v>
      </c>
      <c r="I29" s="6" t="s">
        <v>19</v>
      </c>
      <c r="J29" s="6" t="s">
        <v>20</v>
      </c>
    </row>
    <row r="30">
      <c r="A30" s="5">
        <v>46262.57055636574</v>
      </c>
      <c r="B30" s="6" t="s">
        <v>78</v>
      </c>
      <c r="C30" s="6" t="s">
        <v>568</v>
      </c>
      <c r="D30" s="6" t="s">
        <v>13</v>
      </c>
      <c r="E30" s="6" t="s">
        <v>14</v>
      </c>
      <c r="F30" s="6" t="s">
        <v>16</v>
      </c>
      <c r="G30" s="6" t="s">
        <v>17</v>
      </c>
      <c r="H30" s="6" t="s">
        <v>18</v>
      </c>
      <c r="I30" s="6" t="s">
        <v>19</v>
      </c>
      <c r="J30" s="6" t="s">
        <v>20</v>
      </c>
    </row>
    <row r="31">
      <c r="A31" s="5">
        <v>46262.589554872684</v>
      </c>
      <c r="B31" s="6" t="s">
        <v>85</v>
      </c>
      <c r="C31" s="6" t="s">
        <v>569</v>
      </c>
      <c r="D31" s="6" t="s">
        <v>13</v>
      </c>
      <c r="E31" s="6" t="s">
        <v>14</v>
      </c>
      <c r="F31" s="6" t="s">
        <v>16</v>
      </c>
      <c r="G31" s="6" t="s">
        <v>17</v>
      </c>
      <c r="H31" s="6" t="s">
        <v>18</v>
      </c>
      <c r="I31" s="6" t="s">
        <v>19</v>
      </c>
      <c r="J31" s="6" t="s">
        <v>20</v>
      </c>
    </row>
    <row r="32">
      <c r="A32" s="5">
        <v>46262.59436</v>
      </c>
      <c r="B32" s="6" t="s">
        <v>82</v>
      </c>
      <c r="C32" s="6" t="s">
        <v>555</v>
      </c>
      <c r="D32" s="6" t="s">
        <v>13</v>
      </c>
      <c r="E32" s="6" t="s">
        <v>14</v>
      </c>
      <c r="F32" s="6" t="s">
        <v>16</v>
      </c>
      <c r="G32" s="6" t="s">
        <v>17</v>
      </c>
      <c r="H32" s="6" t="s">
        <v>18</v>
      </c>
      <c r="I32" s="6" t="s">
        <v>19</v>
      </c>
      <c r="J32" s="6" t="s">
        <v>20</v>
      </c>
    </row>
    <row r="33">
      <c r="A33" s="5">
        <v>46262.594585266204</v>
      </c>
      <c r="B33" s="6" t="s">
        <v>83</v>
      </c>
      <c r="C33" s="6" t="s">
        <v>555</v>
      </c>
      <c r="D33" s="6" t="s">
        <v>13</v>
      </c>
      <c r="E33" s="6" t="s">
        <v>14</v>
      </c>
      <c r="F33" s="6" t="s">
        <v>16</v>
      </c>
      <c r="G33" s="6" t="s">
        <v>17</v>
      </c>
      <c r="H33" s="6" t="s">
        <v>18</v>
      </c>
      <c r="I33" s="6" t="s">
        <v>19</v>
      </c>
      <c r="J33" s="6" t="s">
        <v>20</v>
      </c>
    </row>
    <row r="34">
      <c r="A34" s="5">
        <v>46262.60247932871</v>
      </c>
      <c r="B34" s="6" t="s">
        <v>86</v>
      </c>
      <c r="C34" s="6" t="s">
        <v>551</v>
      </c>
      <c r="D34" s="6" t="s">
        <v>13</v>
      </c>
      <c r="E34" s="6" t="s">
        <v>14</v>
      </c>
      <c r="F34" s="6" t="s">
        <v>16</v>
      </c>
      <c r="G34" s="6" t="s">
        <v>17</v>
      </c>
      <c r="H34" s="6" t="s">
        <v>18</v>
      </c>
      <c r="I34" s="6" t="s">
        <v>19</v>
      </c>
      <c r="J34" s="6" t="s">
        <v>20</v>
      </c>
    </row>
    <row r="35">
      <c r="A35" s="5">
        <v>46262.61762157407</v>
      </c>
      <c r="B35" s="6" t="s">
        <v>88</v>
      </c>
      <c r="C35" s="6" t="s">
        <v>555</v>
      </c>
      <c r="D35" s="6" t="s">
        <v>13</v>
      </c>
      <c r="E35" s="6" t="s">
        <v>14</v>
      </c>
      <c r="F35" s="6" t="s">
        <v>16</v>
      </c>
      <c r="G35" s="6" t="s">
        <v>17</v>
      </c>
      <c r="H35" s="6" t="s">
        <v>18</v>
      </c>
      <c r="I35" s="6" t="s">
        <v>19</v>
      </c>
      <c r="J35" s="6" t="s">
        <v>20</v>
      </c>
    </row>
    <row r="36">
      <c r="A36" s="5">
        <v>46262.64774958334</v>
      </c>
      <c r="B36" s="6" t="s">
        <v>95</v>
      </c>
      <c r="C36" s="6" t="s">
        <v>557</v>
      </c>
      <c r="D36" s="6" t="s">
        <v>13</v>
      </c>
      <c r="E36" s="6" t="s">
        <v>14</v>
      </c>
      <c r="F36" s="6" t="s">
        <v>16</v>
      </c>
      <c r="G36" s="6" t="s">
        <v>17</v>
      </c>
      <c r="H36" s="6" t="s">
        <v>18</v>
      </c>
      <c r="I36" s="6" t="s">
        <v>19</v>
      </c>
      <c r="J36" s="6" t="s">
        <v>20</v>
      </c>
      <c r="K36" s="6" t="s">
        <v>92</v>
      </c>
    </row>
    <row r="37">
      <c r="A37" s="5">
        <v>46262.648273391205</v>
      </c>
      <c r="B37" s="6" t="s">
        <v>90</v>
      </c>
      <c r="C37" s="6" t="s">
        <v>570</v>
      </c>
      <c r="D37" s="6" t="s">
        <v>13</v>
      </c>
      <c r="E37" s="6" t="s">
        <v>14</v>
      </c>
      <c r="F37" s="6" t="s">
        <v>16</v>
      </c>
      <c r="G37" s="6" t="s">
        <v>17</v>
      </c>
      <c r="H37" s="6" t="s">
        <v>18</v>
      </c>
      <c r="I37" s="6" t="s">
        <v>19</v>
      </c>
      <c r="J37" s="6" t="s">
        <v>20</v>
      </c>
      <c r="K37" s="6" t="s">
        <v>92</v>
      </c>
    </row>
    <row r="38">
      <c r="A38" s="5">
        <v>46262.64969091435</v>
      </c>
      <c r="B38" s="6" t="s">
        <v>93</v>
      </c>
      <c r="C38" s="6" t="s">
        <v>560</v>
      </c>
      <c r="D38" s="6" t="s">
        <v>13</v>
      </c>
      <c r="E38" s="6" t="s">
        <v>14</v>
      </c>
      <c r="F38" s="6" t="s">
        <v>16</v>
      </c>
      <c r="G38" s="6" t="s">
        <v>17</v>
      </c>
      <c r="H38" s="6" t="s">
        <v>18</v>
      </c>
      <c r="I38" s="6" t="s">
        <v>19</v>
      </c>
      <c r="J38" s="6" t="s">
        <v>20</v>
      </c>
    </row>
    <row r="39">
      <c r="A39" s="5">
        <v>46262.75718540509</v>
      </c>
      <c r="B39" s="6" t="s">
        <v>97</v>
      </c>
      <c r="C39" s="6" t="s">
        <v>561</v>
      </c>
      <c r="D39" s="6" t="s">
        <v>13</v>
      </c>
      <c r="E39" s="6" t="s">
        <v>14</v>
      </c>
      <c r="F39" s="6" t="s">
        <v>16</v>
      </c>
      <c r="G39" s="6" t="s">
        <v>17</v>
      </c>
      <c r="H39" s="6" t="s">
        <v>18</v>
      </c>
      <c r="I39" s="6" t="s">
        <v>19</v>
      </c>
      <c r="J39" s="6" t="s">
        <v>20</v>
      </c>
    </row>
    <row r="40">
      <c r="A40" s="5">
        <v>46262.7990511574</v>
      </c>
      <c r="B40" s="6" t="s">
        <v>98</v>
      </c>
      <c r="C40" s="6" t="s">
        <v>555</v>
      </c>
      <c r="D40" s="6" t="s">
        <v>13</v>
      </c>
      <c r="E40" s="6" t="s">
        <v>14</v>
      </c>
      <c r="F40" s="6" t="s">
        <v>16</v>
      </c>
      <c r="G40" s="6" t="s">
        <v>17</v>
      </c>
      <c r="H40" s="6" t="s">
        <v>18</v>
      </c>
      <c r="I40" s="6" t="s">
        <v>19</v>
      </c>
      <c r="J40" s="6" t="s">
        <v>20</v>
      </c>
    </row>
    <row r="41">
      <c r="A41" s="5">
        <v>46262.87959189815</v>
      </c>
      <c r="B41" s="6" t="s">
        <v>99</v>
      </c>
      <c r="C41" s="6" t="s">
        <v>571</v>
      </c>
      <c r="D41" s="6" t="s">
        <v>13</v>
      </c>
      <c r="E41" s="6" t="s">
        <v>14</v>
      </c>
      <c r="F41" s="6" t="s">
        <v>16</v>
      </c>
      <c r="G41" s="6" t="s">
        <v>17</v>
      </c>
      <c r="H41" s="6" t="s">
        <v>18</v>
      </c>
      <c r="I41" s="6" t="s">
        <v>19</v>
      </c>
      <c r="J41" s="6" t="s">
        <v>20</v>
      </c>
    </row>
    <row r="42">
      <c r="A42" s="5">
        <v>46262.96309203704</v>
      </c>
      <c r="B42" s="6" t="s">
        <v>101</v>
      </c>
      <c r="C42" s="6" t="s">
        <v>555</v>
      </c>
      <c r="D42" s="6" t="s">
        <v>13</v>
      </c>
      <c r="E42" s="6" t="s">
        <v>14</v>
      </c>
      <c r="F42" s="6" t="s">
        <v>16</v>
      </c>
      <c r="G42" s="6" t="s">
        <v>17</v>
      </c>
      <c r="H42" s="6" t="s">
        <v>18</v>
      </c>
      <c r="I42" s="6" t="s">
        <v>19</v>
      </c>
      <c r="J42" s="6" t="s">
        <v>20</v>
      </c>
    </row>
    <row r="43">
      <c r="A43" s="5">
        <v>46262.96568607639</v>
      </c>
      <c r="B43" s="6" t="s">
        <v>100</v>
      </c>
      <c r="C43" s="6" t="s">
        <v>560</v>
      </c>
      <c r="D43" s="6" t="s">
        <v>13</v>
      </c>
      <c r="E43" s="6" t="s">
        <v>14</v>
      </c>
      <c r="F43" s="6" t="s">
        <v>16</v>
      </c>
      <c r="G43" s="6" t="s">
        <v>17</v>
      </c>
      <c r="H43" s="6" t="s">
        <v>18</v>
      </c>
      <c r="I43" s="6" t="s">
        <v>19</v>
      </c>
      <c r="J43" s="6" t="s">
        <v>20</v>
      </c>
    </row>
    <row r="44">
      <c r="A44" s="5">
        <v>46263.60895284722</v>
      </c>
      <c r="B44" s="6" t="s">
        <v>103</v>
      </c>
      <c r="C44" s="6" t="s">
        <v>570</v>
      </c>
      <c r="D44" s="6" t="s">
        <v>13</v>
      </c>
      <c r="E44" s="6" t="s">
        <v>14</v>
      </c>
      <c r="F44" s="6" t="s">
        <v>16</v>
      </c>
      <c r="G44" s="6" t="s">
        <v>17</v>
      </c>
      <c r="H44" s="6" t="s">
        <v>18</v>
      </c>
      <c r="I44" s="6" t="s">
        <v>19</v>
      </c>
      <c r="J44" s="6" t="s">
        <v>20</v>
      </c>
    </row>
    <row r="45">
      <c r="A45" s="5">
        <v>46263.7194278588</v>
      </c>
      <c r="B45" s="6" t="s">
        <v>104</v>
      </c>
      <c r="C45" s="6" t="s">
        <v>572</v>
      </c>
      <c r="D45" s="6" t="s">
        <v>13</v>
      </c>
      <c r="E45" s="6" t="s">
        <v>14</v>
      </c>
      <c r="F45" s="6" t="s">
        <v>16</v>
      </c>
      <c r="G45" s="6" t="s">
        <v>17</v>
      </c>
      <c r="H45" s="6" t="s">
        <v>18</v>
      </c>
      <c r="I45" s="6" t="s">
        <v>19</v>
      </c>
      <c r="J45" s="6" t="s">
        <v>20</v>
      </c>
    </row>
    <row r="46">
      <c r="A46" s="5">
        <v>46264.53756291667</v>
      </c>
      <c r="B46" s="6" t="s">
        <v>105</v>
      </c>
      <c r="C46" s="6" t="s">
        <v>573</v>
      </c>
      <c r="D46" s="6" t="s">
        <v>13</v>
      </c>
      <c r="E46" s="6" t="s">
        <v>14</v>
      </c>
      <c r="F46" s="6" t="s">
        <v>16</v>
      </c>
      <c r="G46" s="6" t="s">
        <v>17</v>
      </c>
      <c r="H46" s="6" t="s">
        <v>18</v>
      </c>
      <c r="I46" s="6" t="s">
        <v>19</v>
      </c>
      <c r="J46" s="6" t="s">
        <v>20</v>
      </c>
    </row>
    <row r="47">
      <c r="A47" s="5">
        <v>46264.656057581014</v>
      </c>
      <c r="B47" s="6" t="s">
        <v>106</v>
      </c>
      <c r="C47" s="6" t="s">
        <v>574</v>
      </c>
      <c r="D47" s="6" t="s">
        <v>13</v>
      </c>
      <c r="E47" s="6" t="s">
        <v>14</v>
      </c>
      <c r="F47" s="6" t="s">
        <v>16</v>
      </c>
      <c r="G47" s="6" t="s">
        <v>17</v>
      </c>
      <c r="H47" s="6" t="s">
        <v>18</v>
      </c>
      <c r="I47" s="6" t="s">
        <v>19</v>
      </c>
      <c r="J47" s="6" t="s">
        <v>20</v>
      </c>
    </row>
    <row r="48">
      <c r="A48" s="5">
        <v>46264.88204231481</v>
      </c>
      <c r="B48" s="6" t="s">
        <v>108</v>
      </c>
      <c r="C48" s="6" t="s">
        <v>109</v>
      </c>
      <c r="D48" s="6" t="s">
        <v>13</v>
      </c>
      <c r="E48" s="6" t="s">
        <v>14</v>
      </c>
      <c r="F48" s="6" t="s">
        <v>16</v>
      </c>
      <c r="G48" s="6" t="s">
        <v>17</v>
      </c>
      <c r="H48" s="6" t="s">
        <v>18</v>
      </c>
      <c r="I48" s="6" t="s">
        <v>19</v>
      </c>
      <c r="J48" s="6" t="s">
        <v>20</v>
      </c>
    </row>
    <row r="49">
      <c r="A49" s="5">
        <v>46265.68267061343</v>
      </c>
      <c r="B49" s="6" t="s">
        <v>112</v>
      </c>
      <c r="C49" s="6" t="s">
        <v>575</v>
      </c>
      <c r="D49" s="6" t="s">
        <v>13</v>
      </c>
      <c r="E49" s="6" t="s">
        <v>14</v>
      </c>
      <c r="F49" s="6" t="s">
        <v>16</v>
      </c>
      <c r="G49" s="6" t="s">
        <v>17</v>
      </c>
      <c r="H49" s="6" t="s">
        <v>18</v>
      </c>
      <c r="I49" s="6" t="s">
        <v>19</v>
      </c>
      <c r="J49" s="6" t="s">
        <v>20</v>
      </c>
    </row>
    <row r="50">
      <c r="A50" s="5">
        <v>46265.69688909722</v>
      </c>
      <c r="B50" s="6" t="s">
        <v>113</v>
      </c>
      <c r="C50" s="6" t="s">
        <v>576</v>
      </c>
      <c r="D50" s="6" t="s">
        <v>13</v>
      </c>
      <c r="E50" s="6" t="s">
        <v>14</v>
      </c>
      <c r="F50" s="6" t="s">
        <v>16</v>
      </c>
      <c r="G50" s="6" t="s">
        <v>17</v>
      </c>
      <c r="H50" s="6" t="s">
        <v>18</v>
      </c>
      <c r="I50" s="6" t="s">
        <v>19</v>
      </c>
      <c r="J50" s="6" t="s">
        <v>20</v>
      </c>
    </row>
    <row r="51">
      <c r="A51" s="5">
        <v>46265.708111203705</v>
      </c>
      <c r="B51" s="6" t="s">
        <v>115</v>
      </c>
      <c r="C51" s="6" t="s">
        <v>31</v>
      </c>
      <c r="D51" s="6" t="s">
        <v>13</v>
      </c>
      <c r="E51" s="6" t="s">
        <v>14</v>
      </c>
      <c r="F51" s="6" t="s">
        <v>16</v>
      </c>
      <c r="G51" s="6" t="s">
        <v>17</v>
      </c>
      <c r="H51" s="6" t="s">
        <v>18</v>
      </c>
      <c r="I51" s="6" t="s">
        <v>19</v>
      </c>
      <c r="J51" s="6" t="s">
        <v>20</v>
      </c>
    </row>
    <row r="52">
      <c r="A52" s="5">
        <v>46265.708406238424</v>
      </c>
      <c r="B52" s="6" t="s">
        <v>114</v>
      </c>
      <c r="C52" s="6" t="s">
        <v>561</v>
      </c>
      <c r="D52" s="6" t="s">
        <v>13</v>
      </c>
      <c r="E52" s="6" t="s">
        <v>14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>
      <c r="A53" s="5">
        <v>46265.73907167824</v>
      </c>
      <c r="B53" s="6" t="s">
        <v>116</v>
      </c>
      <c r="C53" s="6" t="s">
        <v>565</v>
      </c>
      <c r="D53" s="6" t="s">
        <v>13</v>
      </c>
      <c r="E53" s="6" t="s">
        <v>14</v>
      </c>
      <c r="F53" s="6" t="s">
        <v>16</v>
      </c>
      <c r="G53" s="6" t="s">
        <v>17</v>
      </c>
      <c r="H53" s="6" t="s">
        <v>18</v>
      </c>
      <c r="I53" s="6" t="s">
        <v>19</v>
      </c>
      <c r="J53" s="6" t="s">
        <v>20</v>
      </c>
    </row>
    <row r="54">
      <c r="A54" s="5">
        <v>46266.55517061343</v>
      </c>
      <c r="B54" s="6" t="s">
        <v>118</v>
      </c>
      <c r="C54" s="6" t="s">
        <v>119</v>
      </c>
      <c r="D54" s="6" t="s">
        <v>73</v>
      </c>
      <c r="E54" s="6" t="s">
        <v>120</v>
      </c>
      <c r="F54" s="6" t="s">
        <v>54</v>
      </c>
      <c r="G54" s="6" t="s">
        <v>39</v>
      </c>
      <c r="H54" s="6" t="s">
        <v>87</v>
      </c>
      <c r="I54" s="6" t="s">
        <v>55</v>
      </c>
      <c r="J54" s="6" t="s">
        <v>56</v>
      </c>
    </row>
    <row r="55">
      <c r="A55" s="5">
        <v>46266.68599997685</v>
      </c>
      <c r="B55" s="6" t="s">
        <v>121</v>
      </c>
      <c r="C55" s="6" t="s">
        <v>561</v>
      </c>
      <c r="D55" s="6" t="s">
        <v>13</v>
      </c>
      <c r="E55" s="6" t="s">
        <v>14</v>
      </c>
      <c r="F55" s="6" t="s">
        <v>16</v>
      </c>
      <c r="G55" s="6" t="s">
        <v>17</v>
      </c>
      <c r="H55" s="6" t="s">
        <v>18</v>
      </c>
      <c r="I55" s="6" t="s">
        <v>19</v>
      </c>
      <c r="J55" s="6" t="s">
        <v>20</v>
      </c>
    </row>
    <row r="56">
      <c r="A56" s="5">
        <v>46266.69121754629</v>
      </c>
      <c r="B56" s="6" t="s">
        <v>124</v>
      </c>
      <c r="C56" s="6" t="s">
        <v>557</v>
      </c>
      <c r="D56" s="6" t="s">
        <v>13</v>
      </c>
      <c r="E56" s="6" t="s">
        <v>14</v>
      </c>
      <c r="F56" s="6" t="s">
        <v>16</v>
      </c>
      <c r="G56" s="6" t="s">
        <v>17</v>
      </c>
      <c r="H56" s="6" t="s">
        <v>18</v>
      </c>
      <c r="I56" s="6" t="s">
        <v>19</v>
      </c>
      <c r="J56" s="6" t="s">
        <v>20</v>
      </c>
    </row>
    <row r="57">
      <c r="A57" s="5">
        <v>46266.701633749995</v>
      </c>
      <c r="B57" s="6" t="s">
        <v>125</v>
      </c>
      <c r="C57" s="6" t="s">
        <v>560</v>
      </c>
      <c r="D57" s="6" t="s">
        <v>13</v>
      </c>
      <c r="E57" s="6" t="s">
        <v>14</v>
      </c>
      <c r="F57" s="6" t="s">
        <v>16</v>
      </c>
      <c r="G57" s="6" t="s">
        <v>17</v>
      </c>
      <c r="H57" s="6" t="s">
        <v>18</v>
      </c>
      <c r="I57" s="6" t="s">
        <v>19</v>
      </c>
      <c r="J57" s="6" t="s">
        <v>20</v>
      </c>
    </row>
    <row r="58">
      <c r="A58" s="5">
        <v>46266.82284465278</v>
      </c>
      <c r="B58" s="6" t="s">
        <v>126</v>
      </c>
      <c r="C58" s="6" t="s">
        <v>577</v>
      </c>
      <c r="D58" s="6" t="s">
        <v>13</v>
      </c>
      <c r="E58" s="6" t="s">
        <v>14</v>
      </c>
      <c r="F58" s="6" t="s">
        <v>16</v>
      </c>
      <c r="G58" s="6" t="s">
        <v>17</v>
      </c>
      <c r="H58" s="6" t="s">
        <v>18</v>
      </c>
      <c r="I58" s="6" t="s">
        <v>19</v>
      </c>
      <c r="J58" s="6" t="s">
        <v>20</v>
      </c>
    </row>
    <row r="59">
      <c r="A59" s="5">
        <v>46267.31242104167</v>
      </c>
      <c r="B59" s="6" t="s">
        <v>127</v>
      </c>
      <c r="C59" s="6" t="s">
        <v>551</v>
      </c>
      <c r="D59" s="6" t="s">
        <v>13</v>
      </c>
      <c r="E59" s="6" t="s">
        <v>14</v>
      </c>
      <c r="F59" s="6" t="s">
        <v>16</v>
      </c>
      <c r="G59" s="6" t="s">
        <v>17</v>
      </c>
      <c r="H59" s="6" t="s">
        <v>18</v>
      </c>
      <c r="I59" s="6" t="s">
        <v>19</v>
      </c>
      <c r="J59" s="6" t="s">
        <v>20</v>
      </c>
    </row>
    <row r="60">
      <c r="A60" s="5">
        <v>46267.313335046296</v>
      </c>
      <c r="B60" s="6" t="s">
        <v>129</v>
      </c>
      <c r="C60" s="6" t="s">
        <v>557</v>
      </c>
      <c r="D60" s="6" t="s">
        <v>13</v>
      </c>
      <c r="E60" s="6" t="s">
        <v>14</v>
      </c>
      <c r="F60" s="6" t="s">
        <v>16</v>
      </c>
      <c r="G60" s="6" t="s">
        <v>17</v>
      </c>
      <c r="H60" s="6" t="s">
        <v>18</v>
      </c>
      <c r="I60" s="6" t="s">
        <v>19</v>
      </c>
      <c r="J60" s="6" t="s">
        <v>20</v>
      </c>
    </row>
    <row r="61">
      <c r="A61" s="5">
        <v>46267.567126435184</v>
      </c>
      <c r="B61" s="6" t="s">
        <v>132</v>
      </c>
      <c r="C61" s="6" t="s">
        <v>555</v>
      </c>
      <c r="D61" s="6" t="s">
        <v>13</v>
      </c>
      <c r="E61" s="6" t="s">
        <v>14</v>
      </c>
      <c r="F61" s="6" t="s">
        <v>16</v>
      </c>
      <c r="G61" s="6" t="s">
        <v>17</v>
      </c>
      <c r="H61" s="6" t="s">
        <v>18</v>
      </c>
      <c r="I61" s="6" t="s">
        <v>19</v>
      </c>
      <c r="J61" s="6" t="s">
        <v>20</v>
      </c>
    </row>
    <row r="62">
      <c r="A62" s="5">
        <v>46267.60860497685</v>
      </c>
      <c r="B62" s="6" t="s">
        <v>135</v>
      </c>
      <c r="C62" s="6" t="s">
        <v>554</v>
      </c>
      <c r="D62" s="6" t="s">
        <v>13</v>
      </c>
      <c r="E62" s="6" t="s">
        <v>14</v>
      </c>
      <c r="F62" s="6" t="s">
        <v>16</v>
      </c>
      <c r="G62" s="6" t="s">
        <v>17</v>
      </c>
      <c r="H62" s="6" t="s">
        <v>18</v>
      </c>
      <c r="I62" s="6" t="s">
        <v>19</v>
      </c>
      <c r="J62" s="6" t="s">
        <v>20</v>
      </c>
    </row>
    <row r="63">
      <c r="A63" s="5">
        <v>46267.61115081019</v>
      </c>
      <c r="B63" s="6" t="s">
        <v>133</v>
      </c>
      <c r="C63" s="6" t="s">
        <v>134</v>
      </c>
      <c r="D63" s="6" t="s">
        <v>13</v>
      </c>
      <c r="E63" s="6" t="s">
        <v>14</v>
      </c>
      <c r="F63" s="6" t="s">
        <v>16</v>
      </c>
      <c r="G63" s="6" t="s">
        <v>17</v>
      </c>
      <c r="H63" s="6" t="s">
        <v>18</v>
      </c>
      <c r="I63" s="6" t="s">
        <v>19</v>
      </c>
      <c r="J63" s="6" t="s">
        <v>20</v>
      </c>
    </row>
    <row r="64">
      <c r="A64" s="5">
        <v>46267.61160462963</v>
      </c>
      <c r="B64" s="6" t="s">
        <v>136</v>
      </c>
      <c r="C64" s="6" t="s">
        <v>560</v>
      </c>
      <c r="D64" s="6" t="s">
        <v>13</v>
      </c>
      <c r="E64" s="6" t="s">
        <v>14</v>
      </c>
      <c r="F64" s="6" t="s">
        <v>16</v>
      </c>
      <c r="G64" s="6" t="s">
        <v>17</v>
      </c>
      <c r="H64" s="6" t="s">
        <v>18</v>
      </c>
      <c r="I64" s="6" t="s">
        <v>19</v>
      </c>
      <c r="J64" s="6" t="s">
        <v>20</v>
      </c>
    </row>
    <row r="65">
      <c r="A65" s="5">
        <v>46267.85343209491</v>
      </c>
      <c r="B65" s="6" t="s">
        <v>138</v>
      </c>
      <c r="C65" s="6" t="s">
        <v>139</v>
      </c>
      <c r="D65" s="6" t="s">
        <v>13</v>
      </c>
      <c r="E65" s="6" t="s">
        <v>14</v>
      </c>
      <c r="F65" s="6" t="s">
        <v>16</v>
      </c>
      <c r="G65" s="6" t="s">
        <v>17</v>
      </c>
      <c r="H65" s="6" t="s">
        <v>18</v>
      </c>
      <c r="I65" s="6" t="s">
        <v>19</v>
      </c>
      <c r="J65" s="6" t="s">
        <v>20</v>
      </c>
      <c r="K65" s="6" t="s">
        <v>326</v>
      </c>
    </row>
    <row r="66">
      <c r="A66" s="5">
        <v>46268.3472605787</v>
      </c>
      <c r="B66" s="6" t="s">
        <v>140</v>
      </c>
      <c r="C66" s="6" t="s">
        <v>578</v>
      </c>
      <c r="D66" s="6" t="s">
        <v>13</v>
      </c>
      <c r="E66" s="6" t="s">
        <v>14</v>
      </c>
      <c r="F66" s="6" t="s">
        <v>16</v>
      </c>
      <c r="G66" s="6" t="s">
        <v>17</v>
      </c>
      <c r="H66" s="6" t="s">
        <v>18</v>
      </c>
      <c r="I66" s="6" t="s">
        <v>19</v>
      </c>
      <c r="J66" s="6" t="s">
        <v>20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63"/>
    <col customWidth="1" min="4" max="4" width="2.13"/>
    <col customWidth="1" min="14" max="14" width="24.5"/>
  </cols>
  <sheetData>
    <row r="1">
      <c r="A1" s="1" t="s">
        <v>0</v>
      </c>
      <c r="B1" s="1" t="s">
        <v>1</v>
      </c>
      <c r="C1" s="3" t="s">
        <v>2</v>
      </c>
      <c r="D1" s="4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1"/>
      <c r="M1" s="7" t="s">
        <v>15</v>
      </c>
    </row>
    <row r="2">
      <c r="A2" s="8">
        <f>'3.2'!A:A</f>
        <v>46262.42624</v>
      </c>
      <c r="B2" s="1" t="str">
        <f>'3.2'!B:B</f>
        <v>bnco1058@signalschool.ac.th</v>
      </c>
      <c r="C2" s="1" t="str">
        <f>'3.2'!C:C</f>
        <v>จ.ส.อ.ชัยยุทธ  ดิษบุตร</v>
      </c>
      <c r="D2" s="9">
        <v>1.0</v>
      </c>
      <c r="E2" s="10">
        <f>IFERROR(vlookup('3.2'!D:D,lookup!$A$2:$B$4,2,false),0)</f>
        <v>5</v>
      </c>
      <c r="F2" s="10">
        <f>IFERROR(vlookup('3.2'!E:E,lookup!$A$6:$B$8,2,false),0)</f>
        <v>5</v>
      </c>
      <c r="G2" s="10">
        <f>IFERROR(vlookup('3.2'!F:F,lookup!$A$10:$B$12,2,false),0)</f>
        <v>5</v>
      </c>
      <c r="H2" s="10">
        <f>IFERROR(vlookup('3.2'!G:G,lookup!$A$14:$B$16,2,false),0)</f>
        <v>5</v>
      </c>
      <c r="I2" s="10">
        <f>IFERROR(vlookup('3.2'!H:H,lookup!$A$18:$B$20,2,false),0)</f>
        <v>5</v>
      </c>
      <c r="J2" s="10">
        <f>IFERROR(vlookup('3.2'!I:I,lookup!$A$22:$B$24,2,false),0)</f>
        <v>5</v>
      </c>
      <c r="K2" s="10">
        <f>IFERROR(vlookup('3.2'!J:J,lookup!$A$26:$B$28,2,false),0)</f>
        <v>5</v>
      </c>
      <c r="L2" s="1"/>
      <c r="M2" s="10">
        <v>1.0</v>
      </c>
      <c r="N2" s="11" t="str">
        <f t="shared" ref="N2:N81" si="1">CONCAT(R2,"@signalschool.ac.th")</f>
        <v>bnco1001@signalschool.ac.th</v>
      </c>
      <c r="O2" s="12">
        <f t="shared" ref="O2:O81" si="2">IFERROR(VLOOKUP(N2,B$2:D$81,3,FALSE),0)</f>
        <v>1</v>
      </c>
      <c r="R2" s="6" t="s">
        <v>91</v>
      </c>
    </row>
    <row r="3">
      <c r="A3" s="8">
        <f>'3.2'!A:A</f>
        <v>46262.42735</v>
      </c>
      <c r="B3" s="1" t="str">
        <f>'3.2'!B:B</f>
        <v>bnco1009@signalschool.ac.th</v>
      </c>
      <c r="C3" s="1" t="str">
        <f>'3.2'!C:C</f>
        <v>ร.อ.ธัญญาพัทธ์/จ.ส.อ.ชัยยุทธ</v>
      </c>
      <c r="D3" s="9">
        <v>1.0</v>
      </c>
      <c r="E3" s="10">
        <f>IFERROR(vlookup('3.2'!D:D,lookup!$A$2:$B$4,2,false),0)</f>
        <v>3</v>
      </c>
      <c r="F3" s="10">
        <f>IFERROR(vlookup('3.2'!E:E,lookup!$A$6:$B$8,2,false),0)</f>
        <v>3</v>
      </c>
      <c r="G3" s="10">
        <f>IFERROR(vlookup('3.2'!F:F,lookup!$A$10:$B$12,2,false),0)</f>
        <v>3</v>
      </c>
      <c r="H3" s="10">
        <f>IFERROR(vlookup('3.2'!G:G,lookup!$A$14:$B$16,2,false),0)</f>
        <v>3</v>
      </c>
      <c r="I3" s="10">
        <f>IFERROR(vlookup('3.2'!H:H,lookup!$A$18:$B$20,2,false),0)</f>
        <v>3</v>
      </c>
      <c r="J3" s="10">
        <f>IFERROR(vlookup('3.2'!I:I,lookup!$A$22:$B$24,2,false),0)</f>
        <v>3</v>
      </c>
      <c r="K3" s="10">
        <f>IFERROR(vlookup('3.2'!J:J,lookup!$A$26:$B$28,2,false),0)</f>
        <v>3</v>
      </c>
      <c r="L3" s="1"/>
      <c r="M3" s="10">
        <v>2.0</v>
      </c>
      <c r="N3" s="11" t="str">
        <f t="shared" si="1"/>
        <v>bnco1002@signalschool.ac.th</v>
      </c>
      <c r="O3" s="12">
        <f t="shared" si="2"/>
        <v>1</v>
      </c>
      <c r="R3" s="6" t="s">
        <v>123</v>
      </c>
    </row>
    <row r="4">
      <c r="A4" s="8">
        <f>'3.2'!A:A</f>
        <v>46262.42849</v>
      </c>
      <c r="B4" s="1" t="str">
        <f>'3.2'!B:B</f>
        <v>bnco1056@signalschool.ac.th</v>
      </c>
      <c r="C4" s="1" t="str">
        <f>'3.2'!C:C</f>
        <v>ร.อ.ธัญญพัทธ์/จ.ส.อ.ชัยยุทธ</v>
      </c>
      <c r="D4" s="9">
        <v>1.0</v>
      </c>
      <c r="E4" s="10">
        <f>IFERROR(vlookup('3.2'!D:D,lookup!$A$2:$B$4,2,false),0)</f>
        <v>5</v>
      </c>
      <c r="F4" s="10">
        <f>IFERROR(vlookup('3.2'!E:E,lookup!$A$6:$B$8,2,false),0)</f>
        <v>5</v>
      </c>
      <c r="G4" s="10">
        <f>IFERROR(vlookup('3.2'!F:F,lookup!$A$10:$B$12,2,false),0)</f>
        <v>5</v>
      </c>
      <c r="H4" s="10">
        <f>IFERROR(vlookup('3.2'!G:G,lookup!$A$14:$B$16,2,false),0)</f>
        <v>5</v>
      </c>
      <c r="I4" s="10">
        <f>IFERROR(vlookup('3.2'!H:H,lookup!$A$18:$B$20,2,false),0)</f>
        <v>5</v>
      </c>
      <c r="J4" s="10">
        <f>IFERROR(vlookup('3.2'!I:I,lookup!$A$22:$B$24,2,false),0)</f>
        <v>5</v>
      </c>
      <c r="K4" s="10">
        <f>IFERROR(vlookup('3.2'!J:J,lookup!$A$26:$B$28,2,false),0)</f>
        <v>5</v>
      </c>
      <c r="L4" s="1"/>
      <c r="M4" s="10">
        <v>3.0</v>
      </c>
      <c r="N4" s="11" t="str">
        <f t="shared" si="1"/>
        <v>bnco1003@signalschool.ac.th</v>
      </c>
      <c r="O4" s="12">
        <f t="shared" si="2"/>
        <v>1</v>
      </c>
      <c r="R4" s="6" t="s">
        <v>141</v>
      </c>
    </row>
    <row r="5">
      <c r="A5" s="8">
        <f>'3.2'!A:A</f>
        <v>46262.43494</v>
      </c>
      <c r="B5" s="1" t="str">
        <f>'3.2'!B:B</f>
        <v>bnco1041@signalschool.ac.th</v>
      </c>
      <c r="C5" s="1" t="str">
        <f>'3.2'!C:C</f>
        <v>จ.ส.อ.ชัยยุทธ</v>
      </c>
      <c r="D5" s="9">
        <v>1.0</v>
      </c>
      <c r="E5" s="10">
        <f>IFERROR(vlookup('3.2'!D:D,lookup!$A$2:$B$4,2,false),0)</f>
        <v>5</v>
      </c>
      <c r="F5" s="10">
        <f>IFERROR(vlookup('3.2'!E:E,lookup!$A$6:$B$8,2,false),0)</f>
        <v>5</v>
      </c>
      <c r="G5" s="10">
        <f>IFERROR(vlookup('3.2'!F:F,lookup!$A$10:$B$12,2,false),0)</f>
        <v>5</v>
      </c>
      <c r="H5" s="10">
        <f>IFERROR(vlookup('3.2'!G:G,lookup!$A$14:$B$16,2,false),0)</f>
        <v>5</v>
      </c>
      <c r="I5" s="10">
        <f>IFERROR(vlookup('3.2'!H:H,lookup!$A$18:$B$20,2,false),0)</f>
        <v>5</v>
      </c>
      <c r="J5" s="10">
        <f>IFERROR(vlookup('3.2'!I:I,lookup!$A$22:$B$24,2,false),0)</f>
        <v>5</v>
      </c>
      <c r="K5" s="10">
        <f>IFERROR(vlookup('3.2'!J:J,lookup!$A$26:$B$28,2,false),0)</f>
        <v>5</v>
      </c>
      <c r="L5" s="1"/>
      <c r="M5" s="10">
        <v>4.0</v>
      </c>
      <c r="N5" s="11" t="str">
        <f t="shared" si="1"/>
        <v>bnco1004@signalschool.ac.th</v>
      </c>
      <c r="O5" s="12">
        <f t="shared" si="2"/>
        <v>1</v>
      </c>
      <c r="R5" s="6" t="s">
        <v>143</v>
      </c>
    </row>
    <row r="6">
      <c r="A6" s="8">
        <f>'3.2'!A:A</f>
        <v>46262.43583</v>
      </c>
      <c r="B6" s="1" t="str">
        <f>'3.2'!B:B</f>
        <v>bnco1062@signalschool.ac.th</v>
      </c>
      <c r="C6" s="1" t="str">
        <f>'3.2'!C:C</f>
        <v>จ.ส.อ.ชัยยุทธ ดิษบุตร</v>
      </c>
      <c r="D6" s="9">
        <v>1.0</v>
      </c>
      <c r="E6" s="10">
        <f>IFERROR(vlookup('3.2'!D:D,lookup!$A$2:$B$4,2,false),0)</f>
        <v>5</v>
      </c>
      <c r="F6" s="10">
        <f>IFERROR(vlookup('3.2'!E:E,lookup!$A$6:$B$8,2,false),0)</f>
        <v>5</v>
      </c>
      <c r="G6" s="10">
        <f>IFERROR(vlookup('3.2'!F:F,lookup!$A$10:$B$12,2,false),0)</f>
        <v>5</v>
      </c>
      <c r="H6" s="10">
        <f>IFERROR(vlookup('3.2'!G:G,lookup!$A$14:$B$16,2,false),0)</f>
        <v>5</v>
      </c>
      <c r="I6" s="10">
        <f>IFERROR(vlookup('3.2'!H:H,lookup!$A$18:$B$20,2,false),0)</f>
        <v>5</v>
      </c>
      <c r="J6" s="10">
        <f>IFERROR(vlookup('3.2'!I:I,lookup!$A$22:$B$24,2,false),0)</f>
        <v>5</v>
      </c>
      <c r="K6" s="10">
        <f>IFERROR(vlookup('3.2'!J:J,lookup!$A$26:$B$28,2,false),0)</f>
        <v>5</v>
      </c>
      <c r="L6" s="1"/>
      <c r="M6" s="10">
        <v>5.0</v>
      </c>
      <c r="N6" s="11" t="str">
        <f t="shared" si="1"/>
        <v>bnco1005@signalschool.ac.th</v>
      </c>
      <c r="O6" s="12">
        <f t="shared" si="2"/>
        <v>1</v>
      </c>
      <c r="R6" s="6" t="s">
        <v>144</v>
      </c>
    </row>
    <row r="7">
      <c r="A7" s="8">
        <f>'3.2'!A:A</f>
        <v>46262.44194</v>
      </c>
      <c r="B7" s="1" t="str">
        <f>'3.2'!B:B</f>
        <v>bnco1012@signalschool.ac.th</v>
      </c>
      <c r="C7" s="1" t="str">
        <f>'3.2'!C:C</f>
        <v>จ.ส.อ.ชัยยุทธ ดัษบุตร</v>
      </c>
      <c r="D7" s="9">
        <v>1.0</v>
      </c>
      <c r="E7" s="10">
        <f>IFERROR(vlookup('3.2'!D:D,lookup!$A$2:$B$4,2,false),0)</f>
        <v>5</v>
      </c>
      <c r="F7" s="10">
        <f>IFERROR(vlookup('3.2'!E:E,lookup!$A$6:$B$8,2,false),0)</f>
        <v>5</v>
      </c>
      <c r="G7" s="10">
        <f>IFERROR(vlookup('3.2'!F:F,lookup!$A$10:$B$12,2,false),0)</f>
        <v>5</v>
      </c>
      <c r="H7" s="10">
        <f>IFERROR(vlookup('3.2'!G:G,lookup!$A$14:$B$16,2,false),0)</f>
        <v>5</v>
      </c>
      <c r="I7" s="10">
        <f>IFERROR(vlookup('3.2'!H:H,lookup!$A$18:$B$20,2,false),0)</f>
        <v>5</v>
      </c>
      <c r="J7" s="10">
        <f>IFERROR(vlookup('3.2'!I:I,lookup!$A$22:$B$24,2,false),0)</f>
        <v>5</v>
      </c>
      <c r="K7" s="10">
        <f>IFERROR(vlookup('3.2'!J:J,lookup!$A$26:$B$28,2,false),0)</f>
        <v>5</v>
      </c>
      <c r="L7" s="1"/>
      <c r="M7" s="10">
        <v>6.0</v>
      </c>
      <c r="N7" s="11" t="str">
        <f t="shared" si="1"/>
        <v>bnco1006@signalschool.ac.th</v>
      </c>
      <c r="O7" s="12">
        <f t="shared" si="2"/>
        <v>1</v>
      </c>
      <c r="R7" s="6" t="s">
        <v>145</v>
      </c>
    </row>
    <row r="8">
      <c r="A8" s="8">
        <f>'3.2'!A:A</f>
        <v>46262.44458</v>
      </c>
      <c r="B8" s="1" t="str">
        <f>'3.2'!B:B</f>
        <v>bnco1006@signalschool.ac.th</v>
      </c>
      <c r="C8" s="1" t="str">
        <f>'3.2'!C:C</f>
        <v>จ.ส.อ.ชัยยุทธ ดิษบุตร</v>
      </c>
      <c r="D8" s="9">
        <v>1.0</v>
      </c>
      <c r="E8" s="10">
        <f>IFERROR(vlookup('3.2'!D:D,lookup!$A$2:$B$4,2,false),0)</f>
        <v>5</v>
      </c>
      <c r="F8" s="10">
        <f>IFERROR(vlookup('3.2'!E:E,lookup!$A$6:$B$8,2,false),0)</f>
        <v>5</v>
      </c>
      <c r="G8" s="10">
        <f>IFERROR(vlookup('3.2'!F:F,lookup!$A$10:$B$12,2,false),0)</f>
        <v>5</v>
      </c>
      <c r="H8" s="10">
        <f>IFERROR(vlookup('3.2'!G:G,lookup!$A$14:$B$16,2,false),0)</f>
        <v>5</v>
      </c>
      <c r="I8" s="10">
        <f>IFERROR(vlookup('3.2'!H:H,lookup!$A$18:$B$20,2,false),0)</f>
        <v>5</v>
      </c>
      <c r="J8" s="10">
        <f>IFERROR(vlookup('3.2'!I:I,lookup!$A$22:$B$24,2,false),0)</f>
        <v>5</v>
      </c>
      <c r="K8" s="10">
        <f>IFERROR(vlookup('3.2'!J:J,lookup!$A$26:$B$28,2,false),0)</f>
        <v>5</v>
      </c>
      <c r="L8" s="1"/>
      <c r="M8" s="10">
        <v>7.0</v>
      </c>
      <c r="N8" s="11" t="str">
        <f t="shared" si="1"/>
        <v>bnco1007@signalschool.ac.th</v>
      </c>
      <c r="O8" s="12">
        <f t="shared" si="2"/>
        <v>0</v>
      </c>
      <c r="R8" s="6" t="s">
        <v>155</v>
      </c>
    </row>
    <row r="9">
      <c r="A9" s="8">
        <f>'3.2'!A:A</f>
        <v>46262.44851</v>
      </c>
      <c r="B9" s="1" t="str">
        <f>'3.2'!B:B</f>
        <v>bnco1018@signalschool.ac.th</v>
      </c>
      <c r="C9" s="1" t="str">
        <f>'3.2'!C:C</f>
        <v>ร.อ.ธัญญพัทธ์ ตรีศักดิ์ศรี</v>
      </c>
      <c r="D9" s="9">
        <v>1.0</v>
      </c>
      <c r="E9" s="10">
        <f>IFERROR(vlookup('3.2'!D:D,lookup!$A$2:$B$4,2,false),0)</f>
        <v>5</v>
      </c>
      <c r="F9" s="10">
        <f>IFERROR(vlookup('3.2'!E:E,lookup!$A$6:$B$8,2,false),0)</f>
        <v>5</v>
      </c>
      <c r="G9" s="10">
        <f>IFERROR(vlookup('3.2'!F:F,lookup!$A$10:$B$12,2,false),0)</f>
        <v>5</v>
      </c>
      <c r="H9" s="10">
        <f>IFERROR(vlookup('3.2'!G:G,lookup!$A$14:$B$16,2,false),0)</f>
        <v>5</v>
      </c>
      <c r="I9" s="10">
        <f>IFERROR(vlookup('3.2'!H:H,lookup!$A$18:$B$20,2,false),0)</f>
        <v>5</v>
      </c>
      <c r="J9" s="10">
        <f>IFERROR(vlookup('3.2'!I:I,lookup!$A$22:$B$24,2,false),0)</f>
        <v>5</v>
      </c>
      <c r="K9" s="10">
        <f>IFERROR(vlookup('3.2'!J:J,lookup!$A$26:$B$28,2,false),0)</f>
        <v>5</v>
      </c>
      <c r="L9" s="1"/>
      <c r="M9" s="10">
        <v>8.0</v>
      </c>
      <c r="N9" s="11" t="str">
        <f t="shared" si="1"/>
        <v>bnco1008@signalschool.ac.th</v>
      </c>
      <c r="O9" s="12">
        <f t="shared" si="2"/>
        <v>1</v>
      </c>
      <c r="R9" s="6" t="s">
        <v>166</v>
      </c>
    </row>
    <row r="10">
      <c r="A10" s="8">
        <f>'3.2'!A:A</f>
        <v>46262.44988</v>
      </c>
      <c r="B10" s="1" t="str">
        <f>'3.2'!B:B</f>
        <v>bnco1052@signalschool.ac.th</v>
      </c>
      <c r="C10" s="1" t="str">
        <f>'3.2'!C:C</f>
        <v>จ.ส.อ.ชัยยุทธ</v>
      </c>
      <c r="D10" s="9">
        <v>1.0</v>
      </c>
      <c r="E10" s="10">
        <f>IFERROR(vlookup('3.2'!D:D,lookup!$A$2:$B$4,2,false),0)</f>
        <v>5</v>
      </c>
      <c r="F10" s="10">
        <f>IFERROR(vlookup('3.2'!E:E,lookup!$A$6:$B$8,2,false),0)</f>
        <v>5</v>
      </c>
      <c r="G10" s="10">
        <f>IFERROR(vlookup('3.2'!F:F,lookup!$A$10:$B$12,2,false),0)</f>
        <v>5</v>
      </c>
      <c r="H10" s="10">
        <f>IFERROR(vlookup('3.2'!G:G,lookup!$A$14:$B$16,2,false),0)</f>
        <v>5</v>
      </c>
      <c r="I10" s="10">
        <f>IFERROR(vlookup('3.2'!H:H,lookup!$A$18:$B$20,2,false),0)</f>
        <v>5</v>
      </c>
      <c r="J10" s="10">
        <f>IFERROR(vlookup('3.2'!I:I,lookup!$A$22:$B$24,2,false),0)</f>
        <v>5</v>
      </c>
      <c r="K10" s="10">
        <f>IFERROR(vlookup('3.2'!J:J,lookup!$A$26:$B$28,2,false),0)</f>
        <v>5</v>
      </c>
      <c r="L10" s="1"/>
      <c r="M10" s="10">
        <v>9.0</v>
      </c>
      <c r="N10" s="11" t="str">
        <f t="shared" si="1"/>
        <v>bnco1009@signalschool.ac.th</v>
      </c>
      <c r="O10" s="12">
        <f t="shared" si="2"/>
        <v>1</v>
      </c>
      <c r="R10" s="6" t="s">
        <v>175</v>
      </c>
    </row>
    <row r="11">
      <c r="A11" s="8">
        <f>'3.2'!A:A</f>
        <v>46262.4503</v>
      </c>
      <c r="B11" s="1" t="str">
        <f>'3.2'!B:B</f>
        <v>bnco1013@signalschool.ac.th</v>
      </c>
      <c r="C11" s="1" t="str">
        <f>'3.2'!C:C</f>
        <v>จ.ส.อ.ชัยยุทธ ดิษบุตร</v>
      </c>
      <c r="D11" s="9">
        <v>1.0</v>
      </c>
      <c r="E11" s="10">
        <f>IFERROR(vlookup('3.2'!D:D,lookup!$A$2:$B$4,2,false),0)</f>
        <v>5</v>
      </c>
      <c r="F11" s="10">
        <f>IFERROR(vlookup('3.2'!E:E,lookup!$A$6:$B$8,2,false),0)</f>
        <v>5</v>
      </c>
      <c r="G11" s="10">
        <f>IFERROR(vlookup('3.2'!F:F,lookup!$A$10:$B$12,2,false),0)</f>
        <v>5</v>
      </c>
      <c r="H11" s="10">
        <f>IFERROR(vlookup('3.2'!G:G,lookup!$A$14:$B$16,2,false),0)</f>
        <v>5</v>
      </c>
      <c r="I11" s="10">
        <f>IFERROR(vlookup('3.2'!H:H,lookup!$A$18:$B$20,2,false),0)</f>
        <v>5</v>
      </c>
      <c r="J11" s="10">
        <f>IFERROR(vlookup('3.2'!I:I,lookup!$A$22:$B$24,2,false),0)</f>
        <v>5</v>
      </c>
      <c r="K11" s="10">
        <f>IFERROR(vlookup('3.2'!J:J,lookup!$A$26:$B$28,2,false),0)</f>
        <v>5</v>
      </c>
      <c r="L11" s="1"/>
      <c r="M11" s="10">
        <v>10.0</v>
      </c>
      <c r="N11" s="11" t="str">
        <f t="shared" si="1"/>
        <v>bnco1010@signalschool.ac.th</v>
      </c>
      <c r="O11" s="12">
        <f t="shared" si="2"/>
        <v>0</v>
      </c>
      <c r="R11" s="6" t="s">
        <v>192</v>
      </c>
    </row>
    <row r="12">
      <c r="A12" s="8">
        <f>'3.2'!A:A</f>
        <v>46262.4508</v>
      </c>
      <c r="B12" s="1" t="str">
        <f>'3.2'!B:B</f>
        <v>bnco1051@signalschool.ac.th</v>
      </c>
      <c r="C12" s="1" t="str">
        <f>'3.2'!C:C</f>
        <v>จ.ส.อ.ชัยยุทธ ดิษบุตร</v>
      </c>
      <c r="D12" s="9">
        <v>1.0</v>
      </c>
      <c r="E12" s="10">
        <f>IFERROR(vlookup('3.2'!D:D,lookup!$A$2:$B$4,2,false),0)</f>
        <v>5</v>
      </c>
      <c r="F12" s="10">
        <f>IFERROR(vlookup('3.2'!E:E,lookup!$A$6:$B$8,2,false),0)</f>
        <v>5</v>
      </c>
      <c r="G12" s="10">
        <f>IFERROR(vlookup('3.2'!F:F,lookup!$A$10:$B$12,2,false),0)</f>
        <v>5</v>
      </c>
      <c r="H12" s="10">
        <f>IFERROR(vlookup('3.2'!G:G,lookup!$A$14:$B$16,2,false),0)</f>
        <v>5</v>
      </c>
      <c r="I12" s="10">
        <f>IFERROR(vlookup('3.2'!H:H,lookup!$A$18:$B$20,2,false),0)</f>
        <v>5</v>
      </c>
      <c r="J12" s="10">
        <f>IFERROR(vlookup('3.2'!I:I,lookup!$A$22:$B$24,2,false),0)</f>
        <v>5</v>
      </c>
      <c r="K12" s="10">
        <f>IFERROR(vlookup('3.2'!J:J,lookup!$A$26:$B$28,2,false),0)</f>
        <v>5</v>
      </c>
      <c r="L12" s="1"/>
      <c r="M12" s="10">
        <v>11.0</v>
      </c>
      <c r="N12" s="11" t="str">
        <f t="shared" si="1"/>
        <v>bnco1011@signalschool.ac.th</v>
      </c>
      <c r="O12" s="12">
        <f t="shared" si="2"/>
        <v>1</v>
      </c>
      <c r="R12" s="6" t="s">
        <v>209</v>
      </c>
    </row>
    <row r="13">
      <c r="A13" s="8">
        <f>'3.2'!A:A</f>
        <v>46262.45093</v>
      </c>
      <c r="B13" s="1" t="str">
        <f>'3.2'!B:B</f>
        <v>bnco1050@signalschool.ac.th</v>
      </c>
      <c r="C13" s="1" t="str">
        <f>'3.2'!C:C</f>
        <v>จ.ส.อ.ชัยยุทธ ดิษบุตร</v>
      </c>
      <c r="D13" s="9">
        <v>1.0</v>
      </c>
      <c r="E13" s="10">
        <f>IFERROR(vlookup('3.2'!D:D,lookup!$A$2:$B$4,2,false),0)</f>
        <v>5</v>
      </c>
      <c r="F13" s="10">
        <f>IFERROR(vlookup('3.2'!E:E,lookup!$A$6:$B$8,2,false),0)</f>
        <v>5</v>
      </c>
      <c r="G13" s="10">
        <f>IFERROR(vlookup('3.2'!F:F,lookup!$A$10:$B$12,2,false),0)</f>
        <v>5</v>
      </c>
      <c r="H13" s="10">
        <f>IFERROR(vlookup('3.2'!G:G,lookup!$A$14:$B$16,2,false),0)</f>
        <v>5</v>
      </c>
      <c r="I13" s="10">
        <f>IFERROR(vlookup('3.2'!H:H,lookup!$A$18:$B$20,2,false),0)</f>
        <v>5</v>
      </c>
      <c r="J13" s="10">
        <f>IFERROR(vlookup('3.2'!I:I,lookup!$A$22:$B$24,2,false),0)</f>
        <v>5</v>
      </c>
      <c r="K13" s="10">
        <f>IFERROR(vlookup('3.2'!J:J,lookup!$A$26:$B$28,2,false),0)</f>
        <v>5</v>
      </c>
      <c r="L13" s="1"/>
      <c r="M13" s="10">
        <v>12.0</v>
      </c>
      <c r="N13" s="11" t="str">
        <f t="shared" si="1"/>
        <v>bnco1012@signalschool.ac.th</v>
      </c>
      <c r="O13" s="12">
        <f t="shared" si="2"/>
        <v>1</v>
      </c>
      <c r="R13" s="6" t="s">
        <v>213</v>
      </c>
    </row>
    <row r="14">
      <c r="A14" s="8">
        <f>'3.2'!A:A</f>
        <v>46262.45413</v>
      </c>
      <c r="B14" s="1" t="str">
        <f>'3.2'!B:B</f>
        <v>bnco1070@signalschool.ac.th</v>
      </c>
      <c r="C14" s="1" t="str">
        <f>'3.2'!C:C</f>
        <v>พ.ต.ไมตรี บุญเหลี่ยม</v>
      </c>
      <c r="D14" s="9">
        <v>1.0</v>
      </c>
      <c r="E14" s="10">
        <f>IFERROR(vlookup('3.2'!D:D,lookup!$A$2:$B$4,2,false),0)</f>
        <v>3</v>
      </c>
      <c r="F14" s="10">
        <f>IFERROR(vlookup('3.2'!E:E,lookup!$A$6:$B$8,2,false),0)</f>
        <v>5</v>
      </c>
      <c r="G14" s="10">
        <f>IFERROR(vlookup('3.2'!F:F,lookup!$A$10:$B$12,2,false),0)</f>
        <v>3</v>
      </c>
      <c r="H14" s="10">
        <f>IFERROR(vlookup('3.2'!G:G,lookup!$A$14:$B$16,2,false),0)</f>
        <v>5</v>
      </c>
      <c r="I14" s="10">
        <f>IFERROR(vlookup('3.2'!H:H,lookup!$A$18:$B$20,2,false),0)</f>
        <v>5</v>
      </c>
      <c r="J14" s="10">
        <f>IFERROR(vlookup('3.2'!I:I,lookup!$A$22:$B$24,2,false),0)</f>
        <v>5</v>
      </c>
      <c r="K14" s="10">
        <f>IFERROR(vlookup('3.2'!J:J,lookup!$A$26:$B$28,2,false),0)</f>
        <v>3</v>
      </c>
      <c r="L14" s="1"/>
      <c r="M14" s="10">
        <v>13.0</v>
      </c>
      <c r="N14" s="11" t="str">
        <f t="shared" si="1"/>
        <v>bnco1013@signalschool.ac.th</v>
      </c>
      <c r="O14" s="12">
        <f t="shared" si="2"/>
        <v>1</v>
      </c>
      <c r="R14" s="6" t="s">
        <v>214</v>
      </c>
    </row>
    <row r="15">
      <c r="A15" s="8">
        <f>'3.2'!A:A</f>
        <v>46262.45483</v>
      </c>
      <c r="B15" s="1" t="str">
        <f>'3.2'!B:B</f>
        <v>bnco1035@signalschool.ac.th</v>
      </c>
      <c r="C15" s="1" t="str">
        <f>'3.2'!C:C</f>
        <v>จ.ส.อ ชัยยุทธ ดิษบุตร</v>
      </c>
      <c r="D15" s="9">
        <v>1.0</v>
      </c>
      <c r="E15" s="10">
        <f>IFERROR(vlookup('3.2'!D:D,lookup!$A$2:$B$4,2,false),0)</f>
        <v>5</v>
      </c>
      <c r="F15" s="10">
        <f>IFERROR(vlookup('3.2'!E:E,lookup!$A$6:$B$8,2,false),0)</f>
        <v>5</v>
      </c>
      <c r="G15" s="10">
        <f>IFERROR(vlookup('3.2'!F:F,lookup!$A$10:$B$12,2,false),0)</f>
        <v>5</v>
      </c>
      <c r="H15" s="10">
        <f>IFERROR(vlookup('3.2'!G:G,lookup!$A$14:$B$16,2,false),0)</f>
        <v>5</v>
      </c>
      <c r="I15" s="10">
        <f>IFERROR(vlookup('3.2'!H:H,lookup!$A$18:$B$20,2,false),0)</f>
        <v>5</v>
      </c>
      <c r="J15" s="10">
        <f>IFERROR(vlookup('3.2'!I:I,lookup!$A$22:$B$24,2,false),0)</f>
        <v>5</v>
      </c>
      <c r="K15" s="10">
        <f>IFERROR(vlookup('3.2'!J:J,lookup!$A$26:$B$28,2,false),0)</f>
        <v>5</v>
      </c>
      <c r="L15" s="1"/>
      <c r="M15" s="10">
        <v>14.0</v>
      </c>
      <c r="N15" s="11" t="str">
        <f t="shared" si="1"/>
        <v>bnco1014@signalschool.ac.th</v>
      </c>
      <c r="O15" s="12">
        <f t="shared" si="2"/>
        <v>1</v>
      </c>
      <c r="R15" s="6" t="s">
        <v>215</v>
      </c>
    </row>
    <row r="16">
      <c r="A16" s="8">
        <f>'3.2'!A:A</f>
        <v>46262.45558</v>
      </c>
      <c r="B16" s="1" t="str">
        <f>'3.2'!B:B</f>
        <v>bnco1038@signalschool.ac.th</v>
      </c>
      <c r="C16" s="1" t="str">
        <f>'3.2'!C:C</f>
        <v>จ.ส.อ.ชัยยุทธ ดิษบุตร</v>
      </c>
      <c r="D16" s="9">
        <v>1.0</v>
      </c>
      <c r="E16" s="10">
        <f>IFERROR(vlookup('3.2'!D:D,lookup!$A$2:$B$4,2,false),0)</f>
        <v>5</v>
      </c>
      <c r="F16" s="10">
        <f>IFERROR(vlookup('3.2'!E:E,lookup!$A$6:$B$8,2,false),0)</f>
        <v>5</v>
      </c>
      <c r="G16" s="10">
        <f>IFERROR(vlookup('3.2'!F:F,lookup!$A$10:$B$12,2,false),0)</f>
        <v>5</v>
      </c>
      <c r="H16" s="10">
        <f>IFERROR(vlookup('3.2'!G:G,lookup!$A$14:$B$16,2,false),0)</f>
        <v>5</v>
      </c>
      <c r="I16" s="10">
        <f>IFERROR(vlookup('3.2'!H:H,lookup!$A$18:$B$20,2,false),0)</f>
        <v>5</v>
      </c>
      <c r="J16" s="10">
        <f>IFERROR(vlookup('3.2'!I:I,lookup!$A$22:$B$24,2,false),0)</f>
        <v>5</v>
      </c>
      <c r="K16" s="10">
        <f>IFERROR(vlookup('3.2'!J:J,lookup!$A$26:$B$28,2,false),0)</f>
        <v>5</v>
      </c>
      <c r="L16" s="1"/>
      <c r="M16" s="10">
        <v>15.0</v>
      </c>
      <c r="N16" s="11" t="str">
        <f t="shared" si="1"/>
        <v>bnco1015@signalschool.ac.th</v>
      </c>
      <c r="O16" s="12">
        <f t="shared" si="2"/>
        <v>1</v>
      </c>
      <c r="R16" s="6" t="s">
        <v>221</v>
      </c>
    </row>
    <row r="17">
      <c r="A17" s="8">
        <f>'3.2'!A:A</f>
        <v>46262.46423</v>
      </c>
      <c r="B17" s="1" t="str">
        <f>'3.2'!B:B</f>
        <v>bnco1036@signalschool.ac.th</v>
      </c>
      <c r="C17" s="1" t="str">
        <f>'3.2'!C:C</f>
        <v>ร.อ.ธัญญพัทธ์ ตรีศักดิ์ศรี จ.ส.อ.ชัยยุทธ ดิษบุตร</v>
      </c>
      <c r="D17" s="9">
        <v>1.0</v>
      </c>
      <c r="E17" s="10">
        <f>IFERROR(vlookup('3.2'!D:D,lookup!$A$2:$B$4,2,false),0)</f>
        <v>5</v>
      </c>
      <c r="F17" s="10">
        <f>IFERROR(vlookup('3.2'!E:E,lookup!$A$6:$B$8,2,false),0)</f>
        <v>5</v>
      </c>
      <c r="G17" s="10">
        <f>IFERROR(vlookup('3.2'!F:F,lookup!$A$10:$B$12,2,false),0)</f>
        <v>5</v>
      </c>
      <c r="H17" s="10">
        <f>IFERROR(vlookup('3.2'!G:G,lookup!$A$14:$B$16,2,false),0)</f>
        <v>5</v>
      </c>
      <c r="I17" s="10">
        <f>IFERROR(vlookup('3.2'!H:H,lookup!$A$18:$B$20,2,false),0)</f>
        <v>5</v>
      </c>
      <c r="J17" s="10">
        <f>IFERROR(vlookup('3.2'!I:I,lookup!$A$22:$B$24,2,false),0)</f>
        <v>5</v>
      </c>
      <c r="K17" s="10">
        <f>IFERROR(vlookup('3.2'!J:J,lookup!$A$26:$B$28,2,false),0)</f>
        <v>5</v>
      </c>
      <c r="L17" s="1"/>
      <c r="M17" s="10">
        <v>16.0</v>
      </c>
      <c r="N17" s="11" t="str">
        <f t="shared" si="1"/>
        <v>bnco1016@signalschool.ac.th</v>
      </c>
      <c r="O17" s="12">
        <f t="shared" si="2"/>
        <v>1</v>
      </c>
      <c r="R17" s="6" t="s">
        <v>223</v>
      </c>
    </row>
    <row r="18">
      <c r="A18" s="8">
        <f>'3.2'!A:A</f>
        <v>46262.46596</v>
      </c>
      <c r="B18" s="1" t="str">
        <f>'3.2'!B:B</f>
        <v>bnco1042@signalschool.ac.th</v>
      </c>
      <c r="C18" s="1" t="str">
        <f>'3.2'!C:C</f>
        <v>จ.ส.อ.ชัยยุทธ  ดิษบุตร</v>
      </c>
      <c r="D18" s="9">
        <v>1.0</v>
      </c>
      <c r="E18" s="10">
        <f>IFERROR(vlookup('3.2'!D:D,lookup!$A$2:$B$4,2,false),0)</f>
        <v>5</v>
      </c>
      <c r="F18" s="10">
        <f>IFERROR(vlookup('3.2'!E:E,lookup!$A$6:$B$8,2,false),0)</f>
        <v>5</v>
      </c>
      <c r="G18" s="10">
        <f>IFERROR(vlookup('3.2'!F:F,lookup!$A$10:$B$12,2,false),0)</f>
        <v>5</v>
      </c>
      <c r="H18" s="10">
        <f>IFERROR(vlookup('3.2'!G:G,lookup!$A$14:$B$16,2,false),0)</f>
        <v>5</v>
      </c>
      <c r="I18" s="10">
        <f>IFERROR(vlookup('3.2'!H:H,lookup!$A$18:$B$20,2,false),0)</f>
        <v>5</v>
      </c>
      <c r="J18" s="10">
        <f>IFERROR(vlookup('3.2'!I:I,lookup!$A$22:$B$24,2,false),0)</f>
        <v>5</v>
      </c>
      <c r="K18" s="10">
        <f>IFERROR(vlookup('3.2'!J:J,lookup!$A$26:$B$28,2,false),0)</f>
        <v>5</v>
      </c>
      <c r="L18" s="1"/>
      <c r="M18" s="10">
        <v>17.0</v>
      </c>
      <c r="N18" s="11" t="str">
        <f t="shared" si="1"/>
        <v>bnco1017@signalschool.ac.th</v>
      </c>
      <c r="O18" s="12">
        <f t="shared" si="2"/>
        <v>1</v>
      </c>
      <c r="R18" s="6" t="s">
        <v>229</v>
      </c>
    </row>
    <row r="19">
      <c r="A19" s="8">
        <f>'3.2'!A:A</f>
        <v>46262.47213</v>
      </c>
      <c r="B19" s="1" t="str">
        <f>'3.2'!B:B</f>
        <v>bnco1003@signalschool.ac.th</v>
      </c>
      <c r="C19" s="1" t="str">
        <f>'3.2'!C:C</f>
        <v>ร.อ.ธัญญพัทธ์  ตรีศักดิ์ศรี</v>
      </c>
      <c r="D19" s="9">
        <v>1.0</v>
      </c>
      <c r="E19" s="10">
        <f>IFERROR(vlookup('3.2'!D:D,lookup!$A$2:$B$4,2,false),0)</f>
        <v>5</v>
      </c>
      <c r="F19" s="10">
        <f>IFERROR(vlookup('3.2'!E:E,lookup!$A$6:$B$8,2,false),0)</f>
        <v>5</v>
      </c>
      <c r="G19" s="10">
        <f>IFERROR(vlookup('3.2'!F:F,lookup!$A$10:$B$12,2,false),0)</f>
        <v>5</v>
      </c>
      <c r="H19" s="10">
        <f>IFERROR(vlookup('3.2'!G:G,lookup!$A$14:$B$16,2,false),0)</f>
        <v>5</v>
      </c>
      <c r="I19" s="10">
        <f>IFERROR(vlookup('3.2'!H:H,lookup!$A$18:$B$20,2,false),0)</f>
        <v>5</v>
      </c>
      <c r="J19" s="10">
        <f>IFERROR(vlookup('3.2'!I:I,lookup!$A$22:$B$24,2,false),0)</f>
        <v>5</v>
      </c>
      <c r="K19" s="10">
        <f>IFERROR(vlookup('3.2'!J:J,lookup!$A$26:$B$28,2,false),0)</f>
        <v>5</v>
      </c>
      <c r="L19" s="1"/>
      <c r="M19" s="10">
        <v>18.0</v>
      </c>
      <c r="N19" s="11" t="str">
        <f t="shared" si="1"/>
        <v>bnco1018@signalschool.ac.th</v>
      </c>
      <c r="O19" s="12">
        <f t="shared" si="2"/>
        <v>1</v>
      </c>
      <c r="R19" s="6" t="s">
        <v>232</v>
      </c>
    </row>
    <row r="20">
      <c r="A20" s="8">
        <f>'3.2'!A:A</f>
        <v>46262.49074</v>
      </c>
      <c r="B20" s="1" t="str">
        <f>'3.2'!B:B</f>
        <v>bnco1060@signalschool.ac.th</v>
      </c>
      <c r="C20" s="1" t="str">
        <f>'3.2'!C:C</f>
        <v>ร.อ.ธัญญพัทธ์ ตรีศักดิ์ศรี</v>
      </c>
      <c r="D20" s="9">
        <v>1.0</v>
      </c>
      <c r="E20" s="10">
        <f>IFERROR(vlookup('3.2'!D:D,lookup!$A$2:$B$4,2,false),0)</f>
        <v>5</v>
      </c>
      <c r="F20" s="10">
        <f>IFERROR(vlookup('3.2'!E:E,lookup!$A$6:$B$8,2,false),0)</f>
        <v>5</v>
      </c>
      <c r="G20" s="10">
        <f>IFERROR(vlookup('3.2'!F:F,lookup!$A$10:$B$12,2,false),0)</f>
        <v>5</v>
      </c>
      <c r="H20" s="10">
        <f>IFERROR(vlookup('3.2'!G:G,lookup!$A$14:$B$16,2,false),0)</f>
        <v>5</v>
      </c>
      <c r="I20" s="10">
        <f>IFERROR(vlookup('3.2'!H:H,lookup!$A$18:$B$20,2,false),0)</f>
        <v>5</v>
      </c>
      <c r="J20" s="10">
        <f>IFERROR(vlookup('3.2'!I:I,lookup!$A$22:$B$24,2,false),0)</f>
        <v>5</v>
      </c>
      <c r="K20" s="10">
        <f>IFERROR(vlookup('3.2'!J:J,lookup!$A$26:$B$28,2,false),0)</f>
        <v>5</v>
      </c>
      <c r="L20" s="1"/>
      <c r="M20" s="10">
        <v>19.0</v>
      </c>
      <c r="N20" s="11" t="str">
        <f t="shared" si="1"/>
        <v>bnco1019@signalschool.ac.th</v>
      </c>
      <c r="O20" s="12">
        <f t="shared" si="2"/>
        <v>1</v>
      </c>
      <c r="R20" s="6" t="s">
        <v>233</v>
      </c>
    </row>
    <row r="21">
      <c r="A21" s="8">
        <f>'3.2'!A:A</f>
        <v>46262.49179</v>
      </c>
      <c r="B21" s="1" t="str">
        <f>'3.2'!B:B</f>
        <v>bnco1032@signalschool.ac.th</v>
      </c>
      <c r="C21" s="1" t="str">
        <f>'3.2'!C:C</f>
        <v>ร.อ.ธัญญพัทธ์ ตรีศักดิ์ศรี</v>
      </c>
      <c r="D21" s="9">
        <v>1.0</v>
      </c>
      <c r="E21" s="10">
        <f>IFERROR(vlookup('3.2'!D:D,lookup!$A$2:$B$4,2,false),0)</f>
        <v>5</v>
      </c>
      <c r="F21" s="10">
        <f>IFERROR(vlookup('3.2'!E:E,lookup!$A$6:$B$8,2,false),0)</f>
        <v>5</v>
      </c>
      <c r="G21" s="10">
        <f>IFERROR(vlookup('3.2'!F:F,lookup!$A$10:$B$12,2,false),0)</f>
        <v>5</v>
      </c>
      <c r="H21" s="10">
        <f>IFERROR(vlookup('3.2'!G:G,lookup!$A$14:$B$16,2,false),0)</f>
        <v>5</v>
      </c>
      <c r="I21" s="10">
        <f>IFERROR(vlookup('3.2'!H:H,lookup!$A$18:$B$20,2,false),0)</f>
        <v>5</v>
      </c>
      <c r="J21" s="10">
        <f>IFERROR(vlookup('3.2'!I:I,lookup!$A$22:$B$24,2,false),0)</f>
        <v>5</v>
      </c>
      <c r="K21" s="10">
        <f>IFERROR(vlookup('3.2'!J:J,lookup!$A$26:$B$28,2,false),0)</f>
        <v>5</v>
      </c>
      <c r="L21" s="1"/>
      <c r="M21" s="10">
        <v>20.0</v>
      </c>
      <c r="N21" s="11" t="str">
        <f t="shared" si="1"/>
        <v>bnco1020@signalschool.ac.th</v>
      </c>
      <c r="O21" s="12">
        <f t="shared" si="2"/>
        <v>0</v>
      </c>
      <c r="R21" s="6" t="s">
        <v>234</v>
      </c>
    </row>
    <row r="22">
      <c r="A22" s="8">
        <f>'3.2'!A:A</f>
        <v>46262.50869</v>
      </c>
      <c r="B22" s="1" t="str">
        <f>'3.2'!B:B</f>
        <v>bnco1063@signalschool.ac.th</v>
      </c>
      <c r="C22" s="1" t="str">
        <f>'3.2'!C:C</f>
        <v>ร.อ.ธัญญพัทธ์ ตรีศักดิ์ศรี  จ.ส.อ.ชัยยุทธ ดิษบุตร</v>
      </c>
      <c r="D22" s="9">
        <v>1.0</v>
      </c>
      <c r="E22" s="10">
        <f>IFERROR(vlookup('3.2'!D:D,lookup!$A$2:$B$4,2,false),0)</f>
        <v>5</v>
      </c>
      <c r="F22" s="10">
        <f>IFERROR(vlookup('3.2'!E:E,lookup!$A$6:$B$8,2,false),0)</f>
        <v>5</v>
      </c>
      <c r="G22" s="10">
        <f>IFERROR(vlookup('3.2'!F:F,lookup!$A$10:$B$12,2,false),0)</f>
        <v>5</v>
      </c>
      <c r="H22" s="10">
        <f>IFERROR(vlookup('3.2'!G:G,lookup!$A$14:$B$16,2,false),0)</f>
        <v>5</v>
      </c>
      <c r="I22" s="10">
        <f>IFERROR(vlookup('3.2'!H:H,lookup!$A$18:$B$20,2,false),0)</f>
        <v>5</v>
      </c>
      <c r="J22" s="10">
        <f>IFERROR(vlookup('3.2'!I:I,lookup!$A$22:$B$24,2,false),0)</f>
        <v>5</v>
      </c>
      <c r="K22" s="10">
        <f>IFERROR(vlookup('3.2'!J:J,lookup!$A$26:$B$28,2,false),0)</f>
        <v>5</v>
      </c>
      <c r="L22" s="1"/>
      <c r="M22" s="10">
        <v>21.0</v>
      </c>
      <c r="N22" s="11" t="str">
        <f t="shared" si="1"/>
        <v>bnco1021@signalschool.ac.th</v>
      </c>
      <c r="O22" s="12">
        <f t="shared" si="2"/>
        <v>1</v>
      </c>
      <c r="R22" s="6" t="s">
        <v>235</v>
      </c>
    </row>
    <row r="23">
      <c r="A23" s="8">
        <f>'3.2'!A:A</f>
        <v>46262.52413</v>
      </c>
      <c r="B23" s="1" t="str">
        <f>'3.2'!B:B</f>
        <v>bnco1031@signalschool.ac.th</v>
      </c>
      <c r="C23" s="1" t="str">
        <f>'3.2'!C:C</f>
        <v>ร.อ. ธัญญพัทธ์ ตรีศักดิ์ศรี ,จ.ส.อ. ชัยยุทธ ดิษบุตร</v>
      </c>
      <c r="D23" s="9">
        <v>1.0</v>
      </c>
      <c r="E23" s="10">
        <f>IFERROR(vlookup('3.2'!D:D,lookup!$A$2:$B$4,2,false),0)</f>
        <v>5</v>
      </c>
      <c r="F23" s="10">
        <f>IFERROR(vlookup('3.2'!E:E,lookup!$A$6:$B$8,2,false),0)</f>
        <v>5</v>
      </c>
      <c r="G23" s="10">
        <f>IFERROR(vlookup('3.2'!F:F,lookup!$A$10:$B$12,2,false),0)</f>
        <v>5</v>
      </c>
      <c r="H23" s="10">
        <f>IFERROR(vlookup('3.2'!G:G,lookup!$A$14:$B$16,2,false),0)</f>
        <v>5</v>
      </c>
      <c r="I23" s="10">
        <f>IFERROR(vlookup('3.2'!H:H,lookup!$A$18:$B$20,2,false),0)</f>
        <v>5</v>
      </c>
      <c r="J23" s="10">
        <f>IFERROR(vlookup('3.2'!I:I,lookup!$A$22:$B$24,2,false),0)</f>
        <v>5</v>
      </c>
      <c r="K23" s="10">
        <f>IFERROR(vlookup('3.2'!J:J,lookup!$A$26:$B$28,2,false),0)</f>
        <v>5</v>
      </c>
      <c r="L23" s="1"/>
      <c r="M23" s="10">
        <v>22.0</v>
      </c>
      <c r="N23" s="11" t="str">
        <f t="shared" si="1"/>
        <v>bnco1022@signalschool.ac.th</v>
      </c>
      <c r="O23" s="12">
        <f t="shared" si="2"/>
        <v>0</v>
      </c>
      <c r="R23" s="6" t="s">
        <v>236</v>
      </c>
    </row>
    <row r="24">
      <c r="A24" s="8">
        <f>'3.2'!A:A</f>
        <v>46262.53432</v>
      </c>
      <c r="B24" s="1" t="str">
        <f>'3.2'!B:B</f>
        <v>bnco1069@signalschool.ac.th</v>
      </c>
      <c r="C24" s="1" t="str">
        <f>'3.2'!C:C</f>
        <v>ร.อ.ธัญญพัทธ์  ตรีศักดิ์ศรี</v>
      </c>
      <c r="D24" s="9">
        <v>1.0</v>
      </c>
      <c r="E24" s="10">
        <f>IFERROR(vlookup('3.2'!D:D,lookup!$A$2:$B$4,2,false),0)</f>
        <v>5</v>
      </c>
      <c r="F24" s="10">
        <f>IFERROR(vlookup('3.2'!E:E,lookup!$A$6:$B$8,2,false),0)</f>
        <v>5</v>
      </c>
      <c r="G24" s="10">
        <f>IFERROR(vlookup('3.2'!F:F,lookup!$A$10:$B$12,2,false),0)</f>
        <v>5</v>
      </c>
      <c r="H24" s="10">
        <f>IFERROR(vlookup('3.2'!G:G,lookup!$A$14:$B$16,2,false),0)</f>
        <v>5</v>
      </c>
      <c r="I24" s="10">
        <f>IFERROR(vlookup('3.2'!H:H,lookup!$A$18:$B$20,2,false),0)</f>
        <v>5</v>
      </c>
      <c r="J24" s="10">
        <f>IFERROR(vlookup('3.2'!I:I,lookup!$A$22:$B$24,2,false),0)</f>
        <v>5</v>
      </c>
      <c r="K24" s="10">
        <f>IFERROR(vlookup('3.2'!J:J,lookup!$A$26:$B$28,2,false),0)</f>
        <v>5</v>
      </c>
      <c r="L24" s="1"/>
      <c r="M24" s="10">
        <v>23.0</v>
      </c>
      <c r="N24" s="11" t="str">
        <f t="shared" si="1"/>
        <v>bnco1023@signalschool.ac.th</v>
      </c>
      <c r="O24" s="12">
        <f t="shared" si="2"/>
        <v>1</v>
      </c>
      <c r="R24" s="6" t="s">
        <v>237</v>
      </c>
    </row>
    <row r="25">
      <c r="A25" s="8">
        <f>'3.2'!A:A</f>
        <v>46262.54716</v>
      </c>
      <c r="B25" s="1" t="str">
        <f>'3.2'!B:B</f>
        <v>bnco1079@signalschool.ac.th</v>
      </c>
      <c r="C25" s="1" t="str">
        <f>'3.2'!C:C</f>
        <v>ร.อ.ธัญญพัทธ์ ตรีศักดิ์ศรี จ.ส.อ.ชัยยุทธ ดิษบุตร</v>
      </c>
      <c r="D25" s="9">
        <v>1.0</v>
      </c>
      <c r="E25" s="10">
        <f>IFERROR(vlookup('3.2'!D:D,lookup!$A$2:$B$4,2,false),0)</f>
        <v>5</v>
      </c>
      <c r="F25" s="10">
        <f>IFERROR(vlookup('3.2'!E:E,lookup!$A$6:$B$8,2,false),0)</f>
        <v>5</v>
      </c>
      <c r="G25" s="10">
        <f>IFERROR(vlookup('3.2'!F:F,lookup!$A$10:$B$12,2,false),0)</f>
        <v>5</v>
      </c>
      <c r="H25" s="10">
        <f>IFERROR(vlookup('3.2'!G:G,lookup!$A$14:$B$16,2,false),0)</f>
        <v>5</v>
      </c>
      <c r="I25" s="10">
        <f>IFERROR(vlookup('3.2'!H:H,lookup!$A$18:$B$20,2,false),0)</f>
        <v>5</v>
      </c>
      <c r="J25" s="10">
        <f>IFERROR(vlookup('3.2'!I:I,lookup!$A$22:$B$24,2,false),0)</f>
        <v>5</v>
      </c>
      <c r="K25" s="10">
        <f>IFERROR(vlookup('3.2'!J:J,lookup!$A$26:$B$28,2,false),0)</f>
        <v>5</v>
      </c>
      <c r="L25" s="1"/>
      <c r="M25" s="10">
        <v>24.0</v>
      </c>
      <c r="N25" s="11" t="str">
        <f t="shared" si="1"/>
        <v>bnco1024@signalschool.ac.th</v>
      </c>
      <c r="O25" s="12">
        <f t="shared" si="2"/>
        <v>1</v>
      </c>
      <c r="R25" s="6" t="s">
        <v>238</v>
      </c>
    </row>
    <row r="26">
      <c r="A26" s="8">
        <f>'3.2'!A:A</f>
        <v>46262.54778</v>
      </c>
      <c r="B26" s="1" t="str">
        <f>'3.2'!B:B</f>
        <v>bnco1066@signalschool.ac.th</v>
      </c>
      <c r="C26" s="1" t="str">
        <f>'3.2'!C:C</f>
        <v>ร.อ.ธัญญพัทธิ์ ตรีศักดิ์ศรี, จ.ส.อ.ชัยยุทธ ดิษบุตร</v>
      </c>
      <c r="D26" s="9">
        <v>1.0</v>
      </c>
      <c r="E26" s="10">
        <f>IFERROR(vlookup('3.2'!D:D,lookup!$A$2:$B$4,2,false),0)</f>
        <v>5</v>
      </c>
      <c r="F26" s="10">
        <f>IFERROR(vlookup('3.2'!E:E,lookup!$A$6:$B$8,2,false),0)</f>
        <v>5</v>
      </c>
      <c r="G26" s="10">
        <f>IFERROR(vlookup('3.2'!F:F,lookup!$A$10:$B$12,2,false),0)</f>
        <v>5</v>
      </c>
      <c r="H26" s="10">
        <f>IFERROR(vlookup('3.2'!G:G,lookup!$A$14:$B$16,2,false),0)</f>
        <v>5</v>
      </c>
      <c r="I26" s="10">
        <f>IFERROR(vlookup('3.2'!H:H,lookup!$A$18:$B$20,2,false),0)</f>
        <v>5</v>
      </c>
      <c r="J26" s="10">
        <f>IFERROR(vlookup('3.2'!I:I,lookup!$A$22:$B$24,2,false),0)</f>
        <v>5</v>
      </c>
      <c r="K26" s="10">
        <f>IFERROR(vlookup('3.2'!J:J,lookup!$A$26:$B$28,2,false),0)</f>
        <v>5</v>
      </c>
      <c r="L26" s="1"/>
      <c r="M26" s="10">
        <v>25.0</v>
      </c>
      <c r="N26" s="11" t="str">
        <f t="shared" si="1"/>
        <v>bnco1025@signalschool.ac.th</v>
      </c>
      <c r="O26" s="12">
        <f t="shared" si="2"/>
        <v>0</v>
      </c>
      <c r="R26" s="6" t="s">
        <v>239</v>
      </c>
    </row>
    <row r="27">
      <c r="A27" s="8">
        <f>'3.2'!A:A</f>
        <v>46262.55742</v>
      </c>
      <c r="B27" s="1" t="str">
        <f>'3.2'!B:B</f>
        <v>bnco1068@signalschool.ac.th</v>
      </c>
      <c r="C27" s="1" t="str">
        <f>'3.2'!C:C</f>
        <v>ร.อ. ธัญญพัทธ์  ตรีศักดิ์ศรี</v>
      </c>
      <c r="D27" s="9">
        <v>1.0</v>
      </c>
      <c r="E27" s="10">
        <f>IFERROR(vlookup('3.2'!D:D,lookup!$A$2:$B$4,2,false),0)</f>
        <v>5</v>
      </c>
      <c r="F27" s="10">
        <f>IFERROR(vlookup('3.2'!E:E,lookup!$A$6:$B$8,2,false),0)</f>
        <v>5</v>
      </c>
      <c r="G27" s="10">
        <f>IFERROR(vlookup('3.2'!F:F,lookup!$A$10:$B$12,2,false),0)</f>
        <v>5</v>
      </c>
      <c r="H27" s="10">
        <f>IFERROR(vlookup('3.2'!G:G,lookup!$A$14:$B$16,2,false),0)</f>
        <v>5</v>
      </c>
      <c r="I27" s="10">
        <f>IFERROR(vlookup('3.2'!H:H,lookup!$A$18:$B$20,2,false),0)</f>
        <v>5</v>
      </c>
      <c r="J27" s="10">
        <f>IFERROR(vlookup('3.2'!I:I,lookup!$A$22:$B$24,2,false),0)</f>
        <v>5</v>
      </c>
      <c r="K27" s="10">
        <f>IFERROR(vlookup('3.2'!J:J,lookup!$A$26:$B$28,2,false),0)</f>
        <v>5</v>
      </c>
      <c r="L27" s="1"/>
      <c r="M27" s="10">
        <v>26.0</v>
      </c>
      <c r="N27" s="11" t="str">
        <f t="shared" si="1"/>
        <v>bnco1026@signalschool.ac.th</v>
      </c>
      <c r="O27" s="12">
        <f t="shared" si="2"/>
        <v>1</v>
      </c>
      <c r="R27" s="6" t="s">
        <v>240</v>
      </c>
    </row>
    <row r="28">
      <c r="A28" s="8">
        <f>'3.2'!A:A</f>
        <v>46262.55776</v>
      </c>
      <c r="B28" s="1" t="str">
        <f>'3.2'!B:B</f>
        <v>bnco1044@signalschool.ac.th</v>
      </c>
      <c r="C28" s="1" t="str">
        <f>'3.2'!C:C</f>
        <v>จ.ส.อ. ชัยยุทธ ดิษบุตร</v>
      </c>
      <c r="D28" s="9">
        <v>1.0</v>
      </c>
      <c r="E28" s="10">
        <f>IFERROR(vlookup('3.2'!D:D,lookup!$A$2:$B$4,2,false),0)</f>
        <v>5</v>
      </c>
      <c r="F28" s="10">
        <f>IFERROR(vlookup('3.2'!E:E,lookup!$A$6:$B$8,2,false),0)</f>
        <v>5</v>
      </c>
      <c r="G28" s="10">
        <f>IFERROR(vlookup('3.2'!F:F,lookup!$A$10:$B$12,2,false),0)</f>
        <v>5</v>
      </c>
      <c r="H28" s="10">
        <f>IFERROR(vlookup('3.2'!G:G,lookup!$A$14:$B$16,2,false),0)</f>
        <v>5</v>
      </c>
      <c r="I28" s="10">
        <f>IFERROR(vlookup('3.2'!H:H,lookup!$A$18:$B$20,2,false),0)</f>
        <v>5</v>
      </c>
      <c r="J28" s="10">
        <f>IFERROR(vlookup('3.2'!I:I,lookup!$A$22:$B$24,2,false),0)</f>
        <v>5</v>
      </c>
      <c r="K28" s="10">
        <f>IFERROR(vlookup('3.2'!J:J,lookup!$A$26:$B$28,2,false),0)</f>
        <v>5</v>
      </c>
      <c r="L28" s="1"/>
      <c r="M28" s="10">
        <v>27.0</v>
      </c>
      <c r="N28" s="11" t="str">
        <f t="shared" si="1"/>
        <v>bnco1027@signalschool.ac.th</v>
      </c>
      <c r="O28" s="12">
        <f t="shared" si="2"/>
        <v>1</v>
      </c>
      <c r="R28" s="6" t="s">
        <v>241</v>
      </c>
    </row>
    <row r="29">
      <c r="A29" s="8">
        <f>'3.2'!A:A</f>
        <v>46262.56814</v>
      </c>
      <c r="B29" s="1" t="str">
        <f>'3.2'!B:B</f>
        <v>bnco1008@signalschool.ac.th</v>
      </c>
      <c r="C29" s="1" t="str">
        <f>'3.2'!C:C</f>
        <v>ร.อ.ธัญญพัทธ์ ตรีศักดิ์ศรี,จ.ส.อ.ชัยยุทธ ดิษบุตร</v>
      </c>
      <c r="D29" s="9">
        <v>1.0</v>
      </c>
      <c r="E29" s="10">
        <f>IFERROR(vlookup('3.2'!D:D,lookup!$A$2:$B$4,2,false),0)</f>
        <v>5</v>
      </c>
      <c r="F29" s="10">
        <f>IFERROR(vlookup('3.2'!E:E,lookup!$A$6:$B$8,2,false),0)</f>
        <v>5</v>
      </c>
      <c r="G29" s="10">
        <f>IFERROR(vlookup('3.2'!F:F,lookup!$A$10:$B$12,2,false),0)</f>
        <v>5</v>
      </c>
      <c r="H29" s="10">
        <f>IFERROR(vlookup('3.2'!G:G,lookup!$A$14:$B$16,2,false),0)</f>
        <v>5</v>
      </c>
      <c r="I29" s="10">
        <f>IFERROR(vlookup('3.2'!H:H,lookup!$A$18:$B$20,2,false),0)</f>
        <v>5</v>
      </c>
      <c r="J29" s="10">
        <f>IFERROR(vlookup('3.2'!I:I,lookup!$A$22:$B$24,2,false),0)</f>
        <v>5</v>
      </c>
      <c r="K29" s="10">
        <f>IFERROR(vlookup('3.2'!J:J,lookup!$A$26:$B$28,2,false),0)</f>
        <v>5</v>
      </c>
      <c r="L29" s="1"/>
      <c r="M29" s="10">
        <v>28.0</v>
      </c>
      <c r="N29" s="11" t="str">
        <f t="shared" si="1"/>
        <v>bnco1028@signalschool.ac.th</v>
      </c>
      <c r="O29" s="12">
        <f t="shared" si="2"/>
        <v>0</v>
      </c>
      <c r="R29" s="6" t="s">
        <v>242</v>
      </c>
    </row>
    <row r="30">
      <c r="A30" s="8">
        <f>'3.2'!A:A</f>
        <v>46262.57056</v>
      </c>
      <c r="B30" s="1" t="str">
        <f>'3.2'!B:B</f>
        <v>bnco1049@signalschool.ac.th</v>
      </c>
      <c r="C30" s="1" t="str">
        <f>'3.2'!C:C</f>
        <v>ร.อ.ธัญญพัทธ์ ตรีศักดิ์ศี, จ.ส.อ.ชัยยุทธ ดิษบุตร</v>
      </c>
      <c r="D30" s="9">
        <v>1.0</v>
      </c>
      <c r="E30" s="10">
        <f>IFERROR(vlookup('3.2'!D:D,lookup!$A$2:$B$4,2,false),0)</f>
        <v>5</v>
      </c>
      <c r="F30" s="10">
        <f>IFERROR(vlookup('3.2'!E:E,lookup!$A$6:$B$8,2,false),0)</f>
        <v>5</v>
      </c>
      <c r="G30" s="10">
        <f>IFERROR(vlookup('3.2'!F:F,lookup!$A$10:$B$12,2,false),0)</f>
        <v>5</v>
      </c>
      <c r="H30" s="10">
        <f>IFERROR(vlookup('3.2'!G:G,lookup!$A$14:$B$16,2,false),0)</f>
        <v>5</v>
      </c>
      <c r="I30" s="10">
        <f>IFERROR(vlookup('3.2'!H:H,lookup!$A$18:$B$20,2,false),0)</f>
        <v>5</v>
      </c>
      <c r="J30" s="10">
        <f>IFERROR(vlookup('3.2'!I:I,lookup!$A$22:$B$24,2,false),0)</f>
        <v>5</v>
      </c>
      <c r="K30" s="10">
        <f>IFERROR(vlookup('3.2'!J:J,lookup!$A$26:$B$28,2,false),0)</f>
        <v>5</v>
      </c>
      <c r="L30" s="1"/>
      <c r="M30" s="10">
        <v>29.0</v>
      </c>
      <c r="N30" s="11" t="str">
        <f t="shared" si="1"/>
        <v>bnco1029@signalschool.ac.th</v>
      </c>
      <c r="O30" s="12">
        <f t="shared" si="2"/>
        <v>0</v>
      </c>
      <c r="R30" s="6" t="s">
        <v>243</v>
      </c>
    </row>
    <row r="31">
      <c r="A31" s="8">
        <f>'3.2'!A:A</f>
        <v>46262.58955</v>
      </c>
      <c r="B31" s="1" t="str">
        <f>'3.2'!B:B</f>
        <v>bnco1039@signalschool.ac.th</v>
      </c>
      <c r="C31" s="1" t="str">
        <f>'3.2'!C:C</f>
        <v>ร.อ.ธัญญพัทธ์ ตรีศักดิ์ศรี </v>
      </c>
      <c r="D31" s="9">
        <v>1.0</v>
      </c>
      <c r="E31" s="10">
        <f>IFERROR(vlookup('3.2'!D:D,lookup!$A$2:$B$4,2,false),0)</f>
        <v>5</v>
      </c>
      <c r="F31" s="10">
        <f>IFERROR(vlookup('3.2'!E:E,lookup!$A$6:$B$8,2,false),0)</f>
        <v>5</v>
      </c>
      <c r="G31" s="10">
        <f>IFERROR(vlookup('3.2'!F:F,lookup!$A$10:$B$12,2,false),0)</f>
        <v>5</v>
      </c>
      <c r="H31" s="10">
        <f>IFERROR(vlookup('3.2'!G:G,lookup!$A$14:$B$16,2,false),0)</f>
        <v>5</v>
      </c>
      <c r="I31" s="10">
        <f>IFERROR(vlookup('3.2'!H:H,lookup!$A$18:$B$20,2,false),0)</f>
        <v>5</v>
      </c>
      <c r="J31" s="10">
        <f>IFERROR(vlookup('3.2'!I:I,lookup!$A$22:$B$24,2,false),0)</f>
        <v>5</v>
      </c>
      <c r="K31" s="10">
        <f>IFERROR(vlookup('3.2'!J:J,lookup!$A$26:$B$28,2,false),0)</f>
        <v>5</v>
      </c>
      <c r="L31" s="1"/>
      <c r="M31" s="10">
        <v>30.0</v>
      </c>
      <c r="N31" s="11" t="str">
        <f t="shared" si="1"/>
        <v>bnco1030@signalschool.ac.th</v>
      </c>
      <c r="O31" s="12">
        <f t="shared" si="2"/>
        <v>0</v>
      </c>
      <c r="R31" s="6" t="s">
        <v>244</v>
      </c>
    </row>
    <row r="32">
      <c r="A32" s="8">
        <f>'3.2'!A:A</f>
        <v>46262.59436</v>
      </c>
      <c r="B32" s="1" t="str">
        <f>'3.2'!B:B</f>
        <v>bnco1005@signalschool.ac.th</v>
      </c>
      <c r="C32" s="1" t="str">
        <f>'3.2'!C:C</f>
        <v>จ.ส.อ.ชัยยุทธ ดิษบุตร</v>
      </c>
      <c r="D32" s="9">
        <v>1.0</v>
      </c>
      <c r="E32" s="10">
        <f>IFERROR(vlookup('3.2'!D:D,lookup!$A$2:$B$4,2,false),0)</f>
        <v>5</v>
      </c>
      <c r="F32" s="10">
        <f>IFERROR(vlookup('3.2'!E:E,lookup!$A$6:$B$8,2,false),0)</f>
        <v>5</v>
      </c>
      <c r="G32" s="10">
        <f>IFERROR(vlookup('3.2'!F:F,lookup!$A$10:$B$12,2,false),0)</f>
        <v>5</v>
      </c>
      <c r="H32" s="10">
        <f>IFERROR(vlookup('3.2'!G:G,lookup!$A$14:$B$16,2,false),0)</f>
        <v>5</v>
      </c>
      <c r="I32" s="10">
        <f>IFERROR(vlookup('3.2'!H:H,lookup!$A$18:$B$20,2,false),0)</f>
        <v>5</v>
      </c>
      <c r="J32" s="10">
        <f>IFERROR(vlookup('3.2'!I:I,lookup!$A$22:$B$24,2,false),0)</f>
        <v>5</v>
      </c>
      <c r="K32" s="10">
        <f>IFERROR(vlookup('3.2'!J:J,lookup!$A$26:$B$28,2,false),0)</f>
        <v>5</v>
      </c>
      <c r="L32" s="1"/>
      <c r="M32" s="10">
        <v>31.0</v>
      </c>
      <c r="N32" s="11" t="str">
        <f t="shared" si="1"/>
        <v>bnco1031@signalschool.ac.th</v>
      </c>
      <c r="O32" s="12">
        <f t="shared" si="2"/>
        <v>1</v>
      </c>
      <c r="R32" s="6" t="s">
        <v>245</v>
      </c>
    </row>
    <row r="33">
      <c r="A33" s="8">
        <f>'3.2'!A:A</f>
        <v>46262.59459</v>
      </c>
      <c r="B33" s="1" t="str">
        <f>'3.2'!B:B</f>
        <v>bnco1067@signalschool.ac.th</v>
      </c>
      <c r="C33" s="1" t="str">
        <f>'3.2'!C:C</f>
        <v>จ.ส.อ.ชัยยุทธ ดิษบุตร</v>
      </c>
      <c r="D33" s="9">
        <v>1.0</v>
      </c>
      <c r="E33" s="10">
        <f>IFERROR(vlookup('3.2'!D:D,lookup!$A$2:$B$4,2,false),0)</f>
        <v>5</v>
      </c>
      <c r="F33" s="10">
        <f>IFERROR(vlookup('3.2'!E:E,lookup!$A$6:$B$8,2,false),0)</f>
        <v>5</v>
      </c>
      <c r="G33" s="10">
        <f>IFERROR(vlookup('3.2'!F:F,lookup!$A$10:$B$12,2,false),0)</f>
        <v>5</v>
      </c>
      <c r="H33" s="10">
        <f>IFERROR(vlookup('3.2'!G:G,lookup!$A$14:$B$16,2,false),0)</f>
        <v>5</v>
      </c>
      <c r="I33" s="10">
        <f>IFERROR(vlookup('3.2'!H:H,lookup!$A$18:$B$20,2,false),0)</f>
        <v>5</v>
      </c>
      <c r="J33" s="10">
        <f>IFERROR(vlookup('3.2'!I:I,lookup!$A$22:$B$24,2,false),0)</f>
        <v>5</v>
      </c>
      <c r="K33" s="10">
        <f>IFERROR(vlookup('3.2'!J:J,lookup!$A$26:$B$28,2,false),0)</f>
        <v>5</v>
      </c>
      <c r="L33" s="1"/>
      <c r="M33" s="10">
        <v>32.0</v>
      </c>
      <c r="N33" s="11" t="str">
        <f t="shared" si="1"/>
        <v>bnco1032@signalschool.ac.th</v>
      </c>
      <c r="O33" s="12">
        <f t="shared" si="2"/>
        <v>1</v>
      </c>
      <c r="R33" s="6" t="s">
        <v>246</v>
      </c>
    </row>
    <row r="34">
      <c r="A34" s="8">
        <f>'3.2'!A:A</f>
        <v>46262.60248</v>
      </c>
      <c r="B34" s="1" t="str">
        <f>'3.2'!B:B</f>
        <v>bnco1045@signalschool.ac.th</v>
      </c>
      <c r="C34" s="1" t="str">
        <f>'3.2'!C:C</f>
        <v>จ.ส.อ.ชัยยุทธ  ดิษบุตร</v>
      </c>
      <c r="D34" s="9">
        <v>1.0</v>
      </c>
      <c r="E34" s="10">
        <f>IFERROR(vlookup('3.2'!D:D,lookup!$A$2:$B$4,2,false),0)</f>
        <v>5</v>
      </c>
      <c r="F34" s="10">
        <f>IFERROR(vlookup('3.2'!E:E,lookup!$A$6:$B$8,2,false),0)</f>
        <v>5</v>
      </c>
      <c r="G34" s="10">
        <f>IFERROR(vlookup('3.2'!F:F,lookup!$A$10:$B$12,2,false),0)</f>
        <v>5</v>
      </c>
      <c r="H34" s="10">
        <f>IFERROR(vlookup('3.2'!G:G,lookup!$A$14:$B$16,2,false),0)</f>
        <v>5</v>
      </c>
      <c r="I34" s="10">
        <f>IFERROR(vlookup('3.2'!H:H,lookup!$A$18:$B$20,2,false),0)</f>
        <v>5</v>
      </c>
      <c r="J34" s="10">
        <f>IFERROR(vlookup('3.2'!I:I,lookup!$A$22:$B$24,2,false),0)</f>
        <v>5</v>
      </c>
      <c r="K34" s="10">
        <f>IFERROR(vlookup('3.2'!J:J,lookup!$A$26:$B$28,2,false),0)</f>
        <v>5</v>
      </c>
      <c r="L34" s="1"/>
      <c r="M34" s="10">
        <v>33.0</v>
      </c>
      <c r="N34" s="11" t="str">
        <f t="shared" si="1"/>
        <v>bnco1033@signalschool.ac.th</v>
      </c>
      <c r="O34" s="12">
        <f t="shared" si="2"/>
        <v>0</v>
      </c>
      <c r="R34" s="6" t="s">
        <v>247</v>
      </c>
    </row>
    <row r="35">
      <c r="A35" s="8">
        <f>'3.2'!A:A</f>
        <v>46262.61762</v>
      </c>
      <c r="B35" s="1" t="str">
        <f>'3.2'!B:B</f>
        <v>bnco1080@signalschool.ac.th</v>
      </c>
      <c r="C35" s="1" t="str">
        <f>'3.2'!C:C</f>
        <v>จ.ส.อ.ชัยยุทธ ดิษบุตร</v>
      </c>
      <c r="D35" s="9">
        <v>1.0</v>
      </c>
      <c r="E35" s="10">
        <f>IFERROR(vlookup('3.2'!D:D,lookup!$A$2:$B$4,2,false),0)</f>
        <v>5</v>
      </c>
      <c r="F35" s="10">
        <f>IFERROR(vlookup('3.2'!E:E,lookup!$A$6:$B$8,2,false),0)</f>
        <v>5</v>
      </c>
      <c r="G35" s="10">
        <f>IFERROR(vlookup('3.2'!F:F,lookup!$A$10:$B$12,2,false),0)</f>
        <v>5</v>
      </c>
      <c r="H35" s="10">
        <f>IFERROR(vlookup('3.2'!G:G,lookup!$A$14:$B$16,2,false),0)</f>
        <v>5</v>
      </c>
      <c r="I35" s="10">
        <f>IFERROR(vlookup('3.2'!H:H,lookup!$A$18:$B$20,2,false),0)</f>
        <v>5</v>
      </c>
      <c r="J35" s="10">
        <f>IFERROR(vlookup('3.2'!I:I,lookup!$A$22:$B$24,2,false),0)</f>
        <v>5</v>
      </c>
      <c r="K35" s="10">
        <f>IFERROR(vlookup('3.2'!J:J,lookup!$A$26:$B$28,2,false),0)</f>
        <v>5</v>
      </c>
      <c r="L35" s="1"/>
      <c r="M35" s="10">
        <v>34.0</v>
      </c>
      <c r="N35" s="11" t="str">
        <f t="shared" si="1"/>
        <v>bnco1034@signalschool.ac.th</v>
      </c>
      <c r="O35" s="12">
        <f t="shared" si="2"/>
        <v>1</v>
      </c>
      <c r="R35" s="6" t="s">
        <v>248</v>
      </c>
    </row>
    <row r="36">
      <c r="A36" s="8">
        <f>'3.2'!A:A</f>
        <v>46262.64775</v>
      </c>
      <c r="B36" s="1" t="str">
        <f>'3.2'!B:B</f>
        <v>bnco1027@signalschool.ac.th</v>
      </c>
      <c r="C36" s="1" t="str">
        <f>'3.2'!C:C</f>
        <v>ร.อ.ธัญญพัทธ์ ตรีศักดิ์ศรี</v>
      </c>
      <c r="D36" s="9">
        <v>1.0</v>
      </c>
      <c r="E36" s="10">
        <f>IFERROR(vlookup('3.2'!D:D,lookup!$A$2:$B$4,2,false),0)</f>
        <v>5</v>
      </c>
      <c r="F36" s="10">
        <f>IFERROR(vlookup('3.2'!E:E,lookup!$A$6:$B$8,2,false),0)</f>
        <v>5</v>
      </c>
      <c r="G36" s="10">
        <f>IFERROR(vlookup('3.2'!F:F,lookup!$A$10:$B$12,2,false),0)</f>
        <v>5</v>
      </c>
      <c r="H36" s="10">
        <f>IFERROR(vlookup('3.2'!G:G,lookup!$A$14:$B$16,2,false),0)</f>
        <v>5</v>
      </c>
      <c r="I36" s="10">
        <f>IFERROR(vlookup('3.2'!H:H,lookup!$A$18:$B$20,2,false),0)</f>
        <v>5</v>
      </c>
      <c r="J36" s="10">
        <f>IFERROR(vlookup('3.2'!I:I,lookup!$A$22:$B$24,2,false),0)</f>
        <v>5</v>
      </c>
      <c r="K36" s="10">
        <f>IFERROR(vlookup('3.2'!J:J,lookup!$A$26:$B$28,2,false),0)</f>
        <v>5</v>
      </c>
      <c r="L36" s="1"/>
      <c r="M36" s="10">
        <v>35.0</v>
      </c>
      <c r="N36" s="11" t="str">
        <f t="shared" si="1"/>
        <v>bnco1035@signalschool.ac.th</v>
      </c>
      <c r="O36" s="12">
        <f t="shared" si="2"/>
        <v>1</v>
      </c>
      <c r="R36" s="6" t="s">
        <v>249</v>
      </c>
    </row>
    <row r="37">
      <c r="A37" s="8">
        <f>'3.2'!A:A</f>
        <v>46262.64827</v>
      </c>
      <c r="B37" s="1" t="str">
        <f>'3.2'!B:B</f>
        <v>bnco1064@signalschool.ac.th</v>
      </c>
      <c r="C37" s="1" t="str">
        <f>'3.2'!C:C</f>
        <v>ร.อ.ธัญญพัทธ์  ตรีศักดิ์ศรี  จ.ส.อ.ชัยยุทธ  ดิษบุตร</v>
      </c>
      <c r="D37" s="9">
        <v>1.0</v>
      </c>
      <c r="E37" s="10">
        <f>IFERROR(vlookup('3.2'!D:D,lookup!$A$2:$B$4,2,false),0)</f>
        <v>5</v>
      </c>
      <c r="F37" s="10">
        <f>IFERROR(vlookup('3.2'!E:E,lookup!$A$6:$B$8,2,false),0)</f>
        <v>5</v>
      </c>
      <c r="G37" s="10">
        <f>IFERROR(vlookup('3.2'!F:F,lookup!$A$10:$B$12,2,false),0)</f>
        <v>5</v>
      </c>
      <c r="H37" s="10">
        <f>IFERROR(vlookup('3.2'!G:G,lookup!$A$14:$B$16,2,false),0)</f>
        <v>5</v>
      </c>
      <c r="I37" s="10">
        <f>IFERROR(vlookup('3.2'!H:H,lookup!$A$18:$B$20,2,false),0)</f>
        <v>5</v>
      </c>
      <c r="J37" s="10">
        <f>IFERROR(vlookup('3.2'!I:I,lookup!$A$22:$B$24,2,false),0)</f>
        <v>5</v>
      </c>
      <c r="K37" s="10">
        <f>IFERROR(vlookup('3.2'!J:J,lookup!$A$26:$B$28,2,false),0)</f>
        <v>5</v>
      </c>
      <c r="L37" s="1"/>
      <c r="M37" s="10">
        <v>36.0</v>
      </c>
      <c r="N37" s="11" t="str">
        <f t="shared" si="1"/>
        <v>bnco1036@signalschool.ac.th</v>
      </c>
      <c r="O37" s="12">
        <f t="shared" si="2"/>
        <v>1</v>
      </c>
      <c r="R37" s="6" t="s">
        <v>250</v>
      </c>
    </row>
    <row r="38">
      <c r="A38" s="8">
        <f>'3.2'!A:A</f>
        <v>46262.64969</v>
      </c>
      <c r="B38" s="1" t="str">
        <f>'3.2'!B:B</f>
        <v>bnco1021@signalschool.ac.th</v>
      </c>
      <c r="C38" s="1" t="str">
        <f>'3.2'!C:C</f>
        <v>ร.อ.ธัญญพัทธ์ ตรีศักดิ์ศรี จ.ส.อ.ชัยยุทธ ดิษบุตร</v>
      </c>
      <c r="D38" s="9">
        <v>1.0</v>
      </c>
      <c r="E38" s="10">
        <f>IFERROR(vlookup('3.2'!D:D,lookup!$A$2:$B$4,2,false),0)</f>
        <v>5</v>
      </c>
      <c r="F38" s="10">
        <f>IFERROR(vlookup('3.2'!E:E,lookup!$A$6:$B$8,2,false),0)</f>
        <v>5</v>
      </c>
      <c r="G38" s="10">
        <f>IFERROR(vlookup('3.2'!F:F,lookup!$A$10:$B$12,2,false),0)</f>
        <v>5</v>
      </c>
      <c r="H38" s="10">
        <f>IFERROR(vlookup('3.2'!G:G,lookup!$A$14:$B$16,2,false),0)</f>
        <v>5</v>
      </c>
      <c r="I38" s="10">
        <f>IFERROR(vlookup('3.2'!H:H,lookup!$A$18:$B$20,2,false),0)</f>
        <v>5</v>
      </c>
      <c r="J38" s="10">
        <f>IFERROR(vlookup('3.2'!I:I,lookup!$A$22:$B$24,2,false),0)</f>
        <v>5</v>
      </c>
      <c r="K38" s="10">
        <f>IFERROR(vlookup('3.2'!J:J,lookup!$A$26:$B$28,2,false),0)</f>
        <v>5</v>
      </c>
      <c r="L38" s="1"/>
      <c r="M38" s="10">
        <v>37.0</v>
      </c>
      <c r="N38" s="11" t="str">
        <f t="shared" si="1"/>
        <v>bnco1037@signalschool.ac.th</v>
      </c>
      <c r="O38" s="12">
        <f t="shared" si="2"/>
        <v>0</v>
      </c>
      <c r="R38" s="6" t="s">
        <v>251</v>
      </c>
    </row>
    <row r="39">
      <c r="A39" s="8">
        <f>'3.2'!A:A</f>
        <v>46262.75719</v>
      </c>
      <c r="B39" s="1" t="str">
        <f>'3.2'!B:B</f>
        <v>bnco1072@signalschool.ac.th</v>
      </c>
      <c r="C39" s="1" t="str">
        <f>'3.2'!C:C</f>
        <v>ร.อ.ธัญญพัทธ์  ตรีศักดิ์ศรี</v>
      </c>
      <c r="D39" s="9">
        <v>1.0</v>
      </c>
      <c r="E39" s="10">
        <f>IFERROR(vlookup('3.2'!D:D,lookup!$A$2:$B$4,2,false),0)</f>
        <v>5</v>
      </c>
      <c r="F39" s="10">
        <f>IFERROR(vlookup('3.2'!E:E,lookup!$A$6:$B$8,2,false),0)</f>
        <v>5</v>
      </c>
      <c r="G39" s="10">
        <f>IFERROR(vlookup('3.2'!F:F,lookup!$A$10:$B$12,2,false),0)</f>
        <v>5</v>
      </c>
      <c r="H39" s="10">
        <f>IFERROR(vlookup('3.2'!G:G,lookup!$A$14:$B$16,2,false),0)</f>
        <v>5</v>
      </c>
      <c r="I39" s="10">
        <f>IFERROR(vlookup('3.2'!H:H,lookup!$A$18:$B$20,2,false),0)</f>
        <v>5</v>
      </c>
      <c r="J39" s="10">
        <f>IFERROR(vlookup('3.2'!I:I,lookup!$A$22:$B$24,2,false),0)</f>
        <v>5</v>
      </c>
      <c r="K39" s="10">
        <f>IFERROR(vlookup('3.2'!J:J,lookup!$A$26:$B$28,2,false),0)</f>
        <v>5</v>
      </c>
      <c r="L39" s="1"/>
      <c r="M39" s="10">
        <v>38.0</v>
      </c>
      <c r="N39" s="11" t="str">
        <f t="shared" si="1"/>
        <v>bnco1038@signalschool.ac.th</v>
      </c>
      <c r="O39" s="12">
        <f t="shared" si="2"/>
        <v>1</v>
      </c>
      <c r="R39" s="6" t="s">
        <v>252</v>
      </c>
    </row>
    <row r="40">
      <c r="A40" s="8">
        <f>'3.2'!A:A</f>
        <v>46262.79905</v>
      </c>
      <c r="B40" s="1" t="str">
        <f>'3.2'!B:B</f>
        <v>bnco1014@signalschool.ac.th</v>
      </c>
      <c r="C40" s="1" t="str">
        <f>'3.2'!C:C</f>
        <v>จ.ส.อ.ชัยยุทธ ดิษบุตร</v>
      </c>
      <c r="D40" s="9">
        <v>1.0</v>
      </c>
      <c r="E40" s="10">
        <f>IFERROR(vlookup('3.2'!D:D,lookup!$A$2:$B$4,2,false),0)</f>
        <v>5</v>
      </c>
      <c r="F40" s="10">
        <f>IFERROR(vlookup('3.2'!E:E,lookup!$A$6:$B$8,2,false),0)</f>
        <v>5</v>
      </c>
      <c r="G40" s="10">
        <f>IFERROR(vlookup('3.2'!F:F,lookup!$A$10:$B$12,2,false),0)</f>
        <v>5</v>
      </c>
      <c r="H40" s="10">
        <f>IFERROR(vlookup('3.2'!G:G,lookup!$A$14:$B$16,2,false),0)</f>
        <v>5</v>
      </c>
      <c r="I40" s="10">
        <f>IFERROR(vlookup('3.2'!H:H,lookup!$A$18:$B$20,2,false),0)</f>
        <v>5</v>
      </c>
      <c r="J40" s="10">
        <f>IFERROR(vlookup('3.2'!I:I,lookup!$A$22:$B$24,2,false),0)</f>
        <v>5</v>
      </c>
      <c r="K40" s="10">
        <f>IFERROR(vlookup('3.2'!J:J,lookup!$A$26:$B$28,2,false),0)</f>
        <v>5</v>
      </c>
      <c r="L40" s="1"/>
      <c r="M40" s="10">
        <v>39.0</v>
      </c>
      <c r="N40" s="11" t="str">
        <f t="shared" si="1"/>
        <v>bnco1039@signalschool.ac.th</v>
      </c>
      <c r="O40" s="12">
        <f t="shared" si="2"/>
        <v>1</v>
      </c>
      <c r="R40" s="6" t="s">
        <v>253</v>
      </c>
    </row>
    <row r="41">
      <c r="A41" s="8">
        <f>'3.2'!A:A</f>
        <v>46262.87959</v>
      </c>
      <c r="B41" s="1" t="str">
        <f>'3.2'!B:B</f>
        <v>bnco1076@signalschool.ac.th</v>
      </c>
      <c r="C41" s="1" t="str">
        <f>'3.2'!C:C</f>
        <v>ร.อ. ธัญญพัทธ์ ตรีศักดิ์ศรี, จ.ส.อ. ชัยยุทธ ดิษบุตร</v>
      </c>
      <c r="D41" s="9">
        <v>1.0</v>
      </c>
      <c r="E41" s="10">
        <f>IFERROR(vlookup('3.2'!D:D,lookup!$A$2:$B$4,2,false),0)</f>
        <v>5</v>
      </c>
      <c r="F41" s="10">
        <f>IFERROR(vlookup('3.2'!E:E,lookup!$A$6:$B$8,2,false),0)</f>
        <v>5</v>
      </c>
      <c r="G41" s="10">
        <f>IFERROR(vlookup('3.2'!F:F,lookup!$A$10:$B$12,2,false),0)</f>
        <v>5</v>
      </c>
      <c r="H41" s="10">
        <f>IFERROR(vlookup('3.2'!G:G,lookup!$A$14:$B$16,2,false),0)</f>
        <v>5</v>
      </c>
      <c r="I41" s="10">
        <f>IFERROR(vlookup('3.2'!H:H,lookup!$A$18:$B$20,2,false),0)</f>
        <v>5</v>
      </c>
      <c r="J41" s="10">
        <f>IFERROR(vlookup('3.2'!I:I,lookup!$A$22:$B$24,2,false),0)</f>
        <v>5</v>
      </c>
      <c r="K41" s="10">
        <f>IFERROR(vlookup('3.2'!J:J,lookup!$A$26:$B$28,2,false),0)</f>
        <v>5</v>
      </c>
      <c r="L41" s="1"/>
      <c r="M41" s="10">
        <v>40.0</v>
      </c>
      <c r="N41" s="11" t="str">
        <f t="shared" si="1"/>
        <v>bnco1040@signalschool.ac.th</v>
      </c>
      <c r="O41" s="12">
        <f t="shared" si="2"/>
        <v>1</v>
      </c>
      <c r="R41" s="6" t="s">
        <v>254</v>
      </c>
    </row>
    <row r="42">
      <c r="A42" s="8">
        <f>'3.2'!A:A</f>
        <v>46262.96309</v>
      </c>
      <c r="B42" s="1" t="str">
        <f>'3.2'!B:B</f>
        <v>bnco1061@signalschool.ac.th</v>
      </c>
      <c r="C42" s="1" t="str">
        <f>'3.2'!C:C</f>
        <v>จ.ส.อ.ชัยยุทธ ดิษบุตร</v>
      </c>
      <c r="D42" s="9">
        <v>1.0</v>
      </c>
      <c r="E42" s="10">
        <f>IFERROR(vlookup('3.2'!D:D,lookup!$A$2:$B$4,2,false),0)</f>
        <v>5</v>
      </c>
      <c r="F42" s="10">
        <f>IFERROR(vlookup('3.2'!E:E,lookup!$A$6:$B$8,2,false),0)</f>
        <v>5</v>
      </c>
      <c r="G42" s="10">
        <f>IFERROR(vlookup('3.2'!F:F,lookup!$A$10:$B$12,2,false),0)</f>
        <v>5</v>
      </c>
      <c r="H42" s="10">
        <f>IFERROR(vlookup('3.2'!G:G,lookup!$A$14:$B$16,2,false),0)</f>
        <v>5</v>
      </c>
      <c r="I42" s="10">
        <f>IFERROR(vlookup('3.2'!H:H,lookup!$A$18:$B$20,2,false),0)</f>
        <v>5</v>
      </c>
      <c r="J42" s="10">
        <f>IFERROR(vlookup('3.2'!I:I,lookup!$A$22:$B$24,2,false),0)</f>
        <v>5</v>
      </c>
      <c r="K42" s="10">
        <f>IFERROR(vlookup('3.2'!J:J,lookup!$A$26:$B$28,2,false),0)</f>
        <v>5</v>
      </c>
      <c r="L42" s="1"/>
      <c r="M42" s="10">
        <v>41.0</v>
      </c>
      <c r="N42" s="11" t="str">
        <f t="shared" si="1"/>
        <v>bnco1041@signalschool.ac.th</v>
      </c>
      <c r="O42" s="12">
        <f t="shared" si="2"/>
        <v>1</v>
      </c>
      <c r="R42" s="6" t="s">
        <v>255</v>
      </c>
    </row>
    <row r="43">
      <c r="A43" s="8">
        <f>'3.2'!A:A</f>
        <v>46262.96569</v>
      </c>
      <c r="B43" s="1" t="str">
        <f>'3.2'!B:B</f>
        <v>bnco1071@signalschool.ac.th</v>
      </c>
      <c r="C43" s="1" t="str">
        <f>'3.2'!C:C</f>
        <v>ร.อ.ธัญญพัทธ์ ตรีศักดิ์ศรี จ.ส.อ.ชัยยุทธ ดิษบุตร</v>
      </c>
      <c r="D43" s="9">
        <v>1.0</v>
      </c>
      <c r="E43" s="10">
        <f>IFERROR(vlookup('3.2'!D:D,lookup!$A$2:$B$4,2,false),0)</f>
        <v>5</v>
      </c>
      <c r="F43" s="10">
        <f>IFERROR(vlookup('3.2'!E:E,lookup!$A$6:$B$8,2,false),0)</f>
        <v>5</v>
      </c>
      <c r="G43" s="10">
        <f>IFERROR(vlookup('3.2'!F:F,lookup!$A$10:$B$12,2,false),0)</f>
        <v>5</v>
      </c>
      <c r="H43" s="10">
        <f>IFERROR(vlookup('3.2'!G:G,lookup!$A$14:$B$16,2,false),0)</f>
        <v>5</v>
      </c>
      <c r="I43" s="10">
        <f>IFERROR(vlookup('3.2'!H:H,lookup!$A$18:$B$20,2,false),0)</f>
        <v>5</v>
      </c>
      <c r="J43" s="10">
        <f>IFERROR(vlookup('3.2'!I:I,lookup!$A$22:$B$24,2,false),0)</f>
        <v>5</v>
      </c>
      <c r="K43" s="10">
        <f>IFERROR(vlookup('3.2'!J:J,lookup!$A$26:$B$28,2,false),0)</f>
        <v>5</v>
      </c>
      <c r="L43" s="1"/>
      <c r="M43" s="10">
        <v>42.0</v>
      </c>
      <c r="N43" s="11" t="str">
        <f t="shared" si="1"/>
        <v>bnco1042@signalschool.ac.th</v>
      </c>
      <c r="O43" s="12">
        <f t="shared" si="2"/>
        <v>1</v>
      </c>
      <c r="R43" s="6" t="s">
        <v>256</v>
      </c>
    </row>
    <row r="44">
      <c r="A44" s="8">
        <f>'3.2'!A:A</f>
        <v>46263.60895</v>
      </c>
      <c r="B44" s="1" t="str">
        <f>'3.2'!B:B</f>
        <v>bnco1054@signalschool.ac.th</v>
      </c>
      <c r="C44" s="1" t="str">
        <f>'3.2'!C:C</f>
        <v>ร.อ.ธัญญพัทธ์  ตรีศักดิ์ศรี  จ.ส.อ.ชัยยุทธ  ดิษบุตร</v>
      </c>
      <c r="D44" s="9">
        <v>1.0</v>
      </c>
      <c r="E44" s="10">
        <f>IFERROR(vlookup('3.2'!D:D,lookup!$A$2:$B$4,2,false),0)</f>
        <v>5</v>
      </c>
      <c r="F44" s="10">
        <f>IFERROR(vlookup('3.2'!E:E,lookup!$A$6:$B$8,2,false),0)</f>
        <v>5</v>
      </c>
      <c r="G44" s="10">
        <f>IFERROR(vlookup('3.2'!F:F,lookup!$A$10:$B$12,2,false),0)</f>
        <v>5</v>
      </c>
      <c r="H44" s="10">
        <f>IFERROR(vlookup('3.2'!G:G,lookup!$A$14:$B$16,2,false),0)</f>
        <v>5</v>
      </c>
      <c r="I44" s="10">
        <f>IFERROR(vlookup('3.2'!H:H,lookup!$A$18:$B$20,2,false),0)</f>
        <v>5</v>
      </c>
      <c r="J44" s="10">
        <f>IFERROR(vlookup('3.2'!I:I,lookup!$A$22:$B$24,2,false),0)</f>
        <v>5</v>
      </c>
      <c r="K44" s="10">
        <f>IFERROR(vlookup('3.2'!J:J,lookup!$A$26:$B$28,2,false),0)</f>
        <v>5</v>
      </c>
      <c r="L44" s="1"/>
      <c r="M44" s="10">
        <v>43.0</v>
      </c>
      <c r="N44" s="11" t="str">
        <f t="shared" si="1"/>
        <v>bnco1043@signalschool.ac.th</v>
      </c>
      <c r="O44" s="12">
        <f t="shared" si="2"/>
        <v>1</v>
      </c>
      <c r="R44" s="6" t="s">
        <v>257</v>
      </c>
    </row>
    <row r="45">
      <c r="A45" s="8">
        <f>'3.2'!A:A</f>
        <v>46263.71943</v>
      </c>
      <c r="B45" s="1" t="str">
        <f>'3.2'!B:B</f>
        <v>bnco1023@signalschool.ac.th</v>
      </c>
      <c r="C45" s="1" t="str">
        <f>'3.2'!C:C</f>
        <v>ร.อ.ธัญญพัทธ์,จ.ส.อ.ชัยยุทธ</v>
      </c>
      <c r="D45" s="9">
        <v>1.0</v>
      </c>
      <c r="E45" s="10">
        <f>IFERROR(vlookup('3.2'!D:D,lookup!$A$2:$B$4,2,false),0)</f>
        <v>5</v>
      </c>
      <c r="F45" s="10">
        <f>IFERROR(vlookup('3.2'!E:E,lookup!$A$6:$B$8,2,false),0)</f>
        <v>5</v>
      </c>
      <c r="G45" s="10">
        <f>IFERROR(vlookup('3.2'!F:F,lookup!$A$10:$B$12,2,false),0)</f>
        <v>5</v>
      </c>
      <c r="H45" s="10">
        <f>IFERROR(vlookup('3.2'!G:G,lookup!$A$14:$B$16,2,false),0)</f>
        <v>5</v>
      </c>
      <c r="I45" s="10">
        <f>IFERROR(vlookup('3.2'!H:H,lookup!$A$18:$B$20,2,false),0)</f>
        <v>5</v>
      </c>
      <c r="J45" s="10">
        <f>IFERROR(vlookup('3.2'!I:I,lookup!$A$22:$B$24,2,false),0)</f>
        <v>5</v>
      </c>
      <c r="K45" s="10">
        <f>IFERROR(vlookup('3.2'!J:J,lookup!$A$26:$B$28,2,false),0)</f>
        <v>5</v>
      </c>
      <c r="L45" s="1"/>
      <c r="M45" s="10">
        <v>44.0</v>
      </c>
      <c r="N45" s="11" t="str">
        <f t="shared" si="1"/>
        <v>bnco1044@signalschool.ac.th</v>
      </c>
      <c r="O45" s="12">
        <f t="shared" si="2"/>
        <v>1</v>
      </c>
      <c r="R45" s="6" t="s">
        <v>258</v>
      </c>
    </row>
    <row r="46">
      <c r="A46" s="8">
        <f>'3.2'!A:A</f>
        <v>46264.53756</v>
      </c>
      <c r="B46" s="1" t="str">
        <f>'3.2'!B:B</f>
        <v>bnco1015@signalschool.ac.th</v>
      </c>
      <c r="C46" s="1" t="str">
        <f>'3.2'!C:C</f>
        <v>ร.อ.ธัญญพัทธ์ ตรีศักดิ์ศรี , จ.ส.อ.ชัยยุทธ ดิษบุตร</v>
      </c>
      <c r="D46" s="9">
        <v>1.0</v>
      </c>
      <c r="E46" s="10">
        <f>IFERROR(vlookup('3.2'!D:D,lookup!$A$2:$B$4,2,false),0)</f>
        <v>5</v>
      </c>
      <c r="F46" s="10">
        <f>IFERROR(vlookup('3.2'!E:E,lookup!$A$6:$B$8,2,false),0)</f>
        <v>5</v>
      </c>
      <c r="G46" s="10">
        <f>IFERROR(vlookup('3.2'!F:F,lookup!$A$10:$B$12,2,false),0)</f>
        <v>5</v>
      </c>
      <c r="H46" s="10">
        <f>IFERROR(vlookup('3.2'!G:G,lookup!$A$14:$B$16,2,false),0)</f>
        <v>5</v>
      </c>
      <c r="I46" s="10">
        <f>IFERROR(vlookup('3.2'!H:H,lookup!$A$18:$B$20,2,false),0)</f>
        <v>5</v>
      </c>
      <c r="J46" s="10">
        <f>IFERROR(vlookup('3.2'!I:I,lookup!$A$22:$B$24,2,false),0)</f>
        <v>5</v>
      </c>
      <c r="K46" s="10">
        <f>IFERROR(vlookup('3.2'!J:J,lookup!$A$26:$B$28,2,false),0)</f>
        <v>5</v>
      </c>
      <c r="L46" s="1"/>
      <c r="M46" s="10">
        <v>45.0</v>
      </c>
      <c r="N46" s="11" t="str">
        <f t="shared" si="1"/>
        <v>bnco1045@signalschool.ac.th</v>
      </c>
      <c r="O46" s="12">
        <f t="shared" si="2"/>
        <v>1</v>
      </c>
      <c r="R46" s="6" t="s">
        <v>259</v>
      </c>
    </row>
    <row r="47">
      <c r="A47" s="8">
        <f>'3.2'!A:A</f>
        <v>46264.65606</v>
      </c>
      <c r="B47" s="1" t="str">
        <f>'3.2'!B:B</f>
        <v>bnco1002@signalschool.ac.th</v>
      </c>
      <c r="C47" s="1" t="str">
        <f>'3.2'!C:C</f>
        <v>ร.อ. ธัญญพันทธ์ ตรีศักดิ์ศรี</v>
      </c>
      <c r="D47" s="9">
        <v>1.0</v>
      </c>
      <c r="E47" s="10">
        <f>IFERROR(vlookup('3.2'!D:D,lookup!$A$2:$B$4,2,false),0)</f>
        <v>5</v>
      </c>
      <c r="F47" s="10">
        <f>IFERROR(vlookup('3.2'!E:E,lookup!$A$6:$B$8,2,false),0)</f>
        <v>5</v>
      </c>
      <c r="G47" s="10">
        <f>IFERROR(vlookup('3.2'!F:F,lookup!$A$10:$B$12,2,false),0)</f>
        <v>5</v>
      </c>
      <c r="H47" s="10">
        <f>IFERROR(vlookup('3.2'!G:G,lookup!$A$14:$B$16,2,false),0)</f>
        <v>5</v>
      </c>
      <c r="I47" s="10">
        <f>IFERROR(vlookup('3.2'!H:H,lookup!$A$18:$B$20,2,false),0)</f>
        <v>5</v>
      </c>
      <c r="J47" s="10">
        <f>IFERROR(vlookup('3.2'!I:I,lookup!$A$22:$B$24,2,false),0)</f>
        <v>5</v>
      </c>
      <c r="K47" s="10">
        <f>IFERROR(vlookup('3.2'!J:J,lookup!$A$26:$B$28,2,false),0)</f>
        <v>5</v>
      </c>
      <c r="L47" s="1"/>
      <c r="M47" s="10">
        <v>46.0</v>
      </c>
      <c r="N47" s="11" t="str">
        <f t="shared" si="1"/>
        <v>bnco1046@signalschool.ac.th</v>
      </c>
      <c r="O47" s="12">
        <f t="shared" si="2"/>
        <v>1</v>
      </c>
      <c r="R47" s="6" t="s">
        <v>260</v>
      </c>
    </row>
    <row r="48">
      <c r="A48" s="8">
        <f>'3.2'!A:A</f>
        <v>46264.88204</v>
      </c>
      <c r="B48" s="1" t="str">
        <f>'3.2'!B:B</f>
        <v>edu.rad@signalschool.ac.th</v>
      </c>
      <c r="C48" s="1" t="str">
        <f>'3.2'!C:C</f>
        <v>ครูอาจารย์ รร.ส.สส.</v>
      </c>
      <c r="D48" s="9">
        <v>1.0</v>
      </c>
      <c r="E48" s="10">
        <f>IFERROR(vlookup('3.2'!D:D,lookup!$A$2:$B$4,2,false),0)</f>
        <v>5</v>
      </c>
      <c r="F48" s="10">
        <f>IFERROR(vlookup('3.2'!E:E,lookup!$A$6:$B$8,2,false),0)</f>
        <v>5</v>
      </c>
      <c r="G48" s="10">
        <f>IFERROR(vlookup('3.2'!F:F,lookup!$A$10:$B$12,2,false),0)</f>
        <v>5</v>
      </c>
      <c r="H48" s="10">
        <f>IFERROR(vlookup('3.2'!G:G,lookup!$A$14:$B$16,2,false),0)</f>
        <v>5</v>
      </c>
      <c r="I48" s="10">
        <f>IFERROR(vlookup('3.2'!H:H,lookup!$A$18:$B$20,2,false),0)</f>
        <v>5</v>
      </c>
      <c r="J48" s="10">
        <f>IFERROR(vlookup('3.2'!I:I,lookup!$A$22:$B$24,2,false),0)</f>
        <v>5</v>
      </c>
      <c r="K48" s="10">
        <f>IFERROR(vlookup('3.2'!J:J,lookup!$A$26:$B$28,2,false),0)</f>
        <v>5</v>
      </c>
      <c r="L48" s="1"/>
      <c r="M48" s="10">
        <v>47.0</v>
      </c>
      <c r="N48" s="11" t="str">
        <f t="shared" si="1"/>
        <v>bnco1047@signalschool.ac.th</v>
      </c>
      <c r="O48" s="12">
        <f t="shared" si="2"/>
        <v>1</v>
      </c>
      <c r="R48" s="6" t="s">
        <v>261</v>
      </c>
    </row>
    <row r="49">
      <c r="A49" s="8">
        <f>'3.2'!A:A</f>
        <v>46265.68267</v>
      </c>
      <c r="B49" s="1" t="str">
        <f>'3.2'!B:B</f>
        <v>bnco1046@signalschool.ac.th</v>
      </c>
      <c r="C49" s="1" t="str">
        <f>'3.2'!C:C</f>
        <v>ร.อ.ธัญญพันธ์ ตรีศักดิ์ศรี</v>
      </c>
      <c r="D49" s="9">
        <v>1.0</v>
      </c>
      <c r="E49" s="10">
        <f>IFERROR(vlookup('3.2'!D:D,lookup!$A$2:$B$4,2,false),0)</f>
        <v>5</v>
      </c>
      <c r="F49" s="10">
        <f>IFERROR(vlookup('3.2'!E:E,lookup!$A$6:$B$8,2,false),0)</f>
        <v>5</v>
      </c>
      <c r="G49" s="10">
        <f>IFERROR(vlookup('3.2'!F:F,lookup!$A$10:$B$12,2,false),0)</f>
        <v>5</v>
      </c>
      <c r="H49" s="10">
        <f>IFERROR(vlookup('3.2'!G:G,lookup!$A$14:$B$16,2,false),0)</f>
        <v>5</v>
      </c>
      <c r="I49" s="10">
        <f>IFERROR(vlookup('3.2'!H:H,lookup!$A$18:$B$20,2,false),0)</f>
        <v>5</v>
      </c>
      <c r="J49" s="10">
        <f>IFERROR(vlookup('3.2'!I:I,lookup!$A$22:$B$24,2,false),0)</f>
        <v>5</v>
      </c>
      <c r="K49" s="10">
        <f>IFERROR(vlookup('3.2'!J:J,lookup!$A$26:$B$28,2,false),0)</f>
        <v>5</v>
      </c>
      <c r="L49" s="1"/>
      <c r="M49" s="10">
        <v>48.0</v>
      </c>
      <c r="N49" s="11" t="str">
        <f t="shared" si="1"/>
        <v>bnco1048@signalschool.ac.th</v>
      </c>
      <c r="O49" s="12">
        <f t="shared" si="2"/>
        <v>0</v>
      </c>
      <c r="R49" s="6" t="s">
        <v>262</v>
      </c>
    </row>
    <row r="50">
      <c r="A50" s="8">
        <f>'3.2'!A:A</f>
        <v>46265.69689</v>
      </c>
      <c r="B50" s="1" t="str">
        <f>'3.2'!B:B</f>
        <v>bnco1024@signalschool.ac.th</v>
      </c>
      <c r="C50" s="1" t="str">
        <f>'3.2'!C:C</f>
        <v>ร.อ.ธัญญพัทธ์ ตรีศักดิ์ศรี, จ.ส.อ.ชัยยุทธ ดิษบุตร</v>
      </c>
      <c r="D50" s="9">
        <v>1.0</v>
      </c>
      <c r="E50" s="10">
        <f>IFERROR(vlookup('3.2'!D:D,lookup!$A$2:$B$4,2,false),0)</f>
        <v>5</v>
      </c>
      <c r="F50" s="10">
        <f>IFERROR(vlookup('3.2'!E:E,lookup!$A$6:$B$8,2,false),0)</f>
        <v>5</v>
      </c>
      <c r="G50" s="10">
        <f>IFERROR(vlookup('3.2'!F:F,lookup!$A$10:$B$12,2,false),0)</f>
        <v>5</v>
      </c>
      <c r="H50" s="10">
        <f>IFERROR(vlookup('3.2'!G:G,lookup!$A$14:$B$16,2,false),0)</f>
        <v>5</v>
      </c>
      <c r="I50" s="10">
        <f>IFERROR(vlookup('3.2'!H:H,lookup!$A$18:$B$20,2,false),0)</f>
        <v>5</v>
      </c>
      <c r="J50" s="10">
        <f>IFERROR(vlookup('3.2'!I:I,lookup!$A$22:$B$24,2,false),0)</f>
        <v>5</v>
      </c>
      <c r="K50" s="10">
        <f>IFERROR(vlookup('3.2'!J:J,lookup!$A$26:$B$28,2,false),0)</f>
        <v>5</v>
      </c>
      <c r="L50" s="1"/>
      <c r="M50" s="10">
        <v>49.0</v>
      </c>
      <c r="N50" s="11" t="str">
        <f t="shared" si="1"/>
        <v>bnco1049@signalschool.ac.th</v>
      </c>
      <c r="O50" s="12">
        <f t="shared" si="2"/>
        <v>1</v>
      </c>
      <c r="R50" s="6" t="s">
        <v>263</v>
      </c>
    </row>
    <row r="51">
      <c r="A51" s="8">
        <f>'3.2'!A:A</f>
        <v>46265.70811</v>
      </c>
      <c r="B51" s="1" t="str">
        <f>'3.2'!B:B</f>
        <v>bnco1078@signalschool.ac.th</v>
      </c>
      <c r="C51" s="1" t="str">
        <f>'3.2'!C:C</f>
        <v>พ.ต.ไมตรี บุญเหลื่อม</v>
      </c>
      <c r="D51" s="9">
        <v>1.0</v>
      </c>
      <c r="E51" s="10">
        <f>IFERROR(vlookup('3.2'!D:D,lookup!$A$2:$B$4,2,false),0)</f>
        <v>5</v>
      </c>
      <c r="F51" s="10">
        <f>IFERROR(vlookup('3.2'!E:E,lookup!$A$6:$B$8,2,false),0)</f>
        <v>5</v>
      </c>
      <c r="G51" s="10">
        <f>IFERROR(vlookup('3.2'!F:F,lookup!$A$10:$B$12,2,false),0)</f>
        <v>5</v>
      </c>
      <c r="H51" s="10">
        <f>IFERROR(vlookup('3.2'!G:G,lookup!$A$14:$B$16,2,false),0)</f>
        <v>5</v>
      </c>
      <c r="I51" s="10">
        <f>IFERROR(vlookup('3.2'!H:H,lookup!$A$18:$B$20,2,false),0)</f>
        <v>5</v>
      </c>
      <c r="J51" s="10">
        <f>IFERROR(vlookup('3.2'!I:I,lookup!$A$22:$B$24,2,false),0)</f>
        <v>5</v>
      </c>
      <c r="K51" s="10">
        <f>IFERROR(vlookup('3.2'!J:J,lookup!$A$26:$B$28,2,false),0)</f>
        <v>5</v>
      </c>
      <c r="L51" s="1"/>
      <c r="M51" s="10">
        <v>50.0</v>
      </c>
      <c r="N51" s="11" t="str">
        <f t="shared" si="1"/>
        <v>bnco1050@signalschool.ac.th</v>
      </c>
      <c r="O51" s="12">
        <f t="shared" si="2"/>
        <v>1</v>
      </c>
      <c r="R51" s="6" t="s">
        <v>264</v>
      </c>
    </row>
    <row r="52">
      <c r="A52" s="8">
        <f>'3.2'!A:A</f>
        <v>46265.70841</v>
      </c>
      <c r="B52" s="1" t="str">
        <f>'3.2'!B:B</f>
        <v>bnco1073@signalschool.ac.th</v>
      </c>
      <c r="C52" s="1" t="str">
        <f>'3.2'!C:C</f>
        <v>ร.อ.ธัญญพัทธ์  ตรีศักดิ์ศรี</v>
      </c>
      <c r="D52" s="9">
        <v>1.0</v>
      </c>
      <c r="E52" s="10">
        <f>IFERROR(vlookup('3.2'!D:D,lookup!$A$2:$B$4,2,false),0)</f>
        <v>5</v>
      </c>
      <c r="F52" s="10">
        <f>IFERROR(vlookup('3.2'!E:E,lookup!$A$6:$B$8,2,false),0)</f>
        <v>5</v>
      </c>
      <c r="G52" s="10">
        <f>IFERROR(vlookup('3.2'!F:F,lookup!$A$10:$B$12,2,false),0)</f>
        <v>5</v>
      </c>
      <c r="H52" s="10">
        <f>IFERROR(vlookup('3.2'!G:G,lookup!$A$14:$B$16,2,false),0)</f>
        <v>5</v>
      </c>
      <c r="I52" s="10">
        <f>IFERROR(vlookup('3.2'!H:H,lookup!$A$18:$B$20,2,false),0)</f>
        <v>5</v>
      </c>
      <c r="J52" s="10">
        <f>IFERROR(vlookup('3.2'!I:I,lookup!$A$22:$B$24,2,false),0)</f>
        <v>5</v>
      </c>
      <c r="K52" s="10">
        <f>IFERROR(vlookup('3.2'!J:J,lookup!$A$26:$B$28,2,false),0)</f>
        <v>5</v>
      </c>
      <c r="L52" s="1"/>
      <c r="M52" s="10">
        <v>51.0</v>
      </c>
      <c r="N52" s="11" t="str">
        <f t="shared" si="1"/>
        <v>bnco1051@signalschool.ac.th</v>
      </c>
      <c r="O52" s="12">
        <f t="shared" si="2"/>
        <v>1</v>
      </c>
      <c r="R52" s="6" t="s">
        <v>265</v>
      </c>
    </row>
    <row r="53">
      <c r="A53" s="8">
        <f>'3.2'!A:A</f>
        <v>46265.73907</v>
      </c>
      <c r="B53" s="1" t="str">
        <f>'3.2'!B:B</f>
        <v>bnco1057@signalschool.ac.th</v>
      </c>
      <c r="C53" s="1" t="str">
        <f>'3.2'!C:C</f>
        <v>ร.อ. ธัญญพัทธ์  ตรีศักดิ์ศรี</v>
      </c>
      <c r="D53" s="9">
        <v>1.0</v>
      </c>
      <c r="E53" s="10">
        <f>IFERROR(vlookup('3.2'!D:D,lookup!$A$2:$B$4,2,false),0)</f>
        <v>5</v>
      </c>
      <c r="F53" s="10">
        <f>IFERROR(vlookup('3.2'!E:E,lookup!$A$6:$B$8,2,false),0)</f>
        <v>5</v>
      </c>
      <c r="G53" s="10">
        <f>IFERROR(vlookup('3.2'!F:F,lookup!$A$10:$B$12,2,false),0)</f>
        <v>5</v>
      </c>
      <c r="H53" s="10">
        <f>IFERROR(vlookup('3.2'!G:G,lookup!$A$14:$B$16,2,false),0)</f>
        <v>5</v>
      </c>
      <c r="I53" s="10">
        <f>IFERROR(vlookup('3.2'!H:H,lookup!$A$18:$B$20,2,false),0)</f>
        <v>5</v>
      </c>
      <c r="J53" s="10">
        <f>IFERROR(vlookup('3.2'!I:I,lookup!$A$22:$B$24,2,false),0)</f>
        <v>5</v>
      </c>
      <c r="K53" s="10">
        <f>IFERROR(vlookup('3.2'!J:J,lookup!$A$26:$B$28,2,false),0)</f>
        <v>5</v>
      </c>
      <c r="L53" s="1"/>
      <c r="M53" s="10">
        <v>52.0</v>
      </c>
      <c r="N53" s="11" t="str">
        <f t="shared" si="1"/>
        <v>bnco1052@signalschool.ac.th</v>
      </c>
      <c r="O53" s="12">
        <f t="shared" si="2"/>
        <v>1</v>
      </c>
      <c r="R53" s="6" t="s">
        <v>266</v>
      </c>
    </row>
    <row r="54">
      <c r="A54" s="8">
        <f>'3.2'!A:A</f>
        <v>46266.55517</v>
      </c>
      <c r="B54" s="1" t="str">
        <f>'3.2'!B:B</f>
        <v>bnco1004@signalschool.ac.th</v>
      </c>
      <c r="C54" s="1" t="str">
        <f>'3.2'!C:C</f>
        <v>จ่าสิบเอก อนิชิท ธิบมนทรา</v>
      </c>
      <c r="D54" s="9">
        <v>1.0</v>
      </c>
      <c r="E54" s="10">
        <f>IFERROR(vlookup('3.2'!D:D,lookup!$A$2:$B$4,2,false),0)</f>
        <v>3</v>
      </c>
      <c r="F54" s="10">
        <f>IFERROR(vlookup('3.2'!E:E,lookup!$A$6:$B$8,2,false),0)</f>
        <v>3</v>
      </c>
      <c r="G54" s="10">
        <f>IFERROR(vlookup('3.2'!F:F,lookup!$A$10:$B$12,2,false),0)</f>
        <v>3</v>
      </c>
      <c r="H54" s="10">
        <f>IFERROR(vlookup('3.2'!G:G,lookup!$A$14:$B$16,2,false),0)</f>
        <v>3</v>
      </c>
      <c r="I54" s="10">
        <f>IFERROR(vlookup('3.2'!H:H,lookup!$A$18:$B$20,2,false),0)</f>
        <v>3</v>
      </c>
      <c r="J54" s="10">
        <f>IFERROR(vlookup('3.2'!I:I,lookup!$A$22:$B$24,2,false),0)</f>
        <v>3</v>
      </c>
      <c r="K54" s="10">
        <f>IFERROR(vlookup('3.2'!J:J,lookup!$A$26:$B$28,2,false),0)</f>
        <v>3</v>
      </c>
      <c r="L54" s="1"/>
      <c r="M54" s="10">
        <v>53.0</v>
      </c>
      <c r="N54" s="11" t="str">
        <f t="shared" si="1"/>
        <v>bnco1053@signalschool.ac.th</v>
      </c>
      <c r="O54" s="12">
        <f t="shared" si="2"/>
        <v>1</v>
      </c>
      <c r="R54" s="6" t="s">
        <v>267</v>
      </c>
    </row>
    <row r="55">
      <c r="A55" s="8">
        <f>'3.2'!A:A</f>
        <v>46266.686</v>
      </c>
      <c r="B55" s="1" t="str">
        <f>'3.2'!B:B</f>
        <v>bnco1053@signalschool.ac.th</v>
      </c>
      <c r="C55" s="1" t="str">
        <f>'3.2'!C:C</f>
        <v>ร.อ.ธัญญพัทธ์  ตรีศักดิ์ศรี</v>
      </c>
      <c r="D55" s="9">
        <v>1.0</v>
      </c>
      <c r="E55" s="10">
        <f>IFERROR(vlookup('3.2'!D:D,lookup!$A$2:$B$4,2,false),0)</f>
        <v>5</v>
      </c>
      <c r="F55" s="10">
        <f>IFERROR(vlookup('3.2'!E:E,lookup!$A$6:$B$8,2,false),0)</f>
        <v>5</v>
      </c>
      <c r="G55" s="10">
        <f>IFERROR(vlookup('3.2'!F:F,lookup!$A$10:$B$12,2,false),0)</f>
        <v>5</v>
      </c>
      <c r="H55" s="10">
        <f>IFERROR(vlookup('3.2'!G:G,lookup!$A$14:$B$16,2,false),0)</f>
        <v>5</v>
      </c>
      <c r="I55" s="10">
        <f>IFERROR(vlookup('3.2'!H:H,lookup!$A$18:$B$20,2,false),0)</f>
        <v>5</v>
      </c>
      <c r="J55" s="10">
        <f>IFERROR(vlookup('3.2'!I:I,lookup!$A$22:$B$24,2,false),0)</f>
        <v>5</v>
      </c>
      <c r="K55" s="10">
        <f>IFERROR(vlookup('3.2'!J:J,lookup!$A$26:$B$28,2,false),0)</f>
        <v>5</v>
      </c>
      <c r="L55" s="1"/>
      <c r="M55" s="10">
        <v>54.0</v>
      </c>
      <c r="N55" s="11" t="str">
        <f t="shared" si="1"/>
        <v>bnco1054@signalschool.ac.th</v>
      </c>
      <c r="O55" s="12">
        <f t="shared" si="2"/>
        <v>1</v>
      </c>
      <c r="R55" s="6" t="s">
        <v>268</v>
      </c>
    </row>
    <row r="56">
      <c r="A56" s="8">
        <f>'3.2'!A:A</f>
        <v>46266.69122</v>
      </c>
      <c r="B56" s="1" t="str">
        <f>'3.2'!B:B</f>
        <v>bnco1047@signalschool.ac.th</v>
      </c>
      <c r="C56" s="1" t="str">
        <f>'3.2'!C:C</f>
        <v>ร.อ.ธัญญพัทธ์ ตรีศักดิ์ศรี</v>
      </c>
      <c r="D56" s="9">
        <v>1.0</v>
      </c>
      <c r="E56" s="10">
        <f>IFERROR(vlookup('3.2'!D:D,lookup!$A$2:$B$4,2,false),0)</f>
        <v>5</v>
      </c>
      <c r="F56" s="10">
        <f>IFERROR(vlookup('3.2'!E:E,lookup!$A$6:$B$8,2,false),0)</f>
        <v>5</v>
      </c>
      <c r="G56" s="10">
        <f>IFERROR(vlookup('3.2'!F:F,lookup!$A$10:$B$12,2,false),0)</f>
        <v>5</v>
      </c>
      <c r="H56" s="10">
        <f>IFERROR(vlookup('3.2'!G:G,lookup!$A$14:$B$16,2,false),0)</f>
        <v>5</v>
      </c>
      <c r="I56" s="10">
        <f>IFERROR(vlookup('3.2'!H:H,lookup!$A$18:$B$20,2,false),0)</f>
        <v>5</v>
      </c>
      <c r="J56" s="10">
        <f>IFERROR(vlookup('3.2'!I:I,lookup!$A$22:$B$24,2,false),0)</f>
        <v>5</v>
      </c>
      <c r="K56" s="10">
        <f>IFERROR(vlookup('3.2'!J:J,lookup!$A$26:$B$28,2,false),0)</f>
        <v>5</v>
      </c>
      <c r="L56" s="13"/>
      <c r="M56" s="10">
        <v>55.0</v>
      </c>
      <c r="N56" s="11" t="str">
        <f t="shared" si="1"/>
        <v>bnco1055@signalschool.ac.th</v>
      </c>
      <c r="O56" s="12">
        <f t="shared" si="2"/>
        <v>1</v>
      </c>
      <c r="R56" s="6" t="s">
        <v>269</v>
      </c>
    </row>
    <row r="57">
      <c r="A57" s="8">
        <f>'3.2'!A:A</f>
        <v>46266.70163</v>
      </c>
      <c r="B57" s="1" t="str">
        <f>'3.2'!B:B</f>
        <v>bnco1055@signalschool.ac.th</v>
      </c>
      <c r="C57" s="1" t="str">
        <f>'3.2'!C:C</f>
        <v>ร.อ.ธัญญพัทธ์ ตรีศักดิ์ศรี จ.ส.อ.ชัยยุทธ ดิษบุตร</v>
      </c>
      <c r="D57" s="9">
        <v>1.0</v>
      </c>
      <c r="E57" s="10">
        <f>IFERROR(vlookup('3.2'!D:D,lookup!$A$2:$B$4,2,false),0)</f>
        <v>5</v>
      </c>
      <c r="F57" s="10">
        <f>IFERROR(vlookup('3.2'!E:E,lookup!$A$6:$B$8,2,false),0)</f>
        <v>5</v>
      </c>
      <c r="G57" s="10">
        <f>IFERROR(vlookup('3.2'!F:F,lookup!$A$10:$B$12,2,false),0)</f>
        <v>5</v>
      </c>
      <c r="H57" s="10">
        <f>IFERROR(vlookup('3.2'!G:G,lookup!$A$14:$B$16,2,false),0)</f>
        <v>5</v>
      </c>
      <c r="I57" s="10">
        <f>IFERROR(vlookup('3.2'!H:H,lookup!$A$18:$B$20,2,false),0)</f>
        <v>5</v>
      </c>
      <c r="J57" s="10">
        <f>IFERROR(vlookup('3.2'!I:I,lookup!$A$22:$B$24,2,false),0)</f>
        <v>5</v>
      </c>
      <c r="K57" s="10">
        <f>IFERROR(vlookup('3.2'!J:J,lookup!$A$26:$B$28,2,false),0)</f>
        <v>5</v>
      </c>
      <c r="L57" s="13"/>
      <c r="M57" s="10">
        <v>56.0</v>
      </c>
      <c r="N57" s="11" t="str">
        <f t="shared" si="1"/>
        <v>bnco1056@signalschool.ac.th</v>
      </c>
      <c r="O57" s="12">
        <f t="shared" si="2"/>
        <v>1</v>
      </c>
      <c r="R57" s="6" t="s">
        <v>270</v>
      </c>
    </row>
    <row r="58">
      <c r="A58" s="8">
        <f>'3.2'!A:A</f>
        <v>46266.82284</v>
      </c>
      <c r="B58" s="1" t="str">
        <f>'3.2'!B:B</f>
        <v>bnco1017@signalschool.ac.th</v>
      </c>
      <c r="C58" s="1" t="str">
        <f>'3.2'!C:C</f>
        <v>จ.ส.อ.ชัยยุทธ ดิษบุตร,ร.อ.ธัญญพัทธ์ ตรีศักดิ์ศรี</v>
      </c>
      <c r="D58" s="9">
        <v>1.0</v>
      </c>
      <c r="E58" s="10">
        <f>IFERROR(vlookup('3.2'!D:D,lookup!$A$2:$B$4,2,false),0)</f>
        <v>5</v>
      </c>
      <c r="F58" s="10">
        <f>IFERROR(vlookup('3.2'!E:E,lookup!$A$6:$B$8,2,false),0)</f>
        <v>5</v>
      </c>
      <c r="G58" s="10">
        <f>IFERROR(vlookup('3.2'!F:F,lookup!$A$10:$B$12,2,false),0)</f>
        <v>5</v>
      </c>
      <c r="H58" s="10">
        <f>IFERROR(vlookup('3.2'!G:G,lookup!$A$14:$B$16,2,false),0)</f>
        <v>5</v>
      </c>
      <c r="I58" s="10">
        <f>IFERROR(vlookup('3.2'!H:H,lookup!$A$18:$B$20,2,false),0)</f>
        <v>5</v>
      </c>
      <c r="J58" s="10">
        <f>IFERROR(vlookup('3.2'!I:I,lookup!$A$22:$B$24,2,false),0)</f>
        <v>5</v>
      </c>
      <c r="K58" s="10">
        <f>IFERROR(vlookup('3.2'!J:J,lookup!$A$26:$B$28,2,false),0)</f>
        <v>5</v>
      </c>
      <c r="L58" s="13"/>
      <c r="M58" s="10">
        <v>57.0</v>
      </c>
      <c r="N58" s="11" t="str">
        <f t="shared" si="1"/>
        <v>bnco1057@signalschool.ac.th</v>
      </c>
      <c r="O58" s="12">
        <f t="shared" si="2"/>
        <v>1</v>
      </c>
      <c r="R58" s="6" t="s">
        <v>271</v>
      </c>
    </row>
    <row r="59">
      <c r="A59" s="8">
        <f>'3.2'!A:A</f>
        <v>46267.31242</v>
      </c>
      <c r="B59" s="1" t="str">
        <f>'3.2'!B:B</f>
        <v>bnco1019@signalschool.ac.th</v>
      </c>
      <c r="C59" s="1" t="str">
        <f>'3.2'!C:C</f>
        <v>จ.ส.อ.ชัยยุทธ  ดิษบุตร</v>
      </c>
      <c r="D59" s="9">
        <v>1.0</v>
      </c>
      <c r="E59" s="10">
        <f>IFERROR(vlookup('3.2'!D:D,lookup!$A$2:$B$4,2,false),0)</f>
        <v>5</v>
      </c>
      <c r="F59" s="10">
        <f>IFERROR(vlookup('3.2'!E:E,lookup!$A$6:$B$8,2,false),0)</f>
        <v>5</v>
      </c>
      <c r="G59" s="10">
        <f>IFERROR(vlookup('3.2'!F:F,lookup!$A$10:$B$12,2,false),0)</f>
        <v>5</v>
      </c>
      <c r="H59" s="10">
        <f>IFERROR(vlookup('3.2'!G:G,lookup!$A$14:$B$16,2,false),0)</f>
        <v>5</v>
      </c>
      <c r="I59" s="10">
        <f>IFERROR(vlookup('3.2'!H:H,lookup!$A$18:$B$20,2,false),0)</f>
        <v>5</v>
      </c>
      <c r="J59" s="10">
        <f>IFERROR(vlookup('3.2'!I:I,lookup!$A$22:$B$24,2,false),0)</f>
        <v>5</v>
      </c>
      <c r="K59" s="10">
        <f>IFERROR(vlookup('3.2'!J:J,lookup!$A$26:$B$28,2,false),0)</f>
        <v>5</v>
      </c>
      <c r="L59" s="14"/>
      <c r="M59" s="10">
        <v>58.0</v>
      </c>
      <c r="N59" s="11" t="str">
        <f t="shared" si="1"/>
        <v>bnco1058@signalschool.ac.th</v>
      </c>
      <c r="O59" s="12">
        <f t="shared" si="2"/>
        <v>1</v>
      </c>
      <c r="R59" s="6" t="s">
        <v>272</v>
      </c>
    </row>
    <row r="60">
      <c r="A60" s="8">
        <f>'3.2'!A:A</f>
        <v>46267.31334</v>
      </c>
      <c r="B60" s="1" t="str">
        <f>'3.2'!B:B</f>
        <v>bnco1016@signalschool.ac.th</v>
      </c>
      <c r="C60" s="1" t="str">
        <f>'3.2'!C:C</f>
        <v>ร.อ.ธัญญพัทธ์ ตรีศักดิ์ศรี</v>
      </c>
      <c r="D60" s="9">
        <v>1.0</v>
      </c>
      <c r="E60" s="10">
        <f>IFERROR(vlookup('3.2'!D:D,lookup!$A$2:$B$4,2,false),0)</f>
        <v>5</v>
      </c>
      <c r="F60" s="10">
        <f>IFERROR(vlookup('3.2'!E:E,lookup!$A$6:$B$8,2,false),0)</f>
        <v>5</v>
      </c>
      <c r="G60" s="10">
        <f>IFERROR(vlookup('3.2'!F:F,lookup!$A$10:$B$12,2,false),0)</f>
        <v>5</v>
      </c>
      <c r="H60" s="10">
        <f>IFERROR(vlookup('3.2'!G:G,lookup!$A$14:$B$16,2,false),0)</f>
        <v>5</v>
      </c>
      <c r="I60" s="10">
        <f>IFERROR(vlookup('3.2'!H:H,lookup!$A$18:$B$20,2,false),0)</f>
        <v>5</v>
      </c>
      <c r="J60" s="10">
        <f>IFERROR(vlookup('3.2'!I:I,lookup!$A$22:$B$24,2,false),0)</f>
        <v>5</v>
      </c>
      <c r="K60" s="10">
        <f>IFERROR(vlookup('3.2'!J:J,lookup!$A$26:$B$28,2,false),0)</f>
        <v>5</v>
      </c>
      <c r="L60" s="10"/>
      <c r="M60" s="10">
        <v>59.0</v>
      </c>
      <c r="N60" s="11" t="str">
        <f t="shared" si="1"/>
        <v>bnco1059@signalschool.ac.th</v>
      </c>
      <c r="O60" s="12">
        <f t="shared" si="2"/>
        <v>0</v>
      </c>
      <c r="R60" s="6" t="s">
        <v>273</v>
      </c>
    </row>
    <row r="61">
      <c r="A61" s="8">
        <f>'3.2'!A:A</f>
        <v>46267.56713</v>
      </c>
      <c r="B61" s="1" t="str">
        <f>'3.2'!B:B</f>
        <v>bnco1034@signalschool.ac.th</v>
      </c>
      <c r="C61" s="1" t="str">
        <f>'3.2'!C:C</f>
        <v>จ.ส.อ.ชัยยุทธ ดิษบุตร</v>
      </c>
      <c r="D61" s="9">
        <v>1.0</v>
      </c>
      <c r="E61" s="10">
        <f>IFERROR(vlookup('3.2'!D:D,lookup!$A$2:$B$4,2,false),0)</f>
        <v>5</v>
      </c>
      <c r="F61" s="10">
        <f>IFERROR(vlookup('3.2'!E:E,lookup!$A$6:$B$8,2,false),0)</f>
        <v>5</v>
      </c>
      <c r="G61" s="10">
        <f>IFERROR(vlookup('3.2'!F:F,lookup!$A$10:$B$12,2,false),0)</f>
        <v>5</v>
      </c>
      <c r="H61" s="10">
        <f>IFERROR(vlookup('3.2'!G:G,lookup!$A$14:$B$16,2,false),0)</f>
        <v>5</v>
      </c>
      <c r="I61" s="10">
        <f>IFERROR(vlookup('3.2'!H:H,lookup!$A$18:$B$20,2,false),0)</f>
        <v>5</v>
      </c>
      <c r="J61" s="10">
        <f>IFERROR(vlookup('3.2'!I:I,lookup!$A$22:$B$24,2,false),0)</f>
        <v>5</v>
      </c>
      <c r="K61" s="10">
        <f>IFERROR(vlookup('3.2'!J:J,lookup!$A$26:$B$28,2,false),0)</f>
        <v>5</v>
      </c>
      <c r="M61" s="10">
        <v>60.0</v>
      </c>
      <c r="N61" s="11" t="str">
        <f t="shared" si="1"/>
        <v>bnco1060@signalschool.ac.th</v>
      </c>
      <c r="O61" s="12">
        <f t="shared" si="2"/>
        <v>1</v>
      </c>
      <c r="R61" s="6" t="s">
        <v>274</v>
      </c>
    </row>
    <row r="62">
      <c r="A62" s="8">
        <f>'3.2'!A:A</f>
        <v>46267.6086</v>
      </c>
      <c r="B62" s="1" t="str">
        <f>'3.2'!B:B</f>
        <v>bnco1011@signalschool.ac.th</v>
      </c>
      <c r="C62" s="1" t="str">
        <f>'3.2'!C:C</f>
        <v>จ.ส.อ.ชัยยุทธ</v>
      </c>
      <c r="D62" s="9">
        <v>1.0</v>
      </c>
      <c r="E62" s="10">
        <f>IFERROR(vlookup('3.2'!D:D,lookup!$A$2:$B$4,2,false),0)</f>
        <v>5</v>
      </c>
      <c r="F62" s="10">
        <f>IFERROR(vlookup('3.2'!E:E,lookup!$A$6:$B$8,2,false),0)</f>
        <v>5</v>
      </c>
      <c r="G62" s="10">
        <f>IFERROR(vlookup('3.2'!F:F,lookup!$A$10:$B$12,2,false),0)</f>
        <v>5</v>
      </c>
      <c r="H62" s="10">
        <f>IFERROR(vlookup('3.2'!G:G,lookup!$A$14:$B$16,2,false),0)</f>
        <v>5</v>
      </c>
      <c r="I62" s="10">
        <f>IFERROR(vlookup('3.2'!H:H,lookup!$A$18:$B$20,2,false),0)</f>
        <v>5</v>
      </c>
      <c r="J62" s="10">
        <f>IFERROR(vlookup('3.2'!I:I,lookup!$A$22:$B$24,2,false),0)</f>
        <v>5</v>
      </c>
      <c r="K62" s="10">
        <f>IFERROR(vlookup('3.2'!J:J,lookup!$A$26:$B$28,2,false),0)</f>
        <v>5</v>
      </c>
      <c r="M62" s="10">
        <v>61.0</v>
      </c>
      <c r="N62" s="11" t="str">
        <f t="shared" si="1"/>
        <v>bnco1061@signalschool.ac.th</v>
      </c>
      <c r="O62" s="12">
        <f t="shared" si="2"/>
        <v>1</v>
      </c>
      <c r="R62" s="6" t="s">
        <v>275</v>
      </c>
    </row>
    <row r="63">
      <c r="A63" s="8">
        <f>'3.2'!A:A</f>
        <v>46267.61115</v>
      </c>
      <c r="B63" s="1" t="str">
        <f>'3.2'!B:B</f>
        <v>bnco1001@signalschool.ac.th</v>
      </c>
      <c r="C63" s="1" t="str">
        <f>'3.2'!C:C</f>
        <v>ครู/อาจารย์</v>
      </c>
      <c r="D63" s="9">
        <v>1.0</v>
      </c>
      <c r="E63" s="10">
        <f>IFERROR(vlookup('3.2'!D:D,lookup!$A$2:$B$4,2,false),0)</f>
        <v>5</v>
      </c>
      <c r="F63" s="10">
        <f>IFERROR(vlookup('3.2'!E:E,lookup!$A$6:$B$8,2,false),0)</f>
        <v>5</v>
      </c>
      <c r="G63" s="10">
        <f>IFERROR(vlookup('3.2'!F:F,lookup!$A$10:$B$12,2,false),0)</f>
        <v>5</v>
      </c>
      <c r="H63" s="10">
        <f>IFERROR(vlookup('3.2'!G:G,lookup!$A$14:$B$16,2,false),0)</f>
        <v>5</v>
      </c>
      <c r="I63" s="10">
        <f>IFERROR(vlookup('3.2'!H:H,lookup!$A$18:$B$20,2,false),0)</f>
        <v>5</v>
      </c>
      <c r="J63" s="10">
        <f>IFERROR(vlookup('3.2'!I:I,lookup!$A$22:$B$24,2,false),0)</f>
        <v>5</v>
      </c>
      <c r="K63" s="10">
        <f>IFERROR(vlookup('3.2'!J:J,lookup!$A$26:$B$28,2,false),0)</f>
        <v>5</v>
      </c>
      <c r="M63" s="10">
        <v>62.0</v>
      </c>
      <c r="N63" s="11" t="str">
        <f t="shared" si="1"/>
        <v>bnco1062@signalschool.ac.th</v>
      </c>
      <c r="O63" s="12">
        <f t="shared" si="2"/>
        <v>1</v>
      </c>
      <c r="R63" s="6" t="s">
        <v>276</v>
      </c>
    </row>
    <row r="64">
      <c r="A64" s="8">
        <f>'3.2'!A:A</f>
        <v>46267.6116</v>
      </c>
      <c r="B64" s="1" t="str">
        <f>'3.2'!B:B</f>
        <v>bnco1043@signalschool.ac.th</v>
      </c>
      <c r="C64" s="1" t="str">
        <f>'3.2'!C:C</f>
        <v>ร.อ.ธัญญพัทธ์ ตรีศักดิ์ศรี จ.ส.อ.ชัยยุทธ ดิษบุตร</v>
      </c>
      <c r="D64" s="9">
        <v>1.0</v>
      </c>
      <c r="E64" s="10">
        <f>IFERROR(vlookup('3.2'!D:D,lookup!$A$2:$B$4,2,false),0)</f>
        <v>5</v>
      </c>
      <c r="F64" s="10">
        <f>IFERROR(vlookup('3.2'!E:E,lookup!$A$6:$B$8,2,false),0)</f>
        <v>5</v>
      </c>
      <c r="G64" s="10">
        <f>IFERROR(vlookup('3.2'!F:F,lookup!$A$10:$B$12,2,false),0)</f>
        <v>5</v>
      </c>
      <c r="H64" s="10">
        <f>IFERROR(vlookup('3.2'!G:G,lookup!$A$14:$B$16,2,false),0)</f>
        <v>5</v>
      </c>
      <c r="I64" s="10">
        <f>IFERROR(vlookup('3.2'!H:H,lookup!$A$18:$B$20,2,false),0)</f>
        <v>5</v>
      </c>
      <c r="J64" s="10">
        <f>IFERROR(vlookup('3.2'!I:I,lookup!$A$22:$B$24,2,false),0)</f>
        <v>5</v>
      </c>
      <c r="K64" s="10">
        <f>IFERROR(vlookup('3.2'!J:J,lookup!$A$26:$B$28,2,false),0)</f>
        <v>5</v>
      </c>
      <c r="M64" s="10">
        <v>63.0</v>
      </c>
      <c r="N64" s="11" t="str">
        <f t="shared" si="1"/>
        <v>bnco1063@signalschool.ac.th</v>
      </c>
      <c r="O64" s="12">
        <f t="shared" si="2"/>
        <v>1</v>
      </c>
      <c r="R64" s="6" t="s">
        <v>277</v>
      </c>
    </row>
    <row r="65">
      <c r="A65" s="8">
        <f>'3.2'!A:A</f>
        <v>46267.85343</v>
      </c>
      <c r="B65" s="1" t="str">
        <f>'3.2'!B:B</f>
        <v>bnco1026@signalschool.ac.th</v>
      </c>
      <c r="C65" s="1" t="str">
        <f>'3.2'!C:C</f>
        <v>อาจารย์ผู้สอน</v>
      </c>
      <c r="D65" s="9">
        <v>1.0</v>
      </c>
      <c r="E65" s="10">
        <f>IFERROR(vlookup('3.2'!D:D,lookup!$A$2:$B$4,2,false),0)</f>
        <v>5</v>
      </c>
      <c r="F65" s="10">
        <f>IFERROR(vlookup('3.2'!E:E,lookup!$A$6:$B$8,2,false),0)</f>
        <v>5</v>
      </c>
      <c r="G65" s="10">
        <f>IFERROR(vlookup('3.2'!F:F,lookup!$A$10:$B$12,2,false),0)</f>
        <v>5</v>
      </c>
      <c r="H65" s="10">
        <f>IFERROR(vlookup('3.2'!G:G,lookup!$A$14:$B$16,2,false),0)</f>
        <v>5</v>
      </c>
      <c r="I65" s="10">
        <f>IFERROR(vlookup('3.2'!H:H,lookup!$A$18:$B$20,2,false),0)</f>
        <v>5</v>
      </c>
      <c r="J65" s="10">
        <f>IFERROR(vlookup('3.2'!I:I,lookup!$A$22:$B$24,2,false),0)</f>
        <v>5</v>
      </c>
      <c r="K65" s="10">
        <f>IFERROR(vlookup('3.2'!J:J,lookup!$A$26:$B$28,2,false),0)</f>
        <v>5</v>
      </c>
      <c r="M65" s="10">
        <v>64.0</v>
      </c>
      <c r="N65" s="11" t="str">
        <f t="shared" si="1"/>
        <v>bnco1064@signalschool.ac.th</v>
      </c>
      <c r="O65" s="12">
        <f t="shared" si="2"/>
        <v>1</v>
      </c>
      <c r="R65" s="6" t="s">
        <v>278</v>
      </c>
    </row>
    <row r="66">
      <c r="A66" s="8">
        <f>'3.2'!A:A</f>
        <v>46268.34726</v>
      </c>
      <c r="B66" s="1" t="str">
        <f>'3.2'!B:B</f>
        <v>bnco1040@signalschool.ac.th</v>
      </c>
      <c r="C66" s="1" t="str">
        <f>'3.2'!C:C</f>
        <v>.อ.ธัญญพัทธ์ ตรีศักดิ์ศรี</v>
      </c>
      <c r="D66" s="9">
        <v>1.0</v>
      </c>
      <c r="E66" s="10">
        <f>IFERROR(vlookup('3.2'!D:D,lookup!$A$2:$B$4,2,false),0)</f>
        <v>5</v>
      </c>
      <c r="F66" s="10">
        <f>IFERROR(vlookup('3.2'!E:E,lookup!$A$6:$B$8,2,false),0)</f>
        <v>5</v>
      </c>
      <c r="G66" s="10">
        <f>IFERROR(vlookup('3.2'!F:F,lookup!$A$10:$B$12,2,false),0)</f>
        <v>5</v>
      </c>
      <c r="H66" s="10">
        <f>IFERROR(vlookup('3.2'!G:G,lookup!$A$14:$B$16,2,false),0)</f>
        <v>5</v>
      </c>
      <c r="I66" s="10">
        <f>IFERROR(vlookup('3.2'!H:H,lookup!$A$18:$B$20,2,false),0)</f>
        <v>5</v>
      </c>
      <c r="J66" s="10">
        <f>IFERROR(vlookup('3.2'!I:I,lookup!$A$22:$B$24,2,false),0)</f>
        <v>5</v>
      </c>
      <c r="K66" s="10">
        <f>IFERROR(vlookup('3.2'!J:J,lookup!$A$26:$B$28,2,false),0)</f>
        <v>5</v>
      </c>
      <c r="M66" s="10">
        <v>65.0</v>
      </c>
      <c r="N66" s="11" t="str">
        <f t="shared" si="1"/>
        <v>bnco1065@signalschool.ac.th</v>
      </c>
      <c r="O66" s="12">
        <f t="shared" si="2"/>
        <v>0</v>
      </c>
      <c r="R66" s="6" t="s">
        <v>279</v>
      </c>
    </row>
    <row r="67">
      <c r="A67" s="8" t="str">
        <f>'3.2'!A:A</f>
        <v/>
      </c>
      <c r="B67" s="1" t="str">
        <f>'3.2'!B:B</f>
        <v/>
      </c>
      <c r="C67" s="1" t="str">
        <f>'3.2'!C:C</f>
        <v/>
      </c>
      <c r="D67" s="9">
        <v>1.0</v>
      </c>
      <c r="E67" s="10">
        <f>IFERROR(vlookup('3.2'!D:D,lookup!$A$2:$B$4,2,false),0)</f>
        <v>0</v>
      </c>
      <c r="F67" s="10">
        <f>IFERROR(vlookup('3.2'!E:E,lookup!$A$6:$B$8,2,false),0)</f>
        <v>0</v>
      </c>
      <c r="G67" s="10">
        <f>IFERROR(vlookup('3.2'!F:F,lookup!$A$10:$B$12,2,false),0)</f>
        <v>0</v>
      </c>
      <c r="H67" s="10">
        <f>IFERROR(vlookup('3.2'!G:G,lookup!$A$14:$B$16,2,false),0)</f>
        <v>0</v>
      </c>
      <c r="I67" s="10">
        <f>IFERROR(vlookup('3.2'!H:H,lookup!$A$18:$B$20,2,false),0)</f>
        <v>0</v>
      </c>
      <c r="J67" s="10">
        <f>IFERROR(vlookup('3.2'!I:I,lookup!$A$22:$B$24,2,false),0)</f>
        <v>0</v>
      </c>
      <c r="K67" s="10">
        <f>IFERROR(vlookup('3.2'!J:J,lookup!$A$26:$B$28,2,false),0)</f>
        <v>0</v>
      </c>
      <c r="M67" s="10">
        <v>66.0</v>
      </c>
      <c r="N67" s="11" t="str">
        <f t="shared" si="1"/>
        <v>bnco1066@signalschool.ac.th</v>
      </c>
      <c r="O67" s="12">
        <f t="shared" si="2"/>
        <v>1</v>
      </c>
      <c r="R67" s="6" t="s">
        <v>280</v>
      </c>
    </row>
    <row r="68">
      <c r="A68" s="8" t="str">
        <f>'3.2'!A:A</f>
        <v/>
      </c>
      <c r="B68" s="1" t="str">
        <f>'3.2'!B:B</f>
        <v/>
      </c>
      <c r="C68" s="1" t="str">
        <f>'3.2'!C:C</f>
        <v/>
      </c>
      <c r="D68" s="9">
        <v>1.0</v>
      </c>
      <c r="E68" s="10">
        <f>IFERROR(vlookup('3.2'!D:D,lookup!$A$2:$B$4,2,false),0)</f>
        <v>0</v>
      </c>
      <c r="F68" s="10">
        <f>IFERROR(vlookup('3.2'!E:E,lookup!$A$6:$B$8,2,false),0)</f>
        <v>0</v>
      </c>
      <c r="G68" s="10">
        <f>IFERROR(vlookup('3.2'!F:F,lookup!$A$10:$B$12,2,false),0)</f>
        <v>0</v>
      </c>
      <c r="H68" s="10">
        <f>IFERROR(vlookup('3.2'!G:G,lookup!$A$14:$B$16,2,false),0)</f>
        <v>0</v>
      </c>
      <c r="I68" s="10">
        <f>IFERROR(vlookup('3.2'!H:H,lookup!$A$18:$B$20,2,false),0)</f>
        <v>0</v>
      </c>
      <c r="J68" s="10">
        <f>IFERROR(vlookup('3.2'!I:I,lookup!$A$22:$B$24,2,false),0)</f>
        <v>0</v>
      </c>
      <c r="K68" s="10">
        <f>IFERROR(vlookup('3.2'!J:J,lookup!$A$26:$B$28,2,false),0)</f>
        <v>0</v>
      </c>
      <c r="M68" s="10">
        <v>67.0</v>
      </c>
      <c r="N68" s="11" t="str">
        <f t="shared" si="1"/>
        <v>bnco1067@signalschool.ac.th</v>
      </c>
      <c r="O68" s="12">
        <f t="shared" si="2"/>
        <v>1</v>
      </c>
      <c r="R68" s="6" t="s">
        <v>281</v>
      </c>
    </row>
    <row r="69">
      <c r="A69" s="8" t="str">
        <f>'3.2'!A:A</f>
        <v/>
      </c>
      <c r="B69" s="1" t="str">
        <f>'3.2'!B:B</f>
        <v/>
      </c>
      <c r="C69" s="1" t="str">
        <f>'3.2'!C:C</f>
        <v/>
      </c>
      <c r="D69" s="9">
        <v>1.0</v>
      </c>
      <c r="E69" s="10">
        <f>IFERROR(vlookup('3.2'!D:D,lookup!$A$2:$B$4,2,false),0)</f>
        <v>0</v>
      </c>
      <c r="F69" s="10">
        <f>IFERROR(vlookup('3.2'!E:E,lookup!$A$6:$B$8,2,false),0)</f>
        <v>0</v>
      </c>
      <c r="G69" s="10">
        <f>IFERROR(vlookup('3.2'!F:F,lookup!$A$10:$B$12,2,false),0)</f>
        <v>0</v>
      </c>
      <c r="H69" s="10">
        <f>IFERROR(vlookup('3.2'!G:G,lookup!$A$14:$B$16,2,false),0)</f>
        <v>0</v>
      </c>
      <c r="I69" s="10">
        <f>IFERROR(vlookup('3.2'!H:H,lookup!$A$18:$B$20,2,false),0)</f>
        <v>0</v>
      </c>
      <c r="J69" s="10">
        <f>IFERROR(vlookup('3.2'!I:I,lookup!$A$22:$B$24,2,false),0)</f>
        <v>0</v>
      </c>
      <c r="K69" s="10">
        <f>IFERROR(vlookup('3.2'!J:J,lookup!$A$26:$B$28,2,false),0)</f>
        <v>0</v>
      </c>
      <c r="M69" s="10">
        <v>68.0</v>
      </c>
      <c r="N69" s="11" t="str">
        <f t="shared" si="1"/>
        <v>bnco1068@signalschool.ac.th</v>
      </c>
      <c r="O69" s="12">
        <f t="shared" si="2"/>
        <v>1</v>
      </c>
      <c r="R69" s="6" t="s">
        <v>282</v>
      </c>
    </row>
    <row r="70">
      <c r="A70" s="8" t="str">
        <f>'3.2'!A:A</f>
        <v/>
      </c>
      <c r="B70" s="1" t="str">
        <f>'3.2'!B:B</f>
        <v/>
      </c>
      <c r="C70" s="1" t="str">
        <f>'3.2'!C:C</f>
        <v/>
      </c>
      <c r="D70" s="9">
        <v>1.0</v>
      </c>
      <c r="E70" s="10">
        <f>IFERROR(vlookup('3.2'!D:D,lookup!$A$2:$B$4,2,false),0)</f>
        <v>0</v>
      </c>
      <c r="F70" s="10">
        <f>IFERROR(vlookup('3.2'!E:E,lookup!$A$6:$B$8,2,false),0)</f>
        <v>0</v>
      </c>
      <c r="G70" s="10">
        <f>IFERROR(vlookup('3.2'!F:F,lookup!$A$10:$B$12,2,false),0)</f>
        <v>0</v>
      </c>
      <c r="H70" s="10">
        <f>IFERROR(vlookup('3.2'!G:G,lookup!$A$14:$B$16,2,false),0)</f>
        <v>0</v>
      </c>
      <c r="I70" s="10">
        <f>IFERROR(vlookup('3.2'!H:H,lookup!$A$18:$B$20,2,false),0)</f>
        <v>0</v>
      </c>
      <c r="J70" s="10">
        <f>IFERROR(vlookup('3.2'!I:I,lookup!$A$22:$B$24,2,false),0)</f>
        <v>0</v>
      </c>
      <c r="K70" s="10">
        <f>IFERROR(vlookup('3.2'!J:J,lookup!$A$26:$B$28,2,false),0)</f>
        <v>0</v>
      </c>
      <c r="M70" s="10">
        <v>69.0</v>
      </c>
      <c r="N70" s="11" t="str">
        <f t="shared" si="1"/>
        <v>bnco1069@signalschool.ac.th</v>
      </c>
      <c r="O70" s="12">
        <f t="shared" si="2"/>
        <v>1</v>
      </c>
      <c r="R70" s="6" t="s">
        <v>283</v>
      </c>
    </row>
    <row r="71">
      <c r="A71" s="8" t="str">
        <f>'3.2'!A:A</f>
        <v/>
      </c>
      <c r="B71" s="1" t="str">
        <f>'3.2'!B:B</f>
        <v/>
      </c>
      <c r="C71" s="1" t="str">
        <f>'3.2'!C:C</f>
        <v/>
      </c>
      <c r="D71" s="9">
        <v>1.0</v>
      </c>
      <c r="E71" s="10">
        <f>IFERROR(vlookup('3.2'!D:D,lookup!$A$2:$B$4,2,false),0)</f>
        <v>0</v>
      </c>
      <c r="F71" s="10">
        <f>IFERROR(vlookup('3.2'!E:E,lookup!$A$6:$B$8,2,false),0)</f>
        <v>0</v>
      </c>
      <c r="G71" s="10">
        <f>IFERROR(vlookup('3.2'!F:F,lookup!$A$10:$B$12,2,false),0)</f>
        <v>0</v>
      </c>
      <c r="H71" s="10">
        <f>IFERROR(vlookup('3.2'!G:G,lookup!$A$14:$B$16,2,false),0)</f>
        <v>0</v>
      </c>
      <c r="I71" s="10">
        <f>IFERROR(vlookup('3.2'!H:H,lookup!$A$18:$B$20,2,false),0)</f>
        <v>0</v>
      </c>
      <c r="J71" s="10">
        <f>IFERROR(vlookup('3.2'!I:I,lookup!$A$22:$B$24,2,false),0)</f>
        <v>0</v>
      </c>
      <c r="K71" s="10">
        <f>IFERROR(vlookup('3.2'!J:J,lookup!$A$26:$B$28,2,false),0)</f>
        <v>0</v>
      </c>
      <c r="M71" s="10">
        <v>70.0</v>
      </c>
      <c r="N71" s="11" t="str">
        <f t="shared" si="1"/>
        <v>bnco1070@signalschool.ac.th</v>
      </c>
      <c r="O71" s="12">
        <f t="shared" si="2"/>
        <v>1</v>
      </c>
      <c r="R71" s="6" t="s">
        <v>284</v>
      </c>
    </row>
    <row r="72">
      <c r="A72" s="8" t="str">
        <f>'3.2'!A:A</f>
        <v/>
      </c>
      <c r="B72" s="1" t="str">
        <f>'3.2'!B:B</f>
        <v/>
      </c>
      <c r="C72" s="1" t="str">
        <f>'3.2'!C:C</f>
        <v/>
      </c>
      <c r="D72" s="9">
        <v>1.0</v>
      </c>
      <c r="E72" s="10">
        <f>IFERROR(vlookup('3.2'!D:D,lookup!$A$2:$B$4,2,false),0)</f>
        <v>0</v>
      </c>
      <c r="F72" s="10">
        <f>IFERROR(vlookup('3.2'!E:E,lookup!$A$6:$B$8,2,false),0)</f>
        <v>0</v>
      </c>
      <c r="G72" s="10">
        <f>IFERROR(vlookup('3.2'!F:F,lookup!$A$10:$B$12,2,false),0)</f>
        <v>0</v>
      </c>
      <c r="H72" s="10">
        <f>IFERROR(vlookup('3.2'!G:G,lookup!$A$14:$B$16,2,false),0)</f>
        <v>0</v>
      </c>
      <c r="I72" s="10">
        <f>IFERROR(vlookup('3.2'!H:H,lookup!$A$18:$B$20,2,false),0)</f>
        <v>0</v>
      </c>
      <c r="J72" s="10">
        <f>IFERROR(vlookup('3.2'!I:I,lookup!$A$22:$B$24,2,false),0)</f>
        <v>0</v>
      </c>
      <c r="K72" s="10">
        <f>IFERROR(vlookup('3.2'!J:J,lookup!$A$26:$B$28,2,false),0)</f>
        <v>0</v>
      </c>
      <c r="M72" s="10">
        <v>71.0</v>
      </c>
      <c r="N72" s="11" t="str">
        <f t="shared" si="1"/>
        <v>bnco1071@signalschool.ac.th</v>
      </c>
      <c r="O72" s="12">
        <f t="shared" si="2"/>
        <v>1</v>
      </c>
      <c r="R72" s="6" t="s">
        <v>285</v>
      </c>
    </row>
    <row r="73">
      <c r="A73" s="8" t="str">
        <f>'3.2'!A:A</f>
        <v/>
      </c>
      <c r="B73" s="1" t="str">
        <f>'3.2'!B:B</f>
        <v/>
      </c>
      <c r="C73" s="1" t="str">
        <f>'3.2'!C:C</f>
        <v/>
      </c>
      <c r="D73" s="9">
        <v>1.0</v>
      </c>
      <c r="E73" s="10">
        <f>IFERROR(vlookup('3.2'!D:D,lookup!$A$2:$B$4,2,false),0)</f>
        <v>0</v>
      </c>
      <c r="F73" s="10">
        <f>IFERROR(vlookup('3.2'!E:E,lookup!$A$6:$B$8,2,false),0)</f>
        <v>0</v>
      </c>
      <c r="G73" s="10">
        <f>IFERROR(vlookup('3.2'!F:F,lookup!$A$10:$B$12,2,false),0)</f>
        <v>0</v>
      </c>
      <c r="H73" s="10">
        <f>IFERROR(vlookup('3.2'!G:G,lookup!$A$14:$B$16,2,false),0)</f>
        <v>0</v>
      </c>
      <c r="I73" s="10">
        <f>IFERROR(vlookup('3.2'!H:H,lookup!$A$18:$B$20,2,false),0)</f>
        <v>0</v>
      </c>
      <c r="J73" s="10">
        <f>IFERROR(vlookup('3.2'!I:I,lookup!$A$22:$B$24,2,false),0)</f>
        <v>0</v>
      </c>
      <c r="K73" s="10">
        <f>IFERROR(vlookup('3.2'!J:J,lookup!$A$26:$B$28,2,false),0)</f>
        <v>0</v>
      </c>
      <c r="M73" s="10">
        <v>72.0</v>
      </c>
      <c r="N73" s="11" t="str">
        <f t="shared" si="1"/>
        <v>bnco1072@signalschool.ac.th</v>
      </c>
      <c r="O73" s="12">
        <f t="shared" si="2"/>
        <v>1</v>
      </c>
      <c r="R73" s="6" t="s">
        <v>286</v>
      </c>
    </row>
    <row r="74">
      <c r="A74" s="8" t="str">
        <f>'3.2'!A:A</f>
        <v/>
      </c>
      <c r="B74" s="1" t="str">
        <f>'3.2'!B:B</f>
        <v/>
      </c>
      <c r="C74" s="1" t="str">
        <f>'3.2'!C:C</f>
        <v/>
      </c>
      <c r="D74" s="9">
        <v>1.0</v>
      </c>
      <c r="E74" s="10">
        <f>IFERROR(vlookup('3.2'!D:D,lookup!$A$2:$B$4,2,false),0)</f>
        <v>0</v>
      </c>
      <c r="F74" s="10">
        <f>IFERROR(vlookup('3.2'!E:E,lookup!$A$6:$B$8,2,false),0)</f>
        <v>0</v>
      </c>
      <c r="G74" s="10">
        <f>IFERROR(vlookup('3.2'!F:F,lookup!$A$10:$B$12,2,false),0)</f>
        <v>0</v>
      </c>
      <c r="H74" s="10">
        <f>IFERROR(vlookup('3.2'!G:G,lookup!$A$14:$B$16,2,false),0)</f>
        <v>0</v>
      </c>
      <c r="I74" s="10">
        <f>IFERROR(vlookup('3.2'!H:H,lookup!$A$18:$B$20,2,false),0)</f>
        <v>0</v>
      </c>
      <c r="J74" s="10">
        <f>IFERROR(vlookup('3.2'!I:I,lookup!$A$22:$B$24,2,false),0)</f>
        <v>0</v>
      </c>
      <c r="K74" s="10">
        <f>IFERROR(vlookup('3.2'!J:J,lookup!$A$26:$B$28,2,false),0)</f>
        <v>0</v>
      </c>
      <c r="M74" s="10">
        <v>73.0</v>
      </c>
      <c r="N74" s="11" t="str">
        <f t="shared" si="1"/>
        <v>bnco1073@signalschool.ac.th</v>
      </c>
      <c r="O74" s="12">
        <f t="shared" si="2"/>
        <v>1</v>
      </c>
      <c r="R74" s="6" t="s">
        <v>287</v>
      </c>
    </row>
    <row r="75">
      <c r="A75" s="8" t="str">
        <f>'3.2'!A:A</f>
        <v/>
      </c>
      <c r="B75" s="1" t="str">
        <f>'3.2'!B:B</f>
        <v/>
      </c>
      <c r="C75" s="1" t="str">
        <f>'3.2'!C:C</f>
        <v/>
      </c>
      <c r="D75" s="9">
        <v>1.0</v>
      </c>
      <c r="E75" s="10">
        <f>IFERROR(vlookup('3.2'!D:D,lookup!$A$2:$B$4,2,false),0)</f>
        <v>0</v>
      </c>
      <c r="F75" s="10">
        <f>IFERROR(vlookup('3.2'!E:E,lookup!$A$6:$B$8,2,false),0)</f>
        <v>0</v>
      </c>
      <c r="G75" s="10">
        <f>IFERROR(vlookup('3.2'!F:F,lookup!$A$10:$B$12,2,false),0)</f>
        <v>0</v>
      </c>
      <c r="H75" s="10">
        <f>IFERROR(vlookup('3.2'!G:G,lookup!$A$14:$B$16,2,false),0)</f>
        <v>0</v>
      </c>
      <c r="I75" s="10">
        <f>IFERROR(vlookup('3.2'!H:H,lookup!$A$18:$B$20,2,false),0)</f>
        <v>0</v>
      </c>
      <c r="J75" s="10">
        <f>IFERROR(vlookup('3.2'!I:I,lookup!$A$22:$B$24,2,false),0)</f>
        <v>0</v>
      </c>
      <c r="K75" s="10">
        <f>IFERROR(vlookup('3.2'!J:J,lookup!$A$26:$B$28,2,false),0)</f>
        <v>0</v>
      </c>
      <c r="M75" s="10">
        <v>74.0</v>
      </c>
      <c r="N75" s="11" t="str">
        <f t="shared" si="1"/>
        <v>bnco1074@signalschool.ac.th</v>
      </c>
      <c r="O75" s="12">
        <f t="shared" si="2"/>
        <v>0</v>
      </c>
      <c r="R75" s="6" t="s">
        <v>288</v>
      </c>
    </row>
    <row r="76">
      <c r="A76" s="8" t="str">
        <f>'3.2'!A:A</f>
        <v/>
      </c>
      <c r="B76" s="1" t="str">
        <f>'3.2'!B:B</f>
        <v/>
      </c>
      <c r="C76" s="1" t="str">
        <f>'3.2'!C:C</f>
        <v/>
      </c>
      <c r="D76" s="9">
        <v>1.0</v>
      </c>
      <c r="E76" s="10">
        <f>IFERROR(vlookup('3.2'!D:D,lookup!$A$2:$B$4,2,false),0)</f>
        <v>0</v>
      </c>
      <c r="F76" s="10">
        <f>IFERROR(vlookup('3.2'!E:E,lookup!$A$6:$B$8,2,false),0)</f>
        <v>0</v>
      </c>
      <c r="G76" s="10">
        <f>IFERROR(vlookup('3.2'!F:F,lookup!$A$10:$B$12,2,false),0)</f>
        <v>0</v>
      </c>
      <c r="H76" s="10">
        <f>IFERROR(vlookup('3.2'!G:G,lookup!$A$14:$B$16,2,false),0)</f>
        <v>0</v>
      </c>
      <c r="I76" s="10">
        <f>IFERROR(vlookup('3.2'!H:H,lookup!$A$18:$B$20,2,false),0)</f>
        <v>0</v>
      </c>
      <c r="J76" s="10">
        <f>IFERROR(vlookup('3.2'!I:I,lookup!$A$22:$B$24,2,false),0)</f>
        <v>0</v>
      </c>
      <c r="K76" s="10">
        <f>IFERROR(vlookup('3.2'!J:J,lookup!$A$26:$B$28,2,false),0)</f>
        <v>0</v>
      </c>
      <c r="M76" s="10">
        <v>75.0</v>
      </c>
      <c r="N76" s="11" t="str">
        <f t="shared" si="1"/>
        <v>bnco1075@signalschool.ac.th</v>
      </c>
      <c r="O76" s="12">
        <f t="shared" si="2"/>
        <v>0</v>
      </c>
      <c r="R76" s="6" t="s">
        <v>289</v>
      </c>
    </row>
    <row r="77">
      <c r="A77" s="8" t="str">
        <f>'3.2'!A:A</f>
        <v/>
      </c>
      <c r="B77" s="1" t="str">
        <f>'3.2'!B:B</f>
        <v/>
      </c>
      <c r="C77" s="1" t="str">
        <f>'3.2'!C:C</f>
        <v/>
      </c>
      <c r="D77" s="9">
        <v>1.0</v>
      </c>
      <c r="E77" s="10">
        <f>IFERROR(vlookup('3.2'!D:D,lookup!$A$2:$B$4,2,false),0)</f>
        <v>0</v>
      </c>
      <c r="F77" s="10">
        <f>IFERROR(vlookup('3.2'!E:E,lookup!$A$6:$B$8,2,false),0)</f>
        <v>0</v>
      </c>
      <c r="G77" s="10">
        <f>IFERROR(vlookup('3.2'!F:F,lookup!$A$10:$B$12,2,false),0)</f>
        <v>0</v>
      </c>
      <c r="H77" s="10">
        <f>IFERROR(vlookup('3.2'!G:G,lookup!$A$14:$B$16,2,false),0)</f>
        <v>0</v>
      </c>
      <c r="I77" s="10">
        <f>IFERROR(vlookup('3.2'!H:H,lookup!$A$18:$B$20,2,false),0)</f>
        <v>0</v>
      </c>
      <c r="J77" s="10">
        <f>IFERROR(vlookup('3.2'!I:I,lookup!$A$22:$B$24,2,false),0)</f>
        <v>0</v>
      </c>
      <c r="K77" s="10">
        <f>IFERROR(vlookup('3.2'!J:J,lookup!$A$26:$B$28,2,false),0)</f>
        <v>0</v>
      </c>
      <c r="M77" s="10">
        <v>76.0</v>
      </c>
      <c r="N77" s="11" t="str">
        <f t="shared" si="1"/>
        <v>bnco1076@signalschool.ac.th</v>
      </c>
      <c r="O77" s="12">
        <f t="shared" si="2"/>
        <v>1</v>
      </c>
      <c r="R77" s="6" t="s">
        <v>290</v>
      </c>
    </row>
    <row r="78">
      <c r="A78" s="8" t="str">
        <f>'3.2'!A:A</f>
        <v/>
      </c>
      <c r="B78" s="1" t="str">
        <f>'3.2'!B:B</f>
        <v/>
      </c>
      <c r="C78" s="1" t="str">
        <f>'3.2'!C:C</f>
        <v/>
      </c>
      <c r="D78" s="9">
        <v>1.0</v>
      </c>
      <c r="E78" s="10">
        <f>IFERROR(vlookup('3.2'!D:D,lookup!$A$2:$B$4,2,false),0)</f>
        <v>0</v>
      </c>
      <c r="F78" s="10">
        <f>IFERROR(vlookup('3.2'!E:E,lookup!$A$6:$B$8,2,false),0)</f>
        <v>0</v>
      </c>
      <c r="G78" s="10">
        <f>IFERROR(vlookup('3.2'!F:F,lookup!$A$10:$B$12,2,false),0)</f>
        <v>0</v>
      </c>
      <c r="H78" s="10">
        <f>IFERROR(vlookup('3.2'!G:G,lookup!$A$14:$B$16,2,false),0)</f>
        <v>0</v>
      </c>
      <c r="I78" s="10">
        <f>IFERROR(vlookup('3.2'!H:H,lookup!$A$18:$B$20,2,false),0)</f>
        <v>0</v>
      </c>
      <c r="J78" s="10">
        <f>IFERROR(vlookup('3.2'!I:I,lookup!$A$22:$B$24,2,false),0)</f>
        <v>0</v>
      </c>
      <c r="K78" s="10">
        <f>IFERROR(vlookup('3.2'!J:J,lookup!$A$26:$B$28,2,false),0)</f>
        <v>0</v>
      </c>
      <c r="M78" s="10">
        <v>77.0</v>
      </c>
      <c r="N78" s="11" t="str">
        <f t="shared" si="1"/>
        <v>bnco1077@signalschool.ac.th</v>
      </c>
      <c r="O78" s="12">
        <f t="shared" si="2"/>
        <v>0</v>
      </c>
      <c r="R78" s="6" t="s">
        <v>291</v>
      </c>
    </row>
    <row r="79">
      <c r="A79" s="8" t="str">
        <f>'3.2'!A:A</f>
        <v/>
      </c>
      <c r="B79" s="1" t="str">
        <f>'3.2'!B:B</f>
        <v/>
      </c>
      <c r="C79" s="1" t="str">
        <f>'3.2'!C:C</f>
        <v/>
      </c>
      <c r="D79" s="9">
        <v>1.0</v>
      </c>
      <c r="E79" s="10">
        <f>IFERROR(vlookup('3.2'!D:D,lookup!$A$2:$B$4,2,false),0)</f>
        <v>0</v>
      </c>
      <c r="F79" s="10">
        <f>IFERROR(vlookup('3.2'!E:E,lookup!$A$6:$B$8,2,false),0)</f>
        <v>0</v>
      </c>
      <c r="G79" s="10">
        <f>IFERROR(vlookup('3.2'!F:F,lookup!$A$10:$B$12,2,false),0)</f>
        <v>0</v>
      </c>
      <c r="H79" s="10">
        <f>IFERROR(vlookup('3.2'!G:G,lookup!$A$14:$B$16,2,false),0)</f>
        <v>0</v>
      </c>
      <c r="I79" s="10">
        <f>IFERROR(vlookup('3.2'!H:H,lookup!$A$18:$B$20,2,false),0)</f>
        <v>0</v>
      </c>
      <c r="J79" s="10">
        <f>IFERROR(vlookup('3.2'!I:I,lookup!$A$22:$B$24,2,false),0)</f>
        <v>0</v>
      </c>
      <c r="K79" s="10">
        <f>IFERROR(vlookup('3.2'!J:J,lookup!$A$26:$B$28,2,false),0)</f>
        <v>0</v>
      </c>
      <c r="M79" s="10">
        <v>78.0</v>
      </c>
      <c r="N79" s="11" t="str">
        <f t="shared" si="1"/>
        <v>bnco1078@signalschool.ac.th</v>
      </c>
      <c r="O79" s="12">
        <f t="shared" si="2"/>
        <v>1</v>
      </c>
      <c r="R79" s="6" t="s">
        <v>292</v>
      </c>
    </row>
    <row r="80">
      <c r="A80" s="8" t="str">
        <f>'3.2'!A:A</f>
        <v/>
      </c>
      <c r="B80" s="1" t="str">
        <f>'3.2'!B:B</f>
        <v/>
      </c>
      <c r="C80" s="1" t="str">
        <f>'3.2'!C:C</f>
        <v/>
      </c>
      <c r="D80" s="9">
        <v>1.0</v>
      </c>
      <c r="E80" s="10">
        <f>IFERROR(vlookup('3.2'!D:D,lookup!$A$2:$B$4,2,false),0)</f>
        <v>0</v>
      </c>
      <c r="F80" s="10">
        <f>IFERROR(vlookup('3.2'!E:E,lookup!$A$6:$B$8,2,false),0)</f>
        <v>0</v>
      </c>
      <c r="G80" s="10">
        <f>IFERROR(vlookup('3.2'!F:F,lookup!$A$10:$B$12,2,false),0)</f>
        <v>0</v>
      </c>
      <c r="H80" s="10">
        <f>IFERROR(vlookup('3.2'!G:G,lookup!$A$14:$B$16,2,false),0)</f>
        <v>0</v>
      </c>
      <c r="I80" s="10">
        <f>IFERROR(vlookup('3.2'!H:H,lookup!$A$18:$B$20,2,false),0)</f>
        <v>0</v>
      </c>
      <c r="J80" s="10">
        <f>IFERROR(vlookup('3.2'!I:I,lookup!$A$22:$B$24,2,false),0)</f>
        <v>0</v>
      </c>
      <c r="K80" s="10">
        <f>IFERROR(vlookup('3.2'!J:J,lookup!$A$26:$B$28,2,false),0)</f>
        <v>0</v>
      </c>
      <c r="M80" s="10">
        <v>79.0</v>
      </c>
      <c r="N80" s="11" t="str">
        <f t="shared" si="1"/>
        <v>bnco1079@signalschool.ac.th</v>
      </c>
      <c r="O80" s="12">
        <f t="shared" si="2"/>
        <v>1</v>
      </c>
      <c r="R80" s="6" t="s">
        <v>293</v>
      </c>
    </row>
    <row r="81">
      <c r="A81" s="8" t="str">
        <f>'3.2'!A:A</f>
        <v/>
      </c>
      <c r="B81" s="1" t="str">
        <f>'3.2'!B:B</f>
        <v/>
      </c>
      <c r="C81" s="1" t="str">
        <f>'3.2'!C:C</f>
        <v/>
      </c>
      <c r="D81" s="9">
        <v>1.0</v>
      </c>
      <c r="E81" s="10">
        <f>IFERROR(vlookup('3.2'!D:D,lookup!$A$2:$B$4,2,false),0)</f>
        <v>0</v>
      </c>
      <c r="F81" s="10">
        <f>IFERROR(vlookup('3.2'!E:E,lookup!$A$6:$B$8,2,false),0)</f>
        <v>0</v>
      </c>
      <c r="G81" s="10">
        <f>IFERROR(vlookup('3.2'!F:F,lookup!$A$10:$B$12,2,false),0)</f>
        <v>0</v>
      </c>
      <c r="H81" s="10">
        <f>IFERROR(vlookup('3.2'!G:G,lookup!$A$14:$B$16,2,false),0)</f>
        <v>0</v>
      </c>
      <c r="I81" s="10">
        <f>IFERROR(vlookup('3.2'!H:H,lookup!$A$18:$B$20,2,false),0)</f>
        <v>0</v>
      </c>
      <c r="J81" s="10">
        <f>IFERROR(vlookup('3.2'!I:I,lookup!$A$22:$B$24,2,false),0)</f>
        <v>0</v>
      </c>
      <c r="K81" s="10">
        <f>IFERROR(vlookup('3.2'!J:J,lookup!$A$26:$B$28,2,false),0)</f>
        <v>0</v>
      </c>
      <c r="M81" s="10">
        <v>80.0</v>
      </c>
      <c r="N81" s="11" t="str">
        <f t="shared" si="1"/>
        <v>bnco1080@signalschool.ac.th</v>
      </c>
      <c r="O81" s="12">
        <f t="shared" si="2"/>
        <v>1</v>
      </c>
      <c r="R81" s="6" t="s">
        <v>294</v>
      </c>
    </row>
    <row r="82">
      <c r="A82" s="8" t="str">
        <f>'3.2'!A:A</f>
        <v/>
      </c>
      <c r="B82" s="1" t="str">
        <f>'3.2'!B:B</f>
        <v/>
      </c>
      <c r="C82" s="1" t="str">
        <f>'3.2'!C:C</f>
        <v/>
      </c>
      <c r="D82" s="9"/>
      <c r="E82" s="15"/>
      <c r="F82" s="15"/>
      <c r="G82" s="15"/>
      <c r="H82" s="15"/>
      <c r="I82" s="15"/>
      <c r="J82" s="15"/>
      <c r="K82" s="15"/>
    </row>
    <row r="83">
      <c r="A83" s="8" t="str">
        <f>'3.2'!A:A</f>
        <v/>
      </c>
      <c r="B83" s="1" t="str">
        <f>'3.2'!B:B</f>
        <v/>
      </c>
      <c r="C83" s="1" t="str">
        <f>'3.2'!C:C</f>
        <v/>
      </c>
      <c r="D83" s="9"/>
      <c r="E83" s="15"/>
      <c r="F83" s="15"/>
      <c r="G83" s="15"/>
      <c r="H83" s="15"/>
      <c r="I83" s="15"/>
      <c r="J83" s="15"/>
      <c r="K83" s="15"/>
    </row>
    <row r="84">
      <c r="A84" s="8" t="str">
        <f>'3.2'!A:A</f>
        <v/>
      </c>
      <c r="B84" s="1" t="str">
        <f>'3.2'!B:B</f>
        <v/>
      </c>
      <c r="C84" s="1" t="str">
        <f>'3.2'!C:C</f>
        <v/>
      </c>
      <c r="D84" s="9"/>
      <c r="E84" s="15"/>
      <c r="F84" s="15"/>
      <c r="G84" s="15"/>
      <c r="H84" s="15"/>
      <c r="I84" s="15"/>
      <c r="J84" s="15"/>
      <c r="K84" s="15"/>
    </row>
    <row r="85">
      <c r="A85" s="8" t="str">
        <f>'3.2'!A:A</f>
        <v/>
      </c>
      <c r="B85" s="1" t="str">
        <f>'3.2'!B:B</f>
        <v/>
      </c>
      <c r="C85" s="1" t="str">
        <f>'3.2'!C:C</f>
        <v/>
      </c>
      <c r="D85" s="9"/>
      <c r="E85" s="15"/>
      <c r="F85" s="15"/>
      <c r="G85" s="15"/>
      <c r="H85" s="15"/>
      <c r="I85" s="15"/>
      <c r="J85" s="15"/>
      <c r="K85" s="15"/>
    </row>
    <row r="86">
      <c r="A86" s="8" t="str">
        <f>'3.2'!A:A</f>
        <v/>
      </c>
      <c r="B86" s="1" t="str">
        <f>'3.2'!B:B</f>
        <v/>
      </c>
      <c r="C86" s="1" t="str">
        <f>'3.2'!C:C</f>
        <v/>
      </c>
      <c r="D86" s="9"/>
      <c r="E86" s="15"/>
      <c r="F86" s="15"/>
      <c r="G86" s="15"/>
      <c r="H86" s="15"/>
      <c r="I86" s="15"/>
      <c r="J86" s="15"/>
      <c r="K86" s="15"/>
    </row>
    <row r="87">
      <c r="A87" s="8" t="str">
        <f>'3.2'!A:A</f>
        <v/>
      </c>
      <c r="B87" s="1" t="str">
        <f>'3.2'!B:B</f>
        <v/>
      </c>
      <c r="C87" s="1" t="str">
        <f>'3.2'!C:C</f>
        <v/>
      </c>
      <c r="D87" s="9"/>
      <c r="E87" s="15"/>
      <c r="F87" s="15"/>
      <c r="G87" s="15"/>
      <c r="H87" s="15"/>
      <c r="I87" s="15"/>
      <c r="J87" s="15"/>
      <c r="K87" s="15"/>
    </row>
    <row r="88">
      <c r="A88" s="8" t="str">
        <f>'3.2'!A:A</f>
        <v/>
      </c>
      <c r="B88" s="1" t="str">
        <f>'3.2'!B:B</f>
        <v/>
      </c>
      <c r="C88" s="1" t="str">
        <f>'3.2'!C:C</f>
        <v/>
      </c>
      <c r="D88" s="9"/>
      <c r="E88" s="15"/>
      <c r="F88" s="15"/>
      <c r="G88" s="15"/>
      <c r="H88" s="15"/>
      <c r="I88" s="15"/>
      <c r="J88" s="15"/>
      <c r="K88" s="15"/>
    </row>
    <row r="89">
      <c r="A89" s="8" t="str">
        <f>'3.2'!A:A</f>
        <v/>
      </c>
      <c r="B89" s="1" t="str">
        <f>'3.2'!B:B</f>
        <v/>
      </c>
      <c r="C89" s="1" t="str">
        <f>'3.2'!C:C</f>
        <v/>
      </c>
      <c r="D89" s="9"/>
      <c r="E89" s="15"/>
      <c r="F89" s="15"/>
      <c r="G89" s="15"/>
      <c r="H89" s="15"/>
      <c r="I89" s="15"/>
      <c r="J89" s="15"/>
      <c r="K89" s="15"/>
    </row>
    <row r="90">
      <c r="A90" s="8" t="str">
        <f>'3.2'!A:A</f>
        <v/>
      </c>
      <c r="B90" s="1" t="str">
        <f>'3.2'!B:B</f>
        <v/>
      </c>
      <c r="C90" s="1" t="str">
        <f>'3.2'!C:C</f>
        <v/>
      </c>
      <c r="D90" s="9"/>
      <c r="E90" s="15"/>
      <c r="F90" s="15"/>
      <c r="G90" s="15"/>
      <c r="H90" s="15"/>
      <c r="I90" s="15"/>
      <c r="J90" s="15"/>
      <c r="K90" s="15"/>
    </row>
    <row r="91">
      <c r="A91" s="8" t="str">
        <f>'3.2'!A:A</f>
        <v/>
      </c>
      <c r="B91" s="1" t="str">
        <f>'3.2'!B:B</f>
        <v/>
      </c>
      <c r="C91" s="1" t="str">
        <f>'3.2'!C:C</f>
        <v/>
      </c>
      <c r="D91" s="9"/>
      <c r="E91" s="15"/>
      <c r="F91" s="15"/>
      <c r="G91" s="15"/>
      <c r="H91" s="15"/>
      <c r="I91" s="15"/>
      <c r="J91" s="15"/>
      <c r="K91" s="15"/>
    </row>
    <row r="92">
      <c r="A92" s="8" t="str">
        <f>'3.2'!A:A</f>
        <v/>
      </c>
      <c r="B92" s="1" t="str">
        <f>'3.2'!B:B</f>
        <v/>
      </c>
      <c r="C92" s="1" t="str">
        <f>'3.2'!C:C</f>
        <v/>
      </c>
      <c r="D92" s="9"/>
      <c r="E92" s="15"/>
      <c r="F92" s="15"/>
      <c r="G92" s="15"/>
      <c r="H92" s="15"/>
      <c r="I92" s="15"/>
      <c r="J92" s="15"/>
      <c r="K92" s="15"/>
    </row>
    <row r="93">
      <c r="A93" s="8" t="str">
        <f>'3.2'!A:A</f>
        <v/>
      </c>
      <c r="B93" s="1" t="str">
        <f>'3.2'!B:B</f>
        <v/>
      </c>
      <c r="C93" s="1" t="str">
        <f>'3.2'!C:C</f>
        <v/>
      </c>
      <c r="D93" s="9"/>
      <c r="E93" s="15"/>
      <c r="F93" s="15"/>
      <c r="G93" s="15"/>
      <c r="H93" s="15"/>
      <c r="I93" s="15"/>
      <c r="J93" s="15"/>
      <c r="K93" s="15"/>
    </row>
    <row r="94">
      <c r="A94" s="8" t="str">
        <f>'3.2'!A:A</f>
        <v/>
      </c>
      <c r="B94" s="1" t="str">
        <f>'3.2'!B:B</f>
        <v/>
      </c>
      <c r="C94" s="1" t="str">
        <f>'3.2'!C:C</f>
        <v/>
      </c>
      <c r="D94" s="9"/>
      <c r="E94" s="15"/>
      <c r="F94" s="15"/>
      <c r="G94" s="15"/>
      <c r="H94" s="15"/>
      <c r="I94" s="15"/>
      <c r="J94" s="15"/>
      <c r="K94" s="15"/>
    </row>
    <row r="95">
      <c r="A95" s="8" t="str">
        <f>'3.2'!A:A</f>
        <v/>
      </c>
      <c r="B95" s="1" t="str">
        <f>'3.2'!B:B</f>
        <v/>
      </c>
      <c r="C95" s="1" t="str">
        <f>'3.2'!C:C</f>
        <v/>
      </c>
      <c r="D95" s="9"/>
      <c r="E95" s="15"/>
      <c r="F95" s="15"/>
      <c r="G95" s="15"/>
      <c r="H95" s="15"/>
      <c r="I95" s="15"/>
      <c r="J95" s="15"/>
      <c r="K95" s="15"/>
    </row>
    <row r="96">
      <c r="A96" s="8" t="str">
        <f>'3.2'!A:A</f>
        <v/>
      </c>
      <c r="B96" s="1" t="str">
        <f>'3.2'!B:B</f>
        <v/>
      </c>
      <c r="C96" s="1" t="str">
        <f>'3.2'!C:C</f>
        <v/>
      </c>
      <c r="D96" s="9"/>
      <c r="E96" s="15"/>
      <c r="F96" s="15"/>
      <c r="G96" s="15"/>
      <c r="H96" s="15"/>
      <c r="I96" s="15"/>
      <c r="J96" s="15"/>
      <c r="K96" s="15"/>
    </row>
    <row r="97">
      <c r="A97" s="8" t="str">
        <f>'3.2'!A:A</f>
        <v/>
      </c>
      <c r="B97" s="1" t="str">
        <f>'3.2'!B:B</f>
        <v/>
      </c>
      <c r="C97" s="1" t="str">
        <f>'3.2'!C:C</f>
        <v/>
      </c>
      <c r="D97" s="9"/>
      <c r="E97" s="15"/>
      <c r="F97" s="15"/>
      <c r="G97" s="15"/>
      <c r="H97" s="15"/>
      <c r="I97" s="15"/>
      <c r="J97" s="15"/>
      <c r="K97" s="15"/>
    </row>
    <row r="98">
      <c r="A98" s="8" t="str">
        <f>'3.2'!A:A</f>
        <v/>
      </c>
      <c r="B98" s="1" t="str">
        <f>'3.2'!B:B</f>
        <v/>
      </c>
      <c r="C98" s="1" t="str">
        <f>'3.2'!C:C</f>
        <v/>
      </c>
      <c r="D98" s="9"/>
      <c r="E98" s="15"/>
      <c r="F98" s="15"/>
      <c r="G98" s="15"/>
      <c r="H98" s="15"/>
      <c r="I98" s="15"/>
      <c r="J98" s="15"/>
      <c r="K98" s="15"/>
    </row>
    <row r="99">
      <c r="A99" s="8" t="str">
        <f>'3.2'!A:A</f>
        <v/>
      </c>
      <c r="B99" s="1" t="str">
        <f>'3.2'!B:B</f>
        <v/>
      </c>
      <c r="C99" s="1" t="str">
        <f>'3.2'!C:C</f>
        <v/>
      </c>
      <c r="D99" s="9"/>
      <c r="E99" s="15"/>
      <c r="F99" s="15"/>
      <c r="G99" s="15"/>
      <c r="H99" s="15"/>
      <c r="I99" s="15"/>
      <c r="J99" s="15"/>
      <c r="K99" s="15"/>
    </row>
    <row r="100">
      <c r="A100" s="8" t="str">
        <f>'3.2'!A:A</f>
        <v/>
      </c>
      <c r="B100" s="1" t="str">
        <f>'3.2'!B:B</f>
        <v/>
      </c>
      <c r="C100" s="1" t="str">
        <f>'3.2'!C:C</f>
        <v/>
      </c>
      <c r="D100" s="9"/>
      <c r="E100" s="15"/>
      <c r="F100" s="15"/>
      <c r="G100" s="15"/>
      <c r="H100" s="15"/>
      <c r="I100" s="15"/>
      <c r="J100" s="15"/>
      <c r="K100" s="15"/>
    </row>
    <row r="101">
      <c r="A101" s="8" t="str">
        <f>'3.2'!A:A</f>
        <v/>
      </c>
      <c r="B101" s="1" t="str">
        <f>'3.2'!B:B</f>
        <v/>
      </c>
      <c r="C101" s="1" t="str">
        <f>'3.2'!C:C</f>
        <v/>
      </c>
      <c r="D101" s="9"/>
      <c r="E101" s="15"/>
      <c r="F101" s="15"/>
      <c r="G101" s="15"/>
      <c r="H101" s="15"/>
      <c r="I101" s="15"/>
      <c r="J101" s="15"/>
      <c r="K101" s="15"/>
      <c r="N101" s="1" t="s">
        <v>295</v>
      </c>
      <c r="O101" s="12">
        <f>SUM(O2:O81)</f>
        <v>64</v>
      </c>
    </row>
    <row r="102">
      <c r="C102" s="1"/>
      <c r="E102" s="14">
        <f t="shared" ref="E102:K102" si="3">AVERAGE(E2:E81)</f>
        <v>3.9875</v>
      </c>
      <c r="F102" s="14">
        <f t="shared" si="3"/>
        <v>4.0125</v>
      </c>
      <c r="G102" s="14">
        <f t="shared" si="3"/>
        <v>3.9875</v>
      </c>
      <c r="H102" s="14">
        <f t="shared" si="3"/>
        <v>4.0125</v>
      </c>
      <c r="I102" s="14">
        <f t="shared" si="3"/>
        <v>4.0125</v>
      </c>
      <c r="J102" s="14">
        <f t="shared" si="3"/>
        <v>4.0125</v>
      </c>
      <c r="K102" s="14">
        <f t="shared" si="3"/>
        <v>3.9875</v>
      </c>
      <c r="L102" s="16">
        <f>AVERAGE(E102:K102)</f>
        <v>4.001785714</v>
      </c>
      <c r="N102" s="1" t="s">
        <v>296</v>
      </c>
      <c r="O102" s="12">
        <f>(O101*100)/80</f>
        <v>80</v>
      </c>
    </row>
    <row r="103">
      <c r="A103" s="8"/>
      <c r="C103" s="1"/>
    </row>
    <row r="104">
      <c r="A104" s="8"/>
      <c r="C104" s="1"/>
    </row>
    <row r="105">
      <c r="A105" s="8"/>
      <c r="C105" s="1"/>
    </row>
    <row r="106">
      <c r="A106" s="8"/>
      <c r="C106" s="1"/>
    </row>
    <row r="107">
      <c r="A107" s="8"/>
      <c r="C107" s="1"/>
    </row>
    <row r="108">
      <c r="A108" s="8"/>
      <c r="C108" s="1"/>
    </row>
    <row r="109">
      <c r="A109" s="8"/>
      <c r="C109" s="1"/>
    </row>
    <row r="110">
      <c r="A110" s="8"/>
      <c r="C110" s="1"/>
    </row>
    <row r="111">
      <c r="A111" s="8"/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</sheetData>
  <mergeCells count="1">
    <mergeCell ref="M1:O1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5">
        <v>46262.427715046295</v>
      </c>
      <c r="B2" s="6" t="s">
        <v>24</v>
      </c>
      <c r="C2" s="6" t="s">
        <v>579</v>
      </c>
      <c r="D2" s="6" t="s">
        <v>13</v>
      </c>
      <c r="E2" s="6" t="s">
        <v>14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</row>
    <row r="3">
      <c r="A3" s="5">
        <v>46262.43041206019</v>
      </c>
      <c r="B3" s="6" t="s">
        <v>25</v>
      </c>
      <c r="C3" s="6" t="s">
        <v>109</v>
      </c>
      <c r="D3" s="6" t="s">
        <v>13</v>
      </c>
      <c r="E3" s="6" t="s">
        <v>14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</row>
    <row r="4">
      <c r="A4" s="5">
        <v>46262.45165142362</v>
      </c>
      <c r="B4" s="6" t="s">
        <v>44</v>
      </c>
      <c r="C4" s="6" t="s">
        <v>580</v>
      </c>
      <c r="D4" s="6" t="s">
        <v>13</v>
      </c>
      <c r="E4" s="6" t="s">
        <v>14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</row>
    <row r="5">
      <c r="A5" s="5">
        <v>46262.45650966435</v>
      </c>
      <c r="B5" s="6" t="s">
        <v>49</v>
      </c>
      <c r="C5" s="6" t="s">
        <v>581</v>
      </c>
      <c r="D5" s="6" t="s">
        <v>13</v>
      </c>
      <c r="E5" s="6" t="s">
        <v>14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  <c r="K5" s="6" t="s">
        <v>582</v>
      </c>
    </row>
    <row r="6">
      <c r="A6" s="5">
        <v>46262.456749363424</v>
      </c>
      <c r="B6" s="6" t="s">
        <v>51</v>
      </c>
      <c r="C6" s="6" t="s">
        <v>583</v>
      </c>
      <c r="D6" s="6" t="s">
        <v>13</v>
      </c>
      <c r="E6" s="6" t="s">
        <v>14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20</v>
      </c>
    </row>
    <row r="7">
      <c r="A7" s="5">
        <v>46262.49133034723</v>
      </c>
      <c r="B7" s="6" t="s">
        <v>66</v>
      </c>
      <c r="C7" s="6" t="s">
        <v>584</v>
      </c>
      <c r="D7" s="6" t="s">
        <v>13</v>
      </c>
      <c r="E7" s="6" t="s">
        <v>14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68</v>
      </c>
    </row>
    <row r="8">
      <c r="A8" s="5">
        <v>46262.492609375</v>
      </c>
      <c r="B8" s="6" t="s">
        <v>63</v>
      </c>
      <c r="C8" s="6" t="s">
        <v>585</v>
      </c>
      <c r="D8" s="6" t="s">
        <v>13</v>
      </c>
      <c r="E8" s="6" t="s">
        <v>14</v>
      </c>
      <c r="F8" s="6" t="s">
        <v>16</v>
      </c>
      <c r="G8" s="6" t="s">
        <v>17</v>
      </c>
      <c r="H8" s="6" t="s">
        <v>18</v>
      </c>
      <c r="I8" s="6" t="s">
        <v>19</v>
      </c>
      <c r="J8" s="6" t="s">
        <v>20</v>
      </c>
      <c r="K8" s="6" t="s">
        <v>496</v>
      </c>
    </row>
    <row r="9">
      <c r="A9" s="5">
        <v>46262.50933634259</v>
      </c>
      <c r="B9" s="6" t="s">
        <v>71</v>
      </c>
      <c r="C9" s="6" t="s">
        <v>584</v>
      </c>
      <c r="D9" s="6" t="s">
        <v>13</v>
      </c>
      <c r="E9" s="6" t="s">
        <v>14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>
      <c r="A10" s="5">
        <v>46262.53743002315</v>
      </c>
      <c r="B10" s="6" t="s">
        <v>69</v>
      </c>
      <c r="C10" s="6" t="s">
        <v>586</v>
      </c>
      <c r="D10" s="6" t="s">
        <v>13</v>
      </c>
      <c r="E10" s="6" t="s">
        <v>14</v>
      </c>
      <c r="F10" s="6" t="s">
        <v>16</v>
      </c>
      <c r="G10" s="6" t="s">
        <v>17</v>
      </c>
      <c r="H10" s="6" t="s">
        <v>18</v>
      </c>
      <c r="I10" s="6" t="s">
        <v>19</v>
      </c>
      <c r="J10" s="6" t="s">
        <v>20</v>
      </c>
    </row>
    <row r="11">
      <c r="A11" s="5">
        <v>46262.54764548611</v>
      </c>
      <c r="B11" s="6" t="s">
        <v>61</v>
      </c>
      <c r="C11" s="6" t="s">
        <v>31</v>
      </c>
      <c r="D11" s="6" t="s">
        <v>13</v>
      </c>
      <c r="E11" s="6" t="s">
        <v>14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20</v>
      </c>
    </row>
    <row r="12">
      <c r="A12" s="5">
        <v>46262.5577953125</v>
      </c>
      <c r="B12" s="6" t="s">
        <v>77</v>
      </c>
      <c r="C12" s="6" t="s">
        <v>92</v>
      </c>
      <c r="D12" s="6" t="s">
        <v>13</v>
      </c>
      <c r="E12" s="6" t="s">
        <v>14</v>
      </c>
      <c r="F12" s="6" t="s">
        <v>16</v>
      </c>
      <c r="G12" s="6" t="s">
        <v>17</v>
      </c>
      <c r="H12" s="6" t="s">
        <v>18</v>
      </c>
      <c r="I12" s="6" t="s">
        <v>19</v>
      </c>
      <c r="J12" s="6" t="s">
        <v>20</v>
      </c>
    </row>
    <row r="13">
      <c r="A13" s="5">
        <v>46262.56065677083</v>
      </c>
      <c r="B13" s="6" t="s">
        <v>75</v>
      </c>
      <c r="C13" s="6" t="s">
        <v>586</v>
      </c>
      <c r="D13" s="6" t="s">
        <v>13</v>
      </c>
      <c r="E13" s="6" t="s">
        <v>14</v>
      </c>
      <c r="F13" s="6" t="s">
        <v>16</v>
      </c>
      <c r="G13" s="6" t="s">
        <v>17</v>
      </c>
      <c r="H13" s="6" t="s">
        <v>18</v>
      </c>
      <c r="I13" s="6" t="s">
        <v>19</v>
      </c>
      <c r="J13" s="6" t="s">
        <v>20</v>
      </c>
    </row>
    <row r="14">
      <c r="A14" s="5">
        <v>46262.56944604167</v>
      </c>
      <c r="B14" s="6" t="s">
        <v>79</v>
      </c>
      <c r="C14" s="6" t="s">
        <v>586</v>
      </c>
      <c r="D14" s="6" t="s">
        <v>13</v>
      </c>
      <c r="E14" s="6" t="s">
        <v>14</v>
      </c>
      <c r="F14" s="6" t="s">
        <v>16</v>
      </c>
      <c r="G14" s="6" t="s">
        <v>17</v>
      </c>
      <c r="H14" s="6" t="s">
        <v>18</v>
      </c>
      <c r="I14" s="6" t="s">
        <v>19</v>
      </c>
      <c r="J14" s="6" t="s">
        <v>20</v>
      </c>
    </row>
    <row r="15">
      <c r="A15" s="5">
        <v>46262.569664849536</v>
      </c>
      <c r="B15" s="6" t="s">
        <v>72</v>
      </c>
      <c r="C15" s="6" t="s">
        <v>581</v>
      </c>
      <c r="D15" s="6" t="s">
        <v>13</v>
      </c>
      <c r="E15" s="6" t="s">
        <v>14</v>
      </c>
      <c r="F15" s="6" t="s">
        <v>16</v>
      </c>
      <c r="G15" s="6" t="s">
        <v>17</v>
      </c>
      <c r="H15" s="6" t="s">
        <v>18</v>
      </c>
      <c r="I15" s="6" t="s">
        <v>19</v>
      </c>
      <c r="J15" s="6" t="s">
        <v>20</v>
      </c>
    </row>
    <row r="16">
      <c r="A16" s="5">
        <v>46262.59576462963</v>
      </c>
      <c r="B16" s="6" t="s">
        <v>82</v>
      </c>
      <c r="C16" s="6" t="s">
        <v>581</v>
      </c>
      <c r="D16" s="6" t="s">
        <v>13</v>
      </c>
      <c r="E16" s="6" t="s">
        <v>14</v>
      </c>
      <c r="F16" s="6" t="s">
        <v>16</v>
      </c>
      <c r="G16" s="6" t="s">
        <v>17</v>
      </c>
      <c r="H16" s="6" t="s">
        <v>18</v>
      </c>
      <c r="I16" s="6" t="s">
        <v>19</v>
      </c>
      <c r="J16" s="6" t="s">
        <v>20</v>
      </c>
    </row>
    <row r="17">
      <c r="A17" s="5">
        <v>46262.59597546296</v>
      </c>
      <c r="B17" s="6" t="s">
        <v>83</v>
      </c>
      <c r="C17" s="6" t="s">
        <v>581</v>
      </c>
      <c r="D17" s="6" t="s">
        <v>13</v>
      </c>
      <c r="E17" s="6" t="s">
        <v>14</v>
      </c>
      <c r="F17" s="6" t="s">
        <v>16</v>
      </c>
      <c r="G17" s="6" t="s">
        <v>17</v>
      </c>
      <c r="H17" s="6" t="s">
        <v>18</v>
      </c>
      <c r="I17" s="6" t="s">
        <v>19</v>
      </c>
      <c r="J17" s="6" t="s">
        <v>20</v>
      </c>
    </row>
    <row r="18">
      <c r="A18" s="5">
        <v>46262.62118407407</v>
      </c>
      <c r="B18" s="6" t="s">
        <v>88</v>
      </c>
      <c r="C18" s="6" t="s">
        <v>581</v>
      </c>
      <c r="D18" s="6" t="s">
        <v>13</v>
      </c>
      <c r="E18" s="6" t="s">
        <v>14</v>
      </c>
      <c r="F18" s="6" t="s">
        <v>16</v>
      </c>
      <c r="G18" s="6" t="s">
        <v>17</v>
      </c>
      <c r="H18" s="6" t="s">
        <v>18</v>
      </c>
      <c r="I18" s="6" t="s">
        <v>19</v>
      </c>
      <c r="J18" s="6" t="s">
        <v>20</v>
      </c>
    </row>
    <row r="19">
      <c r="A19" s="5">
        <v>46262.648288819444</v>
      </c>
      <c r="B19" s="6" t="s">
        <v>95</v>
      </c>
      <c r="C19" s="6" t="s">
        <v>581</v>
      </c>
      <c r="D19" s="6" t="s">
        <v>13</v>
      </c>
      <c r="E19" s="6" t="s">
        <v>14</v>
      </c>
      <c r="F19" s="6" t="s">
        <v>16</v>
      </c>
      <c r="G19" s="6" t="s">
        <v>17</v>
      </c>
      <c r="H19" s="6" t="s">
        <v>18</v>
      </c>
      <c r="I19" s="6" t="s">
        <v>19</v>
      </c>
      <c r="J19" s="6" t="s">
        <v>20</v>
      </c>
      <c r="K19" s="6" t="s">
        <v>92</v>
      </c>
    </row>
    <row r="20">
      <c r="A20" s="5">
        <v>46262.65039601852</v>
      </c>
      <c r="B20" s="6" t="s">
        <v>93</v>
      </c>
      <c r="C20" s="6" t="s">
        <v>581</v>
      </c>
      <c r="D20" s="6" t="s">
        <v>13</v>
      </c>
      <c r="E20" s="6" t="s">
        <v>14</v>
      </c>
      <c r="F20" s="6" t="s">
        <v>16</v>
      </c>
      <c r="G20" s="6" t="s">
        <v>17</v>
      </c>
      <c r="H20" s="6" t="s">
        <v>18</v>
      </c>
      <c r="I20" s="6" t="s">
        <v>19</v>
      </c>
      <c r="J20" s="6" t="s">
        <v>20</v>
      </c>
    </row>
    <row r="21">
      <c r="A21" s="5">
        <v>46262.79963003472</v>
      </c>
      <c r="B21" s="6" t="s">
        <v>98</v>
      </c>
      <c r="C21" s="6" t="s">
        <v>587</v>
      </c>
      <c r="D21" s="6" t="s">
        <v>13</v>
      </c>
      <c r="E21" s="6" t="s">
        <v>14</v>
      </c>
      <c r="F21" s="6" t="s">
        <v>16</v>
      </c>
      <c r="G21" s="6" t="s">
        <v>17</v>
      </c>
      <c r="H21" s="6" t="s">
        <v>18</v>
      </c>
      <c r="I21" s="6" t="s">
        <v>19</v>
      </c>
      <c r="J21" s="6" t="s">
        <v>20</v>
      </c>
    </row>
    <row r="22">
      <c r="A22" s="5">
        <v>46263.609438472224</v>
      </c>
      <c r="B22" s="6" t="s">
        <v>103</v>
      </c>
      <c r="C22" s="6" t="s">
        <v>586</v>
      </c>
      <c r="D22" s="6" t="s">
        <v>13</v>
      </c>
      <c r="E22" s="6" t="s">
        <v>14</v>
      </c>
      <c r="F22" s="6" t="s">
        <v>16</v>
      </c>
      <c r="G22" s="6" t="s">
        <v>17</v>
      </c>
      <c r="H22" s="6" t="s">
        <v>18</v>
      </c>
      <c r="I22" s="6" t="s">
        <v>19</v>
      </c>
      <c r="J22" s="6" t="s">
        <v>20</v>
      </c>
    </row>
    <row r="23">
      <c r="A23" s="5">
        <v>46263.7199037963</v>
      </c>
      <c r="B23" s="6" t="s">
        <v>104</v>
      </c>
      <c r="C23" s="6" t="s">
        <v>581</v>
      </c>
      <c r="D23" s="6" t="s">
        <v>13</v>
      </c>
      <c r="E23" s="6" t="s">
        <v>14</v>
      </c>
      <c r="F23" s="6" t="s">
        <v>16</v>
      </c>
      <c r="G23" s="6" t="s">
        <v>17</v>
      </c>
      <c r="H23" s="6" t="s">
        <v>18</v>
      </c>
      <c r="I23" s="6" t="s">
        <v>19</v>
      </c>
      <c r="J23" s="6" t="s">
        <v>20</v>
      </c>
    </row>
    <row r="24">
      <c r="A24" s="5">
        <v>46264.40035152777</v>
      </c>
      <c r="B24" s="6" t="s">
        <v>100</v>
      </c>
      <c r="C24" s="6" t="s">
        <v>588</v>
      </c>
      <c r="D24" s="6" t="s">
        <v>13</v>
      </c>
      <c r="E24" s="6" t="s">
        <v>14</v>
      </c>
      <c r="F24" s="6" t="s">
        <v>16</v>
      </c>
      <c r="G24" s="6" t="s">
        <v>17</v>
      </c>
      <c r="H24" s="6" t="s">
        <v>18</v>
      </c>
      <c r="I24" s="6" t="s">
        <v>19</v>
      </c>
      <c r="J24" s="6" t="s">
        <v>20</v>
      </c>
    </row>
    <row r="25">
      <c r="A25" s="5">
        <v>46264.538524247684</v>
      </c>
      <c r="B25" s="6" t="s">
        <v>105</v>
      </c>
      <c r="C25" s="6" t="s">
        <v>584</v>
      </c>
      <c r="D25" s="6" t="s">
        <v>13</v>
      </c>
      <c r="E25" s="6" t="s">
        <v>14</v>
      </c>
      <c r="F25" s="6" t="s">
        <v>16</v>
      </c>
      <c r="G25" s="6" t="s">
        <v>17</v>
      </c>
      <c r="H25" s="6" t="s">
        <v>18</v>
      </c>
      <c r="I25" s="6" t="s">
        <v>19</v>
      </c>
      <c r="J25" s="6" t="s">
        <v>20</v>
      </c>
    </row>
    <row r="26">
      <c r="A26" s="5">
        <v>46264.65671333333</v>
      </c>
      <c r="B26" s="6" t="s">
        <v>106</v>
      </c>
      <c r="C26" s="6" t="s">
        <v>589</v>
      </c>
      <c r="D26" s="6" t="s">
        <v>13</v>
      </c>
      <c r="E26" s="6" t="s">
        <v>14</v>
      </c>
      <c r="F26" s="6" t="s">
        <v>16</v>
      </c>
      <c r="G26" s="6" t="s">
        <v>17</v>
      </c>
      <c r="H26" s="6" t="s">
        <v>18</v>
      </c>
      <c r="I26" s="6" t="s">
        <v>19</v>
      </c>
      <c r="J26" s="6" t="s">
        <v>20</v>
      </c>
    </row>
    <row r="27">
      <c r="A27" s="5">
        <v>46264.88224545139</v>
      </c>
      <c r="B27" s="6" t="s">
        <v>108</v>
      </c>
      <c r="C27" s="6" t="s">
        <v>109</v>
      </c>
      <c r="D27" s="6" t="s">
        <v>13</v>
      </c>
      <c r="E27" s="6" t="s">
        <v>14</v>
      </c>
      <c r="F27" s="6" t="s">
        <v>16</v>
      </c>
      <c r="G27" s="6" t="s">
        <v>17</v>
      </c>
      <c r="H27" s="6" t="s">
        <v>18</v>
      </c>
      <c r="I27" s="6" t="s">
        <v>19</v>
      </c>
      <c r="J27" s="6" t="s">
        <v>20</v>
      </c>
    </row>
    <row r="28">
      <c r="A28" s="5">
        <v>46265.67413890046</v>
      </c>
      <c r="B28" s="6" t="s">
        <v>57</v>
      </c>
      <c r="C28" s="6" t="s">
        <v>581</v>
      </c>
      <c r="D28" s="6" t="s">
        <v>13</v>
      </c>
      <c r="E28" s="6" t="s">
        <v>14</v>
      </c>
      <c r="F28" s="6" t="s">
        <v>16</v>
      </c>
      <c r="G28" s="6" t="s">
        <v>17</v>
      </c>
      <c r="H28" s="6" t="s">
        <v>18</v>
      </c>
      <c r="I28" s="6" t="s">
        <v>19</v>
      </c>
      <c r="J28" s="6" t="s">
        <v>20</v>
      </c>
    </row>
    <row r="29">
      <c r="A29" s="5">
        <v>46265.6742227662</v>
      </c>
      <c r="B29" s="6" t="s">
        <v>40</v>
      </c>
      <c r="C29" s="6" t="s">
        <v>590</v>
      </c>
      <c r="D29" s="6" t="s">
        <v>13</v>
      </c>
      <c r="E29" s="6" t="s">
        <v>14</v>
      </c>
      <c r="F29" s="6" t="s">
        <v>16</v>
      </c>
      <c r="G29" s="6" t="s">
        <v>17</v>
      </c>
      <c r="H29" s="6" t="s">
        <v>18</v>
      </c>
      <c r="I29" s="6" t="s">
        <v>19</v>
      </c>
      <c r="J29" s="6" t="s">
        <v>20</v>
      </c>
    </row>
    <row r="30">
      <c r="A30" s="5">
        <v>46265.67439648148</v>
      </c>
      <c r="B30" s="6" t="s">
        <v>42</v>
      </c>
      <c r="C30" s="6" t="s">
        <v>590</v>
      </c>
      <c r="D30" s="6" t="s">
        <v>13</v>
      </c>
      <c r="E30" s="6" t="s">
        <v>14</v>
      </c>
      <c r="F30" s="6" t="s">
        <v>16</v>
      </c>
      <c r="G30" s="6" t="s">
        <v>17</v>
      </c>
      <c r="H30" s="6" t="s">
        <v>18</v>
      </c>
      <c r="I30" s="6" t="s">
        <v>19</v>
      </c>
      <c r="J30" s="6" t="s">
        <v>20</v>
      </c>
    </row>
    <row r="31">
      <c r="A31" s="5">
        <v>46265.67526375</v>
      </c>
      <c r="B31" s="6" t="s">
        <v>101</v>
      </c>
      <c r="C31" s="6" t="s">
        <v>591</v>
      </c>
      <c r="D31" s="6" t="s">
        <v>13</v>
      </c>
      <c r="E31" s="6" t="s">
        <v>14</v>
      </c>
      <c r="F31" s="6" t="s">
        <v>16</v>
      </c>
      <c r="G31" s="6" t="s">
        <v>17</v>
      </c>
      <c r="H31" s="6" t="s">
        <v>18</v>
      </c>
      <c r="I31" s="6" t="s">
        <v>19</v>
      </c>
      <c r="J31" s="6" t="s">
        <v>20</v>
      </c>
    </row>
    <row r="32">
      <c r="A32" s="5">
        <v>46265.683200127314</v>
      </c>
      <c r="B32" s="6" t="s">
        <v>112</v>
      </c>
      <c r="C32" s="6" t="s">
        <v>592</v>
      </c>
      <c r="D32" s="6" t="s">
        <v>13</v>
      </c>
      <c r="E32" s="6" t="s">
        <v>14</v>
      </c>
      <c r="F32" s="6" t="s">
        <v>16</v>
      </c>
      <c r="G32" s="6" t="s">
        <v>17</v>
      </c>
      <c r="H32" s="6" t="s">
        <v>18</v>
      </c>
      <c r="I32" s="6" t="s">
        <v>19</v>
      </c>
      <c r="J32" s="6" t="s">
        <v>20</v>
      </c>
    </row>
    <row r="33">
      <c r="A33" s="5">
        <v>46265.731814108796</v>
      </c>
      <c r="B33" s="6" t="s">
        <v>90</v>
      </c>
      <c r="C33" s="6" t="s">
        <v>593</v>
      </c>
      <c r="D33" s="6" t="s">
        <v>13</v>
      </c>
      <c r="E33" s="6" t="s">
        <v>14</v>
      </c>
      <c r="F33" s="6" t="s">
        <v>16</v>
      </c>
      <c r="G33" s="6" t="s">
        <v>17</v>
      </c>
      <c r="H33" s="6" t="s">
        <v>18</v>
      </c>
      <c r="I33" s="6" t="s">
        <v>19</v>
      </c>
      <c r="J33" s="6" t="s">
        <v>20</v>
      </c>
      <c r="K33" s="6" t="s">
        <v>36</v>
      </c>
    </row>
    <row r="34">
      <c r="A34" s="5">
        <v>46265.733489652775</v>
      </c>
      <c r="B34" s="6" t="s">
        <v>59</v>
      </c>
      <c r="C34" s="6" t="s">
        <v>594</v>
      </c>
      <c r="D34" s="6" t="s">
        <v>13</v>
      </c>
      <c r="E34" s="6" t="s">
        <v>14</v>
      </c>
      <c r="F34" s="6" t="s">
        <v>16</v>
      </c>
      <c r="G34" s="6" t="s">
        <v>17</v>
      </c>
      <c r="H34" s="6" t="s">
        <v>18</v>
      </c>
      <c r="I34" s="6" t="s">
        <v>19</v>
      </c>
      <c r="J34" s="6" t="s">
        <v>20</v>
      </c>
      <c r="K34" s="6" t="s">
        <v>48</v>
      </c>
    </row>
    <row r="35">
      <c r="A35" s="5">
        <v>46265.737449629625</v>
      </c>
      <c r="B35" s="6" t="s">
        <v>33</v>
      </c>
      <c r="C35" s="6" t="s">
        <v>595</v>
      </c>
      <c r="D35" s="6" t="s">
        <v>13</v>
      </c>
      <c r="E35" s="6" t="s">
        <v>14</v>
      </c>
      <c r="F35" s="6" t="s">
        <v>16</v>
      </c>
      <c r="G35" s="6" t="s">
        <v>17</v>
      </c>
      <c r="H35" s="6" t="s">
        <v>18</v>
      </c>
      <c r="I35" s="6" t="s">
        <v>19</v>
      </c>
      <c r="J35" s="6" t="s">
        <v>20</v>
      </c>
      <c r="K35" s="6" t="s">
        <v>48</v>
      </c>
    </row>
    <row r="36">
      <c r="A36" s="5">
        <v>46265.739523321754</v>
      </c>
      <c r="B36" s="6" t="s">
        <v>116</v>
      </c>
      <c r="C36" s="6" t="s">
        <v>596</v>
      </c>
      <c r="D36" s="6" t="s">
        <v>13</v>
      </c>
      <c r="E36" s="6" t="s">
        <v>14</v>
      </c>
      <c r="F36" s="6" t="s">
        <v>16</v>
      </c>
      <c r="G36" s="6" t="s">
        <v>17</v>
      </c>
      <c r="H36" s="6" t="s">
        <v>18</v>
      </c>
      <c r="I36" s="6" t="s">
        <v>19</v>
      </c>
      <c r="J36" s="6" t="s">
        <v>20</v>
      </c>
    </row>
    <row r="37">
      <c r="A37" s="5">
        <v>46265.76780917824</v>
      </c>
      <c r="B37" s="6" t="s">
        <v>21</v>
      </c>
      <c r="C37" s="6" t="s">
        <v>597</v>
      </c>
      <c r="D37" s="6" t="s">
        <v>13</v>
      </c>
      <c r="E37" s="6" t="s">
        <v>14</v>
      </c>
      <c r="F37" s="6" t="s">
        <v>16</v>
      </c>
      <c r="G37" s="6" t="s">
        <v>17</v>
      </c>
      <c r="H37" s="6" t="s">
        <v>18</v>
      </c>
      <c r="I37" s="6" t="s">
        <v>19</v>
      </c>
      <c r="J37" s="6" t="s">
        <v>20</v>
      </c>
    </row>
    <row r="38">
      <c r="A38" s="5">
        <v>46265.814254756944</v>
      </c>
      <c r="B38" s="6" t="s">
        <v>74</v>
      </c>
      <c r="C38" s="6" t="s">
        <v>581</v>
      </c>
      <c r="D38" s="6" t="s">
        <v>13</v>
      </c>
      <c r="E38" s="6" t="s">
        <v>14</v>
      </c>
      <c r="F38" s="6" t="s">
        <v>16</v>
      </c>
      <c r="G38" s="6" t="s">
        <v>17</v>
      </c>
      <c r="H38" s="6" t="s">
        <v>18</v>
      </c>
      <c r="I38" s="6" t="s">
        <v>19</v>
      </c>
      <c r="J38" s="6" t="s">
        <v>20</v>
      </c>
    </row>
    <row r="39">
      <c r="A39" s="5">
        <v>46266.03189077546</v>
      </c>
      <c r="B39" s="6" t="s">
        <v>113</v>
      </c>
      <c r="C39" s="6" t="s">
        <v>598</v>
      </c>
      <c r="D39" s="6" t="s">
        <v>13</v>
      </c>
      <c r="E39" s="6" t="s">
        <v>14</v>
      </c>
      <c r="F39" s="6" t="s">
        <v>16</v>
      </c>
      <c r="G39" s="6" t="s">
        <v>17</v>
      </c>
      <c r="H39" s="6" t="s">
        <v>18</v>
      </c>
      <c r="I39" s="6" t="s">
        <v>19</v>
      </c>
      <c r="J39" s="6" t="s">
        <v>20</v>
      </c>
    </row>
    <row r="40">
      <c r="A40" s="5">
        <v>46266.55531835648</v>
      </c>
      <c r="B40" s="6" t="s">
        <v>118</v>
      </c>
      <c r="C40" s="6" t="s">
        <v>119</v>
      </c>
      <c r="D40" s="6" t="s">
        <v>73</v>
      </c>
      <c r="E40" s="6" t="s">
        <v>120</v>
      </c>
      <c r="F40" s="6" t="s">
        <v>54</v>
      </c>
      <c r="G40" s="6" t="s">
        <v>39</v>
      </c>
      <c r="H40" s="6" t="s">
        <v>87</v>
      </c>
      <c r="I40" s="6" t="s">
        <v>55</v>
      </c>
      <c r="J40" s="6" t="s">
        <v>56</v>
      </c>
    </row>
    <row r="41">
      <c r="A41" s="5">
        <v>46266.65126061343</v>
      </c>
      <c r="B41" s="6" t="s">
        <v>11</v>
      </c>
      <c r="C41" s="6" t="s">
        <v>599</v>
      </c>
      <c r="D41" s="6" t="s">
        <v>13</v>
      </c>
      <c r="E41" s="6" t="s">
        <v>14</v>
      </c>
      <c r="F41" s="6" t="s">
        <v>16</v>
      </c>
      <c r="G41" s="6" t="s">
        <v>17</v>
      </c>
      <c r="H41" s="6" t="s">
        <v>18</v>
      </c>
      <c r="I41" s="6" t="s">
        <v>19</v>
      </c>
      <c r="J41" s="6" t="s">
        <v>20</v>
      </c>
    </row>
    <row r="42">
      <c r="A42" s="5">
        <v>46266.6760055787</v>
      </c>
      <c r="B42" s="6" t="s">
        <v>78</v>
      </c>
      <c r="C42" s="6" t="s">
        <v>600</v>
      </c>
      <c r="D42" s="6" t="s">
        <v>13</v>
      </c>
      <c r="E42" s="6" t="s">
        <v>14</v>
      </c>
      <c r="F42" s="6" t="s">
        <v>16</v>
      </c>
      <c r="G42" s="6" t="s">
        <v>17</v>
      </c>
      <c r="H42" s="6" t="s">
        <v>18</v>
      </c>
      <c r="I42" s="6" t="s">
        <v>19</v>
      </c>
      <c r="J42" s="6" t="s">
        <v>20</v>
      </c>
    </row>
    <row r="43">
      <c r="A43" s="5">
        <v>46266.6866178125</v>
      </c>
      <c r="B43" s="6" t="s">
        <v>121</v>
      </c>
      <c r="C43" s="6" t="s">
        <v>581</v>
      </c>
      <c r="D43" s="6" t="s">
        <v>13</v>
      </c>
      <c r="E43" s="6" t="s">
        <v>14</v>
      </c>
      <c r="F43" s="6" t="s">
        <v>16</v>
      </c>
      <c r="G43" s="6" t="s">
        <v>17</v>
      </c>
      <c r="H43" s="6" t="s">
        <v>18</v>
      </c>
      <c r="I43" s="6" t="s">
        <v>19</v>
      </c>
      <c r="J43" s="6" t="s">
        <v>20</v>
      </c>
    </row>
    <row r="44">
      <c r="A44" s="5">
        <v>46266.68949956019</v>
      </c>
      <c r="B44" s="6" t="s">
        <v>37</v>
      </c>
      <c r="C44" s="6" t="s">
        <v>601</v>
      </c>
      <c r="D44" s="6" t="s">
        <v>13</v>
      </c>
      <c r="E44" s="6" t="s">
        <v>14</v>
      </c>
      <c r="F44" s="6" t="s">
        <v>16</v>
      </c>
      <c r="G44" s="6" t="s">
        <v>17</v>
      </c>
      <c r="H44" s="6" t="s">
        <v>18</v>
      </c>
      <c r="I44" s="6" t="s">
        <v>19</v>
      </c>
      <c r="J44" s="6" t="s">
        <v>20</v>
      </c>
    </row>
    <row r="45">
      <c r="A45" s="5">
        <v>46266.69242518519</v>
      </c>
      <c r="B45" s="6" t="s">
        <v>124</v>
      </c>
      <c r="C45" s="6" t="s">
        <v>581</v>
      </c>
      <c r="D45" s="6" t="s">
        <v>13</v>
      </c>
      <c r="E45" s="6" t="s">
        <v>14</v>
      </c>
      <c r="F45" s="6" t="s">
        <v>16</v>
      </c>
      <c r="G45" s="6" t="s">
        <v>17</v>
      </c>
      <c r="H45" s="6" t="s">
        <v>18</v>
      </c>
      <c r="I45" s="6" t="s">
        <v>19</v>
      </c>
      <c r="J45" s="6" t="s">
        <v>20</v>
      </c>
    </row>
    <row r="46">
      <c r="A46" s="5">
        <v>46266.7030769213</v>
      </c>
      <c r="B46" s="6" t="s">
        <v>125</v>
      </c>
      <c r="C46" s="6" t="s">
        <v>581</v>
      </c>
      <c r="D46" s="6" t="s">
        <v>13</v>
      </c>
      <c r="E46" s="6" t="s">
        <v>14</v>
      </c>
      <c r="F46" s="6" t="s">
        <v>16</v>
      </c>
      <c r="G46" s="6" t="s">
        <v>17</v>
      </c>
      <c r="H46" s="6" t="s">
        <v>18</v>
      </c>
      <c r="I46" s="6" t="s">
        <v>19</v>
      </c>
      <c r="J46" s="6" t="s">
        <v>20</v>
      </c>
    </row>
    <row r="47">
      <c r="A47" s="5">
        <v>46266.72322518518</v>
      </c>
      <c r="B47" s="6" t="s">
        <v>97</v>
      </c>
      <c r="C47" s="6" t="s">
        <v>598</v>
      </c>
      <c r="D47" s="6" t="s">
        <v>13</v>
      </c>
      <c r="E47" s="6" t="s">
        <v>14</v>
      </c>
      <c r="F47" s="6" t="s">
        <v>16</v>
      </c>
      <c r="G47" s="6" t="s">
        <v>17</v>
      </c>
      <c r="H47" s="6" t="s">
        <v>18</v>
      </c>
      <c r="I47" s="6" t="s">
        <v>19</v>
      </c>
      <c r="J47" s="6" t="s">
        <v>20</v>
      </c>
    </row>
    <row r="48">
      <c r="A48" s="5">
        <v>46266.82475547453</v>
      </c>
      <c r="B48" s="6" t="s">
        <v>126</v>
      </c>
      <c r="C48" s="6" t="s">
        <v>31</v>
      </c>
      <c r="D48" s="6" t="s">
        <v>13</v>
      </c>
      <c r="E48" s="6" t="s">
        <v>14</v>
      </c>
      <c r="F48" s="6" t="s">
        <v>16</v>
      </c>
      <c r="G48" s="6" t="s">
        <v>17</v>
      </c>
      <c r="H48" s="6" t="s">
        <v>18</v>
      </c>
      <c r="I48" s="6" t="s">
        <v>19</v>
      </c>
      <c r="J48" s="6" t="s">
        <v>20</v>
      </c>
    </row>
    <row r="49">
      <c r="A49" s="5">
        <v>46267.30475804398</v>
      </c>
      <c r="B49" s="6" t="s">
        <v>46</v>
      </c>
      <c r="C49" s="6" t="s">
        <v>602</v>
      </c>
      <c r="D49" s="6" t="s">
        <v>13</v>
      </c>
      <c r="E49" s="6" t="s">
        <v>14</v>
      </c>
      <c r="F49" s="6" t="s">
        <v>16</v>
      </c>
      <c r="G49" s="6" t="s">
        <v>17</v>
      </c>
      <c r="H49" s="6" t="s">
        <v>18</v>
      </c>
      <c r="I49" s="6" t="s">
        <v>19</v>
      </c>
      <c r="J49" s="6" t="s">
        <v>20</v>
      </c>
    </row>
    <row r="50">
      <c r="A50" s="5">
        <v>46267.31318629629</v>
      </c>
      <c r="B50" s="6" t="s">
        <v>127</v>
      </c>
      <c r="C50" s="6" t="s">
        <v>581</v>
      </c>
      <c r="D50" s="6" t="s">
        <v>13</v>
      </c>
      <c r="E50" s="6" t="s">
        <v>14</v>
      </c>
      <c r="F50" s="6" t="s">
        <v>16</v>
      </c>
      <c r="G50" s="6" t="s">
        <v>17</v>
      </c>
      <c r="H50" s="6" t="s">
        <v>18</v>
      </c>
      <c r="I50" s="6" t="s">
        <v>19</v>
      </c>
      <c r="J50" s="6" t="s">
        <v>20</v>
      </c>
      <c r="K50" s="6" t="s">
        <v>603</v>
      </c>
    </row>
    <row r="51">
      <c r="A51" s="5">
        <v>46267.31375909722</v>
      </c>
      <c r="B51" s="6" t="s">
        <v>129</v>
      </c>
      <c r="C51" s="6" t="s">
        <v>604</v>
      </c>
      <c r="D51" s="6" t="s">
        <v>13</v>
      </c>
      <c r="E51" s="6" t="s">
        <v>14</v>
      </c>
      <c r="F51" s="6" t="s">
        <v>16</v>
      </c>
      <c r="G51" s="6" t="s">
        <v>17</v>
      </c>
      <c r="H51" s="6" t="s">
        <v>18</v>
      </c>
      <c r="I51" s="6" t="s">
        <v>19</v>
      </c>
      <c r="J51" s="6" t="s">
        <v>20</v>
      </c>
    </row>
    <row r="52">
      <c r="A52" s="5">
        <v>46267.34189618056</v>
      </c>
      <c r="B52" s="6" t="s">
        <v>85</v>
      </c>
      <c r="C52" s="6" t="s">
        <v>605</v>
      </c>
      <c r="D52" s="6" t="s">
        <v>13</v>
      </c>
      <c r="E52" s="6" t="s">
        <v>14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>
      <c r="A53" s="5">
        <v>46267.56752210648</v>
      </c>
      <c r="B53" s="6" t="s">
        <v>132</v>
      </c>
      <c r="C53" s="6" t="s">
        <v>606</v>
      </c>
      <c r="D53" s="6" t="s">
        <v>13</v>
      </c>
      <c r="E53" s="6" t="s">
        <v>14</v>
      </c>
      <c r="F53" s="6" t="s">
        <v>16</v>
      </c>
      <c r="G53" s="6" t="s">
        <v>17</v>
      </c>
      <c r="H53" s="6" t="s">
        <v>18</v>
      </c>
      <c r="I53" s="6" t="s">
        <v>19</v>
      </c>
      <c r="J53" s="6" t="s">
        <v>20</v>
      </c>
    </row>
    <row r="54">
      <c r="A54" s="5">
        <v>46267.60448930555</v>
      </c>
      <c r="B54" s="6" t="s">
        <v>30</v>
      </c>
      <c r="C54" s="6" t="s">
        <v>586</v>
      </c>
      <c r="D54" s="6" t="s">
        <v>13</v>
      </c>
      <c r="E54" s="6" t="s">
        <v>14</v>
      </c>
      <c r="F54" s="6" t="s">
        <v>16</v>
      </c>
      <c r="G54" s="6" t="s">
        <v>17</v>
      </c>
      <c r="H54" s="6" t="s">
        <v>18</v>
      </c>
      <c r="I54" s="6" t="s">
        <v>19</v>
      </c>
      <c r="J54" s="6" t="s">
        <v>20</v>
      </c>
    </row>
    <row r="55">
      <c r="A55" s="5">
        <v>46267.6045316088</v>
      </c>
      <c r="B55" s="6" t="s">
        <v>114</v>
      </c>
      <c r="C55" s="6" t="s">
        <v>607</v>
      </c>
      <c r="D55" s="6" t="s">
        <v>13</v>
      </c>
      <c r="E55" s="6" t="s">
        <v>14</v>
      </c>
      <c r="F55" s="6" t="s">
        <v>16</v>
      </c>
      <c r="G55" s="6" t="s">
        <v>17</v>
      </c>
      <c r="H55" s="6" t="s">
        <v>18</v>
      </c>
      <c r="I55" s="6" t="s">
        <v>19</v>
      </c>
      <c r="J55" s="6" t="s">
        <v>20</v>
      </c>
    </row>
    <row r="56">
      <c r="A56" s="5">
        <v>46267.60821337963</v>
      </c>
      <c r="B56" s="6" t="s">
        <v>99</v>
      </c>
      <c r="C56" s="6" t="s">
        <v>608</v>
      </c>
      <c r="D56" s="6" t="s">
        <v>13</v>
      </c>
      <c r="E56" s="6" t="s">
        <v>14</v>
      </c>
      <c r="F56" s="6" t="s">
        <v>16</v>
      </c>
      <c r="G56" s="6" t="s">
        <v>17</v>
      </c>
      <c r="H56" s="6" t="s">
        <v>18</v>
      </c>
      <c r="I56" s="6" t="s">
        <v>19</v>
      </c>
      <c r="J56" s="6" t="s">
        <v>20</v>
      </c>
    </row>
    <row r="57">
      <c r="A57" s="5">
        <v>46267.609551608795</v>
      </c>
      <c r="B57" s="6" t="s">
        <v>28</v>
      </c>
      <c r="C57" s="6" t="s">
        <v>581</v>
      </c>
      <c r="D57" s="6" t="s">
        <v>13</v>
      </c>
      <c r="E57" s="6" t="s">
        <v>14</v>
      </c>
      <c r="F57" s="6" t="s">
        <v>16</v>
      </c>
      <c r="G57" s="6" t="s">
        <v>17</v>
      </c>
      <c r="H57" s="6" t="s">
        <v>18</v>
      </c>
      <c r="I57" s="6" t="s">
        <v>19</v>
      </c>
      <c r="J57" s="6" t="s">
        <v>20</v>
      </c>
    </row>
    <row r="58">
      <c r="A58" s="5">
        <v>46267.610973229166</v>
      </c>
      <c r="B58" s="6" t="s">
        <v>86</v>
      </c>
      <c r="C58" s="6" t="s">
        <v>609</v>
      </c>
      <c r="D58" s="6" t="s">
        <v>13</v>
      </c>
      <c r="E58" s="6" t="s">
        <v>14</v>
      </c>
      <c r="F58" s="6" t="s">
        <v>16</v>
      </c>
      <c r="G58" s="6" t="s">
        <v>17</v>
      </c>
      <c r="H58" s="6" t="s">
        <v>18</v>
      </c>
      <c r="I58" s="6" t="s">
        <v>19</v>
      </c>
      <c r="J58" s="6" t="s">
        <v>20</v>
      </c>
    </row>
    <row r="59">
      <c r="A59" s="5">
        <v>46267.611380601855</v>
      </c>
      <c r="B59" s="6" t="s">
        <v>133</v>
      </c>
      <c r="C59" s="6" t="s">
        <v>134</v>
      </c>
      <c r="D59" s="6" t="s">
        <v>13</v>
      </c>
      <c r="E59" s="6" t="s">
        <v>14</v>
      </c>
      <c r="F59" s="6" t="s">
        <v>16</v>
      </c>
      <c r="G59" s="6" t="s">
        <v>17</v>
      </c>
      <c r="H59" s="6" t="s">
        <v>18</v>
      </c>
      <c r="I59" s="6" t="s">
        <v>19</v>
      </c>
      <c r="J59" s="6" t="s">
        <v>20</v>
      </c>
    </row>
    <row r="60">
      <c r="A60" s="5">
        <v>46267.612135625</v>
      </c>
      <c r="B60" s="6" t="s">
        <v>136</v>
      </c>
      <c r="C60" s="6" t="s">
        <v>586</v>
      </c>
      <c r="D60" s="6" t="s">
        <v>13</v>
      </c>
      <c r="E60" s="6" t="s">
        <v>14</v>
      </c>
      <c r="F60" s="6" t="s">
        <v>16</v>
      </c>
      <c r="G60" s="6" t="s">
        <v>17</v>
      </c>
      <c r="H60" s="6" t="s">
        <v>18</v>
      </c>
      <c r="I60" s="6" t="s">
        <v>19</v>
      </c>
      <c r="J60" s="6" t="s">
        <v>20</v>
      </c>
    </row>
    <row r="61">
      <c r="A61" s="5">
        <v>46267.67791888889</v>
      </c>
      <c r="B61" s="6" t="s">
        <v>135</v>
      </c>
      <c r="C61" s="6" t="s">
        <v>297</v>
      </c>
      <c r="D61" s="6" t="s">
        <v>13</v>
      </c>
      <c r="E61" s="6" t="s">
        <v>14</v>
      </c>
      <c r="F61" s="6" t="s">
        <v>16</v>
      </c>
      <c r="G61" s="6" t="s">
        <v>17</v>
      </c>
      <c r="H61" s="6" t="s">
        <v>18</v>
      </c>
      <c r="I61" s="6" t="s">
        <v>19</v>
      </c>
      <c r="J61" s="6" t="s">
        <v>20</v>
      </c>
    </row>
    <row r="62">
      <c r="A62" s="5">
        <v>46267.85389224537</v>
      </c>
      <c r="B62" s="6" t="s">
        <v>138</v>
      </c>
      <c r="C62" s="6" t="s">
        <v>139</v>
      </c>
      <c r="D62" s="6" t="s">
        <v>13</v>
      </c>
      <c r="E62" s="6" t="s">
        <v>14</v>
      </c>
      <c r="F62" s="6" t="s">
        <v>16</v>
      </c>
      <c r="G62" s="6" t="s">
        <v>17</v>
      </c>
      <c r="H62" s="6" t="s">
        <v>18</v>
      </c>
      <c r="I62" s="6" t="s">
        <v>19</v>
      </c>
      <c r="J62" s="6" t="s">
        <v>20</v>
      </c>
      <c r="K62" s="6" t="s">
        <v>326</v>
      </c>
    </row>
    <row r="63">
      <c r="A63" s="5">
        <v>46268.347856099535</v>
      </c>
      <c r="B63" s="6" t="s">
        <v>140</v>
      </c>
      <c r="C63" s="6" t="s">
        <v>610</v>
      </c>
      <c r="D63" s="6" t="s">
        <v>13</v>
      </c>
      <c r="E63" s="6" t="s">
        <v>14</v>
      </c>
      <c r="F63" s="6" t="s">
        <v>16</v>
      </c>
      <c r="G63" s="6" t="s">
        <v>17</v>
      </c>
      <c r="H63" s="6" t="s">
        <v>18</v>
      </c>
      <c r="I63" s="6" t="s">
        <v>19</v>
      </c>
      <c r="J63" s="6" t="s">
        <v>20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1" t="s">
        <v>0</v>
      </c>
      <c r="B1" s="1" t="s">
        <v>1</v>
      </c>
      <c r="C1" s="3" t="s">
        <v>2</v>
      </c>
      <c r="D1" s="4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1"/>
      <c r="M1" s="7" t="s">
        <v>15</v>
      </c>
    </row>
    <row r="2">
      <c r="A2" s="8">
        <f>'4.1'!A:A</f>
        <v>46262.42772</v>
      </c>
      <c r="B2" s="1" t="str">
        <f>'4.1'!B:B</f>
        <v>bnco1009@signalschool.ac.th</v>
      </c>
      <c r="C2" s="1" t="str">
        <f>'4.1'!C:C</f>
        <v>พ.ต.ไมรตรี บุญเหลื่อม</v>
      </c>
      <c r="D2" s="9">
        <v>1.0</v>
      </c>
      <c r="E2" s="10">
        <f>IFERROR(vlookup('4.1'!D:D,lookup!$A$2:$B$4,2,false),0)</f>
        <v>5</v>
      </c>
      <c r="F2" s="10">
        <f>IFERROR(vlookup('4.1'!E:E,lookup!$A$6:$B$8,2,false),0)</f>
        <v>5</v>
      </c>
      <c r="G2" s="10">
        <f>IFERROR(vlookup('4.1'!F:F,lookup!$A$10:$B$12,2,false),0)</f>
        <v>5</v>
      </c>
      <c r="H2" s="10">
        <f>IFERROR(vlookup('4.1'!G:G,lookup!$A$14:$B$16,2,false),0)</f>
        <v>5</v>
      </c>
      <c r="I2" s="10">
        <f>IFERROR(vlookup('4.1'!H:H,lookup!$A$18:$B$20,2,false),0)</f>
        <v>5</v>
      </c>
      <c r="J2" s="10">
        <f>IFERROR(vlookup('4.1'!I:I,lookup!$A$22:$B$24,2,false),0)</f>
        <v>5</v>
      </c>
      <c r="K2" s="10">
        <f>IFERROR(vlookup('4.1'!J:J,lookup!$A$26:$B$28,2,false),0)</f>
        <v>5</v>
      </c>
      <c r="L2" s="1"/>
      <c r="M2" s="10">
        <v>1.0</v>
      </c>
      <c r="N2" s="11" t="str">
        <f t="shared" ref="N2:N81" si="1">CONCAT(R2,"@signalschool.ac.th")</f>
        <v>bnco1001@signalschool.ac.th</v>
      </c>
      <c r="O2" s="12">
        <f t="shared" ref="O2:O81" si="2">IFERROR(VLOOKUP(N2,B$2:D$81,3,FALSE),0)</f>
        <v>1</v>
      </c>
      <c r="R2" s="6" t="s">
        <v>91</v>
      </c>
    </row>
    <row r="3">
      <c r="A3" s="8">
        <f>'4.1'!A:A</f>
        <v>46262.43041</v>
      </c>
      <c r="B3" s="1" t="str">
        <f>'4.1'!B:B</f>
        <v>bnco1056@signalschool.ac.th</v>
      </c>
      <c r="C3" s="1" t="str">
        <f>'4.1'!C:C</f>
        <v>ครูอาจารย์ รร.ส.สส.</v>
      </c>
      <c r="D3" s="9">
        <v>1.0</v>
      </c>
      <c r="E3" s="10">
        <f>IFERROR(vlookup('4.1'!D:D,lookup!$A$2:$B$4,2,false),0)</f>
        <v>5</v>
      </c>
      <c r="F3" s="10">
        <f>IFERROR(vlookup('4.1'!E:E,lookup!$A$6:$B$8,2,false),0)</f>
        <v>5</v>
      </c>
      <c r="G3" s="10">
        <f>IFERROR(vlookup('4.1'!F:F,lookup!$A$10:$B$12,2,false),0)</f>
        <v>5</v>
      </c>
      <c r="H3" s="10">
        <f>IFERROR(vlookup('4.1'!G:G,lookup!$A$14:$B$16,2,false),0)</f>
        <v>5</v>
      </c>
      <c r="I3" s="10">
        <f>IFERROR(vlookup('4.1'!H:H,lookup!$A$18:$B$20,2,false),0)</f>
        <v>5</v>
      </c>
      <c r="J3" s="10">
        <f>IFERROR(vlookup('4.1'!I:I,lookup!$A$22:$B$24,2,false),0)</f>
        <v>5</v>
      </c>
      <c r="K3" s="10">
        <f>IFERROR(vlookup('4.1'!J:J,lookup!$A$26:$B$28,2,false),0)</f>
        <v>5</v>
      </c>
      <c r="L3" s="1"/>
      <c r="M3" s="10">
        <v>2.0</v>
      </c>
      <c r="N3" s="11" t="str">
        <f t="shared" si="1"/>
        <v>bnco1002@signalschool.ac.th</v>
      </c>
      <c r="O3" s="12">
        <f t="shared" si="2"/>
        <v>1</v>
      </c>
      <c r="R3" s="6" t="s">
        <v>123</v>
      </c>
    </row>
    <row r="4">
      <c r="A4" s="8">
        <f>'4.1'!A:A</f>
        <v>46262.45165</v>
      </c>
      <c r="B4" s="1" t="str">
        <f>'4.1'!B:B</f>
        <v>bnco1052@signalschool.ac.th</v>
      </c>
      <c r="C4" s="1" t="str">
        <f>'4.1'!C:C</f>
        <v>ครู/อาจารย์ รร.ส.สส.</v>
      </c>
      <c r="D4" s="9">
        <v>1.0</v>
      </c>
      <c r="E4" s="10">
        <f>IFERROR(vlookup('4.1'!D:D,lookup!$A$2:$B$4,2,false),0)</f>
        <v>5</v>
      </c>
      <c r="F4" s="10">
        <f>IFERROR(vlookup('4.1'!E:E,lookup!$A$6:$B$8,2,false),0)</f>
        <v>5</v>
      </c>
      <c r="G4" s="10">
        <f>IFERROR(vlookup('4.1'!F:F,lookup!$A$10:$B$12,2,false),0)</f>
        <v>5</v>
      </c>
      <c r="H4" s="10">
        <f>IFERROR(vlookup('4.1'!G:G,lookup!$A$14:$B$16,2,false),0)</f>
        <v>5</v>
      </c>
      <c r="I4" s="10">
        <f>IFERROR(vlookup('4.1'!H:H,lookup!$A$18:$B$20,2,false),0)</f>
        <v>5</v>
      </c>
      <c r="J4" s="10">
        <f>IFERROR(vlookup('4.1'!I:I,lookup!$A$22:$B$24,2,false),0)</f>
        <v>5</v>
      </c>
      <c r="K4" s="10">
        <f>IFERROR(vlookup('4.1'!J:J,lookup!$A$26:$B$28,2,false),0)</f>
        <v>5</v>
      </c>
      <c r="L4" s="1"/>
      <c r="M4" s="10">
        <v>3.0</v>
      </c>
      <c r="N4" s="11" t="str">
        <f t="shared" si="1"/>
        <v>bnco1003@signalschool.ac.th</v>
      </c>
      <c r="O4" s="12">
        <f t="shared" si="2"/>
        <v>0</v>
      </c>
      <c r="R4" s="6" t="s">
        <v>141</v>
      </c>
    </row>
    <row r="5">
      <c r="A5" s="8">
        <f>'4.1'!A:A</f>
        <v>46262.45651</v>
      </c>
      <c r="B5" s="1" t="str">
        <f>'4.1'!B:B</f>
        <v>bnco1038@signalschool.ac.th</v>
      </c>
      <c r="C5" s="1" t="str">
        <f>'4.1'!C:C</f>
        <v>ครู-อาจารย์ กศ.รร.ส.สส.</v>
      </c>
      <c r="D5" s="9">
        <v>1.0</v>
      </c>
      <c r="E5" s="10">
        <f>IFERROR(vlookup('4.1'!D:D,lookup!$A$2:$B$4,2,false),0)</f>
        <v>5</v>
      </c>
      <c r="F5" s="10">
        <f>IFERROR(vlookup('4.1'!E:E,lookup!$A$6:$B$8,2,false),0)</f>
        <v>5</v>
      </c>
      <c r="G5" s="10">
        <f>IFERROR(vlookup('4.1'!F:F,lookup!$A$10:$B$12,2,false),0)</f>
        <v>5</v>
      </c>
      <c r="H5" s="10">
        <f>IFERROR(vlookup('4.1'!G:G,lookup!$A$14:$B$16,2,false),0)</f>
        <v>5</v>
      </c>
      <c r="I5" s="10">
        <f>IFERROR(vlookup('4.1'!H:H,lookup!$A$18:$B$20,2,false),0)</f>
        <v>5</v>
      </c>
      <c r="J5" s="10">
        <f>IFERROR(vlookup('4.1'!I:I,lookup!$A$22:$B$24,2,false),0)</f>
        <v>5</v>
      </c>
      <c r="K5" s="10">
        <f>IFERROR(vlookup('4.1'!J:J,lookup!$A$26:$B$28,2,false),0)</f>
        <v>5</v>
      </c>
      <c r="L5" s="1"/>
      <c r="M5" s="10">
        <v>4.0</v>
      </c>
      <c r="N5" s="11" t="str">
        <f t="shared" si="1"/>
        <v>bnco1004@signalschool.ac.th</v>
      </c>
      <c r="O5" s="12">
        <f t="shared" si="2"/>
        <v>1</v>
      </c>
      <c r="R5" s="6" t="s">
        <v>143</v>
      </c>
    </row>
    <row r="6">
      <c r="A6" s="8">
        <f>'4.1'!A:A</f>
        <v>46262.45675</v>
      </c>
      <c r="B6" s="1" t="str">
        <f>'4.1'!B:B</f>
        <v>bnco1035@signalschool.ac.th</v>
      </c>
      <c r="C6" s="1" t="str">
        <f>'4.1'!C:C</f>
        <v>จ.ส.อ. พงศภัค อุ่นอนันต์  /</v>
      </c>
      <c r="D6" s="9">
        <v>1.0</v>
      </c>
      <c r="E6" s="10">
        <f>IFERROR(vlookup('4.1'!D:D,lookup!$A$2:$B$4,2,false),0)</f>
        <v>5</v>
      </c>
      <c r="F6" s="10">
        <f>IFERROR(vlookup('4.1'!E:E,lookup!$A$6:$B$8,2,false),0)</f>
        <v>5</v>
      </c>
      <c r="G6" s="10">
        <f>IFERROR(vlookup('4.1'!F:F,lookup!$A$10:$B$12,2,false),0)</f>
        <v>5</v>
      </c>
      <c r="H6" s="10">
        <f>IFERROR(vlookup('4.1'!G:G,lookup!$A$14:$B$16,2,false),0)</f>
        <v>5</v>
      </c>
      <c r="I6" s="10">
        <f>IFERROR(vlookup('4.1'!H:H,lookup!$A$18:$B$20,2,false),0)</f>
        <v>5</v>
      </c>
      <c r="J6" s="10">
        <f>IFERROR(vlookup('4.1'!I:I,lookup!$A$22:$B$24,2,false),0)</f>
        <v>5</v>
      </c>
      <c r="K6" s="10">
        <f>IFERROR(vlookup('4.1'!J:J,lookup!$A$26:$B$28,2,false),0)</f>
        <v>5</v>
      </c>
      <c r="L6" s="1"/>
      <c r="M6" s="10">
        <v>5.0</v>
      </c>
      <c r="N6" s="11" t="str">
        <f t="shared" si="1"/>
        <v>bnco1005@signalschool.ac.th</v>
      </c>
      <c r="O6" s="12">
        <f t="shared" si="2"/>
        <v>1</v>
      </c>
      <c r="R6" s="6" t="s">
        <v>144</v>
      </c>
    </row>
    <row r="7">
      <c r="A7" s="8">
        <f>'4.1'!A:A</f>
        <v>46262.49133</v>
      </c>
      <c r="B7" s="1" t="str">
        <f>'4.1'!B:B</f>
        <v>bnco1060@signalschool.ac.th</v>
      </c>
      <c r="C7" s="1" t="str">
        <f>'4.1'!C:C</f>
        <v>ครู อาจารย์ กศ.รร.ส.สส.</v>
      </c>
      <c r="D7" s="9">
        <v>1.0</v>
      </c>
      <c r="E7" s="10">
        <f>IFERROR(vlookup('4.1'!D:D,lookup!$A$2:$B$4,2,false),0)</f>
        <v>5</v>
      </c>
      <c r="F7" s="10">
        <f>IFERROR(vlookup('4.1'!E:E,lookup!$A$6:$B$8,2,false),0)</f>
        <v>5</v>
      </c>
      <c r="G7" s="10">
        <f>IFERROR(vlookup('4.1'!F:F,lookup!$A$10:$B$12,2,false),0)</f>
        <v>5</v>
      </c>
      <c r="H7" s="10">
        <f>IFERROR(vlookup('4.1'!G:G,lookup!$A$14:$B$16,2,false),0)</f>
        <v>5</v>
      </c>
      <c r="I7" s="10">
        <f>IFERROR(vlookup('4.1'!H:H,lookup!$A$18:$B$20,2,false),0)</f>
        <v>5</v>
      </c>
      <c r="J7" s="10">
        <f>IFERROR(vlookup('4.1'!I:I,lookup!$A$22:$B$24,2,false),0)</f>
        <v>5</v>
      </c>
      <c r="K7" s="10">
        <f>IFERROR(vlookup('4.1'!J:J,lookup!$A$26:$B$28,2,false),0)</f>
        <v>5</v>
      </c>
      <c r="L7" s="1"/>
      <c r="M7" s="10">
        <v>6.0</v>
      </c>
      <c r="N7" s="11" t="str">
        <f t="shared" si="1"/>
        <v>bnco1006@signalschool.ac.th</v>
      </c>
      <c r="O7" s="12">
        <f t="shared" si="2"/>
        <v>1</v>
      </c>
      <c r="R7" s="6" t="s">
        <v>145</v>
      </c>
    </row>
    <row r="8">
      <c r="A8" s="8">
        <f>'4.1'!A:A</f>
        <v>46262.49261</v>
      </c>
      <c r="B8" s="1" t="str">
        <f>'4.1'!B:B</f>
        <v>bnco1032@signalschool.ac.th</v>
      </c>
      <c r="C8" s="1" t="str">
        <f>'4.1'!C:C</f>
        <v>ครู-อาจาร์ย กศ.รร.ส.สส.</v>
      </c>
      <c r="D8" s="9">
        <v>1.0</v>
      </c>
      <c r="E8" s="10">
        <f>IFERROR(vlookup('4.1'!D:D,lookup!$A$2:$B$4,2,false),0)</f>
        <v>5</v>
      </c>
      <c r="F8" s="10">
        <f>IFERROR(vlookup('4.1'!E:E,lookup!$A$6:$B$8,2,false),0)</f>
        <v>5</v>
      </c>
      <c r="G8" s="10">
        <f>IFERROR(vlookup('4.1'!F:F,lookup!$A$10:$B$12,2,false),0)</f>
        <v>5</v>
      </c>
      <c r="H8" s="10">
        <f>IFERROR(vlookup('4.1'!G:G,lookup!$A$14:$B$16,2,false),0)</f>
        <v>5</v>
      </c>
      <c r="I8" s="10">
        <f>IFERROR(vlookup('4.1'!H:H,lookup!$A$18:$B$20,2,false),0)</f>
        <v>5</v>
      </c>
      <c r="J8" s="10">
        <f>IFERROR(vlookup('4.1'!I:I,lookup!$A$22:$B$24,2,false),0)</f>
        <v>5</v>
      </c>
      <c r="K8" s="10">
        <f>IFERROR(vlookup('4.1'!J:J,lookup!$A$26:$B$28,2,false),0)</f>
        <v>5</v>
      </c>
      <c r="L8" s="1"/>
      <c r="M8" s="10">
        <v>7.0</v>
      </c>
      <c r="N8" s="11" t="str">
        <f t="shared" si="1"/>
        <v>bnco1007@signalschool.ac.th</v>
      </c>
      <c r="O8" s="12">
        <f t="shared" si="2"/>
        <v>0</v>
      </c>
      <c r="R8" s="6" t="s">
        <v>155</v>
      </c>
    </row>
    <row r="9">
      <c r="A9" s="8">
        <f>'4.1'!A:A</f>
        <v>46262.50934</v>
      </c>
      <c r="B9" s="1" t="str">
        <f>'4.1'!B:B</f>
        <v>bnco1063@signalschool.ac.th</v>
      </c>
      <c r="C9" s="1" t="str">
        <f>'4.1'!C:C</f>
        <v>ครู อาจารย์ กศ.รร.ส.สส.</v>
      </c>
      <c r="D9" s="9">
        <v>1.0</v>
      </c>
      <c r="E9" s="10">
        <f>IFERROR(vlookup('4.1'!D:D,lookup!$A$2:$B$4,2,false),0)</f>
        <v>5</v>
      </c>
      <c r="F9" s="10">
        <f>IFERROR(vlookup('4.1'!E:E,lookup!$A$6:$B$8,2,false),0)</f>
        <v>5</v>
      </c>
      <c r="G9" s="10">
        <f>IFERROR(vlookup('4.1'!F:F,lookup!$A$10:$B$12,2,false),0)</f>
        <v>5</v>
      </c>
      <c r="H9" s="10">
        <f>IFERROR(vlookup('4.1'!G:G,lookup!$A$14:$B$16,2,false),0)</f>
        <v>5</v>
      </c>
      <c r="I9" s="10">
        <f>IFERROR(vlookup('4.1'!H:H,lookup!$A$18:$B$20,2,false),0)</f>
        <v>5</v>
      </c>
      <c r="J9" s="10">
        <f>IFERROR(vlookup('4.1'!I:I,lookup!$A$22:$B$24,2,false),0)</f>
        <v>5</v>
      </c>
      <c r="K9" s="10">
        <f>IFERROR(vlookup('4.1'!J:J,lookup!$A$26:$B$28,2,false),0)</f>
        <v>5</v>
      </c>
      <c r="L9" s="1"/>
      <c r="M9" s="10">
        <v>8.0</v>
      </c>
      <c r="N9" s="11" t="str">
        <f t="shared" si="1"/>
        <v>bnco1008@signalschool.ac.th</v>
      </c>
      <c r="O9" s="12">
        <f t="shared" si="2"/>
        <v>1</v>
      </c>
      <c r="R9" s="6" t="s">
        <v>166</v>
      </c>
    </row>
    <row r="10">
      <c r="A10" s="8">
        <f>'4.1'!A:A</f>
        <v>46262.53743</v>
      </c>
      <c r="B10" s="1" t="str">
        <f>'4.1'!B:B</f>
        <v>bnco1031@signalschool.ac.th</v>
      </c>
      <c r="C10" s="1" t="str">
        <f>'4.1'!C:C</f>
        <v>ครู - อาจารย์ กศ.รร.ส.สส.</v>
      </c>
      <c r="D10" s="9">
        <v>1.0</v>
      </c>
      <c r="E10" s="10">
        <f>IFERROR(vlookup('4.1'!D:D,lookup!$A$2:$B$4,2,false),0)</f>
        <v>5</v>
      </c>
      <c r="F10" s="10">
        <f>IFERROR(vlookup('4.1'!E:E,lookup!$A$6:$B$8,2,false),0)</f>
        <v>5</v>
      </c>
      <c r="G10" s="10">
        <f>IFERROR(vlookup('4.1'!F:F,lookup!$A$10:$B$12,2,false),0)</f>
        <v>5</v>
      </c>
      <c r="H10" s="10">
        <f>IFERROR(vlookup('4.1'!G:G,lookup!$A$14:$B$16,2,false),0)</f>
        <v>5</v>
      </c>
      <c r="I10" s="10">
        <f>IFERROR(vlookup('4.1'!H:H,lookup!$A$18:$B$20,2,false),0)</f>
        <v>5</v>
      </c>
      <c r="J10" s="10">
        <f>IFERROR(vlookup('4.1'!I:I,lookup!$A$22:$B$24,2,false),0)</f>
        <v>5</v>
      </c>
      <c r="K10" s="10">
        <f>IFERROR(vlookup('4.1'!J:J,lookup!$A$26:$B$28,2,false),0)</f>
        <v>5</v>
      </c>
      <c r="L10" s="1"/>
      <c r="M10" s="10">
        <v>9.0</v>
      </c>
      <c r="N10" s="11" t="str">
        <f t="shared" si="1"/>
        <v>bnco1009@signalschool.ac.th</v>
      </c>
      <c r="O10" s="12">
        <f t="shared" si="2"/>
        <v>1</v>
      </c>
      <c r="R10" s="6" t="s">
        <v>175</v>
      </c>
    </row>
    <row r="11">
      <c r="A11" s="8">
        <f>'4.1'!A:A</f>
        <v>46262.54765</v>
      </c>
      <c r="B11" s="1" t="str">
        <f>'4.1'!B:B</f>
        <v>bnco1079@signalschool.ac.th</v>
      </c>
      <c r="C11" s="1" t="str">
        <f>'4.1'!C:C</f>
        <v>พ.ต.ไมตรี บุญเหลื่อม</v>
      </c>
      <c r="D11" s="9">
        <v>1.0</v>
      </c>
      <c r="E11" s="10">
        <f>IFERROR(vlookup('4.1'!D:D,lookup!$A$2:$B$4,2,false),0)</f>
        <v>5</v>
      </c>
      <c r="F11" s="10">
        <f>IFERROR(vlookup('4.1'!E:E,lookup!$A$6:$B$8,2,false),0)</f>
        <v>5</v>
      </c>
      <c r="G11" s="10">
        <f>IFERROR(vlookup('4.1'!F:F,lookup!$A$10:$B$12,2,false),0)</f>
        <v>5</v>
      </c>
      <c r="H11" s="10">
        <f>IFERROR(vlookup('4.1'!G:G,lookup!$A$14:$B$16,2,false),0)</f>
        <v>5</v>
      </c>
      <c r="I11" s="10">
        <f>IFERROR(vlookup('4.1'!H:H,lookup!$A$18:$B$20,2,false),0)</f>
        <v>5</v>
      </c>
      <c r="J11" s="10">
        <f>IFERROR(vlookup('4.1'!I:I,lookup!$A$22:$B$24,2,false),0)</f>
        <v>5</v>
      </c>
      <c r="K11" s="10">
        <f>IFERROR(vlookup('4.1'!J:J,lookup!$A$26:$B$28,2,false),0)</f>
        <v>5</v>
      </c>
      <c r="L11" s="1"/>
      <c r="M11" s="10">
        <v>10.0</v>
      </c>
      <c r="N11" s="11" t="str">
        <f t="shared" si="1"/>
        <v>bnco1010@signalschool.ac.th</v>
      </c>
      <c r="O11" s="12">
        <f t="shared" si="2"/>
        <v>0</v>
      </c>
      <c r="R11" s="6" t="s">
        <v>192</v>
      </c>
    </row>
    <row r="12">
      <c r="A12" s="8">
        <f>'4.1'!A:A</f>
        <v>46262.5578</v>
      </c>
      <c r="B12" s="1" t="str">
        <f>'4.1'!B:B</f>
        <v>bnco1068@signalschool.ac.th</v>
      </c>
      <c r="C12" s="1" t="str">
        <f>'4.1'!C:C</f>
        <v>-</v>
      </c>
      <c r="D12" s="9">
        <v>1.0</v>
      </c>
      <c r="E12" s="10">
        <f>IFERROR(vlookup('4.1'!D:D,lookup!$A$2:$B$4,2,false),0)</f>
        <v>5</v>
      </c>
      <c r="F12" s="10">
        <f>IFERROR(vlookup('4.1'!E:E,lookup!$A$6:$B$8,2,false),0)</f>
        <v>5</v>
      </c>
      <c r="G12" s="10">
        <f>IFERROR(vlookup('4.1'!F:F,lookup!$A$10:$B$12,2,false),0)</f>
        <v>5</v>
      </c>
      <c r="H12" s="10">
        <f>IFERROR(vlookup('4.1'!G:G,lookup!$A$14:$B$16,2,false),0)</f>
        <v>5</v>
      </c>
      <c r="I12" s="10">
        <f>IFERROR(vlookup('4.1'!H:H,lookup!$A$18:$B$20,2,false),0)</f>
        <v>5</v>
      </c>
      <c r="J12" s="10">
        <f>IFERROR(vlookup('4.1'!I:I,lookup!$A$22:$B$24,2,false),0)</f>
        <v>5</v>
      </c>
      <c r="K12" s="10">
        <f>IFERROR(vlookup('4.1'!J:J,lookup!$A$26:$B$28,2,false),0)</f>
        <v>5</v>
      </c>
      <c r="L12" s="1"/>
      <c r="M12" s="10">
        <v>11.0</v>
      </c>
      <c r="N12" s="11" t="str">
        <f t="shared" si="1"/>
        <v>bnco1011@signalschool.ac.th</v>
      </c>
      <c r="O12" s="12">
        <f t="shared" si="2"/>
        <v>1</v>
      </c>
      <c r="R12" s="6" t="s">
        <v>209</v>
      </c>
    </row>
    <row r="13">
      <c r="A13" s="8">
        <f>'4.1'!A:A</f>
        <v>46262.56066</v>
      </c>
      <c r="B13" s="1" t="str">
        <f>'4.1'!B:B</f>
        <v>bnco1044@signalschool.ac.th</v>
      </c>
      <c r="C13" s="1" t="str">
        <f>'4.1'!C:C</f>
        <v>ครู - อาจารย์ กศ.รร.ส.สส.</v>
      </c>
      <c r="D13" s="9">
        <v>1.0</v>
      </c>
      <c r="E13" s="10">
        <f>IFERROR(vlookup('4.1'!D:D,lookup!$A$2:$B$4,2,false),0)</f>
        <v>5</v>
      </c>
      <c r="F13" s="10">
        <f>IFERROR(vlookup('4.1'!E:E,lookup!$A$6:$B$8,2,false),0)</f>
        <v>5</v>
      </c>
      <c r="G13" s="10">
        <f>IFERROR(vlookup('4.1'!F:F,lookup!$A$10:$B$12,2,false),0)</f>
        <v>5</v>
      </c>
      <c r="H13" s="10">
        <f>IFERROR(vlookup('4.1'!G:G,lookup!$A$14:$B$16,2,false),0)</f>
        <v>5</v>
      </c>
      <c r="I13" s="10">
        <f>IFERROR(vlookup('4.1'!H:H,lookup!$A$18:$B$20,2,false),0)</f>
        <v>5</v>
      </c>
      <c r="J13" s="10">
        <f>IFERROR(vlookup('4.1'!I:I,lookup!$A$22:$B$24,2,false),0)</f>
        <v>5</v>
      </c>
      <c r="K13" s="10">
        <f>IFERROR(vlookup('4.1'!J:J,lookup!$A$26:$B$28,2,false),0)</f>
        <v>5</v>
      </c>
      <c r="L13" s="1"/>
      <c r="M13" s="10">
        <v>12.0</v>
      </c>
      <c r="N13" s="11" t="str">
        <f t="shared" si="1"/>
        <v>bnco1012@signalschool.ac.th</v>
      </c>
      <c r="O13" s="12">
        <f t="shared" si="2"/>
        <v>1</v>
      </c>
      <c r="R13" s="6" t="s">
        <v>213</v>
      </c>
    </row>
    <row r="14">
      <c r="A14" s="8">
        <f>'4.1'!A:A</f>
        <v>46262.56945</v>
      </c>
      <c r="B14" s="1" t="str">
        <f>'4.1'!B:B</f>
        <v>bnco1008@signalschool.ac.th</v>
      </c>
      <c r="C14" s="1" t="str">
        <f>'4.1'!C:C</f>
        <v>ครู - อาจารย์ กศ.รร.ส.สส.</v>
      </c>
      <c r="D14" s="9">
        <v>1.0</v>
      </c>
      <c r="E14" s="10">
        <f>IFERROR(vlookup('4.1'!D:D,lookup!$A$2:$B$4,2,false),0)</f>
        <v>5</v>
      </c>
      <c r="F14" s="10">
        <f>IFERROR(vlookup('4.1'!E:E,lookup!$A$6:$B$8,2,false),0)</f>
        <v>5</v>
      </c>
      <c r="G14" s="10">
        <f>IFERROR(vlookup('4.1'!F:F,lookup!$A$10:$B$12,2,false),0)</f>
        <v>5</v>
      </c>
      <c r="H14" s="10">
        <f>IFERROR(vlookup('4.1'!G:G,lookup!$A$14:$B$16,2,false),0)</f>
        <v>5</v>
      </c>
      <c r="I14" s="10">
        <f>IFERROR(vlookup('4.1'!H:H,lookup!$A$18:$B$20,2,false),0)</f>
        <v>5</v>
      </c>
      <c r="J14" s="10">
        <f>IFERROR(vlookup('4.1'!I:I,lookup!$A$22:$B$24,2,false),0)</f>
        <v>5</v>
      </c>
      <c r="K14" s="10">
        <f>IFERROR(vlookup('4.1'!J:J,lookup!$A$26:$B$28,2,false),0)</f>
        <v>5</v>
      </c>
      <c r="L14" s="1"/>
      <c r="M14" s="10">
        <v>13.0</v>
      </c>
      <c r="N14" s="11" t="str">
        <f t="shared" si="1"/>
        <v>bnco1013@signalschool.ac.th</v>
      </c>
      <c r="O14" s="12">
        <f t="shared" si="2"/>
        <v>1</v>
      </c>
      <c r="R14" s="6" t="s">
        <v>214</v>
      </c>
    </row>
    <row r="15">
      <c r="A15" s="8">
        <f>'4.1'!A:A</f>
        <v>46262.56966</v>
      </c>
      <c r="B15" s="1" t="str">
        <f>'4.1'!B:B</f>
        <v>bnco1066@signalschool.ac.th</v>
      </c>
      <c r="C15" s="1" t="str">
        <f>'4.1'!C:C</f>
        <v>ครู-อาจารย์ กศ.รร.ส.สส.</v>
      </c>
      <c r="D15" s="9">
        <v>1.0</v>
      </c>
      <c r="E15" s="10">
        <f>IFERROR(vlookup('4.1'!D:D,lookup!$A$2:$B$4,2,false),0)</f>
        <v>5</v>
      </c>
      <c r="F15" s="10">
        <f>IFERROR(vlookup('4.1'!E:E,lookup!$A$6:$B$8,2,false),0)</f>
        <v>5</v>
      </c>
      <c r="G15" s="10">
        <f>IFERROR(vlookup('4.1'!F:F,lookup!$A$10:$B$12,2,false),0)</f>
        <v>5</v>
      </c>
      <c r="H15" s="10">
        <f>IFERROR(vlookup('4.1'!G:G,lookup!$A$14:$B$16,2,false),0)</f>
        <v>5</v>
      </c>
      <c r="I15" s="10">
        <f>IFERROR(vlookup('4.1'!H:H,lookup!$A$18:$B$20,2,false),0)</f>
        <v>5</v>
      </c>
      <c r="J15" s="10">
        <f>IFERROR(vlookup('4.1'!I:I,lookup!$A$22:$B$24,2,false),0)</f>
        <v>5</v>
      </c>
      <c r="K15" s="10">
        <f>IFERROR(vlookup('4.1'!J:J,lookup!$A$26:$B$28,2,false),0)</f>
        <v>5</v>
      </c>
      <c r="L15" s="1"/>
      <c r="M15" s="10">
        <v>14.0</v>
      </c>
      <c r="N15" s="11" t="str">
        <f t="shared" si="1"/>
        <v>bnco1014@signalschool.ac.th</v>
      </c>
      <c r="O15" s="12">
        <f t="shared" si="2"/>
        <v>1</v>
      </c>
      <c r="R15" s="6" t="s">
        <v>215</v>
      </c>
    </row>
    <row r="16">
      <c r="A16" s="8">
        <f>'4.1'!A:A</f>
        <v>46262.59576</v>
      </c>
      <c r="B16" s="1" t="str">
        <f>'4.1'!B:B</f>
        <v>bnco1005@signalschool.ac.th</v>
      </c>
      <c r="C16" s="1" t="str">
        <f>'4.1'!C:C</f>
        <v>ครู-อาจารย์ กศ.รร.ส.สส.</v>
      </c>
      <c r="D16" s="9">
        <v>1.0</v>
      </c>
      <c r="E16" s="10">
        <f>IFERROR(vlookup('4.1'!D:D,lookup!$A$2:$B$4,2,false),0)</f>
        <v>5</v>
      </c>
      <c r="F16" s="10">
        <f>IFERROR(vlookup('4.1'!E:E,lookup!$A$6:$B$8,2,false),0)</f>
        <v>5</v>
      </c>
      <c r="G16" s="10">
        <f>IFERROR(vlookup('4.1'!F:F,lookup!$A$10:$B$12,2,false),0)</f>
        <v>5</v>
      </c>
      <c r="H16" s="10">
        <f>IFERROR(vlookup('4.1'!G:G,lookup!$A$14:$B$16,2,false),0)</f>
        <v>5</v>
      </c>
      <c r="I16" s="10">
        <f>IFERROR(vlookup('4.1'!H:H,lookup!$A$18:$B$20,2,false),0)</f>
        <v>5</v>
      </c>
      <c r="J16" s="10">
        <f>IFERROR(vlookup('4.1'!I:I,lookup!$A$22:$B$24,2,false),0)</f>
        <v>5</v>
      </c>
      <c r="K16" s="10">
        <f>IFERROR(vlookup('4.1'!J:J,lookup!$A$26:$B$28,2,false),0)</f>
        <v>5</v>
      </c>
      <c r="L16" s="1"/>
      <c r="M16" s="10">
        <v>15.0</v>
      </c>
      <c r="N16" s="11" t="str">
        <f t="shared" si="1"/>
        <v>bnco1015@signalschool.ac.th</v>
      </c>
      <c r="O16" s="12">
        <f t="shared" si="2"/>
        <v>1</v>
      </c>
      <c r="R16" s="6" t="s">
        <v>221</v>
      </c>
    </row>
    <row r="17">
      <c r="A17" s="8">
        <f>'4.1'!A:A</f>
        <v>46262.59598</v>
      </c>
      <c r="B17" s="1" t="str">
        <f>'4.1'!B:B</f>
        <v>bnco1067@signalschool.ac.th</v>
      </c>
      <c r="C17" s="1" t="str">
        <f>'4.1'!C:C</f>
        <v>ครู-อาจารย์ กศ.รร.ส.สส.</v>
      </c>
      <c r="D17" s="9">
        <v>1.0</v>
      </c>
      <c r="E17" s="10">
        <f>IFERROR(vlookup('4.1'!D:D,lookup!$A$2:$B$4,2,false),0)</f>
        <v>5</v>
      </c>
      <c r="F17" s="10">
        <f>IFERROR(vlookup('4.1'!E:E,lookup!$A$6:$B$8,2,false),0)</f>
        <v>5</v>
      </c>
      <c r="G17" s="10">
        <f>IFERROR(vlookup('4.1'!F:F,lookup!$A$10:$B$12,2,false),0)</f>
        <v>5</v>
      </c>
      <c r="H17" s="10">
        <f>IFERROR(vlookup('4.1'!G:G,lookup!$A$14:$B$16,2,false),0)</f>
        <v>5</v>
      </c>
      <c r="I17" s="10">
        <f>IFERROR(vlookup('4.1'!H:H,lookup!$A$18:$B$20,2,false),0)</f>
        <v>5</v>
      </c>
      <c r="J17" s="10">
        <f>IFERROR(vlookup('4.1'!I:I,lookup!$A$22:$B$24,2,false),0)</f>
        <v>5</v>
      </c>
      <c r="K17" s="10">
        <f>IFERROR(vlookup('4.1'!J:J,lookup!$A$26:$B$28,2,false),0)</f>
        <v>5</v>
      </c>
      <c r="L17" s="1"/>
      <c r="M17" s="10">
        <v>16.0</v>
      </c>
      <c r="N17" s="11" t="str">
        <f t="shared" si="1"/>
        <v>bnco1016@signalschool.ac.th</v>
      </c>
      <c r="O17" s="12">
        <f t="shared" si="2"/>
        <v>1</v>
      </c>
      <c r="R17" s="6" t="s">
        <v>223</v>
      </c>
    </row>
    <row r="18">
      <c r="A18" s="8">
        <f>'4.1'!A:A</f>
        <v>46262.62118</v>
      </c>
      <c r="B18" s="1" t="str">
        <f>'4.1'!B:B</f>
        <v>bnco1080@signalschool.ac.th</v>
      </c>
      <c r="C18" s="1" t="str">
        <f>'4.1'!C:C</f>
        <v>ครู-อาจารย์ กศ.รร.ส.สส.</v>
      </c>
      <c r="D18" s="9">
        <v>1.0</v>
      </c>
      <c r="E18" s="10">
        <f>IFERROR(vlookup('4.1'!D:D,lookup!$A$2:$B$4,2,false),0)</f>
        <v>5</v>
      </c>
      <c r="F18" s="10">
        <f>IFERROR(vlookup('4.1'!E:E,lookup!$A$6:$B$8,2,false),0)</f>
        <v>5</v>
      </c>
      <c r="G18" s="10">
        <f>IFERROR(vlookup('4.1'!F:F,lookup!$A$10:$B$12,2,false),0)</f>
        <v>5</v>
      </c>
      <c r="H18" s="10">
        <f>IFERROR(vlookup('4.1'!G:G,lookup!$A$14:$B$16,2,false),0)</f>
        <v>5</v>
      </c>
      <c r="I18" s="10">
        <f>IFERROR(vlookup('4.1'!H:H,lookup!$A$18:$B$20,2,false),0)</f>
        <v>5</v>
      </c>
      <c r="J18" s="10">
        <f>IFERROR(vlookup('4.1'!I:I,lookup!$A$22:$B$24,2,false),0)</f>
        <v>5</v>
      </c>
      <c r="K18" s="10">
        <f>IFERROR(vlookup('4.1'!J:J,lookup!$A$26:$B$28,2,false),0)</f>
        <v>5</v>
      </c>
      <c r="L18" s="1"/>
      <c r="M18" s="10">
        <v>17.0</v>
      </c>
      <c r="N18" s="11" t="str">
        <f t="shared" si="1"/>
        <v>bnco1017@signalschool.ac.th</v>
      </c>
      <c r="O18" s="12">
        <f t="shared" si="2"/>
        <v>1</v>
      </c>
      <c r="R18" s="6" t="s">
        <v>229</v>
      </c>
    </row>
    <row r="19">
      <c r="A19" s="8">
        <f>'4.1'!A:A</f>
        <v>46262.64829</v>
      </c>
      <c r="B19" s="1" t="str">
        <f>'4.1'!B:B</f>
        <v>bnco1027@signalschool.ac.th</v>
      </c>
      <c r="C19" s="1" t="str">
        <f>'4.1'!C:C</f>
        <v>ครู-อาจารย์ กศ.รร.ส.สส.</v>
      </c>
      <c r="D19" s="9">
        <v>1.0</v>
      </c>
      <c r="E19" s="10">
        <f>IFERROR(vlookup('4.1'!D:D,lookup!$A$2:$B$4,2,false),0)</f>
        <v>5</v>
      </c>
      <c r="F19" s="10">
        <f>IFERROR(vlookup('4.1'!E:E,lookup!$A$6:$B$8,2,false),0)</f>
        <v>5</v>
      </c>
      <c r="G19" s="10">
        <f>IFERROR(vlookup('4.1'!F:F,lookup!$A$10:$B$12,2,false),0)</f>
        <v>5</v>
      </c>
      <c r="H19" s="10">
        <f>IFERROR(vlookup('4.1'!G:G,lookup!$A$14:$B$16,2,false),0)</f>
        <v>5</v>
      </c>
      <c r="I19" s="10">
        <f>IFERROR(vlookup('4.1'!H:H,lookup!$A$18:$B$20,2,false),0)</f>
        <v>5</v>
      </c>
      <c r="J19" s="10">
        <f>IFERROR(vlookup('4.1'!I:I,lookup!$A$22:$B$24,2,false),0)</f>
        <v>5</v>
      </c>
      <c r="K19" s="10">
        <f>IFERROR(vlookup('4.1'!J:J,lookup!$A$26:$B$28,2,false),0)</f>
        <v>5</v>
      </c>
      <c r="L19" s="1"/>
      <c r="M19" s="10">
        <v>18.0</v>
      </c>
      <c r="N19" s="11" t="str">
        <f t="shared" si="1"/>
        <v>bnco1018@signalschool.ac.th</v>
      </c>
      <c r="O19" s="12">
        <f t="shared" si="2"/>
        <v>1</v>
      </c>
      <c r="R19" s="6" t="s">
        <v>232</v>
      </c>
    </row>
    <row r="20">
      <c r="A20" s="8">
        <f>'4.1'!A:A</f>
        <v>46262.6504</v>
      </c>
      <c r="B20" s="1" t="str">
        <f>'4.1'!B:B</f>
        <v>bnco1021@signalschool.ac.th</v>
      </c>
      <c r="C20" s="1" t="str">
        <f>'4.1'!C:C</f>
        <v>ครู-อาจารย์ กศ.รร.ส.สส.</v>
      </c>
      <c r="D20" s="9">
        <v>1.0</v>
      </c>
      <c r="E20" s="10">
        <f>IFERROR(vlookup('4.1'!D:D,lookup!$A$2:$B$4,2,false),0)</f>
        <v>5</v>
      </c>
      <c r="F20" s="10">
        <f>IFERROR(vlookup('4.1'!E:E,lookup!$A$6:$B$8,2,false),0)</f>
        <v>5</v>
      </c>
      <c r="G20" s="10">
        <f>IFERROR(vlookup('4.1'!F:F,lookup!$A$10:$B$12,2,false),0)</f>
        <v>5</v>
      </c>
      <c r="H20" s="10">
        <f>IFERROR(vlookup('4.1'!G:G,lookup!$A$14:$B$16,2,false),0)</f>
        <v>5</v>
      </c>
      <c r="I20" s="10">
        <f>IFERROR(vlookup('4.1'!H:H,lookup!$A$18:$B$20,2,false),0)</f>
        <v>5</v>
      </c>
      <c r="J20" s="10">
        <f>IFERROR(vlookup('4.1'!I:I,lookup!$A$22:$B$24,2,false),0)</f>
        <v>5</v>
      </c>
      <c r="K20" s="10">
        <f>IFERROR(vlookup('4.1'!J:J,lookup!$A$26:$B$28,2,false),0)</f>
        <v>5</v>
      </c>
      <c r="L20" s="1"/>
      <c r="M20" s="10">
        <v>19.0</v>
      </c>
      <c r="N20" s="11" t="str">
        <f t="shared" si="1"/>
        <v>bnco1019@signalschool.ac.th</v>
      </c>
      <c r="O20" s="12">
        <f t="shared" si="2"/>
        <v>1</v>
      </c>
      <c r="R20" s="6" t="s">
        <v>233</v>
      </c>
    </row>
    <row r="21">
      <c r="A21" s="8">
        <f>'4.1'!A:A</f>
        <v>46262.79963</v>
      </c>
      <c r="B21" s="1" t="str">
        <f>'4.1'!B:B</f>
        <v>bnco1014@signalschool.ac.th</v>
      </c>
      <c r="C21" s="1" t="str">
        <f>'4.1'!C:C</f>
        <v>กศ.รร.ส.สส.</v>
      </c>
      <c r="D21" s="9">
        <v>1.0</v>
      </c>
      <c r="E21" s="10">
        <f>IFERROR(vlookup('4.1'!D:D,lookup!$A$2:$B$4,2,false),0)</f>
        <v>5</v>
      </c>
      <c r="F21" s="10">
        <f>IFERROR(vlookup('4.1'!E:E,lookup!$A$6:$B$8,2,false),0)</f>
        <v>5</v>
      </c>
      <c r="G21" s="10">
        <f>IFERROR(vlookup('4.1'!F:F,lookup!$A$10:$B$12,2,false),0)</f>
        <v>5</v>
      </c>
      <c r="H21" s="10">
        <f>IFERROR(vlookup('4.1'!G:G,lookup!$A$14:$B$16,2,false),0)</f>
        <v>5</v>
      </c>
      <c r="I21" s="10">
        <f>IFERROR(vlookup('4.1'!H:H,lookup!$A$18:$B$20,2,false),0)</f>
        <v>5</v>
      </c>
      <c r="J21" s="10">
        <f>IFERROR(vlookup('4.1'!I:I,lookup!$A$22:$B$24,2,false),0)</f>
        <v>5</v>
      </c>
      <c r="K21" s="10">
        <f>IFERROR(vlookup('4.1'!J:J,lookup!$A$26:$B$28,2,false),0)</f>
        <v>5</v>
      </c>
      <c r="L21" s="1"/>
      <c r="M21" s="10">
        <v>20.0</v>
      </c>
      <c r="N21" s="11" t="str">
        <f t="shared" si="1"/>
        <v>bnco1020@signalschool.ac.th</v>
      </c>
      <c r="O21" s="12">
        <f t="shared" si="2"/>
        <v>0</v>
      </c>
      <c r="R21" s="6" t="s">
        <v>234</v>
      </c>
    </row>
    <row r="22">
      <c r="A22" s="8">
        <f>'4.1'!A:A</f>
        <v>46263.60944</v>
      </c>
      <c r="B22" s="1" t="str">
        <f>'4.1'!B:B</f>
        <v>bnco1054@signalschool.ac.th</v>
      </c>
      <c r="C22" s="1" t="str">
        <f>'4.1'!C:C</f>
        <v>ครู - อาจารย์ กศ.รร.ส.สส.</v>
      </c>
      <c r="D22" s="9">
        <v>1.0</v>
      </c>
      <c r="E22" s="10">
        <f>IFERROR(vlookup('4.1'!D:D,lookup!$A$2:$B$4,2,false),0)</f>
        <v>5</v>
      </c>
      <c r="F22" s="10">
        <f>IFERROR(vlookup('4.1'!E:E,lookup!$A$6:$B$8,2,false),0)</f>
        <v>5</v>
      </c>
      <c r="G22" s="10">
        <f>IFERROR(vlookup('4.1'!F:F,lookup!$A$10:$B$12,2,false),0)</f>
        <v>5</v>
      </c>
      <c r="H22" s="10">
        <f>IFERROR(vlookup('4.1'!G:G,lookup!$A$14:$B$16,2,false),0)</f>
        <v>5</v>
      </c>
      <c r="I22" s="10">
        <f>IFERROR(vlookup('4.1'!H:H,lookup!$A$18:$B$20,2,false),0)</f>
        <v>5</v>
      </c>
      <c r="J22" s="10">
        <f>IFERROR(vlookup('4.1'!I:I,lookup!$A$22:$B$24,2,false),0)</f>
        <v>5</v>
      </c>
      <c r="K22" s="10">
        <f>IFERROR(vlookup('4.1'!J:J,lookup!$A$26:$B$28,2,false),0)</f>
        <v>5</v>
      </c>
      <c r="L22" s="1"/>
      <c r="M22" s="10">
        <v>21.0</v>
      </c>
      <c r="N22" s="11" t="str">
        <f t="shared" si="1"/>
        <v>bnco1021@signalschool.ac.th</v>
      </c>
      <c r="O22" s="12">
        <f t="shared" si="2"/>
        <v>1</v>
      </c>
      <c r="R22" s="6" t="s">
        <v>235</v>
      </c>
    </row>
    <row r="23">
      <c r="A23" s="8">
        <f>'4.1'!A:A</f>
        <v>46263.7199</v>
      </c>
      <c r="B23" s="1" t="str">
        <f>'4.1'!B:B</f>
        <v>bnco1023@signalschool.ac.th</v>
      </c>
      <c r="C23" s="1" t="str">
        <f>'4.1'!C:C</f>
        <v>ครู-อาจารย์ กศ.รร.ส.สส.</v>
      </c>
      <c r="D23" s="9">
        <v>1.0</v>
      </c>
      <c r="E23" s="10">
        <f>IFERROR(vlookup('4.1'!D:D,lookup!$A$2:$B$4,2,false),0)</f>
        <v>5</v>
      </c>
      <c r="F23" s="10">
        <f>IFERROR(vlookup('4.1'!E:E,lookup!$A$6:$B$8,2,false),0)</f>
        <v>5</v>
      </c>
      <c r="G23" s="10">
        <f>IFERROR(vlookup('4.1'!F:F,lookup!$A$10:$B$12,2,false),0)</f>
        <v>5</v>
      </c>
      <c r="H23" s="10">
        <f>IFERROR(vlookup('4.1'!G:G,lookup!$A$14:$B$16,2,false),0)</f>
        <v>5</v>
      </c>
      <c r="I23" s="10">
        <f>IFERROR(vlookup('4.1'!H:H,lookup!$A$18:$B$20,2,false),0)</f>
        <v>5</v>
      </c>
      <c r="J23" s="10">
        <f>IFERROR(vlookup('4.1'!I:I,lookup!$A$22:$B$24,2,false),0)</f>
        <v>5</v>
      </c>
      <c r="K23" s="10">
        <f>IFERROR(vlookup('4.1'!J:J,lookup!$A$26:$B$28,2,false),0)</f>
        <v>5</v>
      </c>
      <c r="L23" s="1"/>
      <c r="M23" s="10">
        <v>22.0</v>
      </c>
      <c r="N23" s="11" t="str">
        <f t="shared" si="1"/>
        <v>bnco1022@signalschool.ac.th</v>
      </c>
      <c r="O23" s="12">
        <f t="shared" si="2"/>
        <v>0</v>
      </c>
      <c r="R23" s="6" t="s">
        <v>236</v>
      </c>
    </row>
    <row r="24">
      <c r="A24" s="8">
        <f>'4.1'!A:A</f>
        <v>46264.40035</v>
      </c>
      <c r="B24" s="1" t="str">
        <f>'4.1'!B:B</f>
        <v>bnco1071@signalschool.ac.th</v>
      </c>
      <c r="C24" s="1" t="str">
        <f>'4.1'!C:C</f>
        <v>ครูอาจารย์ รร.ส.สส</v>
      </c>
      <c r="D24" s="9">
        <v>1.0</v>
      </c>
      <c r="E24" s="10">
        <f>IFERROR(vlookup('4.1'!D:D,lookup!$A$2:$B$4,2,false),0)</f>
        <v>5</v>
      </c>
      <c r="F24" s="10">
        <f>IFERROR(vlookup('4.1'!E:E,lookup!$A$6:$B$8,2,false),0)</f>
        <v>5</v>
      </c>
      <c r="G24" s="10">
        <f>IFERROR(vlookup('4.1'!F:F,lookup!$A$10:$B$12,2,false),0)</f>
        <v>5</v>
      </c>
      <c r="H24" s="10">
        <f>IFERROR(vlookup('4.1'!G:G,lookup!$A$14:$B$16,2,false),0)</f>
        <v>5</v>
      </c>
      <c r="I24" s="10">
        <f>IFERROR(vlookup('4.1'!H:H,lookup!$A$18:$B$20,2,false),0)</f>
        <v>5</v>
      </c>
      <c r="J24" s="10">
        <f>IFERROR(vlookup('4.1'!I:I,lookup!$A$22:$B$24,2,false),0)</f>
        <v>5</v>
      </c>
      <c r="K24" s="10">
        <f>IFERROR(vlookup('4.1'!J:J,lookup!$A$26:$B$28,2,false),0)</f>
        <v>5</v>
      </c>
      <c r="L24" s="1"/>
      <c r="M24" s="10">
        <v>23.0</v>
      </c>
      <c r="N24" s="11" t="str">
        <f t="shared" si="1"/>
        <v>bnco1023@signalschool.ac.th</v>
      </c>
      <c r="O24" s="12">
        <f t="shared" si="2"/>
        <v>1</v>
      </c>
      <c r="R24" s="6" t="s">
        <v>237</v>
      </c>
    </row>
    <row r="25">
      <c r="A25" s="8">
        <f>'4.1'!A:A</f>
        <v>46264.53852</v>
      </c>
      <c r="B25" s="1" t="str">
        <f>'4.1'!B:B</f>
        <v>bnco1015@signalschool.ac.th</v>
      </c>
      <c r="C25" s="1" t="str">
        <f>'4.1'!C:C</f>
        <v>ครู อาจารย์ กศ.รร.ส.สส.</v>
      </c>
      <c r="D25" s="9">
        <v>1.0</v>
      </c>
      <c r="E25" s="10">
        <f>IFERROR(vlookup('4.1'!D:D,lookup!$A$2:$B$4,2,false),0)</f>
        <v>5</v>
      </c>
      <c r="F25" s="10">
        <f>IFERROR(vlookup('4.1'!E:E,lookup!$A$6:$B$8,2,false),0)</f>
        <v>5</v>
      </c>
      <c r="G25" s="10">
        <f>IFERROR(vlookup('4.1'!F:F,lookup!$A$10:$B$12,2,false),0)</f>
        <v>5</v>
      </c>
      <c r="H25" s="10">
        <f>IFERROR(vlookup('4.1'!G:G,lookup!$A$14:$B$16,2,false),0)</f>
        <v>5</v>
      </c>
      <c r="I25" s="10">
        <f>IFERROR(vlookup('4.1'!H:H,lookup!$A$18:$B$20,2,false),0)</f>
        <v>5</v>
      </c>
      <c r="J25" s="10">
        <f>IFERROR(vlookup('4.1'!I:I,lookup!$A$22:$B$24,2,false),0)</f>
        <v>5</v>
      </c>
      <c r="K25" s="10">
        <f>IFERROR(vlookup('4.1'!J:J,lookup!$A$26:$B$28,2,false),0)</f>
        <v>5</v>
      </c>
      <c r="L25" s="1"/>
      <c r="M25" s="10">
        <v>24.0</v>
      </c>
      <c r="N25" s="11" t="str">
        <f t="shared" si="1"/>
        <v>bnco1024@signalschool.ac.th</v>
      </c>
      <c r="O25" s="12">
        <f t="shared" si="2"/>
        <v>1</v>
      </c>
      <c r="R25" s="6" t="s">
        <v>238</v>
      </c>
    </row>
    <row r="26">
      <c r="A26" s="8">
        <f>'4.1'!A:A</f>
        <v>46264.65671</v>
      </c>
      <c r="B26" s="1" t="str">
        <f>'4.1'!B:B</f>
        <v>bnco1002@signalschool.ac.th</v>
      </c>
      <c r="C26" s="1" t="str">
        <f>'4.1'!C:C</f>
        <v>ครู - อาจาร์ กศ.รร.ส.สส.</v>
      </c>
      <c r="D26" s="9">
        <v>1.0</v>
      </c>
      <c r="E26" s="10">
        <f>IFERROR(vlookup('4.1'!D:D,lookup!$A$2:$B$4,2,false),0)</f>
        <v>5</v>
      </c>
      <c r="F26" s="10">
        <f>IFERROR(vlookup('4.1'!E:E,lookup!$A$6:$B$8,2,false),0)</f>
        <v>5</v>
      </c>
      <c r="G26" s="10">
        <f>IFERROR(vlookup('4.1'!F:F,lookup!$A$10:$B$12,2,false),0)</f>
        <v>5</v>
      </c>
      <c r="H26" s="10">
        <f>IFERROR(vlookup('4.1'!G:G,lookup!$A$14:$B$16,2,false),0)</f>
        <v>5</v>
      </c>
      <c r="I26" s="10">
        <f>IFERROR(vlookup('4.1'!H:H,lookup!$A$18:$B$20,2,false),0)</f>
        <v>5</v>
      </c>
      <c r="J26" s="10">
        <f>IFERROR(vlookup('4.1'!I:I,lookup!$A$22:$B$24,2,false),0)</f>
        <v>5</v>
      </c>
      <c r="K26" s="10">
        <f>IFERROR(vlookup('4.1'!J:J,lookup!$A$26:$B$28,2,false),0)</f>
        <v>5</v>
      </c>
      <c r="L26" s="1"/>
      <c r="M26" s="10">
        <v>25.0</v>
      </c>
      <c r="N26" s="11" t="str">
        <f t="shared" si="1"/>
        <v>bnco1025@signalschool.ac.th</v>
      </c>
      <c r="O26" s="12">
        <f t="shared" si="2"/>
        <v>0</v>
      </c>
      <c r="R26" s="6" t="s">
        <v>239</v>
      </c>
    </row>
    <row r="27">
      <c r="A27" s="8">
        <f>'4.1'!A:A</f>
        <v>46264.88225</v>
      </c>
      <c r="B27" s="1" t="str">
        <f>'4.1'!B:B</f>
        <v>edu.rad@signalschool.ac.th</v>
      </c>
      <c r="C27" s="1" t="str">
        <f>'4.1'!C:C</f>
        <v>ครูอาจารย์ รร.ส.สส.</v>
      </c>
      <c r="D27" s="9">
        <v>1.0</v>
      </c>
      <c r="E27" s="10">
        <f>IFERROR(vlookup('4.1'!D:D,lookup!$A$2:$B$4,2,false),0)</f>
        <v>5</v>
      </c>
      <c r="F27" s="10">
        <f>IFERROR(vlookup('4.1'!E:E,lookup!$A$6:$B$8,2,false),0)</f>
        <v>5</v>
      </c>
      <c r="G27" s="10">
        <f>IFERROR(vlookup('4.1'!F:F,lookup!$A$10:$B$12,2,false),0)</f>
        <v>5</v>
      </c>
      <c r="H27" s="10">
        <f>IFERROR(vlookup('4.1'!G:G,lookup!$A$14:$B$16,2,false),0)</f>
        <v>5</v>
      </c>
      <c r="I27" s="10">
        <f>IFERROR(vlookup('4.1'!H:H,lookup!$A$18:$B$20,2,false),0)</f>
        <v>5</v>
      </c>
      <c r="J27" s="10">
        <f>IFERROR(vlookup('4.1'!I:I,lookup!$A$22:$B$24,2,false),0)</f>
        <v>5</v>
      </c>
      <c r="K27" s="10">
        <f>IFERROR(vlookup('4.1'!J:J,lookup!$A$26:$B$28,2,false),0)</f>
        <v>5</v>
      </c>
      <c r="L27" s="1"/>
      <c r="M27" s="10">
        <v>26.0</v>
      </c>
      <c r="N27" s="11" t="str">
        <f t="shared" si="1"/>
        <v>bnco1026@signalschool.ac.th</v>
      </c>
      <c r="O27" s="12">
        <f t="shared" si="2"/>
        <v>1</v>
      </c>
      <c r="R27" s="6" t="s">
        <v>240</v>
      </c>
    </row>
    <row r="28">
      <c r="A28" s="8">
        <f>'4.1'!A:A</f>
        <v>46265.67414</v>
      </c>
      <c r="B28" s="1" t="str">
        <f>'4.1'!B:B</f>
        <v>bnco1036@signalschool.ac.th</v>
      </c>
      <c r="C28" s="1" t="str">
        <f>'4.1'!C:C</f>
        <v>ครู-อาจารย์ กศ.รร.ส.สส.</v>
      </c>
      <c r="D28" s="9">
        <v>1.0</v>
      </c>
      <c r="E28" s="10">
        <f>IFERROR(vlookup('4.1'!D:D,lookup!$A$2:$B$4,2,false),0)</f>
        <v>5</v>
      </c>
      <c r="F28" s="10">
        <f>IFERROR(vlookup('4.1'!E:E,lookup!$A$6:$B$8,2,false),0)</f>
        <v>5</v>
      </c>
      <c r="G28" s="10">
        <f>IFERROR(vlookup('4.1'!F:F,lookup!$A$10:$B$12,2,false),0)</f>
        <v>5</v>
      </c>
      <c r="H28" s="10">
        <f>IFERROR(vlookup('4.1'!G:G,lookup!$A$14:$B$16,2,false),0)</f>
        <v>5</v>
      </c>
      <c r="I28" s="10">
        <f>IFERROR(vlookup('4.1'!H:H,lookup!$A$18:$B$20,2,false),0)</f>
        <v>5</v>
      </c>
      <c r="J28" s="10">
        <f>IFERROR(vlookup('4.1'!I:I,lookup!$A$22:$B$24,2,false),0)</f>
        <v>5</v>
      </c>
      <c r="K28" s="10">
        <f>IFERROR(vlookup('4.1'!J:J,lookup!$A$26:$B$28,2,false),0)</f>
        <v>5</v>
      </c>
      <c r="L28" s="1"/>
      <c r="M28" s="10">
        <v>27.0</v>
      </c>
      <c r="N28" s="11" t="str">
        <f t="shared" si="1"/>
        <v>bnco1027@signalschool.ac.th</v>
      </c>
      <c r="O28" s="12">
        <f t="shared" si="2"/>
        <v>1</v>
      </c>
      <c r="R28" s="6" t="s">
        <v>241</v>
      </c>
    </row>
    <row r="29">
      <c r="A29" s="8">
        <f>'4.1'!A:A</f>
        <v>46265.67422</v>
      </c>
      <c r="B29" s="1" t="str">
        <f>'4.1'!B:B</f>
        <v>bnco1051@signalschool.ac.th</v>
      </c>
      <c r="C29" s="1" t="str">
        <f>'4.1'!C:C</f>
        <v>จ.ส.อ.ประกาศิต แซ่เจียม</v>
      </c>
      <c r="D29" s="9">
        <v>1.0</v>
      </c>
      <c r="E29" s="10">
        <f>IFERROR(vlookup('4.1'!D:D,lookup!$A$2:$B$4,2,false),0)</f>
        <v>5</v>
      </c>
      <c r="F29" s="10">
        <f>IFERROR(vlookup('4.1'!E:E,lookup!$A$6:$B$8,2,false),0)</f>
        <v>5</v>
      </c>
      <c r="G29" s="10">
        <f>IFERROR(vlookup('4.1'!F:F,lookup!$A$10:$B$12,2,false),0)</f>
        <v>5</v>
      </c>
      <c r="H29" s="10">
        <f>IFERROR(vlookup('4.1'!G:G,lookup!$A$14:$B$16,2,false),0)</f>
        <v>5</v>
      </c>
      <c r="I29" s="10">
        <f>IFERROR(vlookup('4.1'!H:H,lookup!$A$18:$B$20,2,false),0)</f>
        <v>5</v>
      </c>
      <c r="J29" s="10">
        <f>IFERROR(vlookup('4.1'!I:I,lookup!$A$22:$B$24,2,false),0)</f>
        <v>5</v>
      </c>
      <c r="K29" s="10">
        <f>IFERROR(vlookup('4.1'!J:J,lookup!$A$26:$B$28,2,false),0)</f>
        <v>5</v>
      </c>
      <c r="L29" s="1"/>
      <c r="M29" s="10">
        <v>28.0</v>
      </c>
      <c r="N29" s="11" t="str">
        <f t="shared" si="1"/>
        <v>bnco1028@signalschool.ac.th</v>
      </c>
      <c r="O29" s="12">
        <f t="shared" si="2"/>
        <v>0</v>
      </c>
      <c r="R29" s="6" t="s">
        <v>242</v>
      </c>
    </row>
    <row r="30">
      <c r="A30" s="8">
        <f>'4.1'!A:A</f>
        <v>46265.6744</v>
      </c>
      <c r="B30" s="1" t="str">
        <f>'4.1'!B:B</f>
        <v>bnco1050@signalschool.ac.th</v>
      </c>
      <c r="C30" s="1" t="str">
        <f>'4.1'!C:C</f>
        <v>จ.ส.อ.ประกาศิต แซ่เจียม</v>
      </c>
      <c r="D30" s="9">
        <v>1.0</v>
      </c>
      <c r="E30" s="10">
        <f>IFERROR(vlookup('4.1'!D:D,lookup!$A$2:$B$4,2,false),0)</f>
        <v>5</v>
      </c>
      <c r="F30" s="10">
        <f>IFERROR(vlookup('4.1'!E:E,lookup!$A$6:$B$8,2,false),0)</f>
        <v>5</v>
      </c>
      <c r="G30" s="10">
        <f>IFERROR(vlookup('4.1'!F:F,lookup!$A$10:$B$12,2,false),0)</f>
        <v>5</v>
      </c>
      <c r="H30" s="10">
        <f>IFERROR(vlookup('4.1'!G:G,lookup!$A$14:$B$16,2,false),0)</f>
        <v>5</v>
      </c>
      <c r="I30" s="10">
        <f>IFERROR(vlookup('4.1'!H:H,lookup!$A$18:$B$20,2,false),0)</f>
        <v>5</v>
      </c>
      <c r="J30" s="10">
        <f>IFERROR(vlookup('4.1'!I:I,lookup!$A$22:$B$24,2,false),0)</f>
        <v>5</v>
      </c>
      <c r="K30" s="10">
        <f>IFERROR(vlookup('4.1'!J:J,lookup!$A$26:$B$28,2,false),0)</f>
        <v>5</v>
      </c>
      <c r="L30" s="1"/>
      <c r="M30" s="10">
        <v>29.0</v>
      </c>
      <c r="N30" s="11" t="str">
        <f t="shared" si="1"/>
        <v>bnco1029@signalschool.ac.th</v>
      </c>
      <c r="O30" s="12">
        <f t="shared" si="2"/>
        <v>0</v>
      </c>
      <c r="R30" s="6" t="s">
        <v>243</v>
      </c>
    </row>
    <row r="31">
      <c r="A31" s="8">
        <f>'4.1'!A:A</f>
        <v>46265.67526</v>
      </c>
      <c r="B31" s="1" t="str">
        <f>'4.1'!B:B</f>
        <v>bnco1061@signalschool.ac.th</v>
      </c>
      <c r="C31" s="1" t="str">
        <f>'4.1'!C:C</f>
        <v>ครูอาจารย์</v>
      </c>
      <c r="D31" s="9">
        <v>1.0</v>
      </c>
      <c r="E31" s="10">
        <f>IFERROR(vlookup('4.1'!D:D,lookup!$A$2:$B$4,2,false),0)</f>
        <v>5</v>
      </c>
      <c r="F31" s="10">
        <f>IFERROR(vlookup('4.1'!E:E,lookup!$A$6:$B$8,2,false),0)</f>
        <v>5</v>
      </c>
      <c r="G31" s="10">
        <f>IFERROR(vlookup('4.1'!F:F,lookup!$A$10:$B$12,2,false),0)</f>
        <v>5</v>
      </c>
      <c r="H31" s="10">
        <f>IFERROR(vlookup('4.1'!G:G,lookup!$A$14:$B$16,2,false),0)</f>
        <v>5</v>
      </c>
      <c r="I31" s="10">
        <f>IFERROR(vlookup('4.1'!H:H,lookup!$A$18:$B$20,2,false),0)</f>
        <v>5</v>
      </c>
      <c r="J31" s="10">
        <f>IFERROR(vlookup('4.1'!I:I,lookup!$A$22:$B$24,2,false),0)</f>
        <v>5</v>
      </c>
      <c r="K31" s="10">
        <f>IFERROR(vlookup('4.1'!J:J,lookup!$A$26:$B$28,2,false),0)</f>
        <v>5</v>
      </c>
      <c r="L31" s="1"/>
      <c r="M31" s="10">
        <v>30.0</v>
      </c>
      <c r="N31" s="11" t="str">
        <f t="shared" si="1"/>
        <v>bnco1030@signalschool.ac.th</v>
      </c>
      <c r="O31" s="12">
        <f t="shared" si="2"/>
        <v>0</v>
      </c>
      <c r="R31" s="6" t="s">
        <v>244</v>
      </c>
    </row>
    <row r="32">
      <c r="A32" s="8">
        <f>'4.1'!A:A</f>
        <v>46265.6832</v>
      </c>
      <c r="B32" s="1" t="str">
        <f>'4.1'!B:B</f>
        <v>bnco1046@signalschool.ac.th</v>
      </c>
      <c r="C32" s="1" t="str">
        <f>'4.1'!C:C</f>
        <v>ครู - อาจารย์</v>
      </c>
      <c r="D32" s="9">
        <v>1.0</v>
      </c>
      <c r="E32" s="10">
        <f>IFERROR(vlookup('4.1'!D:D,lookup!$A$2:$B$4,2,false),0)</f>
        <v>5</v>
      </c>
      <c r="F32" s="10">
        <f>IFERROR(vlookup('4.1'!E:E,lookup!$A$6:$B$8,2,false),0)</f>
        <v>5</v>
      </c>
      <c r="G32" s="10">
        <f>IFERROR(vlookup('4.1'!F:F,lookup!$A$10:$B$12,2,false),0)</f>
        <v>5</v>
      </c>
      <c r="H32" s="10">
        <f>IFERROR(vlookup('4.1'!G:G,lookup!$A$14:$B$16,2,false),0)</f>
        <v>5</v>
      </c>
      <c r="I32" s="10">
        <f>IFERROR(vlookup('4.1'!H:H,lookup!$A$18:$B$20,2,false),0)</f>
        <v>5</v>
      </c>
      <c r="J32" s="10">
        <f>IFERROR(vlookup('4.1'!I:I,lookup!$A$22:$B$24,2,false),0)</f>
        <v>5</v>
      </c>
      <c r="K32" s="10">
        <f>IFERROR(vlookup('4.1'!J:J,lookup!$A$26:$B$28,2,false),0)</f>
        <v>5</v>
      </c>
      <c r="L32" s="1"/>
      <c r="M32" s="10">
        <v>31.0</v>
      </c>
      <c r="N32" s="11" t="str">
        <f t="shared" si="1"/>
        <v>bnco1031@signalschool.ac.th</v>
      </c>
      <c r="O32" s="12">
        <f t="shared" si="2"/>
        <v>1</v>
      </c>
      <c r="R32" s="6" t="s">
        <v>245</v>
      </c>
    </row>
    <row r="33">
      <c r="A33" s="8">
        <f>'4.1'!A:A</f>
        <v>46265.73181</v>
      </c>
      <c r="B33" s="1" t="str">
        <f>'4.1'!B:B</f>
        <v>bnco1064@signalschool.ac.th</v>
      </c>
      <c r="C33" s="1" t="str">
        <f>'4.1'!C:C</f>
        <v>คณะอาจารย์</v>
      </c>
      <c r="D33" s="9">
        <v>1.0</v>
      </c>
      <c r="E33" s="10">
        <f>IFERROR(vlookup('4.1'!D:D,lookup!$A$2:$B$4,2,false),0)</f>
        <v>5</v>
      </c>
      <c r="F33" s="10">
        <f>IFERROR(vlookup('4.1'!E:E,lookup!$A$6:$B$8,2,false),0)</f>
        <v>5</v>
      </c>
      <c r="G33" s="10">
        <f>IFERROR(vlookup('4.1'!F:F,lookup!$A$10:$B$12,2,false),0)</f>
        <v>5</v>
      </c>
      <c r="H33" s="10">
        <f>IFERROR(vlookup('4.1'!G:G,lookup!$A$14:$B$16,2,false),0)</f>
        <v>5</v>
      </c>
      <c r="I33" s="10">
        <f>IFERROR(vlookup('4.1'!H:H,lookup!$A$18:$B$20,2,false),0)</f>
        <v>5</v>
      </c>
      <c r="J33" s="10">
        <f>IFERROR(vlookup('4.1'!I:I,lookup!$A$22:$B$24,2,false),0)</f>
        <v>5</v>
      </c>
      <c r="K33" s="10">
        <f>IFERROR(vlookup('4.1'!J:J,lookup!$A$26:$B$28,2,false),0)</f>
        <v>5</v>
      </c>
      <c r="L33" s="1"/>
      <c r="M33" s="10">
        <v>32.0</v>
      </c>
      <c r="N33" s="11" t="str">
        <f t="shared" si="1"/>
        <v>bnco1032@signalschool.ac.th</v>
      </c>
      <c r="O33" s="12">
        <f t="shared" si="2"/>
        <v>1</v>
      </c>
      <c r="R33" s="6" t="s">
        <v>246</v>
      </c>
    </row>
    <row r="34">
      <c r="A34" s="8">
        <f>'4.1'!A:A</f>
        <v>46265.73349</v>
      </c>
      <c r="B34" s="1" t="str">
        <f>'4.1'!B:B</f>
        <v>bnco1042@signalschool.ac.th</v>
      </c>
      <c r="C34" s="1" t="str">
        <f>'4.1'!C:C</f>
        <v>ครู- อาจารย์ กศ.รร.ส.สส.</v>
      </c>
      <c r="D34" s="9">
        <v>1.0</v>
      </c>
      <c r="E34" s="10">
        <f>IFERROR(vlookup('4.1'!D:D,lookup!$A$2:$B$4,2,false),0)</f>
        <v>5</v>
      </c>
      <c r="F34" s="10">
        <f>IFERROR(vlookup('4.1'!E:E,lookup!$A$6:$B$8,2,false),0)</f>
        <v>5</v>
      </c>
      <c r="G34" s="10">
        <f>IFERROR(vlookup('4.1'!F:F,lookup!$A$10:$B$12,2,false),0)</f>
        <v>5</v>
      </c>
      <c r="H34" s="10">
        <f>IFERROR(vlookup('4.1'!G:G,lookup!$A$14:$B$16,2,false),0)</f>
        <v>5</v>
      </c>
      <c r="I34" s="10">
        <f>IFERROR(vlookup('4.1'!H:H,lookup!$A$18:$B$20,2,false),0)</f>
        <v>5</v>
      </c>
      <c r="J34" s="10">
        <f>IFERROR(vlookup('4.1'!I:I,lookup!$A$22:$B$24,2,false),0)</f>
        <v>5</v>
      </c>
      <c r="K34" s="10">
        <f>IFERROR(vlookup('4.1'!J:J,lookup!$A$26:$B$28,2,false),0)</f>
        <v>5</v>
      </c>
      <c r="L34" s="1"/>
      <c r="M34" s="10">
        <v>33.0</v>
      </c>
      <c r="N34" s="11" t="str">
        <f t="shared" si="1"/>
        <v>bnco1033@signalschool.ac.th</v>
      </c>
      <c r="O34" s="12">
        <f t="shared" si="2"/>
        <v>0</v>
      </c>
      <c r="R34" s="6" t="s">
        <v>247</v>
      </c>
    </row>
    <row r="35">
      <c r="A35" s="8">
        <f>'4.1'!A:A</f>
        <v>46265.73745</v>
      </c>
      <c r="B35" s="1" t="str">
        <f>'4.1'!B:B</f>
        <v>bnco1012@signalschool.ac.th</v>
      </c>
      <c r="C35" s="1" t="str">
        <f>'4.1'!C:C</f>
        <v>คณะครูและอาจารย์ กศ.รร.สส.</v>
      </c>
      <c r="D35" s="9">
        <v>1.0</v>
      </c>
      <c r="E35" s="10">
        <f>IFERROR(vlookup('4.1'!D:D,lookup!$A$2:$B$4,2,false),0)</f>
        <v>5</v>
      </c>
      <c r="F35" s="10">
        <f>IFERROR(vlookup('4.1'!E:E,lookup!$A$6:$B$8,2,false),0)</f>
        <v>5</v>
      </c>
      <c r="G35" s="10">
        <f>IFERROR(vlookup('4.1'!F:F,lookup!$A$10:$B$12,2,false),0)</f>
        <v>5</v>
      </c>
      <c r="H35" s="10">
        <f>IFERROR(vlookup('4.1'!G:G,lookup!$A$14:$B$16,2,false),0)</f>
        <v>5</v>
      </c>
      <c r="I35" s="10">
        <f>IFERROR(vlookup('4.1'!H:H,lookup!$A$18:$B$20,2,false),0)</f>
        <v>5</v>
      </c>
      <c r="J35" s="10">
        <f>IFERROR(vlookup('4.1'!I:I,lookup!$A$22:$B$24,2,false),0)</f>
        <v>5</v>
      </c>
      <c r="K35" s="10">
        <f>IFERROR(vlookup('4.1'!J:J,lookup!$A$26:$B$28,2,false),0)</f>
        <v>5</v>
      </c>
      <c r="L35" s="1"/>
      <c r="M35" s="10">
        <v>34.0</v>
      </c>
      <c r="N35" s="11" t="str">
        <f t="shared" si="1"/>
        <v>bnco1034@signalschool.ac.th</v>
      </c>
      <c r="O35" s="12">
        <f t="shared" si="2"/>
        <v>1</v>
      </c>
      <c r="R35" s="6" t="s">
        <v>248</v>
      </c>
    </row>
    <row r="36">
      <c r="A36" s="8">
        <f>'4.1'!A:A</f>
        <v>46265.73952</v>
      </c>
      <c r="B36" s="1" t="str">
        <f>'4.1'!B:B</f>
        <v>bnco1057@signalschool.ac.th</v>
      </c>
      <c r="C36" s="1" t="str">
        <f>'4.1'!C:C</f>
        <v>ครู-อาจารย์  กศ.รร.ส.สส.</v>
      </c>
      <c r="D36" s="9">
        <v>1.0</v>
      </c>
      <c r="E36" s="10">
        <f>IFERROR(vlookup('4.1'!D:D,lookup!$A$2:$B$4,2,false),0)</f>
        <v>5</v>
      </c>
      <c r="F36" s="10">
        <f>IFERROR(vlookup('4.1'!E:E,lookup!$A$6:$B$8,2,false),0)</f>
        <v>5</v>
      </c>
      <c r="G36" s="10">
        <f>IFERROR(vlookup('4.1'!F:F,lookup!$A$10:$B$12,2,false),0)</f>
        <v>5</v>
      </c>
      <c r="H36" s="10">
        <f>IFERROR(vlookup('4.1'!G:G,lookup!$A$14:$B$16,2,false),0)</f>
        <v>5</v>
      </c>
      <c r="I36" s="10">
        <f>IFERROR(vlookup('4.1'!H:H,lookup!$A$18:$B$20,2,false),0)</f>
        <v>5</v>
      </c>
      <c r="J36" s="10">
        <f>IFERROR(vlookup('4.1'!I:I,lookup!$A$22:$B$24,2,false),0)</f>
        <v>5</v>
      </c>
      <c r="K36" s="10">
        <f>IFERROR(vlookup('4.1'!J:J,lookup!$A$26:$B$28,2,false),0)</f>
        <v>5</v>
      </c>
      <c r="L36" s="1"/>
      <c r="M36" s="10">
        <v>35.0</v>
      </c>
      <c r="N36" s="11" t="str">
        <f t="shared" si="1"/>
        <v>bnco1035@signalschool.ac.th</v>
      </c>
      <c r="O36" s="12">
        <f t="shared" si="2"/>
        <v>1</v>
      </c>
      <c r="R36" s="6" t="s">
        <v>249</v>
      </c>
    </row>
    <row r="37">
      <c r="A37" s="8">
        <f>'4.1'!A:A</f>
        <v>46265.76781</v>
      </c>
      <c r="B37" s="1" t="str">
        <f>'4.1'!B:B</f>
        <v>bnco1058@signalschool.ac.th</v>
      </c>
      <c r="C37" s="1" t="str">
        <f>'4.1'!C:C</f>
        <v>จ.ส.อ.ประกาศิต  แซ่เจียม</v>
      </c>
      <c r="D37" s="9">
        <v>1.0</v>
      </c>
      <c r="E37" s="10">
        <f>IFERROR(vlookup('4.1'!D:D,lookup!$A$2:$B$4,2,false),0)</f>
        <v>5</v>
      </c>
      <c r="F37" s="10">
        <f>IFERROR(vlookup('4.1'!E:E,lookup!$A$6:$B$8,2,false),0)</f>
        <v>5</v>
      </c>
      <c r="G37" s="10">
        <f>IFERROR(vlookup('4.1'!F:F,lookup!$A$10:$B$12,2,false),0)</f>
        <v>5</v>
      </c>
      <c r="H37" s="10">
        <f>IFERROR(vlookup('4.1'!G:G,lookup!$A$14:$B$16,2,false),0)</f>
        <v>5</v>
      </c>
      <c r="I37" s="10">
        <f>IFERROR(vlookup('4.1'!H:H,lookup!$A$18:$B$20,2,false),0)</f>
        <v>5</v>
      </c>
      <c r="J37" s="10">
        <f>IFERROR(vlookup('4.1'!I:I,lookup!$A$22:$B$24,2,false),0)</f>
        <v>5</v>
      </c>
      <c r="K37" s="10">
        <f>IFERROR(vlookup('4.1'!J:J,lookup!$A$26:$B$28,2,false),0)</f>
        <v>5</v>
      </c>
      <c r="L37" s="1"/>
      <c r="M37" s="10">
        <v>36.0</v>
      </c>
      <c r="N37" s="11" t="str">
        <f t="shared" si="1"/>
        <v>bnco1036@signalschool.ac.th</v>
      </c>
      <c r="O37" s="12">
        <f t="shared" si="2"/>
        <v>1</v>
      </c>
      <c r="R37" s="6" t="s">
        <v>250</v>
      </c>
    </row>
    <row r="38">
      <c r="A38" s="8">
        <f>'4.1'!A:A</f>
        <v>46265.81425</v>
      </c>
      <c r="B38" s="1" t="str">
        <f>'4.1'!B:B</f>
        <v>bnco1069@signalschool.ac.th</v>
      </c>
      <c r="C38" s="1" t="str">
        <f>'4.1'!C:C</f>
        <v>ครู-อาจารย์ กศ.รร.ส.สส.</v>
      </c>
      <c r="D38" s="9">
        <v>1.0</v>
      </c>
      <c r="E38" s="10">
        <f>IFERROR(vlookup('4.1'!D:D,lookup!$A$2:$B$4,2,false),0)</f>
        <v>5</v>
      </c>
      <c r="F38" s="10">
        <f>IFERROR(vlookup('4.1'!E:E,lookup!$A$6:$B$8,2,false),0)</f>
        <v>5</v>
      </c>
      <c r="G38" s="10">
        <f>IFERROR(vlookup('4.1'!F:F,lookup!$A$10:$B$12,2,false),0)</f>
        <v>5</v>
      </c>
      <c r="H38" s="10">
        <f>IFERROR(vlookup('4.1'!G:G,lookup!$A$14:$B$16,2,false),0)</f>
        <v>5</v>
      </c>
      <c r="I38" s="10">
        <f>IFERROR(vlookup('4.1'!H:H,lookup!$A$18:$B$20,2,false),0)</f>
        <v>5</v>
      </c>
      <c r="J38" s="10">
        <f>IFERROR(vlookup('4.1'!I:I,lookup!$A$22:$B$24,2,false),0)</f>
        <v>5</v>
      </c>
      <c r="K38" s="10">
        <f>IFERROR(vlookup('4.1'!J:J,lookup!$A$26:$B$28,2,false),0)</f>
        <v>5</v>
      </c>
      <c r="L38" s="1"/>
      <c r="M38" s="10">
        <v>37.0</v>
      </c>
      <c r="N38" s="11" t="str">
        <f t="shared" si="1"/>
        <v>bnco1037@signalschool.ac.th</v>
      </c>
      <c r="O38" s="12">
        <f t="shared" si="2"/>
        <v>0</v>
      </c>
      <c r="R38" s="6" t="s">
        <v>251</v>
      </c>
    </row>
    <row r="39">
      <c r="A39" s="8">
        <f>'4.1'!A:A</f>
        <v>46266.03189</v>
      </c>
      <c r="B39" s="1" t="str">
        <f>'4.1'!B:B</f>
        <v>bnco1024@signalschool.ac.th</v>
      </c>
      <c r="C39" s="1" t="str">
        <f>'4.1'!C:C</f>
        <v>ครู-อาจารย์ กศ.รร.ส.สส</v>
      </c>
      <c r="D39" s="9">
        <v>1.0</v>
      </c>
      <c r="E39" s="10">
        <f>IFERROR(vlookup('4.1'!D:D,lookup!$A$2:$B$4,2,false),0)</f>
        <v>5</v>
      </c>
      <c r="F39" s="10">
        <f>IFERROR(vlookup('4.1'!E:E,lookup!$A$6:$B$8,2,false),0)</f>
        <v>5</v>
      </c>
      <c r="G39" s="10">
        <f>IFERROR(vlookup('4.1'!F:F,lookup!$A$10:$B$12,2,false),0)</f>
        <v>5</v>
      </c>
      <c r="H39" s="10">
        <f>IFERROR(vlookup('4.1'!G:G,lookup!$A$14:$B$16,2,false),0)</f>
        <v>5</v>
      </c>
      <c r="I39" s="10">
        <f>IFERROR(vlookup('4.1'!H:H,lookup!$A$18:$B$20,2,false),0)</f>
        <v>5</v>
      </c>
      <c r="J39" s="10">
        <f>IFERROR(vlookup('4.1'!I:I,lookup!$A$22:$B$24,2,false),0)</f>
        <v>5</v>
      </c>
      <c r="K39" s="10">
        <f>IFERROR(vlookup('4.1'!J:J,lookup!$A$26:$B$28,2,false),0)</f>
        <v>5</v>
      </c>
      <c r="L39" s="1"/>
      <c r="M39" s="10">
        <v>38.0</v>
      </c>
      <c r="N39" s="11" t="str">
        <f t="shared" si="1"/>
        <v>bnco1038@signalschool.ac.th</v>
      </c>
      <c r="O39" s="12">
        <f t="shared" si="2"/>
        <v>1</v>
      </c>
      <c r="R39" s="6" t="s">
        <v>252</v>
      </c>
    </row>
    <row r="40">
      <c r="A40" s="8">
        <f>'4.1'!A:A</f>
        <v>46266.55532</v>
      </c>
      <c r="B40" s="1" t="str">
        <f>'4.1'!B:B</f>
        <v>bnco1004@signalschool.ac.th</v>
      </c>
      <c r="C40" s="1" t="str">
        <f>'4.1'!C:C</f>
        <v>จ่าสิบเอก อนิชิท ธิบมนทรา</v>
      </c>
      <c r="D40" s="9">
        <v>1.0</v>
      </c>
      <c r="E40" s="10">
        <f>IFERROR(vlookup('4.1'!D:D,lookup!$A$2:$B$4,2,false),0)</f>
        <v>3</v>
      </c>
      <c r="F40" s="10">
        <f>IFERROR(vlookup('4.1'!E:E,lookup!$A$6:$B$8,2,false),0)</f>
        <v>3</v>
      </c>
      <c r="G40" s="10">
        <f>IFERROR(vlookup('4.1'!F:F,lookup!$A$10:$B$12,2,false),0)</f>
        <v>3</v>
      </c>
      <c r="H40" s="10">
        <f>IFERROR(vlookup('4.1'!G:G,lookup!$A$14:$B$16,2,false),0)</f>
        <v>3</v>
      </c>
      <c r="I40" s="10">
        <f>IFERROR(vlookup('4.1'!H:H,lookup!$A$18:$B$20,2,false),0)</f>
        <v>3</v>
      </c>
      <c r="J40" s="10">
        <f>IFERROR(vlookup('4.1'!I:I,lookup!$A$22:$B$24,2,false),0)</f>
        <v>3</v>
      </c>
      <c r="K40" s="10">
        <f>IFERROR(vlookup('4.1'!J:J,lookup!$A$26:$B$28,2,false),0)</f>
        <v>3</v>
      </c>
      <c r="L40" s="1"/>
      <c r="M40" s="10">
        <v>39.0</v>
      </c>
      <c r="N40" s="11" t="str">
        <f t="shared" si="1"/>
        <v>bnco1039@signalschool.ac.th</v>
      </c>
      <c r="O40" s="12">
        <f t="shared" si="2"/>
        <v>1</v>
      </c>
      <c r="R40" s="6" t="s">
        <v>253</v>
      </c>
    </row>
    <row r="41">
      <c r="A41" s="8">
        <f>'4.1'!A:A</f>
        <v>46266.65126</v>
      </c>
      <c r="B41" s="1" t="str">
        <f>'4.1'!B:B</f>
        <v>bnco1013@signalschool.ac.th</v>
      </c>
      <c r="C41" s="1" t="str">
        <f>'4.1'!C:C</f>
        <v>คณะครู-อาจารย์ รร.ส.สส.</v>
      </c>
      <c r="D41" s="9">
        <v>1.0</v>
      </c>
      <c r="E41" s="10">
        <f>IFERROR(vlookup('4.1'!D:D,lookup!$A$2:$B$4,2,false),0)</f>
        <v>5</v>
      </c>
      <c r="F41" s="10">
        <f>IFERROR(vlookup('4.1'!E:E,lookup!$A$6:$B$8,2,false),0)</f>
        <v>5</v>
      </c>
      <c r="G41" s="10">
        <f>IFERROR(vlookup('4.1'!F:F,lookup!$A$10:$B$12,2,false),0)</f>
        <v>5</v>
      </c>
      <c r="H41" s="10">
        <f>IFERROR(vlookup('4.1'!G:G,lookup!$A$14:$B$16,2,false),0)</f>
        <v>5</v>
      </c>
      <c r="I41" s="10">
        <f>IFERROR(vlookup('4.1'!H:H,lookup!$A$18:$B$20,2,false),0)</f>
        <v>5</v>
      </c>
      <c r="J41" s="10">
        <f>IFERROR(vlookup('4.1'!I:I,lookup!$A$22:$B$24,2,false),0)</f>
        <v>5</v>
      </c>
      <c r="K41" s="10">
        <f>IFERROR(vlookup('4.1'!J:J,lookup!$A$26:$B$28,2,false),0)</f>
        <v>5</v>
      </c>
      <c r="L41" s="1"/>
      <c r="M41" s="10">
        <v>40.0</v>
      </c>
      <c r="N41" s="11" t="str">
        <f t="shared" si="1"/>
        <v>bnco1040@signalschool.ac.th</v>
      </c>
      <c r="O41" s="12">
        <f t="shared" si="2"/>
        <v>1</v>
      </c>
      <c r="R41" s="6" t="s">
        <v>254</v>
      </c>
    </row>
    <row r="42">
      <c r="A42" s="8">
        <f>'4.1'!A:A</f>
        <v>46266.67601</v>
      </c>
      <c r="B42" s="1" t="str">
        <f>'4.1'!B:B</f>
        <v>bnco1049@signalschool.ac.th</v>
      </c>
      <c r="C42" s="1" t="str">
        <f>'4.1'!C:C</f>
        <v>ครู - อาจารย์ </v>
      </c>
      <c r="D42" s="9">
        <v>1.0</v>
      </c>
      <c r="E42" s="10">
        <f>IFERROR(vlookup('4.1'!D:D,lookup!$A$2:$B$4,2,false),0)</f>
        <v>5</v>
      </c>
      <c r="F42" s="10">
        <f>IFERROR(vlookup('4.1'!E:E,lookup!$A$6:$B$8,2,false),0)</f>
        <v>5</v>
      </c>
      <c r="G42" s="10">
        <f>IFERROR(vlookup('4.1'!F:F,lookup!$A$10:$B$12,2,false),0)</f>
        <v>5</v>
      </c>
      <c r="H42" s="10">
        <f>IFERROR(vlookup('4.1'!G:G,lookup!$A$14:$B$16,2,false),0)</f>
        <v>5</v>
      </c>
      <c r="I42" s="10">
        <f>IFERROR(vlookup('4.1'!H:H,lookup!$A$18:$B$20,2,false),0)</f>
        <v>5</v>
      </c>
      <c r="J42" s="10">
        <f>IFERROR(vlookup('4.1'!I:I,lookup!$A$22:$B$24,2,false),0)</f>
        <v>5</v>
      </c>
      <c r="K42" s="10">
        <f>IFERROR(vlookup('4.1'!J:J,lookup!$A$26:$B$28,2,false),0)</f>
        <v>5</v>
      </c>
      <c r="L42" s="1"/>
      <c r="M42" s="10">
        <v>41.0</v>
      </c>
      <c r="N42" s="11" t="str">
        <f t="shared" si="1"/>
        <v>bnco1041@signalschool.ac.th</v>
      </c>
      <c r="O42" s="12">
        <f t="shared" si="2"/>
        <v>1</v>
      </c>
      <c r="R42" s="6" t="s">
        <v>255</v>
      </c>
    </row>
    <row r="43">
      <c r="A43" s="8">
        <f>'4.1'!A:A</f>
        <v>46266.68662</v>
      </c>
      <c r="B43" s="1" t="str">
        <f>'4.1'!B:B</f>
        <v>bnco1053@signalschool.ac.th</v>
      </c>
      <c r="C43" s="1" t="str">
        <f>'4.1'!C:C</f>
        <v>ครู-อาจารย์ กศ.รร.ส.สส.</v>
      </c>
      <c r="D43" s="9">
        <v>1.0</v>
      </c>
      <c r="E43" s="10">
        <f>IFERROR(vlookup('4.1'!D:D,lookup!$A$2:$B$4,2,false),0)</f>
        <v>5</v>
      </c>
      <c r="F43" s="10">
        <f>IFERROR(vlookup('4.1'!E:E,lookup!$A$6:$B$8,2,false),0)</f>
        <v>5</v>
      </c>
      <c r="G43" s="10">
        <f>IFERROR(vlookup('4.1'!F:F,lookup!$A$10:$B$12,2,false),0)</f>
        <v>5</v>
      </c>
      <c r="H43" s="10">
        <f>IFERROR(vlookup('4.1'!G:G,lookup!$A$14:$B$16,2,false),0)</f>
        <v>5</v>
      </c>
      <c r="I43" s="10">
        <f>IFERROR(vlookup('4.1'!H:H,lookup!$A$18:$B$20,2,false),0)</f>
        <v>5</v>
      </c>
      <c r="J43" s="10">
        <f>IFERROR(vlookup('4.1'!I:I,lookup!$A$22:$B$24,2,false),0)</f>
        <v>5</v>
      </c>
      <c r="K43" s="10">
        <f>IFERROR(vlookup('4.1'!J:J,lookup!$A$26:$B$28,2,false),0)</f>
        <v>5</v>
      </c>
      <c r="L43" s="1"/>
      <c r="M43" s="10">
        <v>42.0</v>
      </c>
      <c r="N43" s="11" t="str">
        <f t="shared" si="1"/>
        <v>bnco1042@signalschool.ac.th</v>
      </c>
      <c r="O43" s="12">
        <f t="shared" si="2"/>
        <v>1</v>
      </c>
      <c r="R43" s="6" t="s">
        <v>256</v>
      </c>
    </row>
    <row r="44">
      <c r="A44" s="8">
        <f>'4.1'!A:A</f>
        <v>46266.6895</v>
      </c>
      <c r="B44" s="1" t="str">
        <f>'4.1'!B:B</f>
        <v>bnco1006@signalschool.ac.th</v>
      </c>
      <c r="C44" s="1" t="str">
        <f>'4.1'!C:C</f>
        <v>จ.ส.อ.สุริวัฒน์ นาคเกตุ</v>
      </c>
      <c r="D44" s="9">
        <v>1.0</v>
      </c>
      <c r="E44" s="10">
        <f>IFERROR(vlookup('4.1'!D:D,lookup!$A$2:$B$4,2,false),0)</f>
        <v>5</v>
      </c>
      <c r="F44" s="10">
        <f>IFERROR(vlookup('4.1'!E:E,lookup!$A$6:$B$8,2,false),0)</f>
        <v>5</v>
      </c>
      <c r="G44" s="10">
        <f>IFERROR(vlookup('4.1'!F:F,lookup!$A$10:$B$12,2,false),0)</f>
        <v>5</v>
      </c>
      <c r="H44" s="10">
        <f>IFERROR(vlookup('4.1'!G:G,lookup!$A$14:$B$16,2,false),0)</f>
        <v>5</v>
      </c>
      <c r="I44" s="10">
        <f>IFERROR(vlookup('4.1'!H:H,lookup!$A$18:$B$20,2,false),0)</f>
        <v>5</v>
      </c>
      <c r="J44" s="10">
        <f>IFERROR(vlookup('4.1'!I:I,lookup!$A$22:$B$24,2,false),0)</f>
        <v>5</v>
      </c>
      <c r="K44" s="10">
        <f>IFERROR(vlookup('4.1'!J:J,lookup!$A$26:$B$28,2,false),0)</f>
        <v>5</v>
      </c>
      <c r="L44" s="1"/>
      <c r="M44" s="10">
        <v>43.0</v>
      </c>
      <c r="N44" s="11" t="str">
        <f t="shared" si="1"/>
        <v>bnco1043@signalschool.ac.th</v>
      </c>
      <c r="O44" s="12">
        <f t="shared" si="2"/>
        <v>1</v>
      </c>
      <c r="R44" s="6" t="s">
        <v>257</v>
      </c>
    </row>
    <row r="45">
      <c r="A45" s="8">
        <f>'4.1'!A:A</f>
        <v>46266.69243</v>
      </c>
      <c r="B45" s="1" t="str">
        <f>'4.1'!B:B</f>
        <v>bnco1047@signalschool.ac.th</v>
      </c>
      <c r="C45" s="1" t="str">
        <f>'4.1'!C:C</f>
        <v>ครู-อาจารย์ กศ.รร.ส.สส.</v>
      </c>
      <c r="D45" s="9">
        <v>1.0</v>
      </c>
      <c r="E45" s="10">
        <f>IFERROR(vlookup('4.1'!D:D,lookup!$A$2:$B$4,2,false),0)</f>
        <v>5</v>
      </c>
      <c r="F45" s="10">
        <f>IFERROR(vlookup('4.1'!E:E,lookup!$A$6:$B$8,2,false),0)</f>
        <v>5</v>
      </c>
      <c r="G45" s="10">
        <f>IFERROR(vlookup('4.1'!F:F,lookup!$A$10:$B$12,2,false),0)</f>
        <v>5</v>
      </c>
      <c r="H45" s="10">
        <f>IFERROR(vlookup('4.1'!G:G,lookup!$A$14:$B$16,2,false),0)</f>
        <v>5</v>
      </c>
      <c r="I45" s="10">
        <f>IFERROR(vlookup('4.1'!H:H,lookup!$A$18:$B$20,2,false),0)</f>
        <v>5</v>
      </c>
      <c r="J45" s="10">
        <f>IFERROR(vlookup('4.1'!I:I,lookup!$A$22:$B$24,2,false),0)</f>
        <v>5</v>
      </c>
      <c r="K45" s="10">
        <f>IFERROR(vlookup('4.1'!J:J,lookup!$A$26:$B$28,2,false),0)</f>
        <v>5</v>
      </c>
      <c r="L45" s="1"/>
      <c r="M45" s="10">
        <v>44.0</v>
      </c>
      <c r="N45" s="11" t="str">
        <f t="shared" si="1"/>
        <v>bnco1044@signalschool.ac.th</v>
      </c>
      <c r="O45" s="12">
        <f t="shared" si="2"/>
        <v>1</v>
      </c>
      <c r="R45" s="6" t="s">
        <v>258</v>
      </c>
    </row>
    <row r="46">
      <c r="A46" s="8">
        <f>'4.1'!A:A</f>
        <v>46266.70308</v>
      </c>
      <c r="B46" s="1" t="str">
        <f>'4.1'!B:B</f>
        <v>bnco1055@signalschool.ac.th</v>
      </c>
      <c r="C46" s="1" t="str">
        <f>'4.1'!C:C</f>
        <v>ครู-อาจารย์ กศ.รร.ส.สส.</v>
      </c>
      <c r="D46" s="9">
        <v>1.0</v>
      </c>
      <c r="E46" s="10">
        <f>IFERROR(vlookup('4.1'!D:D,lookup!$A$2:$B$4,2,false),0)</f>
        <v>5</v>
      </c>
      <c r="F46" s="10">
        <f>IFERROR(vlookup('4.1'!E:E,lookup!$A$6:$B$8,2,false),0)</f>
        <v>5</v>
      </c>
      <c r="G46" s="10">
        <f>IFERROR(vlookup('4.1'!F:F,lookup!$A$10:$B$12,2,false),0)</f>
        <v>5</v>
      </c>
      <c r="H46" s="10">
        <f>IFERROR(vlookup('4.1'!G:G,lookup!$A$14:$B$16,2,false),0)</f>
        <v>5</v>
      </c>
      <c r="I46" s="10">
        <f>IFERROR(vlookup('4.1'!H:H,lookup!$A$18:$B$20,2,false),0)</f>
        <v>5</v>
      </c>
      <c r="J46" s="10">
        <f>IFERROR(vlookup('4.1'!I:I,lookup!$A$22:$B$24,2,false),0)</f>
        <v>5</v>
      </c>
      <c r="K46" s="10">
        <f>IFERROR(vlookup('4.1'!J:J,lookup!$A$26:$B$28,2,false),0)</f>
        <v>5</v>
      </c>
      <c r="L46" s="1"/>
      <c r="M46" s="10">
        <v>45.0</v>
      </c>
      <c r="N46" s="11" t="str">
        <f t="shared" si="1"/>
        <v>bnco1045@signalschool.ac.th</v>
      </c>
      <c r="O46" s="12">
        <f t="shared" si="2"/>
        <v>1</v>
      </c>
      <c r="R46" s="6" t="s">
        <v>259</v>
      </c>
    </row>
    <row r="47">
      <c r="A47" s="8">
        <f>'4.1'!A:A</f>
        <v>46266.72323</v>
      </c>
      <c r="B47" s="1" t="str">
        <f>'4.1'!B:B</f>
        <v>bnco1072@signalschool.ac.th</v>
      </c>
      <c r="C47" s="1" t="str">
        <f>'4.1'!C:C</f>
        <v>ครู-อาจารย์ กศ.รร.ส.สส</v>
      </c>
      <c r="D47" s="9">
        <v>1.0</v>
      </c>
      <c r="E47" s="10">
        <f>IFERROR(vlookup('4.1'!D:D,lookup!$A$2:$B$4,2,false),0)</f>
        <v>5</v>
      </c>
      <c r="F47" s="10">
        <f>IFERROR(vlookup('4.1'!E:E,lookup!$A$6:$B$8,2,false),0)</f>
        <v>5</v>
      </c>
      <c r="G47" s="10">
        <f>IFERROR(vlookup('4.1'!F:F,lookup!$A$10:$B$12,2,false),0)</f>
        <v>5</v>
      </c>
      <c r="H47" s="10">
        <f>IFERROR(vlookup('4.1'!G:G,lookup!$A$14:$B$16,2,false),0)</f>
        <v>5</v>
      </c>
      <c r="I47" s="10">
        <f>IFERROR(vlookup('4.1'!H:H,lookup!$A$18:$B$20,2,false),0)</f>
        <v>5</v>
      </c>
      <c r="J47" s="10">
        <f>IFERROR(vlookup('4.1'!I:I,lookup!$A$22:$B$24,2,false),0)</f>
        <v>5</v>
      </c>
      <c r="K47" s="10">
        <f>IFERROR(vlookup('4.1'!J:J,lookup!$A$26:$B$28,2,false),0)</f>
        <v>5</v>
      </c>
      <c r="L47" s="1"/>
      <c r="M47" s="10">
        <v>46.0</v>
      </c>
      <c r="N47" s="11" t="str">
        <f t="shared" si="1"/>
        <v>bnco1046@signalschool.ac.th</v>
      </c>
      <c r="O47" s="12">
        <f t="shared" si="2"/>
        <v>1</v>
      </c>
      <c r="R47" s="6" t="s">
        <v>260</v>
      </c>
    </row>
    <row r="48">
      <c r="A48" s="8">
        <f>'4.1'!A:A</f>
        <v>46266.82476</v>
      </c>
      <c r="B48" s="1" t="str">
        <f>'4.1'!B:B</f>
        <v>bnco1017@signalschool.ac.th</v>
      </c>
      <c r="C48" s="1" t="str">
        <f>'4.1'!C:C</f>
        <v>พ.ต.ไมตรี บุญเหลื่อม</v>
      </c>
      <c r="D48" s="9">
        <v>1.0</v>
      </c>
      <c r="E48" s="10">
        <f>IFERROR(vlookup('4.1'!D:D,lookup!$A$2:$B$4,2,false),0)</f>
        <v>5</v>
      </c>
      <c r="F48" s="10">
        <f>IFERROR(vlookup('4.1'!E:E,lookup!$A$6:$B$8,2,false),0)</f>
        <v>5</v>
      </c>
      <c r="G48" s="10">
        <f>IFERROR(vlookup('4.1'!F:F,lookup!$A$10:$B$12,2,false),0)</f>
        <v>5</v>
      </c>
      <c r="H48" s="10">
        <f>IFERROR(vlookup('4.1'!G:G,lookup!$A$14:$B$16,2,false),0)</f>
        <v>5</v>
      </c>
      <c r="I48" s="10">
        <f>IFERROR(vlookup('4.1'!H:H,lookup!$A$18:$B$20,2,false),0)</f>
        <v>5</v>
      </c>
      <c r="J48" s="10">
        <f>IFERROR(vlookup('4.1'!I:I,lookup!$A$22:$B$24,2,false),0)</f>
        <v>5</v>
      </c>
      <c r="K48" s="10">
        <f>IFERROR(vlookup('4.1'!J:J,lookup!$A$26:$B$28,2,false),0)</f>
        <v>5</v>
      </c>
      <c r="L48" s="1"/>
      <c r="M48" s="10">
        <v>47.0</v>
      </c>
      <c r="N48" s="11" t="str">
        <f t="shared" si="1"/>
        <v>bnco1047@signalschool.ac.th</v>
      </c>
      <c r="O48" s="12">
        <f t="shared" si="2"/>
        <v>1</v>
      </c>
      <c r="R48" s="6" t="s">
        <v>261</v>
      </c>
    </row>
    <row r="49">
      <c r="A49" s="8">
        <f>'4.1'!A:A</f>
        <v>46267.30476</v>
      </c>
      <c r="B49" s="1" t="str">
        <f>'4.1'!B:B</f>
        <v>bnco1018@signalschool.ac.th</v>
      </c>
      <c r="C49" s="1" t="str">
        <f>'4.1'!C:C</f>
        <v>ครู-อาจารย์ ทุกคน</v>
      </c>
      <c r="D49" s="9">
        <v>1.0</v>
      </c>
      <c r="E49" s="10">
        <f>IFERROR(vlookup('4.1'!D:D,lookup!$A$2:$B$4,2,false),0)</f>
        <v>5</v>
      </c>
      <c r="F49" s="10">
        <f>IFERROR(vlookup('4.1'!E:E,lookup!$A$6:$B$8,2,false),0)</f>
        <v>5</v>
      </c>
      <c r="G49" s="10">
        <f>IFERROR(vlookup('4.1'!F:F,lookup!$A$10:$B$12,2,false),0)</f>
        <v>5</v>
      </c>
      <c r="H49" s="10">
        <f>IFERROR(vlookup('4.1'!G:G,lookup!$A$14:$B$16,2,false),0)</f>
        <v>5</v>
      </c>
      <c r="I49" s="10">
        <f>IFERROR(vlookup('4.1'!H:H,lookup!$A$18:$B$20,2,false),0)</f>
        <v>5</v>
      </c>
      <c r="J49" s="10">
        <f>IFERROR(vlookup('4.1'!I:I,lookup!$A$22:$B$24,2,false),0)</f>
        <v>5</v>
      </c>
      <c r="K49" s="10">
        <f>IFERROR(vlookup('4.1'!J:J,lookup!$A$26:$B$28,2,false),0)</f>
        <v>5</v>
      </c>
      <c r="L49" s="1"/>
      <c r="M49" s="10">
        <v>48.0</v>
      </c>
      <c r="N49" s="11" t="str">
        <f t="shared" si="1"/>
        <v>bnco1048@signalschool.ac.th</v>
      </c>
      <c r="O49" s="12">
        <f t="shared" si="2"/>
        <v>0</v>
      </c>
      <c r="R49" s="6" t="s">
        <v>262</v>
      </c>
    </row>
    <row r="50">
      <c r="A50" s="8">
        <f>'4.1'!A:A</f>
        <v>46267.31319</v>
      </c>
      <c r="B50" s="1" t="str">
        <f>'4.1'!B:B</f>
        <v>bnco1019@signalschool.ac.th</v>
      </c>
      <c r="C50" s="1" t="str">
        <f>'4.1'!C:C</f>
        <v>ครู-อาจารย์ กศ.รร.ส.สส.</v>
      </c>
      <c r="D50" s="9">
        <v>1.0</v>
      </c>
      <c r="E50" s="10">
        <f>IFERROR(vlookup('4.1'!D:D,lookup!$A$2:$B$4,2,false),0)</f>
        <v>5</v>
      </c>
      <c r="F50" s="10">
        <f>IFERROR(vlookup('4.1'!E:E,lookup!$A$6:$B$8,2,false),0)</f>
        <v>5</v>
      </c>
      <c r="G50" s="10">
        <f>IFERROR(vlookup('4.1'!F:F,lookup!$A$10:$B$12,2,false),0)</f>
        <v>5</v>
      </c>
      <c r="H50" s="10">
        <f>IFERROR(vlookup('4.1'!G:G,lookup!$A$14:$B$16,2,false),0)</f>
        <v>5</v>
      </c>
      <c r="I50" s="10">
        <f>IFERROR(vlookup('4.1'!H:H,lookup!$A$18:$B$20,2,false),0)</f>
        <v>5</v>
      </c>
      <c r="J50" s="10">
        <f>IFERROR(vlookup('4.1'!I:I,lookup!$A$22:$B$24,2,false),0)</f>
        <v>5</v>
      </c>
      <c r="K50" s="10">
        <f>IFERROR(vlookup('4.1'!J:J,lookup!$A$26:$B$28,2,false),0)</f>
        <v>5</v>
      </c>
      <c r="L50" s="1"/>
      <c r="M50" s="10">
        <v>49.0</v>
      </c>
      <c r="N50" s="11" t="str">
        <f t="shared" si="1"/>
        <v>bnco1049@signalschool.ac.th</v>
      </c>
      <c r="O50" s="12">
        <f t="shared" si="2"/>
        <v>1</v>
      </c>
      <c r="R50" s="6" t="s">
        <v>263</v>
      </c>
    </row>
    <row r="51">
      <c r="A51" s="8">
        <f>'4.1'!A:A</f>
        <v>46267.31376</v>
      </c>
      <c r="B51" s="1" t="str">
        <f>'4.1'!B:B</f>
        <v>bnco1016@signalschool.ac.th</v>
      </c>
      <c r="C51" s="1" t="str">
        <f>'4.1'!C:C</f>
        <v>ครู-อาจารย์ กศ รร.ส.สส</v>
      </c>
      <c r="D51" s="9">
        <v>1.0</v>
      </c>
      <c r="E51" s="10">
        <f>IFERROR(vlookup('4.1'!D:D,lookup!$A$2:$B$4,2,false),0)</f>
        <v>5</v>
      </c>
      <c r="F51" s="10">
        <f>IFERROR(vlookup('4.1'!E:E,lookup!$A$6:$B$8,2,false),0)</f>
        <v>5</v>
      </c>
      <c r="G51" s="10">
        <f>IFERROR(vlookup('4.1'!F:F,lookup!$A$10:$B$12,2,false),0)</f>
        <v>5</v>
      </c>
      <c r="H51" s="10">
        <f>IFERROR(vlookup('4.1'!G:G,lookup!$A$14:$B$16,2,false),0)</f>
        <v>5</v>
      </c>
      <c r="I51" s="10">
        <f>IFERROR(vlookup('4.1'!H:H,lookup!$A$18:$B$20,2,false),0)</f>
        <v>5</v>
      </c>
      <c r="J51" s="10">
        <f>IFERROR(vlookup('4.1'!I:I,lookup!$A$22:$B$24,2,false),0)</f>
        <v>5</v>
      </c>
      <c r="K51" s="10">
        <f>IFERROR(vlookup('4.1'!J:J,lookup!$A$26:$B$28,2,false),0)</f>
        <v>5</v>
      </c>
      <c r="L51" s="1"/>
      <c r="M51" s="10">
        <v>50.0</v>
      </c>
      <c r="N51" s="11" t="str">
        <f t="shared" si="1"/>
        <v>bnco1050@signalschool.ac.th</v>
      </c>
      <c r="O51" s="12">
        <f t="shared" si="2"/>
        <v>1</v>
      </c>
      <c r="R51" s="6" t="s">
        <v>264</v>
      </c>
    </row>
    <row r="52">
      <c r="A52" s="8">
        <f>'4.1'!A:A</f>
        <v>46267.3419</v>
      </c>
      <c r="B52" s="1" t="str">
        <f>'4.1'!B:B</f>
        <v>bnco1039@signalschool.ac.th</v>
      </c>
      <c r="C52" s="1" t="str">
        <f>'4.1'!C:C</f>
        <v>ครู-อาจารย์กองการศึกษา</v>
      </c>
      <c r="D52" s="9">
        <v>1.0</v>
      </c>
      <c r="E52" s="10">
        <f>IFERROR(vlookup('4.1'!D:D,lookup!$A$2:$B$4,2,false),0)</f>
        <v>5</v>
      </c>
      <c r="F52" s="10">
        <f>IFERROR(vlookup('4.1'!E:E,lookup!$A$6:$B$8,2,false),0)</f>
        <v>5</v>
      </c>
      <c r="G52" s="10">
        <f>IFERROR(vlookup('4.1'!F:F,lookup!$A$10:$B$12,2,false),0)</f>
        <v>5</v>
      </c>
      <c r="H52" s="10">
        <f>IFERROR(vlookup('4.1'!G:G,lookup!$A$14:$B$16,2,false),0)</f>
        <v>5</v>
      </c>
      <c r="I52" s="10">
        <f>IFERROR(vlookup('4.1'!H:H,lookup!$A$18:$B$20,2,false),0)</f>
        <v>5</v>
      </c>
      <c r="J52" s="10">
        <f>IFERROR(vlookup('4.1'!I:I,lookup!$A$22:$B$24,2,false),0)</f>
        <v>5</v>
      </c>
      <c r="K52" s="10">
        <f>IFERROR(vlookup('4.1'!J:J,lookup!$A$26:$B$28,2,false),0)</f>
        <v>5</v>
      </c>
      <c r="L52" s="1"/>
      <c r="M52" s="10">
        <v>51.0</v>
      </c>
      <c r="N52" s="11" t="str">
        <f t="shared" si="1"/>
        <v>bnco1051@signalschool.ac.th</v>
      </c>
      <c r="O52" s="12">
        <f t="shared" si="2"/>
        <v>1</v>
      </c>
      <c r="R52" s="6" t="s">
        <v>265</v>
      </c>
    </row>
    <row r="53">
      <c r="A53" s="8">
        <f>'4.1'!A:A</f>
        <v>46267.56752</v>
      </c>
      <c r="B53" s="1" t="str">
        <f>'4.1'!B:B</f>
        <v>bnco1034@signalschool.ac.th</v>
      </c>
      <c r="C53" s="1" t="str">
        <f>'4.1'!C:C</f>
        <v>อาจารย์ กศ.รร.ส.สส.</v>
      </c>
      <c r="D53" s="9">
        <v>1.0</v>
      </c>
      <c r="E53" s="10">
        <f>IFERROR(vlookup('4.1'!D:D,lookup!$A$2:$B$4,2,false),0)</f>
        <v>5</v>
      </c>
      <c r="F53" s="10">
        <f>IFERROR(vlookup('4.1'!E:E,lookup!$A$6:$B$8,2,false),0)</f>
        <v>5</v>
      </c>
      <c r="G53" s="10">
        <f>IFERROR(vlookup('4.1'!F:F,lookup!$A$10:$B$12,2,false),0)</f>
        <v>5</v>
      </c>
      <c r="H53" s="10">
        <f>IFERROR(vlookup('4.1'!G:G,lookup!$A$14:$B$16,2,false),0)</f>
        <v>5</v>
      </c>
      <c r="I53" s="10">
        <f>IFERROR(vlookup('4.1'!H:H,lookup!$A$18:$B$20,2,false),0)</f>
        <v>5</v>
      </c>
      <c r="J53" s="10">
        <f>IFERROR(vlookup('4.1'!I:I,lookup!$A$22:$B$24,2,false),0)</f>
        <v>5</v>
      </c>
      <c r="K53" s="10">
        <f>IFERROR(vlookup('4.1'!J:J,lookup!$A$26:$B$28,2,false),0)</f>
        <v>5</v>
      </c>
      <c r="L53" s="1"/>
      <c r="M53" s="10">
        <v>52.0</v>
      </c>
      <c r="N53" s="11" t="str">
        <f t="shared" si="1"/>
        <v>bnco1052@signalschool.ac.th</v>
      </c>
      <c r="O53" s="12">
        <f t="shared" si="2"/>
        <v>1</v>
      </c>
      <c r="R53" s="6" t="s">
        <v>266</v>
      </c>
    </row>
    <row r="54">
      <c r="A54" s="8">
        <f>'4.1'!A:A</f>
        <v>46267.60449</v>
      </c>
      <c r="B54" s="1" t="str">
        <f>'4.1'!B:B</f>
        <v>bnco1041@signalschool.ac.th</v>
      </c>
      <c r="C54" s="1" t="str">
        <f>'4.1'!C:C</f>
        <v>ครู - อาจารย์ กศ.รร.ส.สส.</v>
      </c>
      <c r="D54" s="9">
        <v>1.0</v>
      </c>
      <c r="E54" s="10">
        <f>IFERROR(vlookup('4.1'!D:D,lookup!$A$2:$B$4,2,false),0)</f>
        <v>5</v>
      </c>
      <c r="F54" s="10">
        <f>IFERROR(vlookup('4.1'!E:E,lookup!$A$6:$B$8,2,false),0)</f>
        <v>5</v>
      </c>
      <c r="G54" s="10">
        <f>IFERROR(vlookup('4.1'!F:F,lookup!$A$10:$B$12,2,false),0)</f>
        <v>5</v>
      </c>
      <c r="H54" s="10">
        <f>IFERROR(vlookup('4.1'!G:G,lookup!$A$14:$B$16,2,false),0)</f>
        <v>5</v>
      </c>
      <c r="I54" s="10">
        <f>IFERROR(vlookup('4.1'!H:H,lookup!$A$18:$B$20,2,false),0)</f>
        <v>5</v>
      </c>
      <c r="J54" s="10">
        <f>IFERROR(vlookup('4.1'!I:I,lookup!$A$22:$B$24,2,false),0)</f>
        <v>5</v>
      </c>
      <c r="K54" s="10">
        <f>IFERROR(vlookup('4.1'!J:J,lookup!$A$26:$B$28,2,false),0)</f>
        <v>5</v>
      </c>
      <c r="L54" s="1"/>
      <c r="M54" s="10">
        <v>53.0</v>
      </c>
      <c r="N54" s="11" t="str">
        <f t="shared" si="1"/>
        <v>bnco1053@signalschool.ac.th</v>
      </c>
      <c r="O54" s="12">
        <f t="shared" si="2"/>
        <v>1</v>
      </c>
      <c r="R54" s="6" t="s">
        <v>267</v>
      </c>
    </row>
    <row r="55">
      <c r="A55" s="8">
        <f>'4.1'!A:A</f>
        <v>46267.60453</v>
      </c>
      <c r="B55" s="1" t="str">
        <f>'4.1'!B:B</f>
        <v>bnco1073@signalschool.ac.th</v>
      </c>
      <c r="C55" s="1" t="str">
        <f>'4.1'!C:C</f>
        <v>ครู-อาจารย์ กส.รร.สส.</v>
      </c>
      <c r="D55" s="9">
        <v>1.0</v>
      </c>
      <c r="E55" s="10">
        <f>IFERROR(vlookup('4.1'!D:D,lookup!$A$2:$B$4,2,false),0)</f>
        <v>5</v>
      </c>
      <c r="F55" s="10">
        <f>IFERROR(vlookup('4.1'!E:E,lookup!$A$6:$B$8,2,false),0)</f>
        <v>5</v>
      </c>
      <c r="G55" s="10">
        <f>IFERROR(vlookup('4.1'!F:F,lookup!$A$10:$B$12,2,false),0)</f>
        <v>5</v>
      </c>
      <c r="H55" s="10">
        <f>IFERROR(vlookup('4.1'!G:G,lookup!$A$14:$B$16,2,false),0)</f>
        <v>5</v>
      </c>
      <c r="I55" s="10">
        <f>IFERROR(vlookup('4.1'!H:H,lookup!$A$18:$B$20,2,false),0)</f>
        <v>5</v>
      </c>
      <c r="J55" s="10">
        <f>IFERROR(vlookup('4.1'!I:I,lookup!$A$22:$B$24,2,false),0)</f>
        <v>5</v>
      </c>
      <c r="K55" s="10">
        <f>IFERROR(vlookup('4.1'!J:J,lookup!$A$26:$B$28,2,false),0)</f>
        <v>5</v>
      </c>
      <c r="L55" s="1"/>
      <c r="M55" s="10">
        <v>54.0</v>
      </c>
      <c r="N55" s="11" t="str">
        <f t="shared" si="1"/>
        <v>bnco1054@signalschool.ac.th</v>
      </c>
      <c r="O55" s="12">
        <f t="shared" si="2"/>
        <v>1</v>
      </c>
      <c r="R55" s="6" t="s">
        <v>268</v>
      </c>
    </row>
    <row r="56">
      <c r="A56" s="8">
        <f>'4.1'!A:A</f>
        <v>46267.60821</v>
      </c>
      <c r="B56" s="1" t="str">
        <f>'4.1'!B:B</f>
        <v>bnco1076@signalschool.ac.th</v>
      </c>
      <c r="C56" s="1" t="str">
        <f>'4.1'!C:C</f>
        <v>อจ.รร.สส.</v>
      </c>
      <c r="D56" s="9">
        <v>1.0</v>
      </c>
      <c r="E56" s="10">
        <f>IFERROR(vlookup('4.1'!D:D,lookup!$A$2:$B$4,2,false),0)</f>
        <v>5</v>
      </c>
      <c r="F56" s="10">
        <f>IFERROR(vlookup('4.1'!E:E,lookup!$A$6:$B$8,2,false),0)</f>
        <v>5</v>
      </c>
      <c r="G56" s="10">
        <f>IFERROR(vlookup('4.1'!F:F,lookup!$A$10:$B$12,2,false),0)</f>
        <v>5</v>
      </c>
      <c r="H56" s="10">
        <f>IFERROR(vlookup('4.1'!G:G,lookup!$A$14:$B$16,2,false),0)</f>
        <v>5</v>
      </c>
      <c r="I56" s="10">
        <f>IFERROR(vlookup('4.1'!H:H,lookup!$A$18:$B$20,2,false),0)</f>
        <v>5</v>
      </c>
      <c r="J56" s="10">
        <f>IFERROR(vlookup('4.1'!I:I,lookup!$A$22:$B$24,2,false),0)</f>
        <v>5</v>
      </c>
      <c r="K56" s="10">
        <f>IFERROR(vlookup('4.1'!J:J,lookup!$A$26:$B$28,2,false),0)</f>
        <v>5</v>
      </c>
      <c r="L56" s="13"/>
      <c r="M56" s="10">
        <v>55.0</v>
      </c>
      <c r="N56" s="11" t="str">
        <f t="shared" si="1"/>
        <v>bnco1055@signalschool.ac.th</v>
      </c>
      <c r="O56" s="12">
        <f t="shared" si="2"/>
        <v>1</v>
      </c>
      <c r="R56" s="6" t="s">
        <v>269</v>
      </c>
    </row>
    <row r="57">
      <c r="A57" s="8">
        <f>'4.1'!A:A</f>
        <v>46267.60955</v>
      </c>
      <c r="B57" s="1" t="str">
        <f>'4.1'!B:B</f>
        <v>bnco1062@signalschool.ac.th</v>
      </c>
      <c r="C57" s="1" t="str">
        <f>'4.1'!C:C</f>
        <v>ครู-อาจารย์ กศ.รร.ส.สส.</v>
      </c>
      <c r="D57" s="9">
        <v>1.0</v>
      </c>
      <c r="E57" s="10">
        <f>IFERROR(vlookup('4.1'!D:D,lookup!$A$2:$B$4,2,false),0)</f>
        <v>5</v>
      </c>
      <c r="F57" s="10">
        <f>IFERROR(vlookup('4.1'!E:E,lookup!$A$6:$B$8,2,false),0)</f>
        <v>5</v>
      </c>
      <c r="G57" s="10">
        <f>IFERROR(vlookup('4.1'!F:F,lookup!$A$10:$B$12,2,false),0)</f>
        <v>5</v>
      </c>
      <c r="H57" s="10">
        <f>IFERROR(vlookup('4.1'!G:G,lookup!$A$14:$B$16,2,false),0)</f>
        <v>5</v>
      </c>
      <c r="I57" s="10">
        <f>IFERROR(vlookup('4.1'!H:H,lookup!$A$18:$B$20,2,false),0)</f>
        <v>5</v>
      </c>
      <c r="J57" s="10">
        <f>IFERROR(vlookup('4.1'!I:I,lookup!$A$22:$B$24,2,false),0)</f>
        <v>5</v>
      </c>
      <c r="K57" s="10">
        <f>IFERROR(vlookup('4.1'!J:J,lookup!$A$26:$B$28,2,false),0)</f>
        <v>5</v>
      </c>
      <c r="L57" s="13"/>
      <c r="M57" s="10">
        <v>56.0</v>
      </c>
      <c r="N57" s="11" t="str">
        <f t="shared" si="1"/>
        <v>bnco1056@signalschool.ac.th</v>
      </c>
      <c r="O57" s="12">
        <f t="shared" si="2"/>
        <v>1</v>
      </c>
      <c r="R57" s="6" t="s">
        <v>270</v>
      </c>
    </row>
    <row r="58">
      <c r="A58" s="8">
        <f>'4.1'!A:A</f>
        <v>46267.61097</v>
      </c>
      <c r="B58" s="1" t="str">
        <f>'4.1'!B:B</f>
        <v>bnco1045@signalschool.ac.th</v>
      </c>
      <c r="C58" s="1" t="str">
        <f>'4.1'!C:C</f>
        <v>ครู-อาจารย์.กศ.รร.ส.สส.</v>
      </c>
      <c r="D58" s="9">
        <v>1.0</v>
      </c>
      <c r="E58" s="10">
        <f>IFERROR(vlookup('4.1'!D:D,lookup!$A$2:$B$4,2,false),0)</f>
        <v>5</v>
      </c>
      <c r="F58" s="10">
        <f>IFERROR(vlookup('4.1'!E:E,lookup!$A$6:$B$8,2,false),0)</f>
        <v>5</v>
      </c>
      <c r="G58" s="10">
        <f>IFERROR(vlookup('4.1'!F:F,lookup!$A$10:$B$12,2,false),0)</f>
        <v>5</v>
      </c>
      <c r="H58" s="10">
        <f>IFERROR(vlookup('4.1'!G:G,lookup!$A$14:$B$16,2,false),0)</f>
        <v>5</v>
      </c>
      <c r="I58" s="10">
        <f>IFERROR(vlookup('4.1'!H:H,lookup!$A$18:$B$20,2,false),0)</f>
        <v>5</v>
      </c>
      <c r="J58" s="10">
        <f>IFERROR(vlookup('4.1'!I:I,lookup!$A$22:$B$24,2,false),0)</f>
        <v>5</v>
      </c>
      <c r="K58" s="10">
        <f>IFERROR(vlookup('4.1'!J:J,lookup!$A$26:$B$28,2,false),0)</f>
        <v>5</v>
      </c>
      <c r="L58" s="13"/>
      <c r="M58" s="10">
        <v>57.0</v>
      </c>
      <c r="N58" s="11" t="str">
        <f t="shared" si="1"/>
        <v>bnco1057@signalschool.ac.th</v>
      </c>
      <c r="O58" s="12">
        <f t="shared" si="2"/>
        <v>1</v>
      </c>
      <c r="R58" s="6" t="s">
        <v>271</v>
      </c>
    </row>
    <row r="59">
      <c r="A59" s="8">
        <f>'4.1'!A:A</f>
        <v>46267.61138</v>
      </c>
      <c r="B59" s="1" t="str">
        <f>'4.1'!B:B</f>
        <v>bnco1001@signalschool.ac.th</v>
      </c>
      <c r="C59" s="1" t="str">
        <f>'4.1'!C:C</f>
        <v>ครู/อาจารย์</v>
      </c>
      <c r="D59" s="9">
        <v>1.0</v>
      </c>
      <c r="E59" s="10">
        <f>IFERROR(vlookup('4.1'!D:D,lookup!$A$2:$B$4,2,false),0)</f>
        <v>5</v>
      </c>
      <c r="F59" s="10">
        <f>IFERROR(vlookup('4.1'!E:E,lookup!$A$6:$B$8,2,false),0)</f>
        <v>5</v>
      </c>
      <c r="G59" s="10">
        <f>IFERROR(vlookup('4.1'!F:F,lookup!$A$10:$B$12,2,false),0)</f>
        <v>5</v>
      </c>
      <c r="H59" s="10">
        <f>IFERROR(vlookup('4.1'!G:G,lookup!$A$14:$B$16,2,false),0)</f>
        <v>5</v>
      </c>
      <c r="I59" s="10">
        <f>IFERROR(vlookup('4.1'!H:H,lookup!$A$18:$B$20,2,false),0)</f>
        <v>5</v>
      </c>
      <c r="J59" s="10">
        <f>IFERROR(vlookup('4.1'!I:I,lookup!$A$22:$B$24,2,false),0)</f>
        <v>5</v>
      </c>
      <c r="K59" s="10">
        <f>IFERROR(vlookup('4.1'!J:J,lookup!$A$26:$B$28,2,false),0)</f>
        <v>5</v>
      </c>
      <c r="L59" s="14"/>
      <c r="M59" s="10">
        <v>58.0</v>
      </c>
      <c r="N59" s="11" t="str">
        <f t="shared" si="1"/>
        <v>bnco1058@signalschool.ac.th</v>
      </c>
      <c r="O59" s="12">
        <f t="shared" si="2"/>
        <v>1</v>
      </c>
      <c r="R59" s="6" t="s">
        <v>272</v>
      </c>
    </row>
    <row r="60">
      <c r="A60" s="8">
        <f>'4.1'!A:A</f>
        <v>46267.61214</v>
      </c>
      <c r="B60" s="1" t="str">
        <f>'4.1'!B:B</f>
        <v>bnco1043@signalschool.ac.th</v>
      </c>
      <c r="C60" s="1" t="str">
        <f>'4.1'!C:C</f>
        <v>ครู - อาจารย์ กศ.รร.ส.สส.</v>
      </c>
      <c r="D60" s="9">
        <v>1.0</v>
      </c>
      <c r="E60" s="10">
        <f>IFERROR(vlookup('4.1'!D:D,lookup!$A$2:$B$4,2,false),0)</f>
        <v>5</v>
      </c>
      <c r="F60" s="10">
        <f>IFERROR(vlookup('4.1'!E:E,lookup!$A$6:$B$8,2,false),0)</f>
        <v>5</v>
      </c>
      <c r="G60" s="10">
        <f>IFERROR(vlookup('4.1'!F:F,lookup!$A$10:$B$12,2,false),0)</f>
        <v>5</v>
      </c>
      <c r="H60" s="10">
        <f>IFERROR(vlookup('4.1'!G:G,lookup!$A$14:$B$16,2,false),0)</f>
        <v>5</v>
      </c>
      <c r="I60" s="10">
        <f>IFERROR(vlookup('4.1'!H:H,lookup!$A$18:$B$20,2,false),0)</f>
        <v>5</v>
      </c>
      <c r="J60" s="10">
        <f>IFERROR(vlookup('4.1'!I:I,lookup!$A$22:$B$24,2,false),0)</f>
        <v>5</v>
      </c>
      <c r="K60" s="10">
        <f>IFERROR(vlookup('4.1'!J:J,lookup!$A$26:$B$28,2,false),0)</f>
        <v>5</v>
      </c>
      <c r="L60" s="10"/>
      <c r="M60" s="10">
        <v>59.0</v>
      </c>
      <c r="N60" s="11" t="str">
        <f t="shared" si="1"/>
        <v>bnco1059@signalschool.ac.th</v>
      </c>
      <c r="O60" s="12">
        <f t="shared" si="2"/>
        <v>0</v>
      </c>
      <c r="R60" s="6" t="s">
        <v>273</v>
      </c>
    </row>
    <row r="61">
      <c r="A61" s="8">
        <f>'4.1'!A:A</f>
        <v>46267.67792</v>
      </c>
      <c r="B61" s="1" t="str">
        <f>'4.1'!B:B</f>
        <v>bnco1011@signalschool.ac.th</v>
      </c>
      <c r="C61" s="1" t="str">
        <f>'4.1'!C:C</f>
        <v>ร.ต.วสันต์ ทัศนามล</v>
      </c>
      <c r="D61" s="9">
        <v>1.0</v>
      </c>
      <c r="E61" s="10">
        <f>IFERROR(vlookup('4.1'!D:D,lookup!$A$2:$B$4,2,false),0)</f>
        <v>5</v>
      </c>
      <c r="F61" s="10">
        <f>IFERROR(vlookup('4.1'!E:E,lookup!$A$6:$B$8,2,false),0)</f>
        <v>5</v>
      </c>
      <c r="G61" s="10">
        <f>IFERROR(vlookup('4.1'!F:F,lookup!$A$10:$B$12,2,false),0)</f>
        <v>5</v>
      </c>
      <c r="H61" s="10">
        <f>IFERROR(vlookup('4.1'!G:G,lookup!$A$14:$B$16,2,false),0)</f>
        <v>5</v>
      </c>
      <c r="I61" s="10">
        <f>IFERROR(vlookup('4.1'!H:H,lookup!$A$18:$B$20,2,false),0)</f>
        <v>5</v>
      </c>
      <c r="J61" s="10">
        <f>IFERROR(vlookup('4.1'!I:I,lookup!$A$22:$B$24,2,false),0)</f>
        <v>5</v>
      </c>
      <c r="K61" s="10">
        <f>IFERROR(vlookup('4.1'!J:J,lookup!$A$26:$B$28,2,false),0)</f>
        <v>5</v>
      </c>
      <c r="M61" s="10">
        <v>60.0</v>
      </c>
      <c r="N61" s="11" t="str">
        <f t="shared" si="1"/>
        <v>bnco1060@signalschool.ac.th</v>
      </c>
      <c r="O61" s="12">
        <f t="shared" si="2"/>
        <v>1</v>
      </c>
      <c r="R61" s="6" t="s">
        <v>274</v>
      </c>
    </row>
    <row r="62">
      <c r="A62" s="8">
        <f>'4.1'!A:A</f>
        <v>46267.85389</v>
      </c>
      <c r="B62" s="1" t="str">
        <f>'4.1'!B:B</f>
        <v>bnco1026@signalschool.ac.th</v>
      </c>
      <c r="C62" s="1" t="str">
        <f>'4.1'!C:C</f>
        <v>อาจารย์ผู้สอน</v>
      </c>
      <c r="D62" s="9">
        <v>1.0</v>
      </c>
      <c r="E62" s="10">
        <f>IFERROR(vlookup('4.1'!D:D,lookup!$A$2:$B$4,2,false),0)</f>
        <v>5</v>
      </c>
      <c r="F62" s="10">
        <f>IFERROR(vlookup('4.1'!E:E,lookup!$A$6:$B$8,2,false),0)</f>
        <v>5</v>
      </c>
      <c r="G62" s="10">
        <f>IFERROR(vlookup('4.1'!F:F,lookup!$A$10:$B$12,2,false),0)</f>
        <v>5</v>
      </c>
      <c r="H62" s="10">
        <f>IFERROR(vlookup('4.1'!G:G,lookup!$A$14:$B$16,2,false),0)</f>
        <v>5</v>
      </c>
      <c r="I62" s="10">
        <f>IFERROR(vlookup('4.1'!H:H,lookup!$A$18:$B$20,2,false),0)</f>
        <v>5</v>
      </c>
      <c r="J62" s="10">
        <f>IFERROR(vlookup('4.1'!I:I,lookup!$A$22:$B$24,2,false),0)</f>
        <v>5</v>
      </c>
      <c r="K62" s="10">
        <f>IFERROR(vlookup('4.1'!J:J,lookup!$A$26:$B$28,2,false),0)</f>
        <v>5</v>
      </c>
      <c r="M62" s="10">
        <v>61.0</v>
      </c>
      <c r="N62" s="11" t="str">
        <f t="shared" si="1"/>
        <v>bnco1061@signalschool.ac.th</v>
      </c>
      <c r="O62" s="12">
        <f t="shared" si="2"/>
        <v>1</v>
      </c>
      <c r="R62" s="6" t="s">
        <v>275</v>
      </c>
    </row>
    <row r="63">
      <c r="A63" s="8">
        <f>'4.1'!A:A</f>
        <v>46268.34786</v>
      </c>
      <c r="B63" s="1" t="str">
        <f>'4.1'!B:B</f>
        <v>bnco1040@signalschool.ac.th</v>
      </c>
      <c r="C63" s="1" t="str">
        <f>'4.1'!C:C</f>
        <v>ครู - อาจารย์ กศ.รร.ส.สส</v>
      </c>
      <c r="D63" s="9">
        <v>1.0</v>
      </c>
      <c r="E63" s="10">
        <f>IFERROR(vlookup('4.1'!D:D,lookup!$A$2:$B$4,2,false),0)</f>
        <v>5</v>
      </c>
      <c r="F63" s="10">
        <f>IFERROR(vlookup('4.1'!E:E,lookup!$A$6:$B$8,2,false),0)</f>
        <v>5</v>
      </c>
      <c r="G63" s="10">
        <f>IFERROR(vlookup('4.1'!F:F,lookup!$A$10:$B$12,2,false),0)</f>
        <v>5</v>
      </c>
      <c r="H63" s="10">
        <f>IFERROR(vlookup('4.1'!G:G,lookup!$A$14:$B$16,2,false),0)</f>
        <v>5</v>
      </c>
      <c r="I63" s="10">
        <f>IFERROR(vlookup('4.1'!H:H,lookup!$A$18:$B$20,2,false),0)</f>
        <v>5</v>
      </c>
      <c r="J63" s="10">
        <f>IFERROR(vlookup('4.1'!I:I,lookup!$A$22:$B$24,2,false),0)</f>
        <v>5</v>
      </c>
      <c r="K63" s="10">
        <f>IFERROR(vlookup('4.1'!J:J,lookup!$A$26:$B$28,2,false),0)</f>
        <v>5</v>
      </c>
      <c r="M63" s="10">
        <v>62.0</v>
      </c>
      <c r="N63" s="11" t="str">
        <f t="shared" si="1"/>
        <v>bnco1062@signalschool.ac.th</v>
      </c>
      <c r="O63" s="12">
        <f t="shared" si="2"/>
        <v>1</v>
      </c>
      <c r="R63" s="6" t="s">
        <v>276</v>
      </c>
    </row>
    <row r="64">
      <c r="A64" s="8" t="str">
        <f>'4.1'!A:A</f>
        <v/>
      </c>
      <c r="B64" s="1" t="str">
        <f>'4.1'!B:B</f>
        <v/>
      </c>
      <c r="C64" s="1" t="str">
        <f>'4.1'!C:C</f>
        <v/>
      </c>
      <c r="D64" s="9">
        <v>1.0</v>
      </c>
      <c r="E64" s="10">
        <f>IFERROR(vlookup('4.1'!D:D,lookup!$A$2:$B$4,2,false),0)</f>
        <v>0</v>
      </c>
      <c r="F64" s="10">
        <f>IFERROR(vlookup('4.1'!E:E,lookup!$A$6:$B$8,2,false),0)</f>
        <v>0</v>
      </c>
      <c r="G64" s="10">
        <f>IFERROR(vlookup('4.1'!F:F,lookup!$A$10:$B$12,2,false),0)</f>
        <v>0</v>
      </c>
      <c r="H64" s="10">
        <f>IFERROR(vlookup('4.1'!G:G,lookup!$A$14:$B$16,2,false),0)</f>
        <v>0</v>
      </c>
      <c r="I64" s="10">
        <f>IFERROR(vlookup('4.1'!H:H,lookup!$A$18:$B$20,2,false),0)</f>
        <v>0</v>
      </c>
      <c r="J64" s="10">
        <f>IFERROR(vlookup('4.1'!I:I,lookup!$A$22:$B$24,2,false),0)</f>
        <v>0</v>
      </c>
      <c r="K64" s="10">
        <f>IFERROR(vlookup('4.1'!J:J,lookup!$A$26:$B$28,2,false),0)</f>
        <v>0</v>
      </c>
      <c r="M64" s="10">
        <v>63.0</v>
      </c>
      <c r="N64" s="11" t="str">
        <f t="shared" si="1"/>
        <v>bnco1063@signalschool.ac.th</v>
      </c>
      <c r="O64" s="12">
        <f t="shared" si="2"/>
        <v>1</v>
      </c>
      <c r="R64" s="6" t="s">
        <v>277</v>
      </c>
    </row>
    <row r="65">
      <c r="A65" s="8" t="str">
        <f>'4.1'!A:A</f>
        <v/>
      </c>
      <c r="B65" s="1" t="str">
        <f>'4.1'!B:B</f>
        <v/>
      </c>
      <c r="C65" s="1" t="str">
        <f>'4.1'!C:C</f>
        <v/>
      </c>
      <c r="D65" s="9">
        <v>1.0</v>
      </c>
      <c r="E65" s="10">
        <f>IFERROR(vlookup('4.1'!D:D,lookup!$A$2:$B$4,2,false),0)</f>
        <v>0</v>
      </c>
      <c r="F65" s="10">
        <f>IFERROR(vlookup('4.1'!E:E,lookup!$A$6:$B$8,2,false),0)</f>
        <v>0</v>
      </c>
      <c r="G65" s="10">
        <f>IFERROR(vlookup('4.1'!F:F,lookup!$A$10:$B$12,2,false),0)</f>
        <v>0</v>
      </c>
      <c r="H65" s="10">
        <f>IFERROR(vlookup('4.1'!G:G,lookup!$A$14:$B$16,2,false),0)</f>
        <v>0</v>
      </c>
      <c r="I65" s="10">
        <f>IFERROR(vlookup('4.1'!H:H,lookup!$A$18:$B$20,2,false),0)</f>
        <v>0</v>
      </c>
      <c r="J65" s="10">
        <f>IFERROR(vlookup('4.1'!I:I,lookup!$A$22:$B$24,2,false),0)</f>
        <v>0</v>
      </c>
      <c r="K65" s="10">
        <f>IFERROR(vlookup('4.1'!J:J,lookup!$A$26:$B$28,2,false),0)</f>
        <v>0</v>
      </c>
      <c r="M65" s="10">
        <v>64.0</v>
      </c>
      <c r="N65" s="11" t="str">
        <f t="shared" si="1"/>
        <v>bnco1064@signalschool.ac.th</v>
      </c>
      <c r="O65" s="12">
        <f t="shared" si="2"/>
        <v>1</v>
      </c>
      <c r="R65" s="6" t="s">
        <v>278</v>
      </c>
    </row>
    <row r="66">
      <c r="A66" s="8" t="str">
        <f>'4.1'!A:A</f>
        <v/>
      </c>
      <c r="B66" s="1" t="str">
        <f>'4.1'!B:B</f>
        <v/>
      </c>
      <c r="C66" s="1" t="str">
        <f>'4.1'!C:C</f>
        <v/>
      </c>
      <c r="D66" s="9">
        <v>1.0</v>
      </c>
      <c r="E66" s="10">
        <f>IFERROR(vlookup('4.1'!D:D,lookup!$A$2:$B$4,2,false),0)</f>
        <v>0</v>
      </c>
      <c r="F66" s="10">
        <f>IFERROR(vlookup('4.1'!E:E,lookup!$A$6:$B$8,2,false),0)</f>
        <v>0</v>
      </c>
      <c r="G66" s="10">
        <f>IFERROR(vlookup('4.1'!F:F,lookup!$A$10:$B$12,2,false),0)</f>
        <v>0</v>
      </c>
      <c r="H66" s="10">
        <f>IFERROR(vlookup('4.1'!G:G,lookup!$A$14:$B$16,2,false),0)</f>
        <v>0</v>
      </c>
      <c r="I66" s="10">
        <f>IFERROR(vlookup('4.1'!H:H,lookup!$A$18:$B$20,2,false),0)</f>
        <v>0</v>
      </c>
      <c r="J66" s="10">
        <f>IFERROR(vlookup('4.1'!I:I,lookup!$A$22:$B$24,2,false),0)</f>
        <v>0</v>
      </c>
      <c r="K66" s="10">
        <f>IFERROR(vlookup('4.1'!J:J,lookup!$A$26:$B$28,2,false),0)</f>
        <v>0</v>
      </c>
      <c r="M66" s="10">
        <v>65.0</v>
      </c>
      <c r="N66" s="11" t="str">
        <f t="shared" si="1"/>
        <v>bnco1065@signalschool.ac.th</v>
      </c>
      <c r="O66" s="12">
        <f t="shared" si="2"/>
        <v>0</v>
      </c>
      <c r="R66" s="6" t="s">
        <v>279</v>
      </c>
    </row>
    <row r="67">
      <c r="A67" s="8" t="str">
        <f>'4.1'!A:A</f>
        <v/>
      </c>
      <c r="B67" s="1" t="str">
        <f>'4.1'!B:B</f>
        <v/>
      </c>
      <c r="C67" s="1" t="str">
        <f>'4.1'!C:C</f>
        <v/>
      </c>
      <c r="D67" s="9">
        <v>1.0</v>
      </c>
      <c r="E67" s="10">
        <f>IFERROR(vlookup('4.1'!D:D,lookup!$A$2:$B$4,2,false),0)</f>
        <v>0</v>
      </c>
      <c r="F67" s="10">
        <f>IFERROR(vlookup('4.1'!E:E,lookup!$A$6:$B$8,2,false),0)</f>
        <v>0</v>
      </c>
      <c r="G67" s="10">
        <f>IFERROR(vlookup('4.1'!F:F,lookup!$A$10:$B$12,2,false),0)</f>
        <v>0</v>
      </c>
      <c r="H67" s="10">
        <f>IFERROR(vlookup('4.1'!G:G,lookup!$A$14:$B$16,2,false),0)</f>
        <v>0</v>
      </c>
      <c r="I67" s="10">
        <f>IFERROR(vlookup('4.1'!H:H,lookup!$A$18:$B$20,2,false),0)</f>
        <v>0</v>
      </c>
      <c r="J67" s="10">
        <f>IFERROR(vlookup('4.1'!I:I,lookup!$A$22:$B$24,2,false),0)</f>
        <v>0</v>
      </c>
      <c r="K67" s="10">
        <f>IFERROR(vlookup('4.1'!J:J,lookup!$A$26:$B$28,2,false),0)</f>
        <v>0</v>
      </c>
      <c r="M67" s="10">
        <v>66.0</v>
      </c>
      <c r="N67" s="11" t="str">
        <f t="shared" si="1"/>
        <v>bnco1066@signalschool.ac.th</v>
      </c>
      <c r="O67" s="12">
        <f t="shared" si="2"/>
        <v>1</v>
      </c>
      <c r="R67" s="6" t="s">
        <v>280</v>
      </c>
    </row>
    <row r="68">
      <c r="A68" s="8" t="str">
        <f>'4.1'!A:A</f>
        <v/>
      </c>
      <c r="B68" s="1" t="str">
        <f>'4.1'!B:B</f>
        <v/>
      </c>
      <c r="C68" s="1" t="str">
        <f>'4.1'!C:C</f>
        <v/>
      </c>
      <c r="D68" s="9">
        <v>1.0</v>
      </c>
      <c r="E68" s="10">
        <f>IFERROR(vlookup('4.1'!D:D,lookup!$A$2:$B$4,2,false),0)</f>
        <v>0</v>
      </c>
      <c r="F68" s="10">
        <f>IFERROR(vlookup('4.1'!E:E,lookup!$A$6:$B$8,2,false),0)</f>
        <v>0</v>
      </c>
      <c r="G68" s="10">
        <f>IFERROR(vlookup('4.1'!F:F,lookup!$A$10:$B$12,2,false),0)</f>
        <v>0</v>
      </c>
      <c r="H68" s="10">
        <f>IFERROR(vlookup('4.1'!G:G,lookup!$A$14:$B$16,2,false),0)</f>
        <v>0</v>
      </c>
      <c r="I68" s="10">
        <f>IFERROR(vlookup('4.1'!H:H,lookup!$A$18:$B$20,2,false),0)</f>
        <v>0</v>
      </c>
      <c r="J68" s="10">
        <f>IFERROR(vlookup('4.1'!I:I,lookup!$A$22:$B$24,2,false),0)</f>
        <v>0</v>
      </c>
      <c r="K68" s="10">
        <f>IFERROR(vlookup('4.1'!J:J,lookup!$A$26:$B$28,2,false),0)</f>
        <v>0</v>
      </c>
      <c r="M68" s="10">
        <v>67.0</v>
      </c>
      <c r="N68" s="11" t="str">
        <f t="shared" si="1"/>
        <v>bnco1067@signalschool.ac.th</v>
      </c>
      <c r="O68" s="12">
        <f t="shared" si="2"/>
        <v>1</v>
      </c>
      <c r="R68" s="6" t="s">
        <v>281</v>
      </c>
    </row>
    <row r="69">
      <c r="A69" s="8" t="str">
        <f>'4.1'!A:A</f>
        <v/>
      </c>
      <c r="B69" s="1" t="str">
        <f>'4.1'!B:B</f>
        <v/>
      </c>
      <c r="C69" s="1" t="str">
        <f>'4.1'!C:C</f>
        <v/>
      </c>
      <c r="D69" s="9">
        <v>1.0</v>
      </c>
      <c r="E69" s="10">
        <f>IFERROR(vlookup('4.1'!D:D,lookup!$A$2:$B$4,2,false),0)</f>
        <v>0</v>
      </c>
      <c r="F69" s="10">
        <f>IFERROR(vlookup('4.1'!E:E,lookup!$A$6:$B$8,2,false),0)</f>
        <v>0</v>
      </c>
      <c r="G69" s="10">
        <f>IFERROR(vlookup('4.1'!F:F,lookup!$A$10:$B$12,2,false),0)</f>
        <v>0</v>
      </c>
      <c r="H69" s="10">
        <f>IFERROR(vlookup('4.1'!G:G,lookup!$A$14:$B$16,2,false),0)</f>
        <v>0</v>
      </c>
      <c r="I69" s="10">
        <f>IFERROR(vlookup('4.1'!H:H,lookup!$A$18:$B$20,2,false),0)</f>
        <v>0</v>
      </c>
      <c r="J69" s="10">
        <f>IFERROR(vlookup('4.1'!I:I,lookup!$A$22:$B$24,2,false),0)</f>
        <v>0</v>
      </c>
      <c r="K69" s="10">
        <f>IFERROR(vlookup('4.1'!J:J,lookup!$A$26:$B$28,2,false),0)</f>
        <v>0</v>
      </c>
      <c r="M69" s="10">
        <v>68.0</v>
      </c>
      <c r="N69" s="11" t="str">
        <f t="shared" si="1"/>
        <v>bnco1068@signalschool.ac.th</v>
      </c>
      <c r="O69" s="12">
        <f t="shared" si="2"/>
        <v>1</v>
      </c>
      <c r="R69" s="6" t="s">
        <v>282</v>
      </c>
    </row>
    <row r="70">
      <c r="A70" s="8" t="str">
        <f>'4.1'!A:A</f>
        <v/>
      </c>
      <c r="B70" s="1" t="str">
        <f>'4.1'!B:B</f>
        <v/>
      </c>
      <c r="C70" s="1" t="str">
        <f>'4.1'!C:C</f>
        <v/>
      </c>
      <c r="D70" s="9">
        <v>1.0</v>
      </c>
      <c r="E70" s="10">
        <f>IFERROR(vlookup('4.1'!D:D,lookup!$A$2:$B$4,2,false),0)</f>
        <v>0</v>
      </c>
      <c r="F70" s="10">
        <f>IFERROR(vlookup('4.1'!E:E,lookup!$A$6:$B$8,2,false),0)</f>
        <v>0</v>
      </c>
      <c r="G70" s="10">
        <f>IFERROR(vlookup('4.1'!F:F,lookup!$A$10:$B$12,2,false),0)</f>
        <v>0</v>
      </c>
      <c r="H70" s="10">
        <f>IFERROR(vlookup('4.1'!G:G,lookup!$A$14:$B$16,2,false),0)</f>
        <v>0</v>
      </c>
      <c r="I70" s="10">
        <f>IFERROR(vlookup('4.1'!H:H,lookup!$A$18:$B$20,2,false),0)</f>
        <v>0</v>
      </c>
      <c r="J70" s="10">
        <f>IFERROR(vlookup('4.1'!I:I,lookup!$A$22:$B$24,2,false),0)</f>
        <v>0</v>
      </c>
      <c r="K70" s="10">
        <f>IFERROR(vlookup('4.1'!J:J,lookup!$A$26:$B$28,2,false),0)</f>
        <v>0</v>
      </c>
      <c r="M70" s="10">
        <v>69.0</v>
      </c>
      <c r="N70" s="11" t="str">
        <f t="shared" si="1"/>
        <v>bnco1069@signalschool.ac.th</v>
      </c>
      <c r="O70" s="12">
        <f t="shared" si="2"/>
        <v>1</v>
      </c>
      <c r="R70" s="6" t="s">
        <v>283</v>
      </c>
    </row>
    <row r="71">
      <c r="A71" s="8" t="str">
        <f>'4.1'!A:A</f>
        <v/>
      </c>
      <c r="B71" s="1" t="str">
        <f>'4.1'!B:B</f>
        <v/>
      </c>
      <c r="C71" s="1" t="str">
        <f>'4.1'!C:C</f>
        <v/>
      </c>
      <c r="D71" s="9">
        <v>1.0</v>
      </c>
      <c r="E71" s="10">
        <f>IFERROR(vlookup('4.1'!D:D,lookup!$A$2:$B$4,2,false),0)</f>
        <v>0</v>
      </c>
      <c r="F71" s="10">
        <f>IFERROR(vlookup('4.1'!E:E,lookup!$A$6:$B$8,2,false),0)</f>
        <v>0</v>
      </c>
      <c r="G71" s="10">
        <f>IFERROR(vlookup('4.1'!F:F,lookup!$A$10:$B$12,2,false),0)</f>
        <v>0</v>
      </c>
      <c r="H71" s="10">
        <f>IFERROR(vlookup('4.1'!G:G,lookup!$A$14:$B$16,2,false),0)</f>
        <v>0</v>
      </c>
      <c r="I71" s="10">
        <f>IFERROR(vlookup('4.1'!H:H,lookup!$A$18:$B$20,2,false),0)</f>
        <v>0</v>
      </c>
      <c r="J71" s="10">
        <f>IFERROR(vlookup('4.1'!I:I,lookup!$A$22:$B$24,2,false),0)</f>
        <v>0</v>
      </c>
      <c r="K71" s="10">
        <f>IFERROR(vlookup('4.1'!J:J,lookup!$A$26:$B$28,2,false),0)</f>
        <v>0</v>
      </c>
      <c r="M71" s="10">
        <v>70.0</v>
      </c>
      <c r="N71" s="11" t="str">
        <f t="shared" si="1"/>
        <v>bnco1070@signalschool.ac.th</v>
      </c>
      <c r="O71" s="12">
        <f t="shared" si="2"/>
        <v>0</v>
      </c>
      <c r="R71" s="6" t="s">
        <v>284</v>
      </c>
    </row>
    <row r="72">
      <c r="A72" s="8" t="str">
        <f>'4.1'!A:A</f>
        <v/>
      </c>
      <c r="B72" s="1" t="str">
        <f>'4.1'!B:B</f>
        <v/>
      </c>
      <c r="C72" s="1" t="str">
        <f>'4.1'!C:C</f>
        <v/>
      </c>
      <c r="D72" s="9">
        <v>1.0</v>
      </c>
      <c r="E72" s="10">
        <f>IFERROR(vlookup('4.1'!D:D,lookup!$A$2:$B$4,2,false),0)</f>
        <v>0</v>
      </c>
      <c r="F72" s="10">
        <f>IFERROR(vlookup('4.1'!E:E,lookup!$A$6:$B$8,2,false),0)</f>
        <v>0</v>
      </c>
      <c r="G72" s="10">
        <f>IFERROR(vlookup('4.1'!F:F,lookup!$A$10:$B$12,2,false),0)</f>
        <v>0</v>
      </c>
      <c r="H72" s="10">
        <f>IFERROR(vlookup('4.1'!G:G,lookup!$A$14:$B$16,2,false),0)</f>
        <v>0</v>
      </c>
      <c r="I72" s="10">
        <f>IFERROR(vlookup('4.1'!H:H,lookup!$A$18:$B$20,2,false),0)</f>
        <v>0</v>
      </c>
      <c r="J72" s="10">
        <f>IFERROR(vlookup('4.1'!I:I,lookup!$A$22:$B$24,2,false),0)</f>
        <v>0</v>
      </c>
      <c r="K72" s="10">
        <f>IFERROR(vlookup('4.1'!J:J,lookup!$A$26:$B$28,2,false),0)</f>
        <v>0</v>
      </c>
      <c r="M72" s="10">
        <v>71.0</v>
      </c>
      <c r="N72" s="11" t="str">
        <f t="shared" si="1"/>
        <v>bnco1071@signalschool.ac.th</v>
      </c>
      <c r="O72" s="12">
        <f t="shared" si="2"/>
        <v>1</v>
      </c>
      <c r="R72" s="6" t="s">
        <v>285</v>
      </c>
    </row>
    <row r="73">
      <c r="A73" s="8" t="str">
        <f>'4.1'!A:A</f>
        <v/>
      </c>
      <c r="B73" s="1" t="str">
        <f>'4.1'!B:B</f>
        <v/>
      </c>
      <c r="C73" s="1" t="str">
        <f>'4.1'!C:C</f>
        <v/>
      </c>
      <c r="D73" s="9">
        <v>1.0</v>
      </c>
      <c r="E73" s="10">
        <f>IFERROR(vlookup('4.1'!D:D,lookup!$A$2:$B$4,2,false),0)</f>
        <v>0</v>
      </c>
      <c r="F73" s="10">
        <f>IFERROR(vlookup('4.1'!E:E,lookup!$A$6:$B$8,2,false),0)</f>
        <v>0</v>
      </c>
      <c r="G73" s="10">
        <f>IFERROR(vlookup('4.1'!F:F,lookup!$A$10:$B$12,2,false),0)</f>
        <v>0</v>
      </c>
      <c r="H73" s="10">
        <f>IFERROR(vlookup('4.1'!G:G,lookup!$A$14:$B$16,2,false),0)</f>
        <v>0</v>
      </c>
      <c r="I73" s="10">
        <f>IFERROR(vlookup('4.1'!H:H,lookup!$A$18:$B$20,2,false),0)</f>
        <v>0</v>
      </c>
      <c r="J73" s="10">
        <f>IFERROR(vlookup('4.1'!I:I,lookup!$A$22:$B$24,2,false),0)</f>
        <v>0</v>
      </c>
      <c r="K73" s="10">
        <f>IFERROR(vlookup('4.1'!J:J,lookup!$A$26:$B$28,2,false),0)</f>
        <v>0</v>
      </c>
      <c r="M73" s="10">
        <v>72.0</v>
      </c>
      <c r="N73" s="11" t="str">
        <f t="shared" si="1"/>
        <v>bnco1072@signalschool.ac.th</v>
      </c>
      <c r="O73" s="12">
        <f t="shared" si="2"/>
        <v>1</v>
      </c>
      <c r="R73" s="6" t="s">
        <v>286</v>
      </c>
    </row>
    <row r="74">
      <c r="A74" s="8" t="str">
        <f>'4.1'!A:A</f>
        <v/>
      </c>
      <c r="B74" s="1" t="str">
        <f>'4.1'!B:B</f>
        <v/>
      </c>
      <c r="C74" s="1" t="str">
        <f>'4.1'!C:C</f>
        <v/>
      </c>
      <c r="D74" s="9">
        <v>1.0</v>
      </c>
      <c r="E74" s="10">
        <f>IFERROR(vlookup('4.1'!D:D,lookup!$A$2:$B$4,2,false),0)</f>
        <v>0</v>
      </c>
      <c r="F74" s="10">
        <f>IFERROR(vlookup('4.1'!E:E,lookup!$A$6:$B$8,2,false),0)</f>
        <v>0</v>
      </c>
      <c r="G74" s="10">
        <f>IFERROR(vlookup('4.1'!F:F,lookup!$A$10:$B$12,2,false),0)</f>
        <v>0</v>
      </c>
      <c r="H74" s="10">
        <f>IFERROR(vlookup('4.1'!G:G,lookup!$A$14:$B$16,2,false),0)</f>
        <v>0</v>
      </c>
      <c r="I74" s="10">
        <f>IFERROR(vlookup('4.1'!H:H,lookup!$A$18:$B$20,2,false),0)</f>
        <v>0</v>
      </c>
      <c r="J74" s="10">
        <f>IFERROR(vlookup('4.1'!I:I,lookup!$A$22:$B$24,2,false),0)</f>
        <v>0</v>
      </c>
      <c r="K74" s="10">
        <f>IFERROR(vlookup('4.1'!J:J,lookup!$A$26:$B$28,2,false),0)</f>
        <v>0</v>
      </c>
      <c r="M74" s="10">
        <v>73.0</v>
      </c>
      <c r="N74" s="11" t="str">
        <f t="shared" si="1"/>
        <v>bnco1073@signalschool.ac.th</v>
      </c>
      <c r="O74" s="12">
        <f t="shared" si="2"/>
        <v>1</v>
      </c>
      <c r="R74" s="6" t="s">
        <v>287</v>
      </c>
    </row>
    <row r="75">
      <c r="A75" s="8" t="str">
        <f>'4.1'!A:A</f>
        <v/>
      </c>
      <c r="B75" s="1" t="str">
        <f>'4.1'!B:B</f>
        <v/>
      </c>
      <c r="C75" s="1" t="str">
        <f>'4.1'!C:C</f>
        <v/>
      </c>
      <c r="D75" s="9">
        <v>1.0</v>
      </c>
      <c r="E75" s="10">
        <f>IFERROR(vlookup('4.1'!D:D,lookup!$A$2:$B$4,2,false),0)</f>
        <v>0</v>
      </c>
      <c r="F75" s="10">
        <f>IFERROR(vlookup('4.1'!E:E,lookup!$A$6:$B$8,2,false),0)</f>
        <v>0</v>
      </c>
      <c r="G75" s="10">
        <f>IFERROR(vlookup('4.1'!F:F,lookup!$A$10:$B$12,2,false),0)</f>
        <v>0</v>
      </c>
      <c r="H75" s="10">
        <f>IFERROR(vlookup('4.1'!G:G,lookup!$A$14:$B$16,2,false),0)</f>
        <v>0</v>
      </c>
      <c r="I75" s="10">
        <f>IFERROR(vlookup('4.1'!H:H,lookup!$A$18:$B$20,2,false),0)</f>
        <v>0</v>
      </c>
      <c r="J75" s="10">
        <f>IFERROR(vlookup('4.1'!I:I,lookup!$A$22:$B$24,2,false),0)</f>
        <v>0</v>
      </c>
      <c r="K75" s="10">
        <f>IFERROR(vlookup('4.1'!J:J,lookup!$A$26:$B$28,2,false),0)</f>
        <v>0</v>
      </c>
      <c r="M75" s="10">
        <v>74.0</v>
      </c>
      <c r="N75" s="11" t="str">
        <f t="shared" si="1"/>
        <v>bnco1074@signalschool.ac.th</v>
      </c>
      <c r="O75" s="12">
        <f t="shared" si="2"/>
        <v>0</v>
      </c>
      <c r="R75" s="6" t="s">
        <v>288</v>
      </c>
    </row>
    <row r="76">
      <c r="A76" s="8" t="str">
        <f>'4.1'!A:A</f>
        <v/>
      </c>
      <c r="B76" s="1" t="str">
        <f>'4.1'!B:B</f>
        <v/>
      </c>
      <c r="C76" s="1" t="str">
        <f>'4.1'!C:C</f>
        <v/>
      </c>
      <c r="D76" s="9">
        <v>1.0</v>
      </c>
      <c r="E76" s="10">
        <f>IFERROR(vlookup('4.1'!D:D,lookup!$A$2:$B$4,2,false),0)</f>
        <v>0</v>
      </c>
      <c r="F76" s="10">
        <f>IFERROR(vlookup('4.1'!E:E,lookup!$A$6:$B$8,2,false),0)</f>
        <v>0</v>
      </c>
      <c r="G76" s="10">
        <f>IFERROR(vlookup('4.1'!F:F,lookup!$A$10:$B$12,2,false),0)</f>
        <v>0</v>
      </c>
      <c r="H76" s="10">
        <f>IFERROR(vlookup('4.1'!G:G,lookup!$A$14:$B$16,2,false),0)</f>
        <v>0</v>
      </c>
      <c r="I76" s="10">
        <f>IFERROR(vlookup('4.1'!H:H,lookup!$A$18:$B$20,2,false),0)</f>
        <v>0</v>
      </c>
      <c r="J76" s="10">
        <f>IFERROR(vlookup('4.1'!I:I,lookup!$A$22:$B$24,2,false),0)</f>
        <v>0</v>
      </c>
      <c r="K76" s="10">
        <f>IFERROR(vlookup('4.1'!J:J,lookup!$A$26:$B$28,2,false),0)</f>
        <v>0</v>
      </c>
      <c r="M76" s="10">
        <v>75.0</v>
      </c>
      <c r="N76" s="11" t="str">
        <f t="shared" si="1"/>
        <v>bnco1075@signalschool.ac.th</v>
      </c>
      <c r="O76" s="12">
        <f t="shared" si="2"/>
        <v>0</v>
      </c>
      <c r="R76" s="6" t="s">
        <v>289</v>
      </c>
    </row>
    <row r="77">
      <c r="A77" s="8" t="str">
        <f>'4.1'!A:A</f>
        <v/>
      </c>
      <c r="B77" s="1" t="str">
        <f>'4.1'!B:B</f>
        <v/>
      </c>
      <c r="C77" s="1" t="str">
        <f>'4.1'!C:C</f>
        <v/>
      </c>
      <c r="D77" s="9">
        <v>1.0</v>
      </c>
      <c r="E77" s="10">
        <f>IFERROR(vlookup('4.1'!D:D,lookup!$A$2:$B$4,2,false),0)</f>
        <v>0</v>
      </c>
      <c r="F77" s="10">
        <f>IFERROR(vlookup('4.1'!E:E,lookup!$A$6:$B$8,2,false),0)</f>
        <v>0</v>
      </c>
      <c r="G77" s="10">
        <f>IFERROR(vlookup('4.1'!F:F,lookup!$A$10:$B$12,2,false),0)</f>
        <v>0</v>
      </c>
      <c r="H77" s="10">
        <f>IFERROR(vlookup('4.1'!G:G,lookup!$A$14:$B$16,2,false),0)</f>
        <v>0</v>
      </c>
      <c r="I77" s="10">
        <f>IFERROR(vlookup('4.1'!H:H,lookup!$A$18:$B$20,2,false),0)</f>
        <v>0</v>
      </c>
      <c r="J77" s="10">
        <f>IFERROR(vlookup('4.1'!I:I,lookup!$A$22:$B$24,2,false),0)</f>
        <v>0</v>
      </c>
      <c r="K77" s="10">
        <f>IFERROR(vlookup('4.1'!J:J,lookup!$A$26:$B$28,2,false),0)</f>
        <v>0</v>
      </c>
      <c r="M77" s="10">
        <v>76.0</v>
      </c>
      <c r="N77" s="11" t="str">
        <f t="shared" si="1"/>
        <v>bnco1076@signalschool.ac.th</v>
      </c>
      <c r="O77" s="12">
        <f t="shared" si="2"/>
        <v>1</v>
      </c>
      <c r="R77" s="6" t="s">
        <v>290</v>
      </c>
    </row>
    <row r="78">
      <c r="A78" s="8" t="str">
        <f>'4.1'!A:A</f>
        <v/>
      </c>
      <c r="B78" s="1" t="str">
        <f>'4.1'!B:B</f>
        <v/>
      </c>
      <c r="C78" s="1" t="str">
        <f>'4.1'!C:C</f>
        <v/>
      </c>
      <c r="D78" s="9">
        <v>1.0</v>
      </c>
      <c r="E78" s="10">
        <f>IFERROR(vlookup('4.1'!D:D,lookup!$A$2:$B$4,2,false),0)</f>
        <v>0</v>
      </c>
      <c r="F78" s="10">
        <f>IFERROR(vlookup('4.1'!E:E,lookup!$A$6:$B$8,2,false),0)</f>
        <v>0</v>
      </c>
      <c r="G78" s="10">
        <f>IFERROR(vlookup('4.1'!F:F,lookup!$A$10:$B$12,2,false),0)</f>
        <v>0</v>
      </c>
      <c r="H78" s="10">
        <f>IFERROR(vlookup('4.1'!G:G,lookup!$A$14:$B$16,2,false),0)</f>
        <v>0</v>
      </c>
      <c r="I78" s="10">
        <f>IFERROR(vlookup('4.1'!H:H,lookup!$A$18:$B$20,2,false),0)</f>
        <v>0</v>
      </c>
      <c r="J78" s="10">
        <f>IFERROR(vlookup('4.1'!I:I,lookup!$A$22:$B$24,2,false),0)</f>
        <v>0</v>
      </c>
      <c r="K78" s="10">
        <f>IFERROR(vlookup('4.1'!J:J,lookup!$A$26:$B$28,2,false),0)</f>
        <v>0</v>
      </c>
      <c r="M78" s="10">
        <v>77.0</v>
      </c>
      <c r="N78" s="11" t="str">
        <f t="shared" si="1"/>
        <v>bnco1077@signalschool.ac.th</v>
      </c>
      <c r="O78" s="12">
        <f t="shared" si="2"/>
        <v>0</v>
      </c>
      <c r="R78" s="6" t="s">
        <v>291</v>
      </c>
    </row>
    <row r="79">
      <c r="A79" s="8" t="str">
        <f>'4.1'!A:A</f>
        <v/>
      </c>
      <c r="B79" s="1" t="str">
        <f>'4.1'!B:B</f>
        <v/>
      </c>
      <c r="C79" s="1" t="str">
        <f>'4.1'!C:C</f>
        <v/>
      </c>
      <c r="D79" s="9">
        <v>1.0</v>
      </c>
      <c r="E79" s="10">
        <f>IFERROR(vlookup('4.1'!D:D,lookup!$A$2:$B$4,2,false),0)</f>
        <v>0</v>
      </c>
      <c r="F79" s="10">
        <f>IFERROR(vlookup('4.1'!E:E,lookup!$A$6:$B$8,2,false),0)</f>
        <v>0</v>
      </c>
      <c r="G79" s="10">
        <f>IFERROR(vlookup('4.1'!F:F,lookup!$A$10:$B$12,2,false),0)</f>
        <v>0</v>
      </c>
      <c r="H79" s="10">
        <f>IFERROR(vlookup('4.1'!G:G,lookup!$A$14:$B$16,2,false),0)</f>
        <v>0</v>
      </c>
      <c r="I79" s="10">
        <f>IFERROR(vlookup('4.1'!H:H,lookup!$A$18:$B$20,2,false),0)</f>
        <v>0</v>
      </c>
      <c r="J79" s="10">
        <f>IFERROR(vlookup('4.1'!I:I,lookup!$A$22:$B$24,2,false),0)</f>
        <v>0</v>
      </c>
      <c r="K79" s="10">
        <f>IFERROR(vlookup('4.1'!J:J,lookup!$A$26:$B$28,2,false),0)</f>
        <v>0</v>
      </c>
      <c r="M79" s="10">
        <v>78.0</v>
      </c>
      <c r="N79" s="11" t="str">
        <f t="shared" si="1"/>
        <v>bnco1078@signalschool.ac.th</v>
      </c>
      <c r="O79" s="12">
        <f t="shared" si="2"/>
        <v>0</v>
      </c>
      <c r="R79" s="6" t="s">
        <v>292</v>
      </c>
    </row>
    <row r="80">
      <c r="A80" s="8" t="str">
        <f>'4.1'!A:A</f>
        <v/>
      </c>
      <c r="B80" s="1" t="str">
        <f>'4.1'!B:B</f>
        <v/>
      </c>
      <c r="C80" s="1" t="str">
        <f>'4.1'!C:C</f>
        <v/>
      </c>
      <c r="D80" s="9">
        <v>1.0</v>
      </c>
      <c r="E80" s="10">
        <f>IFERROR(vlookup('4.1'!D:D,lookup!$A$2:$B$4,2,false),0)</f>
        <v>0</v>
      </c>
      <c r="F80" s="10">
        <f>IFERROR(vlookup('4.1'!E:E,lookup!$A$6:$B$8,2,false),0)</f>
        <v>0</v>
      </c>
      <c r="G80" s="10">
        <f>IFERROR(vlookup('4.1'!F:F,lookup!$A$10:$B$12,2,false),0)</f>
        <v>0</v>
      </c>
      <c r="H80" s="10">
        <f>IFERROR(vlookup('4.1'!G:G,lookup!$A$14:$B$16,2,false),0)</f>
        <v>0</v>
      </c>
      <c r="I80" s="10">
        <f>IFERROR(vlookup('4.1'!H:H,lookup!$A$18:$B$20,2,false),0)</f>
        <v>0</v>
      </c>
      <c r="J80" s="10">
        <f>IFERROR(vlookup('4.1'!I:I,lookup!$A$22:$B$24,2,false),0)</f>
        <v>0</v>
      </c>
      <c r="K80" s="10">
        <f>IFERROR(vlookup('4.1'!J:J,lookup!$A$26:$B$28,2,false),0)</f>
        <v>0</v>
      </c>
      <c r="M80" s="10">
        <v>79.0</v>
      </c>
      <c r="N80" s="11" t="str">
        <f t="shared" si="1"/>
        <v>bnco1079@signalschool.ac.th</v>
      </c>
      <c r="O80" s="12">
        <f t="shared" si="2"/>
        <v>1</v>
      </c>
      <c r="R80" s="6" t="s">
        <v>293</v>
      </c>
    </row>
    <row r="81">
      <c r="A81" s="8" t="str">
        <f>'4.1'!A:A</f>
        <v/>
      </c>
      <c r="B81" s="1" t="str">
        <f>'4.1'!B:B</f>
        <v/>
      </c>
      <c r="C81" s="1" t="str">
        <f>'4.1'!C:C</f>
        <v/>
      </c>
      <c r="D81" s="9">
        <v>1.0</v>
      </c>
      <c r="E81" s="10">
        <f>IFERROR(vlookup('4.1'!D:D,lookup!$A$2:$B$4,2,false),0)</f>
        <v>0</v>
      </c>
      <c r="F81" s="10">
        <f>IFERROR(vlookup('4.1'!E:E,lookup!$A$6:$B$8,2,false),0)</f>
        <v>0</v>
      </c>
      <c r="G81" s="10">
        <f>IFERROR(vlookup('4.1'!F:F,lookup!$A$10:$B$12,2,false),0)</f>
        <v>0</v>
      </c>
      <c r="H81" s="10">
        <f>IFERROR(vlookup('4.1'!G:G,lookup!$A$14:$B$16,2,false),0)</f>
        <v>0</v>
      </c>
      <c r="I81" s="10">
        <f>IFERROR(vlookup('4.1'!H:H,lookup!$A$18:$B$20,2,false),0)</f>
        <v>0</v>
      </c>
      <c r="J81" s="10">
        <f>IFERROR(vlookup('4.1'!I:I,lookup!$A$22:$B$24,2,false),0)</f>
        <v>0</v>
      </c>
      <c r="K81" s="10">
        <f>IFERROR(vlookup('4.1'!J:J,lookup!$A$26:$B$28,2,false),0)</f>
        <v>0</v>
      </c>
      <c r="M81" s="10">
        <v>80.0</v>
      </c>
      <c r="N81" s="11" t="str">
        <f t="shared" si="1"/>
        <v>bnco1080@signalschool.ac.th</v>
      </c>
      <c r="O81" s="12">
        <f t="shared" si="2"/>
        <v>1</v>
      </c>
      <c r="R81" s="6" t="s">
        <v>294</v>
      </c>
    </row>
    <row r="82">
      <c r="A82" s="8" t="str">
        <f>'4.1'!A:A</f>
        <v/>
      </c>
      <c r="B82" s="1" t="str">
        <f>'4.1'!B:B</f>
        <v/>
      </c>
      <c r="C82" s="1" t="str">
        <f>'4.1'!C:C</f>
        <v/>
      </c>
      <c r="D82" s="9"/>
      <c r="E82" s="15"/>
      <c r="F82" s="15"/>
      <c r="G82" s="15"/>
      <c r="H82" s="15"/>
      <c r="I82" s="15"/>
      <c r="J82" s="15"/>
      <c r="K82" s="15"/>
    </row>
    <row r="83">
      <c r="A83" s="8" t="str">
        <f>'4.1'!A:A</f>
        <v/>
      </c>
      <c r="B83" s="1" t="str">
        <f>'4.1'!B:B</f>
        <v/>
      </c>
      <c r="C83" s="1" t="str">
        <f>'4.1'!C:C</f>
        <v/>
      </c>
      <c r="D83" s="9"/>
      <c r="E83" s="15"/>
      <c r="F83" s="15"/>
      <c r="G83" s="15"/>
      <c r="H83" s="15"/>
      <c r="I83" s="15"/>
      <c r="J83" s="15"/>
      <c r="K83" s="15"/>
    </row>
    <row r="84">
      <c r="A84" s="8" t="str">
        <f>'4.1'!A:A</f>
        <v/>
      </c>
      <c r="B84" s="1" t="str">
        <f>'4.1'!B:B</f>
        <v/>
      </c>
      <c r="C84" s="1" t="str">
        <f>'4.1'!C:C</f>
        <v/>
      </c>
      <c r="D84" s="9"/>
      <c r="E84" s="15"/>
      <c r="F84" s="15"/>
      <c r="G84" s="15"/>
      <c r="H84" s="15"/>
      <c r="I84" s="15"/>
      <c r="J84" s="15"/>
      <c r="K84" s="15"/>
    </row>
    <row r="85">
      <c r="A85" s="8" t="str">
        <f>'4.1'!A:A</f>
        <v/>
      </c>
      <c r="B85" s="1" t="str">
        <f>'4.1'!B:B</f>
        <v/>
      </c>
      <c r="C85" s="1" t="str">
        <f>'4.1'!C:C</f>
        <v/>
      </c>
      <c r="D85" s="9"/>
      <c r="E85" s="15"/>
      <c r="F85" s="15"/>
      <c r="G85" s="15"/>
      <c r="H85" s="15"/>
      <c r="I85" s="15"/>
      <c r="J85" s="15"/>
      <c r="K85" s="15"/>
    </row>
    <row r="86">
      <c r="A86" s="8" t="str">
        <f>'4.1'!A:A</f>
        <v/>
      </c>
      <c r="B86" s="1" t="str">
        <f>'4.1'!B:B</f>
        <v/>
      </c>
      <c r="C86" s="1" t="str">
        <f>'4.1'!C:C</f>
        <v/>
      </c>
      <c r="D86" s="9"/>
      <c r="E86" s="15"/>
      <c r="F86" s="15"/>
      <c r="G86" s="15"/>
      <c r="H86" s="15"/>
      <c r="I86" s="15"/>
      <c r="J86" s="15"/>
      <c r="K86" s="15"/>
    </row>
    <row r="87">
      <c r="A87" s="8" t="str">
        <f>'4.1'!A:A</f>
        <v/>
      </c>
      <c r="B87" s="1" t="str">
        <f>'4.1'!B:B</f>
        <v/>
      </c>
      <c r="C87" s="1" t="str">
        <f>'4.1'!C:C</f>
        <v/>
      </c>
      <c r="D87" s="9"/>
      <c r="E87" s="15"/>
      <c r="F87" s="15"/>
      <c r="G87" s="15"/>
      <c r="H87" s="15"/>
      <c r="I87" s="15"/>
      <c r="J87" s="15"/>
      <c r="K87" s="15"/>
    </row>
    <row r="88">
      <c r="A88" s="8" t="str">
        <f>'4.1'!A:A</f>
        <v/>
      </c>
      <c r="B88" s="1" t="str">
        <f>'4.1'!B:B</f>
        <v/>
      </c>
      <c r="C88" s="1" t="str">
        <f>'4.1'!C:C</f>
        <v/>
      </c>
      <c r="D88" s="9"/>
      <c r="E88" s="15"/>
      <c r="F88" s="15"/>
      <c r="G88" s="15"/>
      <c r="H88" s="15"/>
      <c r="I88" s="15"/>
      <c r="J88" s="15"/>
      <c r="K88" s="15"/>
    </row>
    <row r="89">
      <c r="A89" s="8" t="str">
        <f>'4.1'!A:A</f>
        <v/>
      </c>
      <c r="B89" s="1" t="str">
        <f>'4.1'!B:B</f>
        <v/>
      </c>
      <c r="C89" s="1" t="str">
        <f>'4.1'!C:C</f>
        <v/>
      </c>
      <c r="D89" s="9"/>
      <c r="E89" s="15"/>
      <c r="F89" s="15"/>
      <c r="G89" s="15"/>
      <c r="H89" s="15"/>
      <c r="I89" s="15"/>
      <c r="J89" s="15"/>
      <c r="K89" s="15"/>
    </row>
    <row r="90">
      <c r="A90" s="8" t="str">
        <f>'4.1'!A:A</f>
        <v/>
      </c>
      <c r="B90" s="1" t="str">
        <f>'4.1'!B:B</f>
        <v/>
      </c>
      <c r="C90" s="1" t="str">
        <f>'4.1'!C:C</f>
        <v/>
      </c>
      <c r="D90" s="9"/>
      <c r="E90" s="15"/>
      <c r="F90" s="15"/>
      <c r="G90" s="15"/>
      <c r="H90" s="15"/>
      <c r="I90" s="15"/>
      <c r="J90" s="15"/>
      <c r="K90" s="15"/>
    </row>
    <row r="91">
      <c r="A91" s="8" t="str">
        <f>'4.1'!A:A</f>
        <v/>
      </c>
      <c r="B91" s="1" t="str">
        <f>'4.1'!B:B</f>
        <v/>
      </c>
      <c r="C91" s="1" t="str">
        <f>'4.1'!C:C</f>
        <v/>
      </c>
      <c r="D91" s="9"/>
      <c r="E91" s="15"/>
      <c r="F91" s="15"/>
      <c r="G91" s="15"/>
      <c r="H91" s="15"/>
      <c r="I91" s="15"/>
      <c r="J91" s="15"/>
      <c r="K91" s="15"/>
    </row>
    <row r="92">
      <c r="A92" s="8" t="str">
        <f>'4.1'!A:A</f>
        <v/>
      </c>
      <c r="B92" s="1" t="str">
        <f>'4.1'!B:B</f>
        <v/>
      </c>
      <c r="C92" s="1" t="str">
        <f>'4.1'!C:C</f>
        <v/>
      </c>
      <c r="D92" s="9"/>
      <c r="E92" s="15"/>
      <c r="F92" s="15"/>
      <c r="G92" s="15"/>
      <c r="H92" s="15"/>
      <c r="I92" s="15"/>
      <c r="J92" s="15"/>
      <c r="K92" s="15"/>
    </row>
    <row r="93">
      <c r="A93" s="8" t="str">
        <f>'4.1'!A:A</f>
        <v/>
      </c>
      <c r="B93" s="1" t="str">
        <f>'4.1'!B:B</f>
        <v/>
      </c>
      <c r="C93" s="1" t="str">
        <f>'4.1'!C:C</f>
        <v/>
      </c>
      <c r="D93" s="9"/>
      <c r="E93" s="15"/>
      <c r="F93" s="15"/>
      <c r="G93" s="15"/>
      <c r="H93" s="15"/>
      <c r="I93" s="15"/>
      <c r="J93" s="15"/>
      <c r="K93" s="15"/>
    </row>
    <row r="94">
      <c r="A94" s="8" t="str">
        <f>'4.1'!A:A</f>
        <v/>
      </c>
      <c r="B94" s="1" t="str">
        <f>'4.1'!B:B</f>
        <v/>
      </c>
      <c r="C94" s="1" t="str">
        <f>'4.1'!C:C</f>
        <v/>
      </c>
      <c r="D94" s="9"/>
      <c r="E94" s="15"/>
      <c r="F94" s="15"/>
      <c r="G94" s="15"/>
      <c r="H94" s="15"/>
      <c r="I94" s="15"/>
      <c r="J94" s="15"/>
      <c r="K94" s="15"/>
    </row>
    <row r="95">
      <c r="A95" s="8" t="str">
        <f>'4.1'!A:A</f>
        <v/>
      </c>
      <c r="B95" s="1" t="str">
        <f>'4.1'!B:B</f>
        <v/>
      </c>
      <c r="C95" s="1" t="str">
        <f>'4.1'!C:C</f>
        <v/>
      </c>
      <c r="D95" s="9"/>
      <c r="E95" s="15"/>
      <c r="F95" s="15"/>
      <c r="G95" s="15"/>
      <c r="H95" s="15"/>
      <c r="I95" s="15"/>
      <c r="J95" s="15"/>
      <c r="K95" s="15"/>
    </row>
    <row r="96">
      <c r="A96" s="8" t="str">
        <f>'4.1'!A:A</f>
        <v/>
      </c>
      <c r="B96" s="1" t="str">
        <f>'4.1'!B:B</f>
        <v/>
      </c>
      <c r="C96" s="1" t="str">
        <f>'4.1'!C:C</f>
        <v/>
      </c>
      <c r="D96" s="9"/>
      <c r="E96" s="15"/>
      <c r="F96" s="15"/>
      <c r="G96" s="15"/>
      <c r="H96" s="15"/>
      <c r="I96" s="15"/>
      <c r="J96" s="15"/>
      <c r="K96" s="15"/>
    </row>
    <row r="97">
      <c r="A97" s="8" t="str">
        <f>'4.1'!A:A</f>
        <v/>
      </c>
      <c r="B97" s="1" t="str">
        <f>'4.1'!B:B</f>
        <v/>
      </c>
      <c r="C97" s="1" t="str">
        <f>'4.1'!C:C</f>
        <v/>
      </c>
      <c r="D97" s="9"/>
      <c r="E97" s="15"/>
      <c r="F97" s="15"/>
      <c r="G97" s="15"/>
      <c r="H97" s="15"/>
      <c r="I97" s="15"/>
      <c r="J97" s="15"/>
      <c r="K97" s="15"/>
    </row>
    <row r="98">
      <c r="A98" s="8" t="str">
        <f>'4.1'!A:A</f>
        <v/>
      </c>
      <c r="B98" s="1" t="str">
        <f>'4.1'!B:B</f>
        <v/>
      </c>
      <c r="C98" s="1" t="str">
        <f>'4.1'!C:C</f>
        <v/>
      </c>
      <c r="D98" s="9"/>
      <c r="E98" s="15"/>
      <c r="F98" s="15"/>
      <c r="G98" s="15"/>
      <c r="H98" s="15"/>
      <c r="I98" s="15"/>
      <c r="J98" s="15"/>
      <c r="K98" s="15"/>
    </row>
    <row r="99">
      <c r="A99" s="8" t="str">
        <f>'4.1'!A:A</f>
        <v/>
      </c>
      <c r="B99" s="1" t="str">
        <f>'4.1'!B:B</f>
        <v/>
      </c>
      <c r="C99" s="1" t="str">
        <f>'4.1'!C:C</f>
        <v/>
      </c>
      <c r="D99" s="9"/>
      <c r="E99" s="15"/>
      <c r="F99" s="15"/>
      <c r="G99" s="15"/>
      <c r="H99" s="15"/>
      <c r="I99" s="15"/>
      <c r="J99" s="15"/>
      <c r="K99" s="15"/>
    </row>
    <row r="100">
      <c r="A100" s="8" t="str">
        <f>'4.1'!A:A</f>
        <v/>
      </c>
      <c r="B100" s="1" t="str">
        <f>'4.1'!B:B</f>
        <v/>
      </c>
      <c r="C100" s="1" t="str">
        <f>'4.1'!C:C</f>
        <v/>
      </c>
      <c r="D100" s="9"/>
      <c r="E100" s="15"/>
      <c r="F100" s="15"/>
      <c r="G100" s="15"/>
      <c r="H100" s="15"/>
      <c r="I100" s="15"/>
      <c r="J100" s="15"/>
      <c r="K100" s="15"/>
    </row>
    <row r="101">
      <c r="A101" s="8" t="str">
        <f>'4.1'!A:A</f>
        <v/>
      </c>
      <c r="B101" s="1" t="str">
        <f>'4.1'!B:B</f>
        <v/>
      </c>
      <c r="C101" s="1" t="str">
        <f>'4.1'!C:C</f>
        <v/>
      </c>
      <c r="D101" s="9"/>
      <c r="E101" s="15"/>
      <c r="F101" s="15"/>
      <c r="G101" s="15"/>
      <c r="H101" s="15"/>
      <c r="I101" s="15"/>
      <c r="J101" s="15"/>
      <c r="K101" s="15"/>
      <c r="N101" s="1" t="s">
        <v>295</v>
      </c>
      <c r="O101" s="12">
        <f>SUM(O2:O81)</f>
        <v>61</v>
      </c>
    </row>
    <row r="102">
      <c r="C102" s="1"/>
      <c r="E102" s="14">
        <f t="shared" ref="E102:K102" si="3">AVERAGE(E2:E81)</f>
        <v>3.85</v>
      </c>
      <c r="F102" s="14">
        <f t="shared" si="3"/>
        <v>3.85</v>
      </c>
      <c r="G102" s="14">
        <f t="shared" si="3"/>
        <v>3.85</v>
      </c>
      <c r="H102" s="14">
        <f t="shared" si="3"/>
        <v>3.85</v>
      </c>
      <c r="I102" s="14">
        <f t="shared" si="3"/>
        <v>3.85</v>
      </c>
      <c r="J102" s="14">
        <f t="shared" si="3"/>
        <v>3.85</v>
      </c>
      <c r="K102" s="14">
        <f t="shared" si="3"/>
        <v>3.85</v>
      </c>
      <c r="L102" s="16">
        <f>AVERAGE(E102:K102)</f>
        <v>3.85</v>
      </c>
      <c r="N102" s="1" t="s">
        <v>296</v>
      </c>
      <c r="O102" s="12">
        <f>(O101*100)/80</f>
        <v>76.25</v>
      </c>
    </row>
    <row r="103">
      <c r="A103" s="8"/>
      <c r="C103" s="1"/>
    </row>
    <row r="104">
      <c r="A104" s="8"/>
      <c r="C104" s="1"/>
    </row>
    <row r="105">
      <c r="A105" s="8"/>
      <c r="C105" s="1"/>
    </row>
    <row r="106">
      <c r="A106" s="8"/>
      <c r="C106" s="1"/>
    </row>
    <row r="107">
      <c r="A107" s="8"/>
      <c r="C107" s="1"/>
    </row>
    <row r="108">
      <c r="A108" s="8"/>
      <c r="C108" s="1"/>
    </row>
    <row r="109">
      <c r="A109" s="8"/>
      <c r="C109" s="1"/>
    </row>
    <row r="110">
      <c r="A110" s="8"/>
      <c r="C110" s="1"/>
    </row>
    <row r="111">
      <c r="A111" s="8"/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</sheetData>
  <mergeCells count="1">
    <mergeCell ref="M1:O1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13"/>
    <col customWidth="1" min="2" max="6" width="12.63"/>
  </cols>
  <sheetData>
    <row r="1"/>
    <row r="2">
      <c r="A2" s="35" t="s">
        <v>13</v>
      </c>
      <c r="B2" s="36">
        <v>5.0</v>
      </c>
    </row>
    <row r="3">
      <c r="A3" s="37" t="s">
        <v>73</v>
      </c>
      <c r="B3" s="36">
        <v>3.0</v>
      </c>
    </row>
    <row r="4">
      <c r="A4" s="37" t="s">
        <v>611</v>
      </c>
      <c r="B4" s="36">
        <v>1.0</v>
      </c>
    </row>
    <row r="5">
      <c r="A5" s="35"/>
      <c r="B5" s="36"/>
    </row>
    <row r="6">
      <c r="A6" s="35" t="s">
        <v>14</v>
      </c>
      <c r="B6" s="36">
        <v>5.0</v>
      </c>
    </row>
    <row r="7">
      <c r="A7" s="37" t="s">
        <v>120</v>
      </c>
      <c r="B7" s="36">
        <v>3.0</v>
      </c>
    </row>
    <row r="8">
      <c r="A8" s="37" t="s">
        <v>442</v>
      </c>
      <c r="B8" s="36">
        <v>1.0</v>
      </c>
    </row>
    <row r="9"/>
    <row r="10">
      <c r="A10" s="35" t="s">
        <v>16</v>
      </c>
      <c r="B10" s="36">
        <v>5.0</v>
      </c>
    </row>
    <row r="11">
      <c r="A11" s="37" t="s">
        <v>54</v>
      </c>
      <c r="B11" s="36">
        <v>3.0</v>
      </c>
    </row>
    <row r="12">
      <c r="A12" s="37" t="s">
        <v>612</v>
      </c>
      <c r="B12" s="36">
        <v>1.0</v>
      </c>
    </row>
    <row r="13"/>
    <row r="14">
      <c r="A14" s="35" t="s">
        <v>17</v>
      </c>
      <c r="B14" s="36">
        <v>5.0</v>
      </c>
    </row>
    <row r="15">
      <c r="A15" s="37" t="s">
        <v>39</v>
      </c>
      <c r="B15" s="36">
        <v>3.0</v>
      </c>
    </row>
    <row r="16">
      <c r="A16" s="37" t="s">
        <v>613</v>
      </c>
      <c r="B16" s="36">
        <v>1.0</v>
      </c>
    </row>
    <row r="17"/>
    <row r="18">
      <c r="A18" s="35" t="s">
        <v>18</v>
      </c>
      <c r="B18" s="36">
        <v>5.0</v>
      </c>
    </row>
    <row r="19">
      <c r="A19" s="37" t="s">
        <v>614</v>
      </c>
      <c r="B19" s="36">
        <v>3.0</v>
      </c>
    </row>
    <row r="20">
      <c r="A20" s="37" t="s">
        <v>615</v>
      </c>
      <c r="B20" s="36">
        <v>1.0</v>
      </c>
    </row>
    <row r="21"/>
    <row r="22">
      <c r="A22" s="35" t="s">
        <v>616</v>
      </c>
      <c r="B22" s="36">
        <v>5.0</v>
      </c>
    </row>
    <row r="23">
      <c r="A23" s="37" t="s">
        <v>617</v>
      </c>
      <c r="B23" s="36">
        <v>3.0</v>
      </c>
    </row>
    <row r="24">
      <c r="A24" s="37" t="s">
        <v>618</v>
      </c>
      <c r="B24" s="36">
        <v>1.0</v>
      </c>
    </row>
    <row r="25"/>
    <row r="26">
      <c r="A26" s="35" t="s">
        <v>20</v>
      </c>
      <c r="B26" s="36">
        <v>5.0</v>
      </c>
    </row>
    <row r="27">
      <c r="A27" s="37" t="s">
        <v>56</v>
      </c>
      <c r="B27" s="36">
        <v>3.0</v>
      </c>
    </row>
    <row r="28">
      <c r="A28" s="37" t="s">
        <v>370</v>
      </c>
      <c r="B28" s="36">
        <v>1.0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7.38"/>
    <col customWidth="1" min="3" max="3" width="23.25"/>
    <col customWidth="1" min="4" max="4" width="24.75"/>
    <col customWidth="1" min="5" max="5" width="5.13"/>
    <col customWidth="1" min="6" max="8" width="6.0"/>
    <col customWidth="1" min="9" max="15" width="5.13"/>
    <col customWidth="1" min="16" max="16" width="6.0"/>
    <col customWidth="1" min="17" max="20" width="5.13"/>
  </cols>
  <sheetData>
    <row r="1">
      <c r="A1" s="38" t="s">
        <v>619</v>
      </c>
      <c r="B1" s="39"/>
      <c r="C1" s="40" t="s">
        <v>15</v>
      </c>
      <c r="D1" s="41"/>
      <c r="E1" s="42" t="s">
        <v>620</v>
      </c>
      <c r="F1" s="42" t="s">
        <v>621</v>
      </c>
      <c r="G1" s="42" t="s">
        <v>622</v>
      </c>
      <c r="H1" s="42" t="s">
        <v>623</v>
      </c>
      <c r="I1" s="42" t="s">
        <v>624</v>
      </c>
      <c r="J1" s="42" t="s">
        <v>625</v>
      </c>
      <c r="K1" s="42" t="s">
        <v>626</v>
      </c>
      <c r="L1" s="42" t="s">
        <v>627</v>
      </c>
      <c r="M1" s="42" t="s">
        <v>628</v>
      </c>
      <c r="N1" s="42" t="s">
        <v>629</v>
      </c>
      <c r="O1" s="42" t="s">
        <v>630</v>
      </c>
      <c r="P1" s="42" t="s">
        <v>631</v>
      </c>
      <c r="Q1" s="42" t="s">
        <v>632</v>
      </c>
      <c r="R1" s="42" t="s">
        <v>633</v>
      </c>
      <c r="S1" s="42" t="s">
        <v>634</v>
      </c>
      <c r="T1" s="42" t="s">
        <v>635</v>
      </c>
    </row>
    <row r="2">
      <c r="A2" s="43">
        <v>1.0</v>
      </c>
      <c r="B2" s="44" t="s">
        <v>91</v>
      </c>
      <c r="C2" s="45" t="s">
        <v>636</v>
      </c>
      <c r="D2" s="46" t="str">
        <f t="shared" ref="D2:D81" si="1">CONCAT(B2,"@signalschool.ac.th")</f>
        <v>bnco1001@signalschool.ac.th</v>
      </c>
      <c r="E2" s="47">
        <f>'ค่า 1.1'!O2</f>
        <v>1</v>
      </c>
      <c r="F2" s="45">
        <f>'ค่า 1.3'!O2</f>
        <v>1</v>
      </c>
      <c r="G2" s="45">
        <f>'ค่า 1.2'!O2</f>
        <v>1</v>
      </c>
      <c r="H2" s="45">
        <f>'ค่า 1.4'!O2</f>
        <v>1</v>
      </c>
      <c r="I2" s="45">
        <f>'ค่า 1.5'!O2</f>
        <v>1</v>
      </c>
      <c r="J2" s="45">
        <f>'ค่า 1.6'!O2</f>
        <v>1</v>
      </c>
      <c r="K2" s="45">
        <f>'ค่า 1.7'!O2</f>
        <v>1</v>
      </c>
      <c r="L2" s="45">
        <f>'ค่า 1.8'!O2</f>
        <v>1</v>
      </c>
      <c r="M2" s="45">
        <f>'ค่า 1.9'!O2</f>
        <v>1</v>
      </c>
      <c r="N2" s="45">
        <f>'ค่า 2.1'!O2</f>
        <v>1</v>
      </c>
      <c r="O2" s="45">
        <f>'ค่า 2.2'!O2</f>
        <v>1</v>
      </c>
      <c r="P2" s="45">
        <f>'ค่า 2.3'!O2</f>
        <v>1</v>
      </c>
      <c r="Q2" s="45">
        <f>'ค่า 2.4'!O2</f>
        <v>1</v>
      </c>
      <c r="R2" s="45">
        <f>'ค่า 3.1'!O2</f>
        <v>1</v>
      </c>
      <c r="S2" s="45">
        <f>'ค่า 3.2'!O2</f>
        <v>1</v>
      </c>
      <c r="T2" s="45">
        <f>'ค่า 4.1'!O2</f>
        <v>1</v>
      </c>
    </row>
    <row r="3">
      <c r="A3" s="43">
        <v>2.0</v>
      </c>
      <c r="B3" s="44" t="s">
        <v>123</v>
      </c>
      <c r="C3" s="45" t="s">
        <v>637</v>
      </c>
      <c r="D3" s="46" t="str">
        <f t="shared" si="1"/>
        <v>bnco1002@signalschool.ac.th</v>
      </c>
      <c r="E3" s="47">
        <f>'ค่า 1.1'!O3</f>
        <v>1</v>
      </c>
      <c r="F3" s="45">
        <f>'ค่า 1.3'!O3</f>
        <v>1</v>
      </c>
      <c r="G3" s="45">
        <f>'ค่า 1.2'!O3</f>
        <v>1</v>
      </c>
      <c r="H3" s="45">
        <f>'ค่า 1.4'!O3</f>
        <v>1</v>
      </c>
      <c r="I3" s="45">
        <f>'ค่า 1.5'!O3</f>
        <v>1</v>
      </c>
      <c r="J3" s="45">
        <f>'ค่า 1.6'!O3</f>
        <v>1</v>
      </c>
      <c r="K3" s="45">
        <f>'ค่า 1.7'!O3</f>
        <v>1</v>
      </c>
      <c r="L3" s="45">
        <f>'ค่า 1.8'!O3</f>
        <v>1</v>
      </c>
      <c r="M3" s="45">
        <f>'ค่า 1.9'!O3</f>
        <v>1</v>
      </c>
      <c r="N3" s="45">
        <f>'ค่า 2.1'!O3</f>
        <v>1</v>
      </c>
      <c r="O3" s="45">
        <f>'ค่า 2.2'!O3</f>
        <v>1</v>
      </c>
      <c r="P3" s="45">
        <f>'ค่า 2.3'!O3</f>
        <v>1</v>
      </c>
      <c r="Q3" s="45">
        <f>'ค่า 2.4'!O3</f>
        <v>1</v>
      </c>
      <c r="R3" s="45">
        <f>'ค่า 3.1'!O3</f>
        <v>1</v>
      </c>
      <c r="S3" s="45">
        <f>'ค่า 3.2'!O3</f>
        <v>1</v>
      </c>
      <c r="T3" s="45">
        <f>'ค่า 4.1'!O3</f>
        <v>1</v>
      </c>
    </row>
    <row r="4">
      <c r="A4" s="43">
        <v>3.0</v>
      </c>
      <c r="B4" s="44" t="s">
        <v>141</v>
      </c>
      <c r="C4" s="45" t="s">
        <v>638</v>
      </c>
      <c r="D4" s="46" t="str">
        <f t="shared" si="1"/>
        <v>bnco1003@signalschool.ac.th</v>
      </c>
      <c r="E4" s="47">
        <f>'ค่า 1.1'!O4</f>
        <v>1</v>
      </c>
      <c r="F4" s="45">
        <f>'ค่า 1.3'!O4</f>
        <v>1</v>
      </c>
      <c r="G4" s="45">
        <f>'ค่า 1.2'!O4</f>
        <v>1</v>
      </c>
      <c r="H4" s="45">
        <f>'ค่า 1.4'!O4</f>
        <v>1</v>
      </c>
      <c r="I4" s="45">
        <f>'ค่า 1.5'!O4</f>
        <v>1</v>
      </c>
      <c r="J4" s="45">
        <f>'ค่า 1.6'!O4</f>
        <v>1</v>
      </c>
      <c r="K4" s="45">
        <f>'ค่า 1.7'!O4</f>
        <v>1</v>
      </c>
      <c r="L4" s="45">
        <f>'ค่า 1.8'!O4</f>
        <v>1</v>
      </c>
      <c r="M4" s="45">
        <f>'ค่า 1.9'!O4</f>
        <v>1</v>
      </c>
      <c r="N4" s="45">
        <f>'ค่า 2.1'!O4</f>
        <v>1</v>
      </c>
      <c r="O4" s="45">
        <f>'ค่า 2.2'!O4</f>
        <v>1</v>
      </c>
      <c r="P4" s="45">
        <f>'ค่า 2.3'!O4</f>
        <v>1</v>
      </c>
      <c r="Q4" s="45">
        <f>'ค่า 2.4'!O4</f>
        <v>1</v>
      </c>
      <c r="R4" s="45">
        <f>'ค่า 3.1'!O4</f>
        <v>1</v>
      </c>
      <c r="S4" s="45">
        <f>'ค่า 3.2'!O4</f>
        <v>1</v>
      </c>
      <c r="T4" s="45">
        <f>'ค่า 4.1'!O4</f>
        <v>0</v>
      </c>
    </row>
    <row r="5">
      <c r="A5" s="43">
        <v>4.0</v>
      </c>
      <c r="B5" s="44" t="s">
        <v>143</v>
      </c>
      <c r="C5" s="48" t="s">
        <v>639</v>
      </c>
      <c r="D5" s="46" t="str">
        <f t="shared" si="1"/>
        <v>bnco1004@signalschool.ac.th</v>
      </c>
      <c r="E5" s="47">
        <f>'ค่า 1.1'!O5</f>
        <v>1</v>
      </c>
      <c r="F5" s="45">
        <f>'ค่า 1.3'!O5</f>
        <v>1</v>
      </c>
      <c r="G5" s="45">
        <f>'ค่า 1.2'!O5</f>
        <v>1</v>
      </c>
      <c r="H5" s="45">
        <f>'ค่า 1.4'!O5</f>
        <v>1</v>
      </c>
      <c r="I5" s="45">
        <f>'ค่า 1.5'!O5</f>
        <v>1</v>
      </c>
      <c r="J5" s="45">
        <f>'ค่า 1.6'!O5</f>
        <v>1</v>
      </c>
      <c r="K5" s="45">
        <f>'ค่า 1.7'!O5</f>
        <v>1</v>
      </c>
      <c r="L5" s="45">
        <f>'ค่า 1.8'!O5</f>
        <v>1</v>
      </c>
      <c r="M5" s="45">
        <f>'ค่า 1.9'!O5</f>
        <v>1</v>
      </c>
      <c r="N5" s="45">
        <f>'ค่า 2.1'!O5</f>
        <v>1</v>
      </c>
      <c r="O5" s="45">
        <f>'ค่า 2.2'!O5</f>
        <v>1</v>
      </c>
      <c r="P5" s="45">
        <f>'ค่า 2.3'!O5</f>
        <v>1</v>
      </c>
      <c r="Q5" s="45">
        <f>'ค่า 2.4'!O5</f>
        <v>1</v>
      </c>
      <c r="R5" s="45">
        <f>'ค่า 3.1'!O5</f>
        <v>1</v>
      </c>
      <c r="S5" s="45">
        <f>'ค่า 3.2'!O5</f>
        <v>1</v>
      </c>
      <c r="T5" s="45">
        <f>'ค่า 4.1'!O5</f>
        <v>1</v>
      </c>
    </row>
    <row r="6">
      <c r="A6" s="43">
        <v>5.0</v>
      </c>
      <c r="B6" s="44" t="s">
        <v>144</v>
      </c>
      <c r="C6" s="45" t="s">
        <v>640</v>
      </c>
      <c r="D6" s="46" t="str">
        <f t="shared" si="1"/>
        <v>bnco1005@signalschool.ac.th</v>
      </c>
      <c r="E6" s="47">
        <f>'ค่า 1.1'!O6</f>
        <v>1</v>
      </c>
      <c r="F6" s="45">
        <f>'ค่า 1.3'!O6</f>
        <v>1</v>
      </c>
      <c r="G6" s="45">
        <f>'ค่า 1.2'!O6</f>
        <v>1</v>
      </c>
      <c r="H6" s="45">
        <f>'ค่า 1.4'!O6</f>
        <v>1</v>
      </c>
      <c r="I6" s="45">
        <f>'ค่า 1.5'!O6</f>
        <v>1</v>
      </c>
      <c r="J6" s="45">
        <f>'ค่า 1.6'!O6</f>
        <v>1</v>
      </c>
      <c r="K6" s="45">
        <f>'ค่า 1.7'!O6</f>
        <v>1</v>
      </c>
      <c r="L6" s="45">
        <f>'ค่า 1.8'!O6</f>
        <v>1</v>
      </c>
      <c r="M6" s="45">
        <f>'ค่า 1.9'!O6</f>
        <v>1</v>
      </c>
      <c r="N6" s="45">
        <f>'ค่า 2.1'!O6</f>
        <v>0</v>
      </c>
      <c r="O6" s="45">
        <f>'ค่า 2.2'!O6</f>
        <v>0</v>
      </c>
      <c r="P6" s="45">
        <f>'ค่า 2.3'!O6</f>
        <v>0</v>
      </c>
      <c r="Q6" s="45">
        <f>'ค่า 2.4'!O6</f>
        <v>0</v>
      </c>
      <c r="R6" s="45">
        <f>'ค่า 3.1'!O6</f>
        <v>0</v>
      </c>
      <c r="S6" s="45">
        <f>'ค่า 3.2'!O6</f>
        <v>1</v>
      </c>
      <c r="T6" s="45">
        <f>'ค่า 4.1'!O6</f>
        <v>1</v>
      </c>
    </row>
    <row r="7">
      <c r="A7" s="43">
        <v>6.0</v>
      </c>
      <c r="B7" s="44" t="s">
        <v>145</v>
      </c>
      <c r="C7" s="45" t="s">
        <v>641</v>
      </c>
      <c r="D7" s="46" t="str">
        <f t="shared" si="1"/>
        <v>bnco1006@signalschool.ac.th</v>
      </c>
      <c r="E7" s="47">
        <f>'ค่า 1.1'!O7</f>
        <v>1</v>
      </c>
      <c r="F7" s="45">
        <f>'ค่า 1.3'!O7</f>
        <v>1</v>
      </c>
      <c r="G7" s="45">
        <f>'ค่า 1.2'!O7</f>
        <v>1</v>
      </c>
      <c r="H7" s="45">
        <f>'ค่า 1.4'!O7</f>
        <v>1</v>
      </c>
      <c r="I7" s="45">
        <f>'ค่า 1.5'!O7</f>
        <v>1</v>
      </c>
      <c r="J7" s="45">
        <f>'ค่า 1.6'!O7</f>
        <v>1</v>
      </c>
      <c r="K7" s="45">
        <f>'ค่า 1.7'!O7</f>
        <v>1</v>
      </c>
      <c r="L7" s="45">
        <f>'ค่า 1.8'!O7</f>
        <v>1</v>
      </c>
      <c r="M7" s="45">
        <f>'ค่า 1.9'!O7</f>
        <v>1</v>
      </c>
      <c r="N7" s="45">
        <f>'ค่า 2.1'!O7</f>
        <v>1</v>
      </c>
      <c r="O7" s="45">
        <f>'ค่า 2.2'!O7</f>
        <v>1</v>
      </c>
      <c r="P7" s="45">
        <f>'ค่า 2.3'!O7</f>
        <v>1</v>
      </c>
      <c r="Q7" s="45">
        <f>'ค่า 2.4'!O7</f>
        <v>1</v>
      </c>
      <c r="R7" s="45">
        <f>'ค่า 3.1'!O7</f>
        <v>1</v>
      </c>
      <c r="S7" s="45">
        <f>'ค่า 3.2'!O7</f>
        <v>1</v>
      </c>
      <c r="T7" s="45">
        <f>'ค่า 4.1'!O7</f>
        <v>1</v>
      </c>
    </row>
    <row r="8">
      <c r="A8" s="43">
        <v>7.0</v>
      </c>
      <c r="B8" s="44" t="s">
        <v>155</v>
      </c>
      <c r="C8" s="45" t="s">
        <v>642</v>
      </c>
      <c r="D8" s="46" t="str">
        <f t="shared" si="1"/>
        <v>bnco1007@signalschool.ac.th</v>
      </c>
      <c r="E8" s="47">
        <f>'ค่า 1.1'!O8</f>
        <v>0</v>
      </c>
      <c r="F8" s="45">
        <f>'ค่า 1.3'!O8</f>
        <v>1</v>
      </c>
      <c r="G8" s="45">
        <f>'ค่า 1.2'!O8</f>
        <v>0</v>
      </c>
      <c r="H8" s="45">
        <f>'ค่า 1.4'!O8</f>
        <v>0</v>
      </c>
      <c r="I8" s="45">
        <f>'ค่า 1.5'!O8</f>
        <v>0</v>
      </c>
      <c r="J8" s="45">
        <f>'ค่า 1.6'!O8</f>
        <v>1</v>
      </c>
      <c r="K8" s="45">
        <f>'ค่า 1.7'!O8</f>
        <v>1</v>
      </c>
      <c r="L8" s="45">
        <f>'ค่า 1.8'!O8</f>
        <v>0</v>
      </c>
      <c r="M8" s="45">
        <f>'ค่า 1.9'!O8</f>
        <v>0</v>
      </c>
      <c r="N8" s="45">
        <f>'ค่า 2.1'!O8</f>
        <v>0</v>
      </c>
      <c r="O8" s="45">
        <f>'ค่า 2.2'!O8</f>
        <v>0</v>
      </c>
      <c r="P8" s="45">
        <f>'ค่า 2.3'!O8</f>
        <v>0</v>
      </c>
      <c r="Q8" s="45">
        <f>'ค่า 2.4'!O8</f>
        <v>0</v>
      </c>
      <c r="R8" s="45">
        <f>'ค่า 3.1'!O8</f>
        <v>0</v>
      </c>
      <c r="S8" s="45">
        <f>'ค่า 3.2'!O8</f>
        <v>0</v>
      </c>
      <c r="T8" s="45">
        <f>'ค่า 4.1'!O8</f>
        <v>0</v>
      </c>
    </row>
    <row r="9">
      <c r="A9" s="43">
        <v>8.0</v>
      </c>
      <c r="B9" s="44" t="s">
        <v>166</v>
      </c>
      <c r="C9" s="45" t="s">
        <v>643</v>
      </c>
      <c r="D9" s="46" t="str">
        <f t="shared" si="1"/>
        <v>bnco1008@signalschool.ac.th</v>
      </c>
      <c r="E9" s="47">
        <f>'ค่า 1.1'!O9</f>
        <v>1</v>
      </c>
      <c r="F9" s="45">
        <f>'ค่า 1.3'!O9</f>
        <v>1</v>
      </c>
      <c r="G9" s="45">
        <f>'ค่า 1.2'!O9</f>
        <v>1</v>
      </c>
      <c r="H9" s="45">
        <f>'ค่า 1.4'!O9</f>
        <v>1</v>
      </c>
      <c r="I9" s="45">
        <f>'ค่า 1.5'!O9</f>
        <v>1</v>
      </c>
      <c r="J9" s="45">
        <f>'ค่า 1.6'!O9</f>
        <v>1</v>
      </c>
      <c r="K9" s="45">
        <f>'ค่า 1.7'!O9</f>
        <v>1</v>
      </c>
      <c r="L9" s="45">
        <f>'ค่า 1.8'!O9</f>
        <v>1</v>
      </c>
      <c r="M9" s="45">
        <f>'ค่า 1.9'!O9</f>
        <v>1</v>
      </c>
      <c r="N9" s="45">
        <f>'ค่า 2.1'!O9</f>
        <v>1</v>
      </c>
      <c r="O9" s="45">
        <f>'ค่า 2.2'!O9</f>
        <v>1</v>
      </c>
      <c r="P9" s="45">
        <f>'ค่า 2.3'!O9</f>
        <v>1</v>
      </c>
      <c r="Q9" s="45">
        <f>'ค่า 2.4'!O9</f>
        <v>1</v>
      </c>
      <c r="R9" s="45">
        <f>'ค่า 3.1'!O9</f>
        <v>1</v>
      </c>
      <c r="S9" s="45">
        <f>'ค่า 3.2'!O9</f>
        <v>1</v>
      </c>
      <c r="T9" s="45">
        <f>'ค่า 4.1'!O9</f>
        <v>1</v>
      </c>
    </row>
    <row r="10">
      <c r="A10" s="43">
        <v>9.0</v>
      </c>
      <c r="B10" s="44" t="s">
        <v>175</v>
      </c>
      <c r="C10" s="45" t="s">
        <v>644</v>
      </c>
      <c r="D10" s="46" t="str">
        <f t="shared" si="1"/>
        <v>bnco1009@signalschool.ac.th</v>
      </c>
      <c r="E10" s="47">
        <f>'ค่า 1.1'!O10</f>
        <v>1</v>
      </c>
      <c r="F10" s="45">
        <f>'ค่า 1.3'!O10</f>
        <v>1</v>
      </c>
      <c r="G10" s="45">
        <f>'ค่า 1.2'!O10</f>
        <v>1</v>
      </c>
      <c r="H10" s="45">
        <f>'ค่า 1.4'!O10</f>
        <v>1</v>
      </c>
      <c r="I10" s="45">
        <f>'ค่า 1.5'!O10</f>
        <v>1</v>
      </c>
      <c r="J10" s="45">
        <f>'ค่า 1.6'!O10</f>
        <v>1</v>
      </c>
      <c r="K10" s="45">
        <f>'ค่า 1.7'!O10</f>
        <v>1</v>
      </c>
      <c r="L10" s="45">
        <f>'ค่า 1.8'!O10</f>
        <v>1</v>
      </c>
      <c r="M10" s="45">
        <f>'ค่า 1.9'!O10</f>
        <v>1</v>
      </c>
      <c r="N10" s="45">
        <f>'ค่า 2.1'!O10</f>
        <v>1</v>
      </c>
      <c r="O10" s="45">
        <f>'ค่า 2.2'!O10</f>
        <v>1</v>
      </c>
      <c r="P10" s="45">
        <f>'ค่า 2.3'!O10</f>
        <v>1</v>
      </c>
      <c r="Q10" s="45">
        <f>'ค่า 2.4'!O10</f>
        <v>1</v>
      </c>
      <c r="R10" s="45">
        <f>'ค่า 3.1'!O10</f>
        <v>1</v>
      </c>
      <c r="S10" s="45">
        <f>'ค่า 3.2'!O10</f>
        <v>1</v>
      </c>
      <c r="T10" s="45">
        <f>'ค่า 4.1'!O10</f>
        <v>1</v>
      </c>
    </row>
    <row r="11">
      <c r="A11" s="43">
        <v>10.0</v>
      </c>
      <c r="B11" s="44" t="s">
        <v>192</v>
      </c>
      <c r="C11" s="45" t="s">
        <v>645</v>
      </c>
      <c r="D11" s="46" t="str">
        <f t="shared" si="1"/>
        <v>bnco1010@signalschool.ac.th</v>
      </c>
      <c r="E11" s="47">
        <f>'ค่า 1.1'!O11</f>
        <v>0</v>
      </c>
      <c r="F11" s="45">
        <f>'ค่า 1.3'!O11</f>
        <v>1</v>
      </c>
      <c r="G11" s="45">
        <f>'ค่า 1.2'!O11</f>
        <v>0</v>
      </c>
      <c r="H11" s="45">
        <f>'ค่า 1.4'!O11</f>
        <v>0</v>
      </c>
      <c r="I11" s="45">
        <f>'ค่า 1.5'!O11</f>
        <v>0</v>
      </c>
      <c r="J11" s="45">
        <f>'ค่า 1.6'!O11</f>
        <v>1</v>
      </c>
      <c r="K11" s="45">
        <f>'ค่า 1.7'!O11</f>
        <v>1</v>
      </c>
      <c r="L11" s="45">
        <f>'ค่า 1.8'!O11</f>
        <v>0</v>
      </c>
      <c r="M11" s="45">
        <f>'ค่า 1.9'!O11</f>
        <v>0</v>
      </c>
      <c r="N11" s="45">
        <f>'ค่า 2.1'!O11</f>
        <v>1</v>
      </c>
      <c r="O11" s="45">
        <f>'ค่า 2.2'!O11</f>
        <v>1</v>
      </c>
      <c r="P11" s="45">
        <f>'ค่า 2.3'!O11</f>
        <v>1</v>
      </c>
      <c r="Q11" s="45">
        <f>'ค่า 2.4'!O11</f>
        <v>1</v>
      </c>
      <c r="R11" s="45">
        <f>'ค่า 3.1'!O11</f>
        <v>1</v>
      </c>
      <c r="S11" s="45">
        <f>'ค่า 3.2'!O11</f>
        <v>0</v>
      </c>
      <c r="T11" s="45">
        <f>'ค่า 4.1'!O11</f>
        <v>0</v>
      </c>
    </row>
    <row r="12">
      <c r="A12" s="43">
        <v>11.0</v>
      </c>
      <c r="B12" s="44" t="s">
        <v>209</v>
      </c>
      <c r="C12" s="45" t="s">
        <v>646</v>
      </c>
      <c r="D12" s="46" t="str">
        <f t="shared" si="1"/>
        <v>bnco1011@signalschool.ac.th</v>
      </c>
      <c r="E12" s="47">
        <f>'ค่า 1.1'!O12</f>
        <v>1</v>
      </c>
      <c r="F12" s="45">
        <f>'ค่า 1.3'!O12</f>
        <v>1</v>
      </c>
      <c r="G12" s="45">
        <f>'ค่า 1.2'!O12</f>
        <v>1</v>
      </c>
      <c r="H12" s="45">
        <f>'ค่า 1.4'!O12</f>
        <v>1</v>
      </c>
      <c r="I12" s="45">
        <f>'ค่า 1.5'!O12</f>
        <v>1</v>
      </c>
      <c r="J12" s="45">
        <f>'ค่า 1.6'!O12</f>
        <v>1</v>
      </c>
      <c r="K12" s="45">
        <f>'ค่า 1.7'!O12</f>
        <v>1</v>
      </c>
      <c r="L12" s="45">
        <f>'ค่า 1.8'!O12</f>
        <v>1</v>
      </c>
      <c r="M12" s="45">
        <f>'ค่า 1.9'!O12</f>
        <v>1</v>
      </c>
      <c r="N12" s="45">
        <f>'ค่า 2.1'!O12</f>
        <v>1</v>
      </c>
      <c r="O12" s="45">
        <f>'ค่า 2.2'!O12</f>
        <v>1</v>
      </c>
      <c r="P12" s="45">
        <f>'ค่า 2.3'!O12</f>
        <v>1</v>
      </c>
      <c r="Q12" s="45">
        <f>'ค่า 2.4'!O12</f>
        <v>1</v>
      </c>
      <c r="R12" s="45">
        <f>'ค่า 3.1'!O12</f>
        <v>1</v>
      </c>
      <c r="S12" s="45">
        <f>'ค่า 3.2'!O12</f>
        <v>1</v>
      </c>
      <c r="T12" s="45">
        <f>'ค่า 4.1'!O12</f>
        <v>1</v>
      </c>
    </row>
    <row r="13">
      <c r="A13" s="43">
        <v>12.0</v>
      </c>
      <c r="B13" s="44" t="s">
        <v>213</v>
      </c>
      <c r="C13" s="45" t="s">
        <v>647</v>
      </c>
      <c r="D13" s="46" t="str">
        <f t="shared" si="1"/>
        <v>bnco1012@signalschool.ac.th</v>
      </c>
      <c r="E13" s="47">
        <f>'ค่า 1.1'!O13</f>
        <v>1</v>
      </c>
      <c r="F13" s="45">
        <f>'ค่า 1.3'!O13</f>
        <v>1</v>
      </c>
      <c r="G13" s="45">
        <f>'ค่า 1.2'!O13</f>
        <v>1</v>
      </c>
      <c r="H13" s="45">
        <f>'ค่า 1.4'!O13</f>
        <v>1</v>
      </c>
      <c r="I13" s="45">
        <f>'ค่า 1.5'!O13</f>
        <v>1</v>
      </c>
      <c r="J13" s="45">
        <f>'ค่า 1.6'!O13</f>
        <v>1</v>
      </c>
      <c r="K13" s="45">
        <f>'ค่า 1.7'!O13</f>
        <v>1</v>
      </c>
      <c r="L13" s="45">
        <f>'ค่า 1.8'!O13</f>
        <v>1</v>
      </c>
      <c r="M13" s="45">
        <f>'ค่า 1.9'!O13</f>
        <v>1</v>
      </c>
      <c r="N13" s="45">
        <f>'ค่า 2.1'!O13</f>
        <v>1</v>
      </c>
      <c r="O13" s="45">
        <f>'ค่า 2.2'!O13</f>
        <v>1</v>
      </c>
      <c r="P13" s="45">
        <f>'ค่า 2.3'!O13</f>
        <v>1</v>
      </c>
      <c r="Q13" s="45">
        <f>'ค่า 2.4'!O13</f>
        <v>1</v>
      </c>
      <c r="R13" s="45">
        <f>'ค่า 3.1'!O13</f>
        <v>1</v>
      </c>
      <c r="S13" s="45">
        <f>'ค่า 3.2'!O13</f>
        <v>1</v>
      </c>
      <c r="T13" s="45">
        <f>'ค่า 4.1'!O13</f>
        <v>1</v>
      </c>
    </row>
    <row r="14">
      <c r="A14" s="43">
        <v>13.0</v>
      </c>
      <c r="B14" s="44" t="s">
        <v>214</v>
      </c>
      <c r="C14" s="45" t="s">
        <v>648</v>
      </c>
      <c r="D14" s="46" t="str">
        <f t="shared" si="1"/>
        <v>bnco1013@signalschool.ac.th</v>
      </c>
      <c r="E14" s="47">
        <f>'ค่า 1.1'!O14</f>
        <v>1</v>
      </c>
      <c r="F14" s="45">
        <f>'ค่า 1.3'!O14</f>
        <v>1</v>
      </c>
      <c r="G14" s="45">
        <f>'ค่า 1.2'!O14</f>
        <v>1</v>
      </c>
      <c r="H14" s="45">
        <f>'ค่า 1.4'!O14</f>
        <v>1</v>
      </c>
      <c r="I14" s="45">
        <f>'ค่า 1.5'!O14</f>
        <v>1</v>
      </c>
      <c r="J14" s="45">
        <f>'ค่า 1.6'!O14</f>
        <v>1</v>
      </c>
      <c r="K14" s="45">
        <f>'ค่า 1.7'!O14</f>
        <v>1</v>
      </c>
      <c r="L14" s="45">
        <f>'ค่า 1.8'!O14</f>
        <v>1</v>
      </c>
      <c r="M14" s="45">
        <f>'ค่า 1.9'!O14</f>
        <v>1</v>
      </c>
      <c r="N14" s="45">
        <f>'ค่า 2.1'!O14</f>
        <v>1</v>
      </c>
      <c r="O14" s="45">
        <f>'ค่า 2.2'!O14</f>
        <v>1</v>
      </c>
      <c r="P14" s="45">
        <f>'ค่า 2.3'!O14</f>
        <v>1</v>
      </c>
      <c r="Q14" s="45">
        <f>'ค่า 2.4'!O14</f>
        <v>1</v>
      </c>
      <c r="R14" s="45">
        <f>'ค่า 3.1'!O14</f>
        <v>1</v>
      </c>
      <c r="S14" s="45">
        <f>'ค่า 3.2'!O14</f>
        <v>1</v>
      </c>
      <c r="T14" s="45">
        <f>'ค่า 4.1'!O14</f>
        <v>1</v>
      </c>
    </row>
    <row r="15">
      <c r="A15" s="43">
        <v>14.0</v>
      </c>
      <c r="B15" s="44" t="s">
        <v>215</v>
      </c>
      <c r="C15" s="45" t="s">
        <v>649</v>
      </c>
      <c r="D15" s="46" t="str">
        <f t="shared" si="1"/>
        <v>bnco1014@signalschool.ac.th</v>
      </c>
      <c r="E15" s="47">
        <f>'ค่า 1.1'!O15</f>
        <v>1</v>
      </c>
      <c r="F15" s="45">
        <f>'ค่า 1.3'!O15</f>
        <v>1</v>
      </c>
      <c r="G15" s="45">
        <f>'ค่า 1.2'!O15</f>
        <v>1</v>
      </c>
      <c r="H15" s="45">
        <f>'ค่า 1.4'!O15</f>
        <v>1</v>
      </c>
      <c r="I15" s="45">
        <f>'ค่า 1.5'!O15</f>
        <v>1</v>
      </c>
      <c r="J15" s="45">
        <f>'ค่า 1.6'!O15</f>
        <v>1</v>
      </c>
      <c r="K15" s="45">
        <f>'ค่า 1.7'!O15</f>
        <v>1</v>
      </c>
      <c r="L15" s="45">
        <f>'ค่า 1.8'!O15</f>
        <v>1</v>
      </c>
      <c r="M15" s="45">
        <f>'ค่า 1.9'!O15</f>
        <v>1</v>
      </c>
      <c r="N15" s="45">
        <f>'ค่า 2.1'!O15</f>
        <v>1</v>
      </c>
      <c r="O15" s="45">
        <f>'ค่า 2.2'!O15</f>
        <v>1</v>
      </c>
      <c r="P15" s="45">
        <f>'ค่า 2.3'!O15</f>
        <v>1</v>
      </c>
      <c r="Q15" s="45">
        <f>'ค่า 2.4'!O15</f>
        <v>1</v>
      </c>
      <c r="R15" s="45">
        <f>'ค่า 3.1'!O15</f>
        <v>1</v>
      </c>
      <c r="S15" s="45">
        <f>'ค่า 3.2'!O15</f>
        <v>1</v>
      </c>
      <c r="T15" s="45">
        <f>'ค่า 4.1'!O15</f>
        <v>1</v>
      </c>
    </row>
    <row r="16">
      <c r="A16" s="43">
        <v>15.0</v>
      </c>
      <c r="B16" s="44" t="s">
        <v>221</v>
      </c>
      <c r="C16" s="45" t="s">
        <v>650</v>
      </c>
      <c r="D16" s="46" t="str">
        <f t="shared" si="1"/>
        <v>bnco1015@signalschool.ac.th</v>
      </c>
      <c r="E16" s="47">
        <f>'ค่า 1.1'!O16</f>
        <v>1</v>
      </c>
      <c r="F16" s="45">
        <f>'ค่า 1.3'!O16</f>
        <v>1</v>
      </c>
      <c r="G16" s="45">
        <f>'ค่า 1.2'!O16</f>
        <v>1</v>
      </c>
      <c r="H16" s="45">
        <f>'ค่า 1.4'!O16</f>
        <v>1</v>
      </c>
      <c r="I16" s="45">
        <f>'ค่า 1.5'!O16</f>
        <v>1</v>
      </c>
      <c r="J16" s="45">
        <f>'ค่า 1.6'!O16</f>
        <v>1</v>
      </c>
      <c r="K16" s="45">
        <f>'ค่า 1.7'!O16</f>
        <v>1</v>
      </c>
      <c r="L16" s="45">
        <f>'ค่า 1.8'!O16</f>
        <v>1</v>
      </c>
      <c r="M16" s="45">
        <f>'ค่า 1.9'!O16</f>
        <v>1</v>
      </c>
      <c r="N16" s="45">
        <f>'ค่า 2.1'!O16</f>
        <v>1</v>
      </c>
      <c r="O16" s="45">
        <f>'ค่า 2.2'!O16</f>
        <v>1</v>
      </c>
      <c r="P16" s="45">
        <f>'ค่า 2.3'!O16</f>
        <v>1</v>
      </c>
      <c r="Q16" s="45">
        <f>'ค่า 2.4'!O16</f>
        <v>1</v>
      </c>
      <c r="R16" s="45">
        <f>'ค่า 3.1'!O16</f>
        <v>1</v>
      </c>
      <c r="S16" s="45">
        <f>'ค่า 3.2'!O16</f>
        <v>1</v>
      </c>
      <c r="T16" s="45">
        <f>'ค่า 4.1'!O16</f>
        <v>1</v>
      </c>
    </row>
    <row r="17">
      <c r="A17" s="43">
        <v>16.0</v>
      </c>
      <c r="B17" s="44" t="s">
        <v>223</v>
      </c>
      <c r="C17" s="45" t="s">
        <v>651</v>
      </c>
      <c r="D17" s="46" t="str">
        <f t="shared" si="1"/>
        <v>bnco1016@signalschool.ac.th</v>
      </c>
      <c r="E17" s="47">
        <f>'ค่า 1.1'!O17</f>
        <v>1</v>
      </c>
      <c r="F17" s="45">
        <f>'ค่า 1.3'!O17</f>
        <v>1</v>
      </c>
      <c r="G17" s="45">
        <f>'ค่า 1.2'!O17</f>
        <v>1</v>
      </c>
      <c r="H17" s="45">
        <f>'ค่า 1.4'!O17</f>
        <v>1</v>
      </c>
      <c r="I17" s="45">
        <f>'ค่า 1.5'!O17</f>
        <v>1</v>
      </c>
      <c r="J17" s="45">
        <f>'ค่า 1.6'!O17</f>
        <v>1</v>
      </c>
      <c r="K17" s="45">
        <f>'ค่า 1.7'!O17</f>
        <v>1</v>
      </c>
      <c r="L17" s="45">
        <f>'ค่า 1.8'!O17</f>
        <v>1</v>
      </c>
      <c r="M17" s="45">
        <f>'ค่า 1.9'!O17</f>
        <v>1</v>
      </c>
      <c r="N17" s="45">
        <f>'ค่า 2.1'!O17</f>
        <v>1</v>
      </c>
      <c r="O17" s="45">
        <f>'ค่า 2.2'!O17</f>
        <v>1</v>
      </c>
      <c r="P17" s="45">
        <f>'ค่า 2.3'!O17</f>
        <v>1</v>
      </c>
      <c r="Q17" s="45">
        <f>'ค่า 2.4'!O17</f>
        <v>1</v>
      </c>
      <c r="R17" s="45">
        <f>'ค่า 3.1'!O17</f>
        <v>1</v>
      </c>
      <c r="S17" s="45">
        <f>'ค่า 3.2'!O17</f>
        <v>1</v>
      </c>
      <c r="T17" s="45">
        <f>'ค่า 4.1'!O17</f>
        <v>1</v>
      </c>
    </row>
    <row r="18">
      <c r="A18" s="43">
        <v>17.0</v>
      </c>
      <c r="B18" s="44" t="s">
        <v>229</v>
      </c>
      <c r="C18" s="45" t="s">
        <v>652</v>
      </c>
      <c r="D18" s="46" t="str">
        <f t="shared" si="1"/>
        <v>bnco1017@signalschool.ac.th</v>
      </c>
      <c r="E18" s="47">
        <f>'ค่า 1.1'!O18</f>
        <v>1</v>
      </c>
      <c r="F18" s="45">
        <f>'ค่า 1.3'!O18</f>
        <v>1</v>
      </c>
      <c r="G18" s="45">
        <f>'ค่า 1.2'!O18</f>
        <v>1</v>
      </c>
      <c r="H18" s="45">
        <f>'ค่า 1.4'!O18</f>
        <v>1</v>
      </c>
      <c r="I18" s="45">
        <f>'ค่า 1.5'!O18</f>
        <v>1</v>
      </c>
      <c r="J18" s="45">
        <f>'ค่า 1.6'!O18</f>
        <v>1</v>
      </c>
      <c r="K18" s="45">
        <f>'ค่า 1.7'!O18</f>
        <v>1</v>
      </c>
      <c r="L18" s="45">
        <f>'ค่า 1.8'!O18</f>
        <v>1</v>
      </c>
      <c r="M18" s="45">
        <f>'ค่า 1.9'!O18</f>
        <v>1</v>
      </c>
      <c r="N18" s="45">
        <f>'ค่า 2.1'!O18</f>
        <v>1</v>
      </c>
      <c r="O18" s="45">
        <f>'ค่า 2.2'!O18</f>
        <v>1</v>
      </c>
      <c r="P18" s="45">
        <f>'ค่า 2.3'!O18</f>
        <v>1</v>
      </c>
      <c r="Q18" s="45">
        <f>'ค่า 2.4'!O18</f>
        <v>1</v>
      </c>
      <c r="R18" s="45">
        <f>'ค่า 3.1'!O18</f>
        <v>1</v>
      </c>
      <c r="S18" s="45">
        <f>'ค่า 3.2'!O18</f>
        <v>1</v>
      </c>
      <c r="T18" s="45">
        <f>'ค่า 4.1'!O18</f>
        <v>1</v>
      </c>
    </row>
    <row r="19">
      <c r="A19" s="43">
        <v>18.0</v>
      </c>
      <c r="B19" s="44" t="s">
        <v>232</v>
      </c>
      <c r="C19" s="45" t="s">
        <v>653</v>
      </c>
      <c r="D19" s="46" t="str">
        <f t="shared" si="1"/>
        <v>bnco1018@signalschool.ac.th</v>
      </c>
      <c r="E19" s="47">
        <f>'ค่า 1.1'!O19</f>
        <v>1</v>
      </c>
      <c r="F19" s="45">
        <f>'ค่า 1.3'!O19</f>
        <v>1</v>
      </c>
      <c r="G19" s="45">
        <f>'ค่า 1.2'!O19</f>
        <v>1</v>
      </c>
      <c r="H19" s="45">
        <f>'ค่า 1.4'!O19</f>
        <v>1</v>
      </c>
      <c r="I19" s="45">
        <f>'ค่า 1.5'!O19</f>
        <v>1</v>
      </c>
      <c r="J19" s="45">
        <f>'ค่า 1.6'!O19</f>
        <v>1</v>
      </c>
      <c r="K19" s="45">
        <f>'ค่า 1.7'!O19</f>
        <v>1</v>
      </c>
      <c r="L19" s="45">
        <f>'ค่า 1.8'!O19</f>
        <v>1</v>
      </c>
      <c r="M19" s="45">
        <f>'ค่า 1.9'!O19</f>
        <v>1</v>
      </c>
      <c r="N19" s="45">
        <f>'ค่า 2.1'!O19</f>
        <v>1</v>
      </c>
      <c r="O19" s="45">
        <f>'ค่า 2.2'!O19</f>
        <v>1</v>
      </c>
      <c r="P19" s="45">
        <f>'ค่า 2.3'!O19</f>
        <v>1</v>
      </c>
      <c r="Q19" s="45">
        <f>'ค่า 2.4'!O19</f>
        <v>1</v>
      </c>
      <c r="R19" s="45">
        <f>'ค่า 3.1'!O19</f>
        <v>1</v>
      </c>
      <c r="S19" s="45">
        <f>'ค่า 3.2'!O19</f>
        <v>1</v>
      </c>
      <c r="T19" s="45">
        <f>'ค่า 4.1'!O19</f>
        <v>1</v>
      </c>
    </row>
    <row r="20">
      <c r="A20" s="43">
        <v>19.0</v>
      </c>
      <c r="B20" s="44" t="s">
        <v>233</v>
      </c>
      <c r="C20" s="45" t="s">
        <v>654</v>
      </c>
      <c r="D20" s="46" t="str">
        <f t="shared" si="1"/>
        <v>bnco1019@signalschool.ac.th</v>
      </c>
      <c r="E20" s="47">
        <f>'ค่า 1.1'!O20</f>
        <v>1</v>
      </c>
      <c r="F20" s="45">
        <f>'ค่า 1.3'!O20</f>
        <v>1</v>
      </c>
      <c r="G20" s="45">
        <f>'ค่า 1.2'!O20</f>
        <v>1</v>
      </c>
      <c r="H20" s="45">
        <f>'ค่า 1.4'!O20</f>
        <v>1</v>
      </c>
      <c r="I20" s="45">
        <f>'ค่า 1.5'!O20</f>
        <v>1</v>
      </c>
      <c r="J20" s="45">
        <f>'ค่า 1.6'!O20</f>
        <v>1</v>
      </c>
      <c r="K20" s="45">
        <f>'ค่า 1.7'!O20</f>
        <v>1</v>
      </c>
      <c r="L20" s="45">
        <f>'ค่า 1.8'!O20</f>
        <v>1</v>
      </c>
      <c r="M20" s="45">
        <f>'ค่า 1.9'!O20</f>
        <v>1</v>
      </c>
      <c r="N20" s="45">
        <f>'ค่า 2.1'!O20</f>
        <v>1</v>
      </c>
      <c r="O20" s="45">
        <f>'ค่า 2.2'!O20</f>
        <v>1</v>
      </c>
      <c r="P20" s="45">
        <f>'ค่า 2.3'!O20</f>
        <v>1</v>
      </c>
      <c r="Q20" s="45">
        <f>'ค่า 2.4'!O20</f>
        <v>1</v>
      </c>
      <c r="R20" s="45">
        <f>'ค่า 3.1'!O20</f>
        <v>1</v>
      </c>
      <c r="S20" s="45">
        <f>'ค่า 3.2'!O20</f>
        <v>1</v>
      </c>
      <c r="T20" s="45">
        <f>'ค่า 4.1'!O20</f>
        <v>1</v>
      </c>
    </row>
    <row r="21">
      <c r="A21" s="43">
        <v>20.0</v>
      </c>
      <c r="B21" s="44" t="s">
        <v>234</v>
      </c>
      <c r="C21" s="48" t="s">
        <v>655</v>
      </c>
      <c r="D21" s="46" t="str">
        <f t="shared" si="1"/>
        <v>bnco1020@signalschool.ac.th</v>
      </c>
      <c r="E21" s="47">
        <f>'ค่า 1.1'!O21</f>
        <v>1</v>
      </c>
      <c r="F21" s="45">
        <f>'ค่า 1.3'!O21</f>
        <v>1</v>
      </c>
      <c r="G21" s="45">
        <f>'ค่า 1.2'!O21</f>
        <v>0</v>
      </c>
      <c r="H21" s="45">
        <f>'ค่า 1.4'!O21</f>
        <v>0</v>
      </c>
      <c r="I21" s="45">
        <f>'ค่า 1.5'!O21</f>
        <v>0</v>
      </c>
      <c r="J21" s="45">
        <f>'ค่า 1.6'!O21</f>
        <v>1</v>
      </c>
      <c r="K21" s="45">
        <f>'ค่า 1.7'!O21</f>
        <v>1</v>
      </c>
      <c r="L21" s="45">
        <f>'ค่า 1.8'!O21</f>
        <v>0</v>
      </c>
      <c r="M21" s="45">
        <f>'ค่า 1.9'!O21</f>
        <v>0</v>
      </c>
      <c r="N21" s="45">
        <f>'ค่า 2.1'!O21</f>
        <v>1</v>
      </c>
      <c r="O21" s="45">
        <f>'ค่า 2.2'!O21</f>
        <v>1</v>
      </c>
      <c r="P21" s="45">
        <f>'ค่า 2.3'!O21</f>
        <v>1</v>
      </c>
      <c r="Q21" s="45">
        <f>'ค่า 2.4'!O21</f>
        <v>1</v>
      </c>
      <c r="R21" s="45">
        <f>'ค่า 3.1'!O21</f>
        <v>1</v>
      </c>
      <c r="S21" s="45">
        <f>'ค่า 3.2'!O21</f>
        <v>0</v>
      </c>
      <c r="T21" s="45">
        <f>'ค่า 4.1'!O21</f>
        <v>0</v>
      </c>
    </row>
    <row r="22">
      <c r="A22" s="43">
        <v>21.0</v>
      </c>
      <c r="B22" s="44" t="s">
        <v>235</v>
      </c>
      <c r="C22" s="45" t="s">
        <v>656</v>
      </c>
      <c r="D22" s="46" t="str">
        <f t="shared" si="1"/>
        <v>bnco1021@signalschool.ac.th</v>
      </c>
      <c r="E22" s="47">
        <f>'ค่า 1.1'!O22</f>
        <v>1</v>
      </c>
      <c r="F22" s="45">
        <f>'ค่า 1.3'!O22</f>
        <v>1</v>
      </c>
      <c r="G22" s="45">
        <f>'ค่า 1.2'!O22</f>
        <v>1</v>
      </c>
      <c r="H22" s="45">
        <f>'ค่า 1.4'!O22</f>
        <v>1</v>
      </c>
      <c r="I22" s="45">
        <f>'ค่า 1.5'!O22</f>
        <v>1</v>
      </c>
      <c r="J22" s="45">
        <f>'ค่า 1.6'!O22</f>
        <v>1</v>
      </c>
      <c r="K22" s="45">
        <f>'ค่า 1.7'!O22</f>
        <v>1</v>
      </c>
      <c r="L22" s="45">
        <f>'ค่า 1.8'!O22</f>
        <v>1</v>
      </c>
      <c r="M22" s="45">
        <f>'ค่า 1.9'!O22</f>
        <v>1</v>
      </c>
      <c r="N22" s="45">
        <f>'ค่า 2.1'!O22</f>
        <v>1</v>
      </c>
      <c r="O22" s="45">
        <f>'ค่า 2.2'!O22</f>
        <v>1</v>
      </c>
      <c r="P22" s="45">
        <f>'ค่า 2.3'!O22</f>
        <v>1</v>
      </c>
      <c r="Q22" s="45">
        <f>'ค่า 2.4'!O22</f>
        <v>1</v>
      </c>
      <c r="R22" s="45">
        <f>'ค่า 3.1'!O22</f>
        <v>1</v>
      </c>
      <c r="S22" s="45">
        <f>'ค่า 3.2'!O22</f>
        <v>1</v>
      </c>
      <c r="T22" s="45">
        <f>'ค่า 4.1'!O22</f>
        <v>1</v>
      </c>
    </row>
    <row r="23">
      <c r="A23" s="43">
        <v>22.0</v>
      </c>
      <c r="B23" s="44" t="s">
        <v>236</v>
      </c>
      <c r="C23" s="45" t="s">
        <v>657</v>
      </c>
      <c r="D23" s="46" t="str">
        <f t="shared" si="1"/>
        <v>bnco1022@signalschool.ac.th</v>
      </c>
      <c r="E23" s="47">
        <f>'ค่า 1.1'!O23</f>
        <v>1</v>
      </c>
      <c r="F23" s="45">
        <f>'ค่า 1.3'!O23</f>
        <v>1</v>
      </c>
      <c r="G23" s="45">
        <f>'ค่า 1.2'!O23</f>
        <v>1</v>
      </c>
      <c r="H23" s="45">
        <f>'ค่า 1.4'!O23</f>
        <v>1</v>
      </c>
      <c r="I23" s="45">
        <f>'ค่า 1.5'!O23</f>
        <v>1</v>
      </c>
      <c r="J23" s="45">
        <f>'ค่า 1.6'!O23</f>
        <v>1</v>
      </c>
      <c r="K23" s="45">
        <f>'ค่า 1.7'!O23</f>
        <v>1</v>
      </c>
      <c r="L23" s="45">
        <f>'ค่า 1.8'!O23</f>
        <v>1</v>
      </c>
      <c r="M23" s="45">
        <f>'ค่า 1.9'!O23</f>
        <v>1</v>
      </c>
      <c r="N23" s="45">
        <f>'ค่า 2.1'!O23</f>
        <v>0</v>
      </c>
      <c r="O23" s="45">
        <f>'ค่า 2.2'!O23</f>
        <v>1</v>
      </c>
      <c r="P23" s="45">
        <f>'ค่า 2.3'!O23</f>
        <v>0</v>
      </c>
      <c r="Q23" s="45">
        <f>'ค่า 2.4'!O23</f>
        <v>0</v>
      </c>
      <c r="R23" s="45">
        <f>'ค่า 3.1'!O23</f>
        <v>1</v>
      </c>
      <c r="S23" s="45">
        <f>'ค่า 3.2'!O23</f>
        <v>0</v>
      </c>
      <c r="T23" s="45">
        <f>'ค่า 4.1'!O23</f>
        <v>0</v>
      </c>
    </row>
    <row r="24">
      <c r="A24" s="43">
        <v>23.0</v>
      </c>
      <c r="B24" s="44" t="s">
        <v>237</v>
      </c>
      <c r="C24" s="45" t="s">
        <v>658</v>
      </c>
      <c r="D24" s="46" t="str">
        <f t="shared" si="1"/>
        <v>bnco1023@signalschool.ac.th</v>
      </c>
      <c r="E24" s="47">
        <f>'ค่า 1.1'!O24</f>
        <v>1</v>
      </c>
      <c r="F24" s="45">
        <f>'ค่า 1.3'!O24</f>
        <v>1</v>
      </c>
      <c r="G24" s="45">
        <f>'ค่า 1.2'!O24</f>
        <v>1</v>
      </c>
      <c r="H24" s="45">
        <f>'ค่า 1.4'!O24</f>
        <v>1</v>
      </c>
      <c r="I24" s="45">
        <f>'ค่า 1.5'!O24</f>
        <v>1</v>
      </c>
      <c r="J24" s="45">
        <f>'ค่า 1.6'!O24</f>
        <v>1</v>
      </c>
      <c r="K24" s="45">
        <f>'ค่า 1.7'!O24</f>
        <v>1</v>
      </c>
      <c r="L24" s="45">
        <f>'ค่า 1.8'!O24</f>
        <v>1</v>
      </c>
      <c r="M24" s="45">
        <f>'ค่า 1.9'!O24</f>
        <v>1</v>
      </c>
      <c r="N24" s="45">
        <f>'ค่า 2.1'!O24</f>
        <v>1</v>
      </c>
      <c r="O24" s="45">
        <f>'ค่า 2.2'!O24</f>
        <v>1</v>
      </c>
      <c r="P24" s="45">
        <f>'ค่า 2.3'!O24</f>
        <v>1</v>
      </c>
      <c r="Q24" s="45">
        <f>'ค่า 2.4'!O24</f>
        <v>1</v>
      </c>
      <c r="R24" s="45">
        <f>'ค่า 3.1'!O24</f>
        <v>1</v>
      </c>
      <c r="S24" s="45">
        <f>'ค่า 3.2'!O24</f>
        <v>1</v>
      </c>
      <c r="T24" s="45">
        <f>'ค่า 4.1'!O24</f>
        <v>1</v>
      </c>
    </row>
    <row r="25">
      <c r="A25" s="43">
        <v>24.0</v>
      </c>
      <c r="B25" s="44" t="s">
        <v>238</v>
      </c>
      <c r="C25" s="45" t="s">
        <v>659</v>
      </c>
      <c r="D25" s="46" t="str">
        <f t="shared" si="1"/>
        <v>bnco1024@signalschool.ac.th</v>
      </c>
      <c r="E25" s="47">
        <f>'ค่า 1.1'!O25</f>
        <v>1</v>
      </c>
      <c r="F25" s="45">
        <f>'ค่า 1.3'!O25</f>
        <v>1</v>
      </c>
      <c r="G25" s="45">
        <f>'ค่า 1.2'!O25</f>
        <v>1</v>
      </c>
      <c r="H25" s="45">
        <f>'ค่า 1.4'!O25</f>
        <v>1</v>
      </c>
      <c r="I25" s="45">
        <f>'ค่า 1.5'!O25</f>
        <v>1</v>
      </c>
      <c r="J25" s="45">
        <f>'ค่า 1.6'!O25</f>
        <v>1</v>
      </c>
      <c r="K25" s="45">
        <f>'ค่า 1.7'!O25</f>
        <v>1</v>
      </c>
      <c r="L25" s="45">
        <f>'ค่า 1.8'!O25</f>
        <v>1</v>
      </c>
      <c r="M25" s="45">
        <f>'ค่า 1.9'!O25</f>
        <v>1</v>
      </c>
      <c r="N25" s="45">
        <f>'ค่า 2.1'!O25</f>
        <v>1</v>
      </c>
      <c r="O25" s="45">
        <f>'ค่า 2.2'!O25</f>
        <v>1</v>
      </c>
      <c r="P25" s="45">
        <f>'ค่า 2.3'!O25</f>
        <v>1</v>
      </c>
      <c r="Q25" s="45">
        <f>'ค่า 2.4'!O25</f>
        <v>1</v>
      </c>
      <c r="R25" s="45">
        <f>'ค่า 3.1'!O25</f>
        <v>1</v>
      </c>
      <c r="S25" s="45">
        <f>'ค่า 3.2'!O25</f>
        <v>1</v>
      </c>
      <c r="T25" s="45">
        <f>'ค่า 4.1'!O25</f>
        <v>1</v>
      </c>
    </row>
    <row r="26">
      <c r="A26" s="43">
        <v>25.0</v>
      </c>
      <c r="B26" s="44" t="s">
        <v>239</v>
      </c>
      <c r="C26" s="45" t="s">
        <v>660</v>
      </c>
      <c r="D26" s="46" t="str">
        <f t="shared" si="1"/>
        <v>bnco1025@signalschool.ac.th</v>
      </c>
      <c r="E26" s="47">
        <f>'ค่า 1.1'!O26</f>
        <v>0</v>
      </c>
      <c r="F26" s="45">
        <f>'ค่า 1.3'!O26</f>
        <v>1</v>
      </c>
      <c r="G26" s="45">
        <f>'ค่า 1.2'!O26</f>
        <v>0</v>
      </c>
      <c r="H26" s="45">
        <f>'ค่า 1.4'!O26</f>
        <v>0</v>
      </c>
      <c r="I26" s="45">
        <f>'ค่า 1.5'!O26</f>
        <v>0</v>
      </c>
      <c r="J26" s="45">
        <f>'ค่า 1.6'!O26</f>
        <v>1</v>
      </c>
      <c r="K26" s="45">
        <f>'ค่า 1.7'!O26</f>
        <v>1</v>
      </c>
      <c r="L26" s="45">
        <f>'ค่า 1.8'!O26</f>
        <v>0</v>
      </c>
      <c r="M26" s="45">
        <f>'ค่า 1.9'!O26</f>
        <v>0</v>
      </c>
      <c r="N26" s="45">
        <f>'ค่า 2.1'!O26</f>
        <v>1</v>
      </c>
      <c r="O26" s="45">
        <f>'ค่า 2.2'!O26</f>
        <v>1</v>
      </c>
      <c r="P26" s="45">
        <f>'ค่า 2.3'!O26</f>
        <v>1</v>
      </c>
      <c r="Q26" s="45">
        <f>'ค่า 2.4'!O26</f>
        <v>1</v>
      </c>
      <c r="R26" s="45">
        <f>'ค่า 3.1'!O26</f>
        <v>1</v>
      </c>
      <c r="S26" s="45">
        <f>'ค่า 3.2'!O26</f>
        <v>0</v>
      </c>
      <c r="T26" s="45">
        <f>'ค่า 4.1'!O26</f>
        <v>0</v>
      </c>
    </row>
    <row r="27">
      <c r="A27" s="43">
        <v>26.0</v>
      </c>
      <c r="B27" s="44" t="s">
        <v>240</v>
      </c>
      <c r="C27" s="45" t="s">
        <v>661</v>
      </c>
      <c r="D27" s="46" t="str">
        <f t="shared" si="1"/>
        <v>bnco1026@signalschool.ac.th</v>
      </c>
      <c r="E27" s="47">
        <f>'ค่า 1.1'!O27</f>
        <v>1</v>
      </c>
      <c r="F27" s="45">
        <f>'ค่า 1.3'!O27</f>
        <v>1</v>
      </c>
      <c r="G27" s="45">
        <f>'ค่า 1.2'!O27</f>
        <v>1</v>
      </c>
      <c r="H27" s="45">
        <f>'ค่า 1.4'!O27</f>
        <v>1</v>
      </c>
      <c r="I27" s="45">
        <f>'ค่า 1.5'!O27</f>
        <v>1</v>
      </c>
      <c r="J27" s="45">
        <f>'ค่า 1.6'!O27</f>
        <v>1</v>
      </c>
      <c r="K27" s="45">
        <f>'ค่า 1.7'!O27</f>
        <v>1</v>
      </c>
      <c r="L27" s="45">
        <f>'ค่า 1.8'!O27</f>
        <v>1</v>
      </c>
      <c r="M27" s="45">
        <f>'ค่า 1.9'!O27</f>
        <v>1</v>
      </c>
      <c r="N27" s="45">
        <f>'ค่า 2.1'!O27</f>
        <v>1</v>
      </c>
      <c r="O27" s="45">
        <f>'ค่า 2.2'!O27</f>
        <v>1</v>
      </c>
      <c r="P27" s="45">
        <f>'ค่า 2.3'!O27</f>
        <v>1</v>
      </c>
      <c r="Q27" s="45">
        <f>'ค่า 2.4'!O27</f>
        <v>1</v>
      </c>
      <c r="R27" s="45">
        <f>'ค่า 3.1'!O27</f>
        <v>1</v>
      </c>
      <c r="S27" s="45">
        <f>'ค่า 3.2'!O27</f>
        <v>1</v>
      </c>
      <c r="T27" s="45">
        <f>'ค่า 4.1'!O27</f>
        <v>1</v>
      </c>
    </row>
    <row r="28">
      <c r="A28" s="43">
        <v>27.0</v>
      </c>
      <c r="B28" s="44" t="s">
        <v>241</v>
      </c>
      <c r="C28" s="45" t="s">
        <v>662</v>
      </c>
      <c r="D28" s="46" t="str">
        <f t="shared" si="1"/>
        <v>bnco1027@signalschool.ac.th</v>
      </c>
      <c r="E28" s="47">
        <f>'ค่า 1.1'!O28</f>
        <v>1</v>
      </c>
      <c r="F28" s="45">
        <f>'ค่า 1.3'!O28</f>
        <v>1</v>
      </c>
      <c r="G28" s="45">
        <f>'ค่า 1.2'!O28</f>
        <v>1</v>
      </c>
      <c r="H28" s="45">
        <f>'ค่า 1.4'!O28</f>
        <v>1</v>
      </c>
      <c r="I28" s="45">
        <f>'ค่า 1.5'!O28</f>
        <v>1</v>
      </c>
      <c r="J28" s="45">
        <f>'ค่า 1.6'!O28</f>
        <v>1</v>
      </c>
      <c r="K28" s="45">
        <f>'ค่า 1.7'!O28</f>
        <v>1</v>
      </c>
      <c r="L28" s="45">
        <f>'ค่า 1.8'!O28</f>
        <v>1</v>
      </c>
      <c r="M28" s="45">
        <f>'ค่า 1.9'!O28</f>
        <v>1</v>
      </c>
      <c r="N28" s="45">
        <f>'ค่า 2.1'!O28</f>
        <v>1</v>
      </c>
      <c r="O28" s="45">
        <f>'ค่า 2.2'!O28</f>
        <v>1</v>
      </c>
      <c r="P28" s="45">
        <f>'ค่า 2.3'!O28</f>
        <v>1</v>
      </c>
      <c r="Q28" s="45">
        <f>'ค่า 2.4'!O28</f>
        <v>1</v>
      </c>
      <c r="R28" s="45">
        <f>'ค่า 3.1'!O28</f>
        <v>1</v>
      </c>
      <c r="S28" s="45">
        <f>'ค่า 3.2'!O28</f>
        <v>1</v>
      </c>
      <c r="T28" s="45">
        <f>'ค่า 4.1'!O28</f>
        <v>1</v>
      </c>
    </row>
    <row r="29">
      <c r="A29" s="43">
        <v>28.0</v>
      </c>
      <c r="B29" s="44" t="s">
        <v>242</v>
      </c>
      <c r="C29" s="45" t="s">
        <v>663</v>
      </c>
      <c r="D29" s="46" t="str">
        <f t="shared" si="1"/>
        <v>bnco1028@signalschool.ac.th</v>
      </c>
      <c r="E29" s="47">
        <f>'ค่า 1.1'!O29</f>
        <v>0</v>
      </c>
      <c r="F29" s="45">
        <f>'ค่า 1.3'!O29</f>
        <v>0</v>
      </c>
      <c r="G29" s="45">
        <f>'ค่า 1.2'!O29</f>
        <v>0</v>
      </c>
      <c r="H29" s="45">
        <f>'ค่า 1.4'!O29</f>
        <v>0</v>
      </c>
      <c r="I29" s="45">
        <f>'ค่า 1.5'!O29</f>
        <v>0</v>
      </c>
      <c r="J29" s="45">
        <f>'ค่า 1.6'!O29</f>
        <v>0</v>
      </c>
      <c r="K29" s="45">
        <f>'ค่า 1.7'!O29</f>
        <v>0</v>
      </c>
      <c r="L29" s="45">
        <f>'ค่า 1.8'!O29</f>
        <v>0</v>
      </c>
      <c r="M29" s="45">
        <f>'ค่า 1.9'!O29</f>
        <v>0</v>
      </c>
      <c r="N29" s="45">
        <f>'ค่า 2.1'!O29</f>
        <v>0</v>
      </c>
      <c r="O29" s="45">
        <f>'ค่า 2.2'!O29</f>
        <v>0</v>
      </c>
      <c r="P29" s="45">
        <f>'ค่า 2.3'!O29</f>
        <v>0</v>
      </c>
      <c r="Q29" s="45">
        <f>'ค่า 2.4'!O29</f>
        <v>0</v>
      </c>
      <c r="R29" s="45">
        <f>'ค่า 3.1'!O29</f>
        <v>0</v>
      </c>
      <c r="S29" s="45">
        <f>'ค่า 3.2'!O29</f>
        <v>0</v>
      </c>
      <c r="T29" s="45">
        <f>'ค่า 4.1'!O29</f>
        <v>0</v>
      </c>
    </row>
    <row r="30">
      <c r="A30" s="43">
        <v>29.0</v>
      </c>
      <c r="B30" s="44" t="s">
        <v>243</v>
      </c>
      <c r="C30" s="48" t="s">
        <v>664</v>
      </c>
      <c r="D30" s="46" t="str">
        <f t="shared" si="1"/>
        <v>bnco1029@signalschool.ac.th</v>
      </c>
      <c r="E30" s="47">
        <f>'ค่า 1.1'!O30</f>
        <v>0</v>
      </c>
      <c r="F30" s="45">
        <f>'ค่า 1.3'!O30</f>
        <v>0</v>
      </c>
      <c r="G30" s="45">
        <f>'ค่า 1.2'!O30</f>
        <v>0</v>
      </c>
      <c r="H30" s="45">
        <f>'ค่า 1.4'!O30</f>
        <v>0</v>
      </c>
      <c r="I30" s="45">
        <f>'ค่า 1.5'!O30</f>
        <v>0</v>
      </c>
      <c r="J30" s="45">
        <f>'ค่า 1.6'!O30</f>
        <v>0</v>
      </c>
      <c r="K30" s="45">
        <f>'ค่า 1.7'!O30</f>
        <v>0</v>
      </c>
      <c r="L30" s="45">
        <f>'ค่า 1.8'!O30</f>
        <v>0</v>
      </c>
      <c r="M30" s="45">
        <f>'ค่า 1.9'!O30</f>
        <v>0</v>
      </c>
      <c r="N30" s="45">
        <f>'ค่า 2.1'!O30</f>
        <v>0</v>
      </c>
      <c r="O30" s="45">
        <f>'ค่า 2.2'!O30</f>
        <v>0</v>
      </c>
      <c r="P30" s="45">
        <f>'ค่า 2.3'!O30</f>
        <v>0</v>
      </c>
      <c r="Q30" s="45">
        <f>'ค่า 2.4'!O30</f>
        <v>0</v>
      </c>
      <c r="R30" s="45">
        <f>'ค่า 3.1'!O30</f>
        <v>0</v>
      </c>
      <c r="S30" s="45">
        <f>'ค่า 3.2'!O30</f>
        <v>0</v>
      </c>
      <c r="T30" s="45">
        <f>'ค่า 4.1'!O30</f>
        <v>0</v>
      </c>
    </row>
    <row r="31">
      <c r="A31" s="43">
        <v>30.0</v>
      </c>
      <c r="B31" s="44" t="s">
        <v>244</v>
      </c>
      <c r="C31" s="45" t="s">
        <v>665</v>
      </c>
      <c r="D31" s="46" t="str">
        <f t="shared" si="1"/>
        <v>bnco1030@signalschool.ac.th</v>
      </c>
      <c r="E31" s="47">
        <f>'ค่า 1.1'!O31</f>
        <v>0</v>
      </c>
      <c r="F31" s="45">
        <f>'ค่า 1.3'!O31</f>
        <v>1</v>
      </c>
      <c r="G31" s="45">
        <f>'ค่า 1.2'!O31</f>
        <v>0</v>
      </c>
      <c r="H31" s="45">
        <f>'ค่า 1.4'!O31</f>
        <v>0</v>
      </c>
      <c r="I31" s="45">
        <f>'ค่า 1.5'!O31</f>
        <v>0</v>
      </c>
      <c r="J31" s="45">
        <f>'ค่า 1.6'!O31</f>
        <v>1</v>
      </c>
      <c r="K31" s="45">
        <f>'ค่า 1.7'!O31</f>
        <v>0</v>
      </c>
      <c r="L31" s="45">
        <f>'ค่า 1.8'!O31</f>
        <v>0</v>
      </c>
      <c r="M31" s="45">
        <f>'ค่า 1.9'!O31</f>
        <v>0</v>
      </c>
      <c r="N31" s="45">
        <f>'ค่า 2.1'!O31</f>
        <v>1</v>
      </c>
      <c r="O31" s="45">
        <f>'ค่า 2.2'!O31</f>
        <v>1</v>
      </c>
      <c r="P31" s="45">
        <f>'ค่า 2.3'!O31</f>
        <v>1</v>
      </c>
      <c r="Q31" s="45">
        <f>'ค่า 2.4'!O31</f>
        <v>1</v>
      </c>
      <c r="R31" s="45">
        <f>'ค่า 3.1'!O31</f>
        <v>1</v>
      </c>
      <c r="S31" s="45">
        <f>'ค่า 3.2'!O31</f>
        <v>0</v>
      </c>
      <c r="T31" s="45">
        <f>'ค่า 4.1'!O31</f>
        <v>0</v>
      </c>
    </row>
    <row r="32">
      <c r="A32" s="43">
        <v>31.0</v>
      </c>
      <c r="B32" s="44" t="s">
        <v>245</v>
      </c>
      <c r="C32" s="45" t="s">
        <v>666</v>
      </c>
      <c r="D32" s="46" t="str">
        <f t="shared" si="1"/>
        <v>bnco1031@signalschool.ac.th</v>
      </c>
      <c r="E32" s="47">
        <f>'ค่า 1.1'!O32</f>
        <v>1</v>
      </c>
      <c r="F32" s="45">
        <f>'ค่า 1.3'!O32</f>
        <v>1</v>
      </c>
      <c r="G32" s="45">
        <f>'ค่า 1.2'!O32</f>
        <v>1</v>
      </c>
      <c r="H32" s="45">
        <f>'ค่า 1.4'!O32</f>
        <v>1</v>
      </c>
      <c r="I32" s="45">
        <f>'ค่า 1.5'!O32</f>
        <v>1</v>
      </c>
      <c r="J32" s="45">
        <f>'ค่า 1.6'!O32</f>
        <v>1</v>
      </c>
      <c r="K32" s="45">
        <f>'ค่า 1.7'!O32</f>
        <v>1</v>
      </c>
      <c r="L32" s="45">
        <f>'ค่า 1.8'!O32</f>
        <v>1</v>
      </c>
      <c r="M32" s="45">
        <f>'ค่า 1.9'!O32</f>
        <v>1</v>
      </c>
      <c r="N32" s="45">
        <f>'ค่า 2.1'!O32</f>
        <v>1</v>
      </c>
      <c r="O32" s="45">
        <f>'ค่า 2.2'!O32</f>
        <v>1</v>
      </c>
      <c r="P32" s="45">
        <f>'ค่า 2.3'!O32</f>
        <v>1</v>
      </c>
      <c r="Q32" s="45">
        <f>'ค่า 2.4'!O32</f>
        <v>1</v>
      </c>
      <c r="R32" s="45">
        <f>'ค่า 3.1'!O32</f>
        <v>1</v>
      </c>
      <c r="S32" s="45">
        <f>'ค่า 3.2'!O32</f>
        <v>1</v>
      </c>
      <c r="T32" s="45">
        <f>'ค่า 4.1'!O32</f>
        <v>1</v>
      </c>
    </row>
    <row r="33">
      <c r="A33" s="43">
        <v>32.0</v>
      </c>
      <c r="B33" s="44" t="s">
        <v>246</v>
      </c>
      <c r="C33" s="45" t="s">
        <v>667</v>
      </c>
      <c r="D33" s="46" t="str">
        <f t="shared" si="1"/>
        <v>bnco1032@signalschool.ac.th</v>
      </c>
      <c r="E33" s="47">
        <f>'ค่า 1.1'!O33</f>
        <v>1</v>
      </c>
      <c r="F33" s="45">
        <f>'ค่า 1.3'!O33</f>
        <v>1</v>
      </c>
      <c r="G33" s="45">
        <f>'ค่า 1.2'!O33</f>
        <v>1</v>
      </c>
      <c r="H33" s="45">
        <f>'ค่า 1.4'!O33</f>
        <v>1</v>
      </c>
      <c r="I33" s="45">
        <f>'ค่า 1.5'!O33</f>
        <v>1</v>
      </c>
      <c r="J33" s="45">
        <f>'ค่า 1.6'!O33</f>
        <v>1</v>
      </c>
      <c r="K33" s="45">
        <f>'ค่า 1.7'!O33</f>
        <v>1</v>
      </c>
      <c r="L33" s="45">
        <f>'ค่า 1.8'!O33</f>
        <v>1</v>
      </c>
      <c r="M33" s="45">
        <f>'ค่า 1.9'!O33</f>
        <v>1</v>
      </c>
      <c r="N33" s="45">
        <f>'ค่า 2.1'!O33</f>
        <v>1</v>
      </c>
      <c r="O33" s="45">
        <f>'ค่า 2.2'!O33</f>
        <v>1</v>
      </c>
      <c r="P33" s="45">
        <f>'ค่า 2.3'!O33</f>
        <v>1</v>
      </c>
      <c r="Q33" s="45">
        <f>'ค่า 2.4'!O33</f>
        <v>1</v>
      </c>
      <c r="R33" s="45">
        <f>'ค่า 3.1'!O33</f>
        <v>1</v>
      </c>
      <c r="S33" s="45">
        <f>'ค่า 3.2'!O33</f>
        <v>1</v>
      </c>
      <c r="T33" s="45">
        <f>'ค่า 4.1'!O33</f>
        <v>1</v>
      </c>
    </row>
    <row r="34">
      <c r="A34" s="43">
        <v>33.0</v>
      </c>
      <c r="B34" s="44" t="s">
        <v>247</v>
      </c>
      <c r="C34" s="45" t="s">
        <v>668</v>
      </c>
      <c r="D34" s="46" t="str">
        <f t="shared" si="1"/>
        <v>bnco1033@signalschool.ac.th</v>
      </c>
      <c r="E34" s="47">
        <f>'ค่า 1.1'!O34</f>
        <v>0</v>
      </c>
      <c r="F34" s="45">
        <f>'ค่า 1.3'!O34</f>
        <v>1</v>
      </c>
      <c r="G34" s="45">
        <f>'ค่า 1.2'!O34</f>
        <v>0</v>
      </c>
      <c r="H34" s="45">
        <f>'ค่า 1.4'!O34</f>
        <v>0</v>
      </c>
      <c r="I34" s="45">
        <f>'ค่า 1.5'!O34</f>
        <v>0</v>
      </c>
      <c r="J34" s="45">
        <f>'ค่า 1.6'!O34</f>
        <v>1</v>
      </c>
      <c r="K34" s="45">
        <f>'ค่า 1.7'!O34</f>
        <v>1</v>
      </c>
      <c r="L34" s="45">
        <f>'ค่า 1.8'!O34</f>
        <v>0</v>
      </c>
      <c r="M34" s="45">
        <f>'ค่า 1.9'!O34</f>
        <v>0</v>
      </c>
      <c r="N34" s="45">
        <f>'ค่า 2.1'!O34</f>
        <v>1</v>
      </c>
      <c r="O34" s="45">
        <f>'ค่า 2.2'!O34</f>
        <v>1</v>
      </c>
      <c r="P34" s="45">
        <f>'ค่า 2.3'!O34</f>
        <v>1</v>
      </c>
      <c r="Q34" s="45">
        <f>'ค่า 2.4'!O34</f>
        <v>1</v>
      </c>
      <c r="R34" s="45">
        <f>'ค่า 3.1'!O34</f>
        <v>1</v>
      </c>
      <c r="S34" s="45">
        <f>'ค่า 3.2'!O34</f>
        <v>0</v>
      </c>
      <c r="T34" s="45">
        <f>'ค่า 4.1'!O34</f>
        <v>0</v>
      </c>
    </row>
    <row r="35">
      <c r="A35" s="43">
        <v>34.0</v>
      </c>
      <c r="B35" s="44" t="s">
        <v>248</v>
      </c>
      <c r="C35" s="45" t="s">
        <v>669</v>
      </c>
      <c r="D35" s="46" t="str">
        <f t="shared" si="1"/>
        <v>bnco1034@signalschool.ac.th</v>
      </c>
      <c r="E35" s="47">
        <f>'ค่า 1.1'!O35</f>
        <v>1</v>
      </c>
      <c r="F35" s="45">
        <f>'ค่า 1.3'!O35</f>
        <v>1</v>
      </c>
      <c r="G35" s="45">
        <f>'ค่า 1.2'!O35</f>
        <v>1</v>
      </c>
      <c r="H35" s="45">
        <f>'ค่า 1.4'!O35</f>
        <v>1</v>
      </c>
      <c r="I35" s="45">
        <f>'ค่า 1.5'!O35</f>
        <v>1</v>
      </c>
      <c r="J35" s="45">
        <f>'ค่า 1.6'!O35</f>
        <v>1</v>
      </c>
      <c r="K35" s="45">
        <f>'ค่า 1.7'!O35</f>
        <v>1</v>
      </c>
      <c r="L35" s="45">
        <f>'ค่า 1.8'!O35</f>
        <v>1</v>
      </c>
      <c r="M35" s="45">
        <f>'ค่า 1.9'!O35</f>
        <v>1</v>
      </c>
      <c r="N35" s="45">
        <f>'ค่า 2.1'!O35</f>
        <v>1</v>
      </c>
      <c r="O35" s="45">
        <f>'ค่า 2.2'!O35</f>
        <v>1</v>
      </c>
      <c r="P35" s="45">
        <f>'ค่า 2.3'!O35</f>
        <v>1</v>
      </c>
      <c r="Q35" s="45">
        <f>'ค่า 2.4'!O35</f>
        <v>1</v>
      </c>
      <c r="R35" s="45">
        <f>'ค่า 3.1'!O35</f>
        <v>1</v>
      </c>
      <c r="S35" s="45">
        <f>'ค่า 3.2'!O35</f>
        <v>1</v>
      </c>
      <c r="T35" s="45">
        <f>'ค่า 4.1'!O35</f>
        <v>1</v>
      </c>
    </row>
    <row r="36">
      <c r="A36" s="43">
        <v>35.0</v>
      </c>
      <c r="B36" s="44" t="s">
        <v>249</v>
      </c>
      <c r="C36" s="45" t="s">
        <v>670</v>
      </c>
      <c r="D36" s="46" t="str">
        <f t="shared" si="1"/>
        <v>bnco1035@signalschool.ac.th</v>
      </c>
      <c r="E36" s="47">
        <f>'ค่า 1.1'!O36</f>
        <v>1</v>
      </c>
      <c r="F36" s="45">
        <f>'ค่า 1.3'!O36</f>
        <v>1</v>
      </c>
      <c r="G36" s="45">
        <f>'ค่า 1.2'!O36</f>
        <v>1</v>
      </c>
      <c r="H36" s="45">
        <f>'ค่า 1.4'!O36</f>
        <v>1</v>
      </c>
      <c r="I36" s="45">
        <f>'ค่า 1.5'!O36</f>
        <v>1</v>
      </c>
      <c r="J36" s="45">
        <f>'ค่า 1.6'!O36</f>
        <v>1</v>
      </c>
      <c r="K36" s="45">
        <f>'ค่า 1.7'!O36</f>
        <v>1</v>
      </c>
      <c r="L36" s="45">
        <f>'ค่า 1.8'!O36</f>
        <v>1</v>
      </c>
      <c r="M36" s="45">
        <f>'ค่า 1.9'!O36</f>
        <v>1</v>
      </c>
      <c r="N36" s="45">
        <f>'ค่า 2.1'!O36</f>
        <v>1</v>
      </c>
      <c r="O36" s="45">
        <f>'ค่า 2.2'!O36</f>
        <v>1</v>
      </c>
      <c r="P36" s="45">
        <f>'ค่า 2.3'!O36</f>
        <v>1</v>
      </c>
      <c r="Q36" s="45">
        <f>'ค่า 2.4'!O36</f>
        <v>1</v>
      </c>
      <c r="R36" s="45">
        <f>'ค่า 3.1'!O36</f>
        <v>1</v>
      </c>
      <c r="S36" s="45">
        <f>'ค่า 3.2'!O36</f>
        <v>1</v>
      </c>
      <c r="T36" s="45">
        <f>'ค่า 4.1'!O36</f>
        <v>1</v>
      </c>
    </row>
    <row r="37">
      <c r="A37" s="43">
        <v>36.0</v>
      </c>
      <c r="B37" s="44" t="s">
        <v>250</v>
      </c>
      <c r="C37" s="45" t="s">
        <v>671</v>
      </c>
      <c r="D37" s="46" t="str">
        <f t="shared" si="1"/>
        <v>bnco1036@signalschool.ac.th</v>
      </c>
      <c r="E37" s="47">
        <f>'ค่า 1.1'!O37</f>
        <v>1</v>
      </c>
      <c r="F37" s="45">
        <f>'ค่า 1.3'!O37</f>
        <v>1</v>
      </c>
      <c r="G37" s="45">
        <f>'ค่า 1.2'!O37</f>
        <v>1</v>
      </c>
      <c r="H37" s="45">
        <f>'ค่า 1.4'!O37</f>
        <v>1</v>
      </c>
      <c r="I37" s="45">
        <f>'ค่า 1.5'!O37</f>
        <v>1</v>
      </c>
      <c r="J37" s="45">
        <f>'ค่า 1.6'!O37</f>
        <v>1</v>
      </c>
      <c r="K37" s="45">
        <f>'ค่า 1.7'!O37</f>
        <v>1</v>
      </c>
      <c r="L37" s="45">
        <f>'ค่า 1.8'!O37</f>
        <v>1</v>
      </c>
      <c r="M37" s="45">
        <f>'ค่า 1.9'!O37</f>
        <v>1</v>
      </c>
      <c r="N37" s="45">
        <f>'ค่า 2.1'!O37</f>
        <v>1</v>
      </c>
      <c r="O37" s="45">
        <f>'ค่า 2.2'!O37</f>
        <v>1</v>
      </c>
      <c r="P37" s="45">
        <f>'ค่า 2.3'!O37</f>
        <v>1</v>
      </c>
      <c r="Q37" s="45">
        <f>'ค่า 2.4'!O37</f>
        <v>1</v>
      </c>
      <c r="R37" s="45">
        <f>'ค่า 3.1'!O37</f>
        <v>1</v>
      </c>
      <c r="S37" s="45">
        <f>'ค่า 3.2'!O37</f>
        <v>1</v>
      </c>
      <c r="T37" s="45">
        <f>'ค่า 4.1'!O37</f>
        <v>1</v>
      </c>
    </row>
    <row r="38">
      <c r="A38" s="43">
        <v>37.0</v>
      </c>
      <c r="B38" s="44" t="s">
        <v>251</v>
      </c>
      <c r="C38" s="48" t="s">
        <v>672</v>
      </c>
      <c r="D38" s="46" t="str">
        <f t="shared" si="1"/>
        <v>bnco1037@signalschool.ac.th</v>
      </c>
      <c r="E38" s="47">
        <f>'ค่า 1.1'!O38</f>
        <v>0</v>
      </c>
      <c r="F38" s="45">
        <f>'ค่า 1.3'!O38</f>
        <v>1</v>
      </c>
      <c r="G38" s="45">
        <f>'ค่า 1.2'!O38</f>
        <v>0</v>
      </c>
      <c r="H38" s="45">
        <f>'ค่า 1.4'!O38</f>
        <v>0</v>
      </c>
      <c r="I38" s="45">
        <f>'ค่า 1.5'!O38</f>
        <v>0</v>
      </c>
      <c r="J38" s="45">
        <f>'ค่า 1.6'!O38</f>
        <v>1</v>
      </c>
      <c r="K38" s="45">
        <f>'ค่า 1.7'!O38</f>
        <v>1</v>
      </c>
      <c r="L38" s="45">
        <f>'ค่า 1.8'!O38</f>
        <v>0</v>
      </c>
      <c r="M38" s="45">
        <f>'ค่า 1.9'!O38</f>
        <v>0</v>
      </c>
      <c r="N38" s="45">
        <f>'ค่า 2.1'!O38</f>
        <v>1</v>
      </c>
      <c r="O38" s="45">
        <f>'ค่า 2.2'!O38</f>
        <v>1</v>
      </c>
      <c r="P38" s="45">
        <f>'ค่า 2.3'!O38</f>
        <v>1</v>
      </c>
      <c r="Q38" s="45">
        <f>'ค่า 2.4'!O38</f>
        <v>1</v>
      </c>
      <c r="R38" s="45">
        <f>'ค่า 3.1'!O38</f>
        <v>1</v>
      </c>
      <c r="S38" s="45">
        <f>'ค่า 3.2'!O38</f>
        <v>0</v>
      </c>
      <c r="T38" s="45">
        <f>'ค่า 4.1'!O38</f>
        <v>0</v>
      </c>
    </row>
    <row r="39">
      <c r="A39" s="43">
        <v>38.0</v>
      </c>
      <c r="B39" s="44" t="s">
        <v>252</v>
      </c>
      <c r="C39" s="45" t="s">
        <v>673</v>
      </c>
      <c r="D39" s="46" t="str">
        <f t="shared" si="1"/>
        <v>bnco1038@signalschool.ac.th</v>
      </c>
      <c r="E39" s="47">
        <f>'ค่า 1.1'!O39</f>
        <v>1</v>
      </c>
      <c r="F39" s="45">
        <f>'ค่า 1.3'!O39</f>
        <v>1</v>
      </c>
      <c r="G39" s="45">
        <f>'ค่า 1.2'!O39</f>
        <v>1</v>
      </c>
      <c r="H39" s="45">
        <f>'ค่า 1.4'!O39</f>
        <v>1</v>
      </c>
      <c r="I39" s="45">
        <f>'ค่า 1.5'!O39</f>
        <v>1</v>
      </c>
      <c r="J39" s="45">
        <f>'ค่า 1.6'!O39</f>
        <v>1</v>
      </c>
      <c r="K39" s="45">
        <f>'ค่า 1.7'!O39</f>
        <v>1</v>
      </c>
      <c r="L39" s="45">
        <f>'ค่า 1.8'!O39</f>
        <v>1</v>
      </c>
      <c r="M39" s="45">
        <f>'ค่า 1.9'!O39</f>
        <v>1</v>
      </c>
      <c r="N39" s="45">
        <f>'ค่า 2.1'!O39</f>
        <v>1</v>
      </c>
      <c r="O39" s="45">
        <f>'ค่า 2.2'!O39</f>
        <v>1</v>
      </c>
      <c r="P39" s="45">
        <f>'ค่า 2.3'!O39</f>
        <v>1</v>
      </c>
      <c r="Q39" s="45">
        <f>'ค่า 2.4'!O39</f>
        <v>1</v>
      </c>
      <c r="R39" s="45">
        <f>'ค่า 3.1'!O39</f>
        <v>1</v>
      </c>
      <c r="S39" s="45">
        <f>'ค่า 3.2'!O39</f>
        <v>1</v>
      </c>
      <c r="T39" s="45">
        <f>'ค่า 4.1'!O39</f>
        <v>1</v>
      </c>
    </row>
    <row r="40">
      <c r="A40" s="43">
        <v>39.0</v>
      </c>
      <c r="B40" s="44" t="s">
        <v>253</v>
      </c>
      <c r="C40" s="45" t="s">
        <v>674</v>
      </c>
      <c r="D40" s="46" t="str">
        <f t="shared" si="1"/>
        <v>bnco1039@signalschool.ac.th</v>
      </c>
      <c r="E40" s="47">
        <f>'ค่า 1.1'!O40</f>
        <v>1</v>
      </c>
      <c r="F40" s="45">
        <f>'ค่า 1.3'!O40</f>
        <v>1</v>
      </c>
      <c r="G40" s="45">
        <f>'ค่า 1.2'!O40</f>
        <v>1</v>
      </c>
      <c r="H40" s="45">
        <f>'ค่า 1.4'!O40</f>
        <v>1</v>
      </c>
      <c r="I40" s="45">
        <f>'ค่า 1.5'!O40</f>
        <v>1</v>
      </c>
      <c r="J40" s="45">
        <f>'ค่า 1.6'!O40</f>
        <v>1</v>
      </c>
      <c r="K40" s="45">
        <f>'ค่า 1.7'!O40</f>
        <v>1</v>
      </c>
      <c r="L40" s="45">
        <f>'ค่า 1.8'!O40</f>
        <v>1</v>
      </c>
      <c r="M40" s="45">
        <f>'ค่า 1.9'!O40</f>
        <v>1</v>
      </c>
      <c r="N40" s="45">
        <f>'ค่า 2.1'!O40</f>
        <v>1</v>
      </c>
      <c r="O40" s="45">
        <f>'ค่า 2.2'!O40</f>
        <v>1</v>
      </c>
      <c r="P40" s="45">
        <f>'ค่า 2.3'!O40</f>
        <v>1</v>
      </c>
      <c r="Q40" s="45">
        <f>'ค่า 2.4'!O40</f>
        <v>1</v>
      </c>
      <c r="R40" s="45">
        <f>'ค่า 3.1'!O40</f>
        <v>1</v>
      </c>
      <c r="S40" s="45">
        <f>'ค่า 3.2'!O40</f>
        <v>1</v>
      </c>
      <c r="T40" s="45">
        <f>'ค่า 4.1'!O40</f>
        <v>1</v>
      </c>
    </row>
    <row r="41">
      <c r="A41" s="43">
        <v>40.0</v>
      </c>
      <c r="B41" s="44" t="s">
        <v>254</v>
      </c>
      <c r="C41" s="45" t="s">
        <v>675</v>
      </c>
      <c r="D41" s="46" t="str">
        <f t="shared" si="1"/>
        <v>bnco1040@signalschool.ac.th</v>
      </c>
      <c r="E41" s="47">
        <f>'ค่า 1.1'!O41</f>
        <v>1</v>
      </c>
      <c r="F41" s="45">
        <f>'ค่า 1.3'!O41</f>
        <v>1</v>
      </c>
      <c r="G41" s="45">
        <f>'ค่า 1.2'!O41</f>
        <v>1</v>
      </c>
      <c r="H41" s="45">
        <f>'ค่า 1.4'!O41</f>
        <v>1</v>
      </c>
      <c r="I41" s="45">
        <f>'ค่า 1.5'!O41</f>
        <v>1</v>
      </c>
      <c r="J41" s="45">
        <f>'ค่า 1.6'!O41</f>
        <v>1</v>
      </c>
      <c r="K41" s="45">
        <f>'ค่า 1.7'!O41</f>
        <v>1</v>
      </c>
      <c r="L41" s="45">
        <f>'ค่า 1.8'!O41</f>
        <v>1</v>
      </c>
      <c r="M41" s="45">
        <f>'ค่า 1.9'!O41</f>
        <v>1</v>
      </c>
      <c r="N41" s="45">
        <f>'ค่า 2.1'!O41</f>
        <v>1</v>
      </c>
      <c r="O41" s="45">
        <f>'ค่า 2.2'!O41</f>
        <v>1</v>
      </c>
      <c r="P41" s="45">
        <f>'ค่า 2.3'!O41</f>
        <v>1</v>
      </c>
      <c r="Q41" s="45">
        <f>'ค่า 2.4'!O41</f>
        <v>1</v>
      </c>
      <c r="R41" s="45">
        <f>'ค่า 3.1'!O41</f>
        <v>1</v>
      </c>
      <c r="S41" s="45">
        <f>'ค่า 3.2'!O41</f>
        <v>1</v>
      </c>
      <c r="T41" s="45">
        <f>'ค่า 4.1'!O41</f>
        <v>1</v>
      </c>
    </row>
    <row r="42">
      <c r="A42" s="43">
        <v>41.0</v>
      </c>
      <c r="B42" s="44" t="s">
        <v>255</v>
      </c>
      <c r="C42" s="45" t="s">
        <v>676</v>
      </c>
      <c r="D42" s="46" t="str">
        <f t="shared" si="1"/>
        <v>bnco1041@signalschool.ac.th</v>
      </c>
      <c r="E42" s="47">
        <f>'ค่า 1.1'!O42</f>
        <v>1</v>
      </c>
      <c r="F42" s="45">
        <f>'ค่า 1.3'!O42</f>
        <v>1</v>
      </c>
      <c r="G42" s="45">
        <f>'ค่า 1.2'!O42</f>
        <v>1</v>
      </c>
      <c r="H42" s="45">
        <f>'ค่า 1.4'!O42</f>
        <v>1</v>
      </c>
      <c r="I42" s="45">
        <f>'ค่า 1.5'!O42</f>
        <v>1</v>
      </c>
      <c r="J42" s="45">
        <f>'ค่า 1.6'!O42</f>
        <v>1</v>
      </c>
      <c r="K42" s="45">
        <f>'ค่า 1.7'!O42</f>
        <v>1</v>
      </c>
      <c r="L42" s="45">
        <f>'ค่า 1.8'!O42</f>
        <v>1</v>
      </c>
      <c r="M42" s="45">
        <f>'ค่า 1.9'!O42</f>
        <v>1</v>
      </c>
      <c r="N42" s="45">
        <f>'ค่า 2.1'!O42</f>
        <v>1</v>
      </c>
      <c r="O42" s="45">
        <f>'ค่า 2.2'!O42</f>
        <v>1</v>
      </c>
      <c r="P42" s="45">
        <f>'ค่า 2.3'!O42</f>
        <v>1</v>
      </c>
      <c r="Q42" s="45">
        <f>'ค่า 2.4'!O42</f>
        <v>1</v>
      </c>
      <c r="R42" s="45">
        <f>'ค่า 3.1'!O42</f>
        <v>1</v>
      </c>
      <c r="S42" s="45">
        <f>'ค่า 3.2'!O42</f>
        <v>1</v>
      </c>
      <c r="T42" s="45">
        <f>'ค่า 4.1'!O42</f>
        <v>1</v>
      </c>
    </row>
    <row r="43">
      <c r="A43" s="43">
        <v>42.0</v>
      </c>
      <c r="B43" s="44" t="s">
        <v>256</v>
      </c>
      <c r="C43" s="45" t="s">
        <v>677</v>
      </c>
      <c r="D43" s="46" t="str">
        <f t="shared" si="1"/>
        <v>bnco1042@signalschool.ac.th</v>
      </c>
      <c r="E43" s="47">
        <f>'ค่า 1.1'!O43</f>
        <v>1</v>
      </c>
      <c r="F43" s="45">
        <f>'ค่า 1.3'!O43</f>
        <v>1</v>
      </c>
      <c r="G43" s="45">
        <f>'ค่า 1.2'!O43</f>
        <v>1</v>
      </c>
      <c r="H43" s="45">
        <f>'ค่า 1.4'!O43</f>
        <v>1</v>
      </c>
      <c r="I43" s="45">
        <f>'ค่า 1.5'!O43</f>
        <v>1</v>
      </c>
      <c r="J43" s="45">
        <f>'ค่า 1.6'!O43</f>
        <v>1</v>
      </c>
      <c r="K43" s="45">
        <f>'ค่า 1.7'!O43</f>
        <v>1</v>
      </c>
      <c r="L43" s="45">
        <f>'ค่า 1.8'!O43</f>
        <v>1</v>
      </c>
      <c r="M43" s="45">
        <f>'ค่า 1.9'!O43</f>
        <v>1</v>
      </c>
      <c r="N43" s="45">
        <f>'ค่า 2.1'!O43</f>
        <v>1</v>
      </c>
      <c r="O43" s="45">
        <f>'ค่า 2.2'!O43</f>
        <v>1</v>
      </c>
      <c r="P43" s="45">
        <f>'ค่า 2.3'!O43</f>
        <v>1</v>
      </c>
      <c r="Q43" s="45">
        <f>'ค่า 2.4'!O43</f>
        <v>1</v>
      </c>
      <c r="R43" s="45">
        <f>'ค่า 3.1'!O43</f>
        <v>1</v>
      </c>
      <c r="S43" s="45">
        <f>'ค่า 3.2'!O43</f>
        <v>1</v>
      </c>
      <c r="T43" s="45">
        <f>'ค่า 4.1'!O43</f>
        <v>1</v>
      </c>
    </row>
    <row r="44">
      <c r="A44" s="43">
        <v>43.0</v>
      </c>
      <c r="B44" s="44" t="s">
        <v>257</v>
      </c>
      <c r="C44" s="45" t="s">
        <v>678</v>
      </c>
      <c r="D44" s="46" t="str">
        <f t="shared" si="1"/>
        <v>bnco1043@signalschool.ac.th</v>
      </c>
      <c r="E44" s="47">
        <f>'ค่า 1.1'!O44</f>
        <v>1</v>
      </c>
      <c r="F44" s="45">
        <f>'ค่า 1.3'!O44</f>
        <v>1</v>
      </c>
      <c r="G44" s="45">
        <f>'ค่า 1.2'!O44</f>
        <v>1</v>
      </c>
      <c r="H44" s="45">
        <f>'ค่า 1.4'!O44</f>
        <v>1</v>
      </c>
      <c r="I44" s="45">
        <f>'ค่า 1.5'!O44</f>
        <v>1</v>
      </c>
      <c r="J44" s="45">
        <f>'ค่า 1.6'!O44</f>
        <v>0</v>
      </c>
      <c r="K44" s="45">
        <f>'ค่า 1.7'!O44</f>
        <v>1</v>
      </c>
      <c r="L44" s="45">
        <f>'ค่า 1.8'!O44</f>
        <v>1</v>
      </c>
      <c r="M44" s="45">
        <f>'ค่า 1.9'!O44</f>
        <v>1</v>
      </c>
      <c r="N44" s="45">
        <f>'ค่า 2.1'!O44</f>
        <v>1</v>
      </c>
      <c r="O44" s="45">
        <f>'ค่า 2.2'!O44</f>
        <v>1</v>
      </c>
      <c r="P44" s="45">
        <f>'ค่า 2.3'!O44</f>
        <v>1</v>
      </c>
      <c r="Q44" s="45">
        <f>'ค่า 2.4'!O44</f>
        <v>1</v>
      </c>
      <c r="R44" s="45">
        <f>'ค่า 3.1'!O44</f>
        <v>1</v>
      </c>
      <c r="S44" s="45">
        <f>'ค่า 3.2'!O44</f>
        <v>1</v>
      </c>
      <c r="T44" s="45">
        <f>'ค่า 4.1'!O44</f>
        <v>1</v>
      </c>
    </row>
    <row r="45">
      <c r="A45" s="43">
        <v>44.0</v>
      </c>
      <c r="B45" s="44" t="s">
        <v>258</v>
      </c>
      <c r="C45" s="45" t="s">
        <v>679</v>
      </c>
      <c r="D45" s="46" t="str">
        <f t="shared" si="1"/>
        <v>bnco1044@signalschool.ac.th</v>
      </c>
      <c r="E45" s="47">
        <f>'ค่า 1.1'!O45</f>
        <v>1</v>
      </c>
      <c r="F45" s="45">
        <f>'ค่า 1.3'!O45</f>
        <v>1</v>
      </c>
      <c r="G45" s="45">
        <f>'ค่า 1.2'!O45</f>
        <v>1</v>
      </c>
      <c r="H45" s="45">
        <f>'ค่า 1.4'!O45</f>
        <v>1</v>
      </c>
      <c r="I45" s="45">
        <f>'ค่า 1.5'!O45</f>
        <v>1</v>
      </c>
      <c r="J45" s="45">
        <f>'ค่า 1.6'!O45</f>
        <v>1</v>
      </c>
      <c r="K45" s="45">
        <f>'ค่า 1.7'!O45</f>
        <v>1</v>
      </c>
      <c r="L45" s="45">
        <f>'ค่า 1.8'!O45</f>
        <v>1</v>
      </c>
      <c r="M45" s="45">
        <f>'ค่า 1.9'!O45</f>
        <v>1</v>
      </c>
      <c r="N45" s="45">
        <f>'ค่า 2.1'!O45</f>
        <v>1</v>
      </c>
      <c r="O45" s="45">
        <f>'ค่า 2.2'!O45</f>
        <v>1</v>
      </c>
      <c r="P45" s="45">
        <f>'ค่า 2.3'!O45</f>
        <v>1</v>
      </c>
      <c r="Q45" s="45">
        <f>'ค่า 2.4'!O45</f>
        <v>1</v>
      </c>
      <c r="R45" s="45">
        <f>'ค่า 3.1'!O45</f>
        <v>1</v>
      </c>
      <c r="S45" s="45">
        <f>'ค่า 3.2'!O45</f>
        <v>1</v>
      </c>
      <c r="T45" s="45">
        <f>'ค่า 4.1'!O45</f>
        <v>1</v>
      </c>
    </row>
    <row r="46">
      <c r="A46" s="43">
        <v>45.0</v>
      </c>
      <c r="B46" s="44" t="s">
        <v>259</v>
      </c>
      <c r="C46" s="45" t="s">
        <v>680</v>
      </c>
      <c r="D46" s="46" t="str">
        <f t="shared" si="1"/>
        <v>bnco1045@signalschool.ac.th</v>
      </c>
      <c r="E46" s="47">
        <f>'ค่า 1.1'!O46</f>
        <v>1</v>
      </c>
      <c r="F46" s="45">
        <f>'ค่า 1.3'!O46</f>
        <v>1</v>
      </c>
      <c r="G46" s="45">
        <f>'ค่า 1.2'!O46</f>
        <v>1</v>
      </c>
      <c r="H46" s="45">
        <f>'ค่า 1.4'!O46</f>
        <v>1</v>
      </c>
      <c r="I46" s="45">
        <f>'ค่า 1.5'!O46</f>
        <v>1</v>
      </c>
      <c r="J46" s="45">
        <f>'ค่า 1.6'!O46</f>
        <v>1</v>
      </c>
      <c r="K46" s="45">
        <f>'ค่า 1.7'!O46</f>
        <v>1</v>
      </c>
      <c r="L46" s="45">
        <f>'ค่า 1.8'!O46</f>
        <v>1</v>
      </c>
      <c r="M46" s="45">
        <f>'ค่า 1.9'!O46</f>
        <v>1</v>
      </c>
      <c r="N46" s="45">
        <f>'ค่า 2.1'!O46</f>
        <v>1</v>
      </c>
      <c r="O46" s="45">
        <f>'ค่า 2.2'!O46</f>
        <v>1</v>
      </c>
      <c r="P46" s="45">
        <f>'ค่า 2.3'!O46</f>
        <v>1</v>
      </c>
      <c r="Q46" s="45">
        <f>'ค่า 2.4'!O46</f>
        <v>1</v>
      </c>
      <c r="R46" s="45">
        <f>'ค่า 3.1'!O46</f>
        <v>1</v>
      </c>
      <c r="S46" s="45">
        <f>'ค่า 3.2'!O46</f>
        <v>1</v>
      </c>
      <c r="T46" s="45">
        <f>'ค่า 4.1'!O46</f>
        <v>1</v>
      </c>
    </row>
    <row r="47">
      <c r="A47" s="43">
        <v>46.0</v>
      </c>
      <c r="B47" s="44" t="s">
        <v>260</v>
      </c>
      <c r="C47" s="45" t="s">
        <v>681</v>
      </c>
      <c r="D47" s="46" t="str">
        <f t="shared" si="1"/>
        <v>bnco1046@signalschool.ac.th</v>
      </c>
      <c r="E47" s="47">
        <f>'ค่า 1.1'!O47</f>
        <v>1</v>
      </c>
      <c r="F47" s="45">
        <f>'ค่า 1.3'!O47</f>
        <v>1</v>
      </c>
      <c r="G47" s="45">
        <f>'ค่า 1.2'!O47</f>
        <v>1</v>
      </c>
      <c r="H47" s="45">
        <f>'ค่า 1.4'!O47</f>
        <v>1</v>
      </c>
      <c r="I47" s="45">
        <f>'ค่า 1.5'!O47</f>
        <v>1</v>
      </c>
      <c r="J47" s="45">
        <f>'ค่า 1.6'!O47</f>
        <v>1</v>
      </c>
      <c r="K47" s="45">
        <f>'ค่า 1.7'!O47</f>
        <v>1</v>
      </c>
      <c r="L47" s="45">
        <f>'ค่า 1.8'!O47</f>
        <v>0</v>
      </c>
      <c r="M47" s="45">
        <f>'ค่า 1.9'!O47</f>
        <v>1</v>
      </c>
      <c r="N47" s="45">
        <f>'ค่า 2.1'!O47</f>
        <v>1</v>
      </c>
      <c r="O47" s="45">
        <f>'ค่า 2.2'!O47</f>
        <v>1</v>
      </c>
      <c r="P47" s="45">
        <f>'ค่า 2.3'!O47</f>
        <v>1</v>
      </c>
      <c r="Q47" s="45">
        <f>'ค่า 2.4'!O47</f>
        <v>1</v>
      </c>
      <c r="R47" s="45">
        <f>'ค่า 3.1'!O47</f>
        <v>1</v>
      </c>
      <c r="S47" s="45">
        <f>'ค่า 3.2'!O47</f>
        <v>1</v>
      </c>
      <c r="T47" s="45">
        <f>'ค่า 4.1'!O47</f>
        <v>1</v>
      </c>
    </row>
    <row r="48">
      <c r="A48" s="43">
        <v>47.0</v>
      </c>
      <c r="B48" s="44" t="s">
        <v>261</v>
      </c>
      <c r="C48" s="45" t="s">
        <v>682</v>
      </c>
      <c r="D48" s="46" t="str">
        <f t="shared" si="1"/>
        <v>bnco1047@signalschool.ac.th</v>
      </c>
      <c r="E48" s="47">
        <f>'ค่า 1.1'!O48</f>
        <v>1</v>
      </c>
      <c r="F48" s="45">
        <f>'ค่า 1.3'!O48</f>
        <v>1</v>
      </c>
      <c r="G48" s="45">
        <f>'ค่า 1.2'!O48</f>
        <v>1</v>
      </c>
      <c r="H48" s="45">
        <f>'ค่า 1.4'!O48</f>
        <v>1</v>
      </c>
      <c r="I48" s="45">
        <f>'ค่า 1.5'!O48</f>
        <v>1</v>
      </c>
      <c r="J48" s="45">
        <f>'ค่า 1.6'!O48</f>
        <v>1</v>
      </c>
      <c r="K48" s="45">
        <f>'ค่า 1.7'!O48</f>
        <v>1</v>
      </c>
      <c r="L48" s="45">
        <f>'ค่า 1.8'!O48</f>
        <v>1</v>
      </c>
      <c r="M48" s="45">
        <f>'ค่า 1.9'!O48</f>
        <v>1</v>
      </c>
      <c r="N48" s="45">
        <f>'ค่า 2.1'!O48</f>
        <v>1</v>
      </c>
      <c r="O48" s="45">
        <f>'ค่า 2.2'!O48</f>
        <v>1</v>
      </c>
      <c r="P48" s="45">
        <f>'ค่า 2.3'!O48</f>
        <v>1</v>
      </c>
      <c r="Q48" s="45">
        <f>'ค่า 2.4'!O48</f>
        <v>1</v>
      </c>
      <c r="R48" s="45">
        <f>'ค่า 3.1'!O48</f>
        <v>1</v>
      </c>
      <c r="S48" s="45">
        <f>'ค่า 3.2'!O48</f>
        <v>1</v>
      </c>
      <c r="T48" s="45">
        <f>'ค่า 4.1'!O48</f>
        <v>1</v>
      </c>
    </row>
    <row r="49">
      <c r="A49" s="43">
        <v>48.0</v>
      </c>
      <c r="B49" s="44" t="s">
        <v>262</v>
      </c>
      <c r="C49" s="48" t="s">
        <v>683</v>
      </c>
      <c r="D49" s="46" t="str">
        <f t="shared" si="1"/>
        <v>bnco1048@signalschool.ac.th</v>
      </c>
      <c r="E49" s="47">
        <f>'ค่า 1.1'!O49</f>
        <v>0</v>
      </c>
      <c r="F49" s="45">
        <f>'ค่า 1.3'!O49</f>
        <v>1</v>
      </c>
      <c r="G49" s="45">
        <f>'ค่า 1.2'!O49</f>
        <v>0</v>
      </c>
      <c r="H49" s="45">
        <f>'ค่า 1.4'!O49</f>
        <v>0</v>
      </c>
      <c r="I49" s="45">
        <f>'ค่า 1.5'!O49</f>
        <v>0</v>
      </c>
      <c r="J49" s="45">
        <f>'ค่า 1.6'!O49</f>
        <v>0</v>
      </c>
      <c r="K49" s="45">
        <f>'ค่า 1.7'!O49</f>
        <v>0</v>
      </c>
      <c r="L49" s="45">
        <f>'ค่า 1.8'!O49</f>
        <v>0</v>
      </c>
      <c r="M49" s="45">
        <f>'ค่า 1.9'!O49</f>
        <v>0</v>
      </c>
      <c r="N49" s="45">
        <f>'ค่า 2.1'!O49</f>
        <v>1</v>
      </c>
      <c r="O49" s="45">
        <f>'ค่า 2.2'!O49</f>
        <v>1</v>
      </c>
      <c r="P49" s="45">
        <f>'ค่า 2.3'!O49</f>
        <v>1</v>
      </c>
      <c r="Q49" s="45">
        <f>'ค่า 2.4'!O49</f>
        <v>1</v>
      </c>
      <c r="R49" s="45">
        <f>'ค่า 3.1'!O49</f>
        <v>1</v>
      </c>
      <c r="S49" s="45">
        <f>'ค่า 3.2'!O49</f>
        <v>0</v>
      </c>
      <c r="T49" s="45">
        <f>'ค่า 4.1'!O49</f>
        <v>0</v>
      </c>
    </row>
    <row r="50">
      <c r="A50" s="43">
        <v>49.0</v>
      </c>
      <c r="B50" s="44" t="s">
        <v>263</v>
      </c>
      <c r="C50" s="45" t="s">
        <v>684</v>
      </c>
      <c r="D50" s="46" t="str">
        <f t="shared" si="1"/>
        <v>bnco1049@signalschool.ac.th</v>
      </c>
      <c r="E50" s="47">
        <f>'ค่า 1.1'!O50</f>
        <v>1</v>
      </c>
      <c r="F50" s="45">
        <f>'ค่า 1.3'!O50</f>
        <v>1</v>
      </c>
      <c r="G50" s="45">
        <f>'ค่า 1.2'!O50</f>
        <v>1</v>
      </c>
      <c r="H50" s="45">
        <f>'ค่า 1.4'!O50</f>
        <v>1</v>
      </c>
      <c r="I50" s="45">
        <f>'ค่า 1.5'!O50</f>
        <v>1</v>
      </c>
      <c r="J50" s="45">
        <f>'ค่า 1.6'!O50</f>
        <v>1</v>
      </c>
      <c r="K50" s="45">
        <f>'ค่า 1.7'!O50</f>
        <v>1</v>
      </c>
      <c r="L50" s="45">
        <f>'ค่า 1.8'!O50</f>
        <v>1</v>
      </c>
      <c r="M50" s="45">
        <f>'ค่า 1.9'!O50</f>
        <v>1</v>
      </c>
      <c r="N50" s="45">
        <f>'ค่า 2.1'!O50</f>
        <v>1</v>
      </c>
      <c r="O50" s="45">
        <f>'ค่า 2.2'!O50</f>
        <v>1</v>
      </c>
      <c r="P50" s="45">
        <f>'ค่า 2.3'!O50</f>
        <v>1</v>
      </c>
      <c r="Q50" s="45">
        <f>'ค่า 2.4'!O50</f>
        <v>1</v>
      </c>
      <c r="R50" s="45">
        <f>'ค่า 3.1'!O50</f>
        <v>1</v>
      </c>
      <c r="S50" s="45">
        <f>'ค่า 3.2'!O50</f>
        <v>1</v>
      </c>
      <c r="T50" s="45">
        <f>'ค่า 4.1'!O50</f>
        <v>1</v>
      </c>
    </row>
    <row r="51">
      <c r="A51" s="43">
        <v>50.0</v>
      </c>
      <c r="B51" s="44" t="s">
        <v>264</v>
      </c>
      <c r="C51" s="45" t="s">
        <v>685</v>
      </c>
      <c r="D51" s="46" t="str">
        <f t="shared" si="1"/>
        <v>bnco1050@signalschool.ac.th</v>
      </c>
      <c r="E51" s="47">
        <f>'ค่า 1.1'!O51</f>
        <v>1</v>
      </c>
      <c r="F51" s="45">
        <f>'ค่า 1.3'!O51</f>
        <v>1</v>
      </c>
      <c r="G51" s="45">
        <f>'ค่า 1.2'!O51</f>
        <v>1</v>
      </c>
      <c r="H51" s="45">
        <f>'ค่า 1.4'!O51</f>
        <v>1</v>
      </c>
      <c r="I51" s="45">
        <f>'ค่า 1.5'!O51</f>
        <v>1</v>
      </c>
      <c r="J51" s="45">
        <f>'ค่า 1.6'!O51</f>
        <v>1</v>
      </c>
      <c r="K51" s="45">
        <f>'ค่า 1.7'!O51</f>
        <v>1</v>
      </c>
      <c r="L51" s="45">
        <f>'ค่า 1.8'!O51</f>
        <v>1</v>
      </c>
      <c r="M51" s="45">
        <f>'ค่า 1.9'!O51</f>
        <v>1</v>
      </c>
      <c r="N51" s="45">
        <f>'ค่า 2.1'!O51</f>
        <v>1</v>
      </c>
      <c r="O51" s="45">
        <f>'ค่า 2.2'!O51</f>
        <v>1</v>
      </c>
      <c r="P51" s="45">
        <f>'ค่า 2.3'!O51</f>
        <v>1</v>
      </c>
      <c r="Q51" s="45">
        <f>'ค่า 2.4'!O51</f>
        <v>1</v>
      </c>
      <c r="R51" s="45">
        <f>'ค่า 3.1'!O51</f>
        <v>1</v>
      </c>
      <c r="S51" s="45">
        <f>'ค่า 3.2'!O51</f>
        <v>1</v>
      </c>
      <c r="T51" s="45">
        <f>'ค่า 4.1'!O51</f>
        <v>1</v>
      </c>
    </row>
    <row r="52">
      <c r="A52" s="43">
        <v>51.0</v>
      </c>
      <c r="B52" s="44" t="s">
        <v>265</v>
      </c>
      <c r="C52" s="45" t="s">
        <v>690</v>
      </c>
      <c r="D52" s="46" t="str">
        <f t="shared" si="1"/>
        <v>bnco1051@signalschool.ac.th</v>
      </c>
      <c r="E52" s="47">
        <f>'ค่า 1.1'!O52</f>
        <v>1</v>
      </c>
      <c r="F52" s="45">
        <f>'ค่า 1.3'!O52</f>
        <v>1</v>
      </c>
      <c r="G52" s="45">
        <f>'ค่า 1.2'!O52</f>
        <v>1</v>
      </c>
      <c r="H52" s="45">
        <f>'ค่า 1.4'!O52</f>
        <v>1</v>
      </c>
      <c r="I52" s="45">
        <f>'ค่า 1.5'!O52</f>
        <v>1</v>
      </c>
      <c r="J52" s="45">
        <f>'ค่า 1.6'!O52</f>
        <v>1</v>
      </c>
      <c r="K52" s="45">
        <f>'ค่า 1.7'!O52</f>
        <v>1</v>
      </c>
      <c r="L52" s="45">
        <f>'ค่า 1.8'!O52</f>
        <v>1</v>
      </c>
      <c r="M52" s="45">
        <f>'ค่า 1.9'!O52</f>
        <v>1</v>
      </c>
      <c r="N52" s="45">
        <f>'ค่า 2.1'!O52</f>
        <v>1</v>
      </c>
      <c r="O52" s="45">
        <f>'ค่า 2.2'!O52</f>
        <v>1</v>
      </c>
      <c r="P52" s="45">
        <f>'ค่า 2.3'!O52</f>
        <v>1</v>
      </c>
      <c r="Q52" s="45">
        <f>'ค่า 2.4'!O52</f>
        <v>1</v>
      </c>
      <c r="R52" s="45">
        <f>'ค่า 3.1'!O52</f>
        <v>1</v>
      </c>
      <c r="S52" s="45">
        <f>'ค่า 3.2'!O52</f>
        <v>1</v>
      </c>
      <c r="T52" s="45">
        <f>'ค่า 4.1'!O52</f>
        <v>1</v>
      </c>
    </row>
    <row r="53">
      <c r="A53" s="43">
        <v>52.0</v>
      </c>
      <c r="B53" s="44" t="s">
        <v>266</v>
      </c>
      <c r="C53" s="45" t="s">
        <v>691</v>
      </c>
      <c r="D53" s="46" t="str">
        <f t="shared" si="1"/>
        <v>bnco1052@signalschool.ac.th</v>
      </c>
      <c r="E53" s="47">
        <f>'ค่า 1.1'!O53</f>
        <v>1</v>
      </c>
      <c r="F53" s="45">
        <f>'ค่า 1.3'!O53</f>
        <v>1</v>
      </c>
      <c r="G53" s="45">
        <f>'ค่า 1.2'!O53</f>
        <v>1</v>
      </c>
      <c r="H53" s="45">
        <f>'ค่า 1.4'!O53</f>
        <v>1</v>
      </c>
      <c r="I53" s="45">
        <f>'ค่า 1.5'!O53</f>
        <v>1</v>
      </c>
      <c r="J53" s="45">
        <f>'ค่า 1.6'!O53</f>
        <v>1</v>
      </c>
      <c r="K53" s="45">
        <f>'ค่า 1.7'!O53</f>
        <v>1</v>
      </c>
      <c r="L53" s="45">
        <f>'ค่า 1.8'!O53</f>
        <v>1</v>
      </c>
      <c r="M53" s="45">
        <f>'ค่า 1.9'!O53</f>
        <v>1</v>
      </c>
      <c r="N53" s="45">
        <f>'ค่า 2.1'!O53</f>
        <v>1</v>
      </c>
      <c r="O53" s="45">
        <f>'ค่า 2.2'!O53</f>
        <v>1</v>
      </c>
      <c r="P53" s="45">
        <f>'ค่า 2.3'!O53</f>
        <v>1</v>
      </c>
      <c r="Q53" s="45">
        <f>'ค่า 2.4'!O53</f>
        <v>1</v>
      </c>
      <c r="R53" s="45">
        <f>'ค่า 3.1'!O53</f>
        <v>1</v>
      </c>
      <c r="S53" s="45">
        <f>'ค่า 3.2'!O53</f>
        <v>1</v>
      </c>
      <c r="T53" s="45">
        <f>'ค่า 4.1'!O53</f>
        <v>1</v>
      </c>
    </row>
    <row r="54">
      <c r="A54" s="43">
        <v>53.0</v>
      </c>
      <c r="B54" s="44" t="s">
        <v>267</v>
      </c>
      <c r="C54" s="45" t="s">
        <v>692</v>
      </c>
      <c r="D54" s="46" t="str">
        <f t="shared" si="1"/>
        <v>bnco1053@signalschool.ac.th</v>
      </c>
      <c r="E54" s="47">
        <f>'ค่า 1.1'!O54</f>
        <v>1</v>
      </c>
      <c r="F54" s="45">
        <f>'ค่า 1.3'!O54</f>
        <v>1</v>
      </c>
      <c r="G54" s="45">
        <f>'ค่า 1.2'!O54</f>
        <v>1</v>
      </c>
      <c r="H54" s="45">
        <f>'ค่า 1.4'!O54</f>
        <v>1</v>
      </c>
      <c r="I54" s="45">
        <f>'ค่า 1.5'!O54</f>
        <v>1</v>
      </c>
      <c r="J54" s="45">
        <f>'ค่า 1.6'!O54</f>
        <v>1</v>
      </c>
      <c r="K54" s="45">
        <f>'ค่า 1.7'!O54</f>
        <v>1</v>
      </c>
      <c r="L54" s="45">
        <f>'ค่า 1.8'!O54</f>
        <v>1</v>
      </c>
      <c r="M54" s="45">
        <f>'ค่า 1.9'!O54</f>
        <v>1</v>
      </c>
      <c r="N54" s="45">
        <f>'ค่า 2.1'!O54</f>
        <v>1</v>
      </c>
      <c r="O54" s="45">
        <f>'ค่า 2.2'!O54</f>
        <v>1</v>
      </c>
      <c r="P54" s="45">
        <f>'ค่า 2.3'!O54</f>
        <v>1</v>
      </c>
      <c r="Q54" s="45">
        <f>'ค่า 2.4'!O54</f>
        <v>1</v>
      </c>
      <c r="R54" s="45">
        <f>'ค่า 3.1'!O54</f>
        <v>1</v>
      </c>
      <c r="S54" s="45">
        <f>'ค่า 3.2'!O54</f>
        <v>1</v>
      </c>
      <c r="T54" s="45">
        <f>'ค่า 4.1'!O54</f>
        <v>1</v>
      </c>
    </row>
    <row r="55">
      <c r="A55" s="43">
        <v>54.0</v>
      </c>
      <c r="B55" s="44" t="s">
        <v>268</v>
      </c>
      <c r="C55" s="45" t="s">
        <v>693</v>
      </c>
      <c r="D55" s="46" t="str">
        <f t="shared" si="1"/>
        <v>bnco1054@signalschool.ac.th</v>
      </c>
      <c r="E55" s="47">
        <f>'ค่า 1.1'!O55</f>
        <v>1</v>
      </c>
      <c r="F55" s="45">
        <f>'ค่า 1.3'!O55</f>
        <v>1</v>
      </c>
      <c r="G55" s="45">
        <f>'ค่า 1.2'!O55</f>
        <v>1</v>
      </c>
      <c r="H55" s="45">
        <f>'ค่า 1.4'!O55</f>
        <v>1</v>
      </c>
      <c r="I55" s="45">
        <f>'ค่า 1.5'!O55</f>
        <v>1</v>
      </c>
      <c r="J55" s="45">
        <f>'ค่า 1.6'!O55</f>
        <v>1</v>
      </c>
      <c r="K55" s="45">
        <f>'ค่า 1.7'!O55</f>
        <v>1</v>
      </c>
      <c r="L55" s="45">
        <f>'ค่า 1.8'!O55</f>
        <v>1</v>
      </c>
      <c r="M55" s="45">
        <f>'ค่า 1.9'!O55</f>
        <v>1</v>
      </c>
      <c r="N55" s="45">
        <f>'ค่า 2.1'!O55</f>
        <v>1</v>
      </c>
      <c r="O55" s="45">
        <f>'ค่า 2.2'!O55</f>
        <v>1</v>
      </c>
      <c r="P55" s="45">
        <f>'ค่า 2.3'!O55</f>
        <v>1</v>
      </c>
      <c r="Q55" s="45">
        <f>'ค่า 2.4'!O55</f>
        <v>1</v>
      </c>
      <c r="R55" s="45">
        <f>'ค่า 3.1'!O55</f>
        <v>1</v>
      </c>
      <c r="S55" s="45">
        <f>'ค่า 3.2'!O55</f>
        <v>1</v>
      </c>
      <c r="T55" s="45">
        <f>'ค่า 4.1'!O55</f>
        <v>1</v>
      </c>
    </row>
    <row r="56">
      <c r="A56" s="43">
        <v>55.0</v>
      </c>
      <c r="B56" s="44" t="s">
        <v>269</v>
      </c>
      <c r="C56" s="45" t="s">
        <v>695</v>
      </c>
      <c r="D56" s="46" t="str">
        <f t="shared" si="1"/>
        <v>bnco1055@signalschool.ac.th</v>
      </c>
      <c r="E56" s="47">
        <f>'ค่า 1.1'!O56</f>
        <v>1</v>
      </c>
      <c r="F56" s="45">
        <f>'ค่า 1.3'!O56</f>
        <v>1</v>
      </c>
      <c r="G56" s="45">
        <f>'ค่า 1.2'!O56</f>
        <v>1</v>
      </c>
      <c r="H56" s="45">
        <f>'ค่า 1.4'!O56</f>
        <v>1</v>
      </c>
      <c r="I56" s="45">
        <f>'ค่า 1.5'!O56</f>
        <v>1</v>
      </c>
      <c r="J56" s="45">
        <f>'ค่า 1.6'!O56</f>
        <v>1</v>
      </c>
      <c r="K56" s="45">
        <f>'ค่า 1.7'!O56</f>
        <v>1</v>
      </c>
      <c r="L56" s="45">
        <f>'ค่า 1.8'!O56</f>
        <v>1</v>
      </c>
      <c r="M56" s="45">
        <f>'ค่า 1.9'!O56</f>
        <v>1</v>
      </c>
      <c r="N56" s="45">
        <f>'ค่า 2.1'!O56</f>
        <v>1</v>
      </c>
      <c r="O56" s="45">
        <f>'ค่า 2.2'!O56</f>
        <v>1</v>
      </c>
      <c r="P56" s="45">
        <f>'ค่า 2.3'!O56</f>
        <v>1</v>
      </c>
      <c r="Q56" s="45">
        <f>'ค่า 2.4'!O56</f>
        <v>1</v>
      </c>
      <c r="R56" s="45">
        <f>'ค่า 3.1'!O56</f>
        <v>1</v>
      </c>
      <c r="S56" s="45">
        <f>'ค่า 3.2'!O56</f>
        <v>1</v>
      </c>
      <c r="T56" s="45">
        <f>'ค่า 4.1'!O56</f>
        <v>1</v>
      </c>
    </row>
    <row r="57">
      <c r="A57" s="43">
        <v>56.0</v>
      </c>
      <c r="B57" s="44" t="s">
        <v>270</v>
      </c>
      <c r="C57" s="45" t="s">
        <v>696</v>
      </c>
      <c r="D57" s="46" t="str">
        <f t="shared" si="1"/>
        <v>bnco1056@signalschool.ac.th</v>
      </c>
      <c r="E57" s="47">
        <f>'ค่า 1.1'!O57</f>
        <v>1</v>
      </c>
      <c r="F57" s="45">
        <f>'ค่า 1.3'!O57</f>
        <v>1</v>
      </c>
      <c r="G57" s="45">
        <f>'ค่า 1.2'!O57</f>
        <v>1</v>
      </c>
      <c r="H57" s="45">
        <f>'ค่า 1.4'!O57</f>
        <v>1</v>
      </c>
      <c r="I57" s="45">
        <f>'ค่า 1.5'!O57</f>
        <v>1</v>
      </c>
      <c r="J57" s="45">
        <f>'ค่า 1.6'!O57</f>
        <v>1</v>
      </c>
      <c r="K57" s="45">
        <f>'ค่า 1.7'!O57</f>
        <v>1</v>
      </c>
      <c r="L57" s="45">
        <f>'ค่า 1.8'!O57</f>
        <v>1</v>
      </c>
      <c r="M57" s="45">
        <f>'ค่า 1.9'!O57</f>
        <v>1</v>
      </c>
      <c r="N57" s="45">
        <f>'ค่า 2.1'!O57</f>
        <v>1</v>
      </c>
      <c r="O57" s="45">
        <f>'ค่า 2.2'!O57</f>
        <v>1</v>
      </c>
      <c r="P57" s="45">
        <f>'ค่า 2.3'!O57</f>
        <v>1</v>
      </c>
      <c r="Q57" s="45">
        <f>'ค่า 2.4'!O57</f>
        <v>1</v>
      </c>
      <c r="R57" s="45">
        <f>'ค่า 3.1'!O57</f>
        <v>1</v>
      </c>
      <c r="S57" s="45">
        <f>'ค่า 3.2'!O57</f>
        <v>1</v>
      </c>
      <c r="T57" s="45">
        <f>'ค่า 4.1'!O57</f>
        <v>1</v>
      </c>
    </row>
    <row r="58">
      <c r="A58" s="43">
        <v>57.0</v>
      </c>
      <c r="B58" s="44" t="s">
        <v>271</v>
      </c>
      <c r="C58" s="45" t="s">
        <v>697</v>
      </c>
      <c r="D58" s="46" t="str">
        <f t="shared" si="1"/>
        <v>bnco1057@signalschool.ac.th</v>
      </c>
      <c r="E58" s="47">
        <f>'ค่า 1.1'!O58</f>
        <v>1</v>
      </c>
      <c r="F58" s="45">
        <f>'ค่า 1.3'!O58</f>
        <v>1</v>
      </c>
      <c r="G58" s="45">
        <f>'ค่า 1.2'!O58</f>
        <v>1</v>
      </c>
      <c r="H58" s="45">
        <f>'ค่า 1.4'!O58</f>
        <v>1</v>
      </c>
      <c r="I58" s="45">
        <f>'ค่า 1.5'!O58</f>
        <v>1</v>
      </c>
      <c r="J58" s="45">
        <f>'ค่า 1.6'!O58</f>
        <v>1</v>
      </c>
      <c r="K58" s="45">
        <f>'ค่า 1.7'!O58</f>
        <v>1</v>
      </c>
      <c r="L58" s="45">
        <f>'ค่า 1.8'!O58</f>
        <v>1</v>
      </c>
      <c r="M58" s="45">
        <f>'ค่า 1.9'!O58</f>
        <v>1</v>
      </c>
      <c r="N58" s="45">
        <f>'ค่า 2.1'!O58</f>
        <v>1</v>
      </c>
      <c r="O58" s="45">
        <f>'ค่า 2.2'!O58</f>
        <v>1</v>
      </c>
      <c r="P58" s="45">
        <f>'ค่า 2.3'!O58</f>
        <v>1</v>
      </c>
      <c r="Q58" s="45">
        <f>'ค่า 2.4'!O58</f>
        <v>1</v>
      </c>
      <c r="R58" s="45">
        <f>'ค่า 3.1'!O58</f>
        <v>1</v>
      </c>
      <c r="S58" s="45">
        <f>'ค่า 3.2'!O58</f>
        <v>1</v>
      </c>
      <c r="T58" s="45">
        <f>'ค่า 4.1'!O58</f>
        <v>1</v>
      </c>
    </row>
    <row r="59">
      <c r="A59" s="43">
        <v>58.0</v>
      </c>
      <c r="B59" s="44" t="s">
        <v>272</v>
      </c>
      <c r="C59" s="45" t="s">
        <v>698</v>
      </c>
      <c r="D59" s="46" t="str">
        <f t="shared" si="1"/>
        <v>bnco1058@signalschool.ac.th</v>
      </c>
      <c r="E59" s="47">
        <f>'ค่า 1.1'!O59</f>
        <v>1</v>
      </c>
      <c r="F59" s="45">
        <f>'ค่า 1.3'!O59</f>
        <v>1</v>
      </c>
      <c r="G59" s="45">
        <f>'ค่า 1.2'!O59</f>
        <v>1</v>
      </c>
      <c r="H59" s="45">
        <f>'ค่า 1.4'!O59</f>
        <v>1</v>
      </c>
      <c r="I59" s="45">
        <f>'ค่า 1.5'!O59</f>
        <v>1</v>
      </c>
      <c r="J59" s="45">
        <f>'ค่า 1.6'!O59</f>
        <v>1</v>
      </c>
      <c r="K59" s="45">
        <f>'ค่า 1.7'!O59</f>
        <v>1</v>
      </c>
      <c r="L59" s="45">
        <f>'ค่า 1.8'!O59</f>
        <v>1</v>
      </c>
      <c r="M59" s="45">
        <f>'ค่า 1.9'!O59</f>
        <v>1</v>
      </c>
      <c r="N59" s="45">
        <f>'ค่า 2.1'!O59</f>
        <v>1</v>
      </c>
      <c r="O59" s="45">
        <f>'ค่า 2.2'!O59</f>
        <v>1</v>
      </c>
      <c r="P59" s="45">
        <f>'ค่า 2.3'!O59</f>
        <v>1</v>
      </c>
      <c r="Q59" s="45">
        <f>'ค่า 2.4'!O59</f>
        <v>1</v>
      </c>
      <c r="R59" s="45">
        <f>'ค่า 3.1'!O59</f>
        <v>1</v>
      </c>
      <c r="S59" s="45">
        <f>'ค่า 3.2'!O59</f>
        <v>1</v>
      </c>
      <c r="T59" s="45">
        <f>'ค่า 4.1'!O59</f>
        <v>1</v>
      </c>
    </row>
    <row r="60">
      <c r="A60" s="43">
        <v>59.0</v>
      </c>
      <c r="B60" s="44" t="s">
        <v>273</v>
      </c>
      <c r="C60" s="45" t="s">
        <v>699</v>
      </c>
      <c r="D60" s="46" t="str">
        <f t="shared" si="1"/>
        <v>bnco1059@signalschool.ac.th</v>
      </c>
      <c r="E60" s="47">
        <f>'ค่า 1.1'!O60</f>
        <v>1</v>
      </c>
      <c r="F60" s="45">
        <f>'ค่า 1.3'!O60</f>
        <v>1</v>
      </c>
      <c r="G60" s="45">
        <f>'ค่า 1.2'!O60</f>
        <v>1</v>
      </c>
      <c r="H60" s="45">
        <f>'ค่า 1.4'!O60</f>
        <v>1</v>
      </c>
      <c r="I60" s="45">
        <f>'ค่า 1.5'!O60</f>
        <v>1</v>
      </c>
      <c r="J60" s="45">
        <f>'ค่า 1.6'!O60</f>
        <v>1</v>
      </c>
      <c r="K60" s="45">
        <f>'ค่า 1.7'!O60</f>
        <v>1</v>
      </c>
      <c r="L60" s="45">
        <f>'ค่า 1.8'!O60</f>
        <v>1</v>
      </c>
      <c r="M60" s="45">
        <f>'ค่า 1.9'!O60</f>
        <v>1</v>
      </c>
      <c r="N60" s="45">
        <f>'ค่า 2.1'!O60</f>
        <v>1</v>
      </c>
      <c r="O60" s="45">
        <f>'ค่า 2.2'!O60</f>
        <v>1</v>
      </c>
      <c r="P60" s="45">
        <f>'ค่า 2.3'!O60</f>
        <v>1</v>
      </c>
      <c r="Q60" s="45">
        <f>'ค่า 2.4'!O60</f>
        <v>1</v>
      </c>
      <c r="R60" s="45">
        <f>'ค่า 3.1'!O60</f>
        <v>1</v>
      </c>
      <c r="S60" s="45">
        <f>'ค่า 3.2'!O60</f>
        <v>0</v>
      </c>
      <c r="T60" s="45">
        <f>'ค่า 4.1'!O60</f>
        <v>0</v>
      </c>
    </row>
    <row r="61">
      <c r="A61" s="43">
        <v>60.0</v>
      </c>
      <c r="B61" s="44" t="s">
        <v>274</v>
      </c>
      <c r="C61" s="45" t="s">
        <v>700</v>
      </c>
      <c r="D61" s="46" t="str">
        <f t="shared" si="1"/>
        <v>bnco1060@signalschool.ac.th</v>
      </c>
      <c r="E61" s="47">
        <f>'ค่า 1.1'!O61</f>
        <v>1</v>
      </c>
      <c r="F61" s="45">
        <f>'ค่า 1.3'!O61</f>
        <v>1</v>
      </c>
      <c r="G61" s="45">
        <f>'ค่า 1.2'!O61</f>
        <v>1</v>
      </c>
      <c r="H61" s="45">
        <f>'ค่า 1.4'!O61</f>
        <v>1</v>
      </c>
      <c r="I61" s="45">
        <f>'ค่า 1.5'!O61</f>
        <v>1</v>
      </c>
      <c r="J61" s="45">
        <f>'ค่า 1.6'!O61</f>
        <v>1</v>
      </c>
      <c r="K61" s="45">
        <f>'ค่า 1.7'!O61</f>
        <v>1</v>
      </c>
      <c r="L61" s="45">
        <f>'ค่า 1.8'!O61</f>
        <v>1</v>
      </c>
      <c r="M61" s="45">
        <f>'ค่า 1.9'!O61</f>
        <v>1</v>
      </c>
      <c r="N61" s="45">
        <f>'ค่า 2.1'!O61</f>
        <v>1</v>
      </c>
      <c r="O61" s="45">
        <f>'ค่า 2.2'!O61</f>
        <v>1</v>
      </c>
      <c r="P61" s="45">
        <f>'ค่า 2.3'!O61</f>
        <v>1</v>
      </c>
      <c r="Q61" s="45">
        <f>'ค่า 2.4'!O61</f>
        <v>1</v>
      </c>
      <c r="R61" s="45">
        <f>'ค่า 3.1'!O61</f>
        <v>1</v>
      </c>
      <c r="S61" s="45">
        <f>'ค่า 3.2'!O61</f>
        <v>1</v>
      </c>
      <c r="T61" s="45">
        <f>'ค่า 4.1'!O61</f>
        <v>1</v>
      </c>
    </row>
    <row r="62">
      <c r="A62" s="43">
        <v>61.0</v>
      </c>
      <c r="B62" s="44" t="s">
        <v>275</v>
      </c>
      <c r="C62" s="45" t="s">
        <v>701</v>
      </c>
      <c r="D62" s="46" t="str">
        <f t="shared" si="1"/>
        <v>bnco1061@signalschool.ac.th</v>
      </c>
      <c r="E62" s="47">
        <f>'ค่า 1.1'!O62</f>
        <v>1</v>
      </c>
      <c r="F62" s="45">
        <f>'ค่า 1.3'!O62</f>
        <v>1</v>
      </c>
      <c r="G62" s="45">
        <f>'ค่า 1.2'!O62</f>
        <v>1</v>
      </c>
      <c r="H62" s="45">
        <f>'ค่า 1.4'!O62</f>
        <v>1</v>
      </c>
      <c r="I62" s="45">
        <f>'ค่า 1.5'!O62</f>
        <v>1</v>
      </c>
      <c r="J62" s="45">
        <f>'ค่า 1.6'!O62</f>
        <v>1</v>
      </c>
      <c r="K62" s="45">
        <f>'ค่า 1.7'!O62</f>
        <v>1</v>
      </c>
      <c r="L62" s="45">
        <f>'ค่า 1.8'!O62</f>
        <v>1</v>
      </c>
      <c r="M62" s="45">
        <f>'ค่า 1.9'!O62</f>
        <v>1</v>
      </c>
      <c r="N62" s="45">
        <f>'ค่า 2.1'!O62</f>
        <v>1</v>
      </c>
      <c r="O62" s="45">
        <f>'ค่า 2.2'!O62</f>
        <v>1</v>
      </c>
      <c r="P62" s="45">
        <f>'ค่า 2.3'!O62</f>
        <v>1</v>
      </c>
      <c r="Q62" s="45">
        <f>'ค่า 2.4'!O62</f>
        <v>1</v>
      </c>
      <c r="R62" s="45">
        <f>'ค่า 3.1'!O62</f>
        <v>1</v>
      </c>
      <c r="S62" s="45">
        <f>'ค่า 3.2'!O62</f>
        <v>1</v>
      </c>
      <c r="T62" s="45">
        <f>'ค่า 4.1'!O62</f>
        <v>1</v>
      </c>
    </row>
    <row r="63">
      <c r="A63" s="43">
        <v>62.0</v>
      </c>
      <c r="B63" s="44" t="s">
        <v>276</v>
      </c>
      <c r="C63" s="45" t="s">
        <v>702</v>
      </c>
      <c r="D63" s="46" t="str">
        <f t="shared" si="1"/>
        <v>bnco1062@signalschool.ac.th</v>
      </c>
      <c r="E63" s="47">
        <f>'ค่า 1.1'!O63</f>
        <v>1</v>
      </c>
      <c r="F63" s="45">
        <f>'ค่า 1.3'!O63</f>
        <v>1</v>
      </c>
      <c r="G63" s="45">
        <f>'ค่า 1.2'!O63</f>
        <v>1</v>
      </c>
      <c r="H63" s="45">
        <f>'ค่า 1.4'!O63</f>
        <v>1</v>
      </c>
      <c r="I63" s="45">
        <f>'ค่า 1.5'!O63</f>
        <v>1</v>
      </c>
      <c r="J63" s="45">
        <f>'ค่า 1.6'!O63</f>
        <v>1</v>
      </c>
      <c r="K63" s="45">
        <f>'ค่า 1.7'!O63</f>
        <v>1</v>
      </c>
      <c r="L63" s="45">
        <f>'ค่า 1.8'!O63</f>
        <v>1</v>
      </c>
      <c r="M63" s="45">
        <f>'ค่า 1.9'!O63</f>
        <v>1</v>
      </c>
      <c r="N63" s="45">
        <f>'ค่า 2.1'!O63</f>
        <v>1</v>
      </c>
      <c r="O63" s="45">
        <f>'ค่า 2.2'!O63</f>
        <v>1</v>
      </c>
      <c r="P63" s="45">
        <f>'ค่า 2.3'!O63</f>
        <v>1</v>
      </c>
      <c r="Q63" s="45">
        <f>'ค่า 2.4'!O63</f>
        <v>1</v>
      </c>
      <c r="R63" s="45">
        <f>'ค่า 3.1'!O63</f>
        <v>1</v>
      </c>
      <c r="S63" s="45">
        <f>'ค่า 3.2'!O63</f>
        <v>1</v>
      </c>
      <c r="T63" s="45">
        <f>'ค่า 4.1'!O63</f>
        <v>1</v>
      </c>
    </row>
    <row r="64">
      <c r="A64" s="43">
        <v>63.0</v>
      </c>
      <c r="B64" s="44" t="s">
        <v>277</v>
      </c>
      <c r="C64" s="45" t="s">
        <v>703</v>
      </c>
      <c r="D64" s="46" t="str">
        <f t="shared" si="1"/>
        <v>bnco1063@signalschool.ac.th</v>
      </c>
      <c r="E64" s="47">
        <f>'ค่า 1.1'!O64</f>
        <v>1</v>
      </c>
      <c r="F64" s="45">
        <f>'ค่า 1.3'!O64</f>
        <v>1</v>
      </c>
      <c r="G64" s="45">
        <f>'ค่า 1.2'!O64</f>
        <v>1</v>
      </c>
      <c r="H64" s="45">
        <f>'ค่า 1.4'!O64</f>
        <v>1</v>
      </c>
      <c r="I64" s="45">
        <f>'ค่า 1.5'!O64</f>
        <v>1</v>
      </c>
      <c r="J64" s="45">
        <f>'ค่า 1.6'!O64</f>
        <v>1</v>
      </c>
      <c r="K64" s="45">
        <f>'ค่า 1.7'!O64</f>
        <v>1</v>
      </c>
      <c r="L64" s="45">
        <f>'ค่า 1.8'!O64</f>
        <v>1</v>
      </c>
      <c r="M64" s="45">
        <f>'ค่า 1.9'!O64</f>
        <v>1</v>
      </c>
      <c r="N64" s="45">
        <f>'ค่า 2.1'!O64</f>
        <v>1</v>
      </c>
      <c r="O64" s="45">
        <f>'ค่า 2.2'!O64</f>
        <v>1</v>
      </c>
      <c r="P64" s="45">
        <f>'ค่า 2.3'!O64</f>
        <v>1</v>
      </c>
      <c r="Q64" s="45">
        <f>'ค่า 2.4'!O64</f>
        <v>1</v>
      </c>
      <c r="R64" s="45">
        <f>'ค่า 3.1'!O64</f>
        <v>1</v>
      </c>
      <c r="S64" s="45">
        <f>'ค่า 3.2'!O64</f>
        <v>1</v>
      </c>
      <c r="T64" s="45">
        <f>'ค่า 4.1'!O64</f>
        <v>1</v>
      </c>
    </row>
    <row r="65">
      <c r="A65" s="43">
        <v>64.0</v>
      </c>
      <c r="B65" s="44" t="s">
        <v>278</v>
      </c>
      <c r="C65" s="45" t="s">
        <v>704</v>
      </c>
      <c r="D65" s="46" t="str">
        <f t="shared" si="1"/>
        <v>bnco1064@signalschool.ac.th</v>
      </c>
      <c r="E65" s="47">
        <f>'ค่า 1.1'!O65</f>
        <v>1</v>
      </c>
      <c r="F65" s="45">
        <f>'ค่า 1.3'!O65</f>
        <v>1</v>
      </c>
      <c r="G65" s="45">
        <f>'ค่า 1.2'!O65</f>
        <v>1</v>
      </c>
      <c r="H65" s="45">
        <f>'ค่า 1.4'!O65</f>
        <v>1</v>
      </c>
      <c r="I65" s="45">
        <f>'ค่า 1.5'!O65</f>
        <v>1</v>
      </c>
      <c r="J65" s="45">
        <f>'ค่า 1.6'!O65</f>
        <v>1</v>
      </c>
      <c r="K65" s="45">
        <f>'ค่า 1.7'!O65</f>
        <v>1</v>
      </c>
      <c r="L65" s="45">
        <f>'ค่า 1.8'!O65</f>
        <v>1</v>
      </c>
      <c r="M65" s="45">
        <f>'ค่า 1.9'!O65</f>
        <v>1</v>
      </c>
      <c r="N65" s="45">
        <f>'ค่า 2.1'!O65</f>
        <v>1</v>
      </c>
      <c r="O65" s="45">
        <f>'ค่า 2.2'!O65</f>
        <v>1</v>
      </c>
      <c r="P65" s="45">
        <f>'ค่า 2.3'!O65</f>
        <v>1</v>
      </c>
      <c r="Q65" s="45">
        <f>'ค่า 2.4'!O65</f>
        <v>1</v>
      </c>
      <c r="R65" s="45">
        <f>'ค่า 3.1'!O65</f>
        <v>1</v>
      </c>
      <c r="S65" s="45">
        <f>'ค่า 3.2'!O65</f>
        <v>1</v>
      </c>
      <c r="T65" s="45">
        <f>'ค่า 4.1'!O65</f>
        <v>1</v>
      </c>
    </row>
    <row r="66">
      <c r="A66" s="43">
        <v>65.0</v>
      </c>
      <c r="B66" s="44" t="s">
        <v>279</v>
      </c>
      <c r="C66" s="45" t="s">
        <v>705</v>
      </c>
      <c r="D66" s="46" t="str">
        <f t="shared" si="1"/>
        <v>bnco1065@signalschool.ac.th</v>
      </c>
      <c r="E66" s="47">
        <f>'ค่า 1.1'!O66</f>
        <v>0</v>
      </c>
      <c r="F66" s="45">
        <f>'ค่า 1.3'!O66</f>
        <v>1</v>
      </c>
      <c r="G66" s="45">
        <f>'ค่า 1.2'!O66</f>
        <v>0</v>
      </c>
      <c r="H66" s="45">
        <f>'ค่า 1.4'!O66</f>
        <v>0</v>
      </c>
      <c r="I66" s="45">
        <f>'ค่า 1.5'!O66</f>
        <v>0</v>
      </c>
      <c r="J66" s="45">
        <f>'ค่า 1.6'!O66</f>
        <v>1</v>
      </c>
      <c r="K66" s="45">
        <f>'ค่า 1.7'!O66</f>
        <v>1</v>
      </c>
      <c r="L66" s="45">
        <f>'ค่า 1.8'!O66</f>
        <v>0</v>
      </c>
      <c r="M66" s="45">
        <f>'ค่า 1.9'!O66</f>
        <v>0</v>
      </c>
      <c r="N66" s="45">
        <f>'ค่า 2.1'!O66</f>
        <v>0</v>
      </c>
      <c r="O66" s="45">
        <f>'ค่า 2.2'!O66</f>
        <v>0</v>
      </c>
      <c r="P66" s="45">
        <f>'ค่า 2.3'!O66</f>
        <v>0</v>
      </c>
      <c r="Q66" s="45">
        <f>'ค่า 2.4'!O66</f>
        <v>0</v>
      </c>
      <c r="R66" s="45">
        <f>'ค่า 3.1'!O66</f>
        <v>0</v>
      </c>
      <c r="S66" s="45">
        <f>'ค่า 3.2'!O66</f>
        <v>0</v>
      </c>
      <c r="T66" s="45">
        <f>'ค่า 4.1'!O66</f>
        <v>0</v>
      </c>
    </row>
    <row r="67">
      <c r="A67" s="43">
        <v>66.0</v>
      </c>
      <c r="B67" s="44" t="s">
        <v>280</v>
      </c>
      <c r="C67" s="45" t="s">
        <v>706</v>
      </c>
      <c r="D67" s="46" t="str">
        <f t="shared" si="1"/>
        <v>bnco1066@signalschool.ac.th</v>
      </c>
      <c r="E67" s="47">
        <f>'ค่า 1.1'!O67</f>
        <v>1</v>
      </c>
      <c r="F67" s="45">
        <f>'ค่า 1.3'!O67</f>
        <v>1</v>
      </c>
      <c r="G67" s="45">
        <f>'ค่า 1.2'!O67</f>
        <v>1</v>
      </c>
      <c r="H67" s="45">
        <f>'ค่า 1.4'!O67</f>
        <v>1</v>
      </c>
      <c r="I67" s="45">
        <f>'ค่า 1.5'!O67</f>
        <v>1</v>
      </c>
      <c r="J67" s="45">
        <f>'ค่า 1.6'!O67</f>
        <v>1</v>
      </c>
      <c r="K67" s="45">
        <f>'ค่า 1.7'!O67</f>
        <v>1</v>
      </c>
      <c r="L67" s="45">
        <f>'ค่า 1.8'!O67</f>
        <v>1</v>
      </c>
      <c r="M67" s="45">
        <f>'ค่า 1.9'!O67</f>
        <v>1</v>
      </c>
      <c r="N67" s="45">
        <f>'ค่า 2.1'!O67</f>
        <v>1</v>
      </c>
      <c r="O67" s="45">
        <f>'ค่า 2.2'!O67</f>
        <v>1</v>
      </c>
      <c r="P67" s="45">
        <f>'ค่า 2.3'!O67</f>
        <v>1</v>
      </c>
      <c r="Q67" s="45">
        <f>'ค่า 2.4'!O67</f>
        <v>1</v>
      </c>
      <c r="R67" s="45">
        <f>'ค่า 3.1'!O67</f>
        <v>1</v>
      </c>
      <c r="S67" s="45">
        <f>'ค่า 3.2'!O67</f>
        <v>1</v>
      </c>
      <c r="T67" s="45">
        <f>'ค่า 4.1'!O67</f>
        <v>1</v>
      </c>
    </row>
    <row r="68">
      <c r="A68" s="43">
        <v>67.0</v>
      </c>
      <c r="B68" s="44" t="s">
        <v>281</v>
      </c>
      <c r="C68" s="45" t="s">
        <v>707</v>
      </c>
      <c r="D68" s="46" t="str">
        <f t="shared" si="1"/>
        <v>bnco1067@signalschool.ac.th</v>
      </c>
      <c r="E68" s="47">
        <f>'ค่า 1.1'!O68</f>
        <v>1</v>
      </c>
      <c r="F68" s="45">
        <f>'ค่า 1.3'!O68</f>
        <v>1</v>
      </c>
      <c r="G68" s="45">
        <f>'ค่า 1.2'!O68</f>
        <v>1</v>
      </c>
      <c r="H68" s="45">
        <f>'ค่า 1.4'!O68</f>
        <v>1</v>
      </c>
      <c r="I68" s="45">
        <f>'ค่า 1.5'!O68</f>
        <v>1</v>
      </c>
      <c r="J68" s="45">
        <f>'ค่า 1.6'!O68</f>
        <v>1</v>
      </c>
      <c r="K68" s="45">
        <f>'ค่า 1.7'!O68</f>
        <v>1</v>
      </c>
      <c r="L68" s="45">
        <f>'ค่า 1.8'!O68</f>
        <v>1</v>
      </c>
      <c r="M68" s="45">
        <f>'ค่า 1.9'!O68</f>
        <v>1</v>
      </c>
      <c r="N68" s="45">
        <f>'ค่า 2.1'!O68</f>
        <v>1</v>
      </c>
      <c r="O68" s="45">
        <f>'ค่า 2.2'!O68</f>
        <v>1</v>
      </c>
      <c r="P68" s="45">
        <f>'ค่า 2.3'!O68</f>
        <v>1</v>
      </c>
      <c r="Q68" s="45">
        <f>'ค่า 2.4'!O68</f>
        <v>1</v>
      </c>
      <c r="R68" s="45">
        <f>'ค่า 3.1'!O68</f>
        <v>1</v>
      </c>
      <c r="S68" s="45">
        <f>'ค่า 3.2'!O68</f>
        <v>1</v>
      </c>
      <c r="T68" s="45">
        <f>'ค่า 4.1'!O68</f>
        <v>1</v>
      </c>
    </row>
    <row r="69">
      <c r="A69" s="43">
        <v>68.0</v>
      </c>
      <c r="B69" s="44" t="s">
        <v>282</v>
      </c>
      <c r="C69" s="45" t="s">
        <v>708</v>
      </c>
      <c r="D69" s="46" t="str">
        <f t="shared" si="1"/>
        <v>bnco1068@signalschool.ac.th</v>
      </c>
      <c r="E69" s="47">
        <f>'ค่า 1.1'!O69</f>
        <v>1</v>
      </c>
      <c r="F69" s="45">
        <f>'ค่า 1.3'!O69</f>
        <v>1</v>
      </c>
      <c r="G69" s="45">
        <f>'ค่า 1.2'!O69</f>
        <v>1</v>
      </c>
      <c r="H69" s="45">
        <f>'ค่า 1.4'!O69</f>
        <v>1</v>
      </c>
      <c r="I69" s="45">
        <f>'ค่า 1.5'!O69</f>
        <v>1</v>
      </c>
      <c r="J69" s="45">
        <f>'ค่า 1.6'!O69</f>
        <v>1</v>
      </c>
      <c r="K69" s="45">
        <f>'ค่า 1.7'!O69</f>
        <v>1</v>
      </c>
      <c r="L69" s="45">
        <f>'ค่า 1.8'!O69</f>
        <v>1</v>
      </c>
      <c r="M69" s="45">
        <f>'ค่า 1.9'!O69</f>
        <v>1</v>
      </c>
      <c r="N69" s="45">
        <f>'ค่า 2.1'!O69</f>
        <v>1</v>
      </c>
      <c r="O69" s="45">
        <f>'ค่า 2.2'!O69</f>
        <v>1</v>
      </c>
      <c r="P69" s="45">
        <f>'ค่า 2.3'!O69</f>
        <v>1</v>
      </c>
      <c r="Q69" s="45">
        <f>'ค่า 2.4'!O69</f>
        <v>1</v>
      </c>
      <c r="R69" s="45">
        <f>'ค่า 3.1'!O69</f>
        <v>1</v>
      </c>
      <c r="S69" s="45">
        <f>'ค่า 3.2'!O69</f>
        <v>1</v>
      </c>
      <c r="T69" s="45">
        <f>'ค่า 4.1'!O69</f>
        <v>1</v>
      </c>
    </row>
    <row r="70">
      <c r="A70" s="43">
        <v>69.0</v>
      </c>
      <c r="B70" s="44" t="s">
        <v>283</v>
      </c>
      <c r="C70" s="45" t="s">
        <v>709</v>
      </c>
      <c r="D70" s="46" t="str">
        <f t="shared" si="1"/>
        <v>bnco1069@signalschool.ac.th</v>
      </c>
      <c r="E70" s="47">
        <f>'ค่า 1.1'!O70</f>
        <v>1</v>
      </c>
      <c r="F70" s="45">
        <f>'ค่า 1.3'!O70</f>
        <v>1</v>
      </c>
      <c r="G70" s="45">
        <f>'ค่า 1.2'!O70</f>
        <v>1</v>
      </c>
      <c r="H70" s="45">
        <f>'ค่า 1.4'!O70</f>
        <v>1</v>
      </c>
      <c r="I70" s="45">
        <f>'ค่า 1.5'!O70</f>
        <v>1</v>
      </c>
      <c r="J70" s="45">
        <f>'ค่า 1.6'!O70</f>
        <v>1</v>
      </c>
      <c r="K70" s="45">
        <f>'ค่า 1.7'!O70</f>
        <v>1</v>
      </c>
      <c r="L70" s="45">
        <f>'ค่า 1.8'!O70</f>
        <v>1</v>
      </c>
      <c r="M70" s="45">
        <f>'ค่า 1.9'!O70</f>
        <v>1</v>
      </c>
      <c r="N70" s="45">
        <f>'ค่า 2.1'!O70</f>
        <v>1</v>
      </c>
      <c r="O70" s="45">
        <f>'ค่า 2.2'!O70</f>
        <v>1</v>
      </c>
      <c r="P70" s="45">
        <f>'ค่า 2.3'!O70</f>
        <v>1</v>
      </c>
      <c r="Q70" s="45">
        <f>'ค่า 2.4'!O70</f>
        <v>1</v>
      </c>
      <c r="R70" s="45">
        <f>'ค่า 3.1'!O70</f>
        <v>1</v>
      </c>
      <c r="S70" s="45">
        <f>'ค่า 3.2'!O70</f>
        <v>1</v>
      </c>
      <c r="T70" s="45">
        <f>'ค่า 4.1'!O70</f>
        <v>1</v>
      </c>
    </row>
    <row r="71">
      <c r="A71" s="43">
        <v>70.0</v>
      </c>
      <c r="B71" s="44" t="s">
        <v>284</v>
      </c>
      <c r="C71" s="45" t="s">
        <v>710</v>
      </c>
      <c r="D71" s="46" t="str">
        <f t="shared" si="1"/>
        <v>bnco1070@signalschool.ac.th</v>
      </c>
      <c r="E71" s="47">
        <f>'ค่า 1.1'!O71</f>
        <v>1</v>
      </c>
      <c r="F71" s="45">
        <f>'ค่า 1.3'!O71</f>
        <v>1</v>
      </c>
      <c r="G71" s="45">
        <f>'ค่า 1.2'!O71</f>
        <v>1</v>
      </c>
      <c r="H71" s="45">
        <f>'ค่า 1.4'!O71</f>
        <v>1</v>
      </c>
      <c r="I71" s="45">
        <f>'ค่า 1.5'!O71</f>
        <v>1</v>
      </c>
      <c r="J71" s="45">
        <f>'ค่า 1.6'!O71</f>
        <v>1</v>
      </c>
      <c r="K71" s="45">
        <f>'ค่า 1.7'!O71</f>
        <v>1</v>
      </c>
      <c r="L71" s="45">
        <f>'ค่า 1.8'!O71</f>
        <v>1</v>
      </c>
      <c r="M71" s="45">
        <f>'ค่า 1.9'!O71</f>
        <v>1</v>
      </c>
      <c r="N71" s="45">
        <f>'ค่า 2.1'!O71</f>
        <v>1</v>
      </c>
      <c r="O71" s="45">
        <f>'ค่า 2.2'!O71</f>
        <v>1</v>
      </c>
      <c r="P71" s="45">
        <f>'ค่า 2.3'!O71</f>
        <v>1</v>
      </c>
      <c r="Q71" s="45">
        <f>'ค่า 2.4'!O71</f>
        <v>1</v>
      </c>
      <c r="R71" s="45">
        <f>'ค่า 3.1'!O71</f>
        <v>1</v>
      </c>
      <c r="S71" s="45">
        <f>'ค่า 3.2'!O71</f>
        <v>1</v>
      </c>
      <c r="T71" s="45">
        <f>'ค่า 4.1'!O71</f>
        <v>0</v>
      </c>
    </row>
    <row r="72">
      <c r="A72" s="43">
        <v>71.0</v>
      </c>
      <c r="B72" s="44" t="s">
        <v>285</v>
      </c>
      <c r="C72" s="45" t="s">
        <v>711</v>
      </c>
      <c r="D72" s="46" t="str">
        <f t="shared" si="1"/>
        <v>bnco1071@signalschool.ac.th</v>
      </c>
      <c r="E72" s="47">
        <f>'ค่า 1.1'!O72</f>
        <v>1</v>
      </c>
      <c r="F72" s="45">
        <f>'ค่า 1.3'!O72</f>
        <v>1</v>
      </c>
      <c r="G72" s="45">
        <f>'ค่า 1.2'!O72</f>
        <v>1</v>
      </c>
      <c r="H72" s="45">
        <f>'ค่า 1.4'!O72</f>
        <v>1</v>
      </c>
      <c r="I72" s="45">
        <f>'ค่า 1.5'!O72</f>
        <v>1</v>
      </c>
      <c r="J72" s="45">
        <f>'ค่า 1.6'!O72</f>
        <v>1</v>
      </c>
      <c r="K72" s="45">
        <f>'ค่า 1.7'!O72</f>
        <v>1</v>
      </c>
      <c r="L72" s="45">
        <f>'ค่า 1.8'!O72</f>
        <v>1</v>
      </c>
      <c r="M72" s="45">
        <f>'ค่า 1.9'!O72</f>
        <v>1</v>
      </c>
      <c r="N72" s="45">
        <f>'ค่า 2.1'!O72</f>
        <v>1</v>
      </c>
      <c r="O72" s="45">
        <f>'ค่า 2.2'!O72</f>
        <v>1</v>
      </c>
      <c r="P72" s="45">
        <f>'ค่า 2.3'!O72</f>
        <v>1</v>
      </c>
      <c r="Q72" s="45">
        <f>'ค่า 2.4'!O72</f>
        <v>1</v>
      </c>
      <c r="R72" s="45">
        <f>'ค่า 3.1'!O72</f>
        <v>1</v>
      </c>
      <c r="S72" s="45">
        <f>'ค่า 3.2'!O72</f>
        <v>1</v>
      </c>
      <c r="T72" s="45">
        <f>'ค่า 4.1'!O72</f>
        <v>1</v>
      </c>
    </row>
    <row r="73">
      <c r="A73" s="43">
        <v>72.0</v>
      </c>
      <c r="B73" s="44" t="s">
        <v>286</v>
      </c>
      <c r="C73" s="45" t="s">
        <v>712</v>
      </c>
      <c r="D73" s="46" t="str">
        <f t="shared" si="1"/>
        <v>bnco1072@signalschool.ac.th</v>
      </c>
      <c r="E73" s="47">
        <f>'ค่า 1.1'!O73</f>
        <v>1</v>
      </c>
      <c r="F73" s="45">
        <f>'ค่า 1.3'!O73</f>
        <v>1</v>
      </c>
      <c r="G73" s="45">
        <f>'ค่า 1.2'!O73</f>
        <v>1</v>
      </c>
      <c r="H73" s="45">
        <f>'ค่า 1.4'!O73</f>
        <v>1</v>
      </c>
      <c r="I73" s="45">
        <f>'ค่า 1.5'!O73</f>
        <v>1</v>
      </c>
      <c r="J73" s="45">
        <f>'ค่า 1.6'!O73</f>
        <v>1</v>
      </c>
      <c r="K73" s="45">
        <f>'ค่า 1.7'!O73</f>
        <v>1</v>
      </c>
      <c r="L73" s="45">
        <f>'ค่า 1.8'!O73</f>
        <v>1</v>
      </c>
      <c r="M73" s="45">
        <f>'ค่า 1.9'!O73</f>
        <v>1</v>
      </c>
      <c r="N73" s="45">
        <f>'ค่า 2.1'!O73</f>
        <v>1</v>
      </c>
      <c r="O73" s="45">
        <f>'ค่า 2.2'!O73</f>
        <v>1</v>
      </c>
      <c r="P73" s="45">
        <f>'ค่า 2.3'!O73</f>
        <v>1</v>
      </c>
      <c r="Q73" s="45">
        <f>'ค่า 2.4'!O73</f>
        <v>1</v>
      </c>
      <c r="R73" s="45">
        <f>'ค่า 3.1'!O73</f>
        <v>1</v>
      </c>
      <c r="S73" s="45">
        <f>'ค่า 3.2'!O73</f>
        <v>1</v>
      </c>
      <c r="T73" s="45">
        <f>'ค่า 4.1'!O73</f>
        <v>1</v>
      </c>
    </row>
    <row r="74">
      <c r="A74" s="43">
        <v>73.0</v>
      </c>
      <c r="B74" s="44" t="s">
        <v>287</v>
      </c>
      <c r="C74" s="45" t="s">
        <v>713</v>
      </c>
      <c r="D74" s="46" t="str">
        <f t="shared" si="1"/>
        <v>bnco1073@signalschool.ac.th</v>
      </c>
      <c r="E74" s="47">
        <f>'ค่า 1.1'!O74</f>
        <v>1</v>
      </c>
      <c r="F74" s="45">
        <f>'ค่า 1.3'!O74</f>
        <v>1</v>
      </c>
      <c r="G74" s="45">
        <f>'ค่า 1.2'!O74</f>
        <v>1</v>
      </c>
      <c r="H74" s="45">
        <f>'ค่า 1.4'!O74</f>
        <v>1</v>
      </c>
      <c r="I74" s="45">
        <f>'ค่า 1.5'!O74</f>
        <v>1</v>
      </c>
      <c r="J74" s="45">
        <f>'ค่า 1.6'!O74</f>
        <v>1</v>
      </c>
      <c r="K74" s="45">
        <f>'ค่า 1.7'!O74</f>
        <v>1</v>
      </c>
      <c r="L74" s="45">
        <f>'ค่า 1.8'!O74</f>
        <v>1</v>
      </c>
      <c r="M74" s="45">
        <f>'ค่า 1.9'!O74</f>
        <v>1</v>
      </c>
      <c r="N74" s="45">
        <f>'ค่า 2.1'!O74</f>
        <v>1</v>
      </c>
      <c r="O74" s="45">
        <f>'ค่า 2.2'!O74</f>
        <v>1</v>
      </c>
      <c r="P74" s="45">
        <f>'ค่า 2.3'!O74</f>
        <v>1</v>
      </c>
      <c r="Q74" s="45">
        <f>'ค่า 2.4'!O74</f>
        <v>1</v>
      </c>
      <c r="R74" s="45">
        <f>'ค่า 3.1'!O74</f>
        <v>1</v>
      </c>
      <c r="S74" s="45">
        <f>'ค่า 3.2'!O74</f>
        <v>1</v>
      </c>
      <c r="T74" s="45">
        <f>'ค่า 4.1'!O74</f>
        <v>1</v>
      </c>
    </row>
    <row r="75">
      <c r="A75" s="43">
        <v>74.0</v>
      </c>
      <c r="B75" s="44" t="s">
        <v>288</v>
      </c>
      <c r="C75" s="45" t="s">
        <v>714</v>
      </c>
      <c r="D75" s="46" t="str">
        <f t="shared" si="1"/>
        <v>bnco1074@signalschool.ac.th</v>
      </c>
      <c r="E75" s="47">
        <f>'ค่า 1.1'!O75</f>
        <v>0</v>
      </c>
      <c r="F75" s="45">
        <f>'ค่า 1.3'!O75</f>
        <v>1</v>
      </c>
      <c r="G75" s="45">
        <f>'ค่า 1.2'!O75</f>
        <v>0</v>
      </c>
      <c r="H75" s="45">
        <f>'ค่า 1.4'!O75</f>
        <v>0</v>
      </c>
      <c r="I75" s="45">
        <f>'ค่า 1.5'!O75</f>
        <v>0</v>
      </c>
      <c r="J75" s="45">
        <f>'ค่า 1.6'!O75</f>
        <v>1</v>
      </c>
      <c r="K75" s="45">
        <f>'ค่า 1.7'!O75</f>
        <v>1</v>
      </c>
      <c r="L75" s="45">
        <f>'ค่า 1.8'!O75</f>
        <v>0</v>
      </c>
      <c r="M75" s="45">
        <f>'ค่า 1.9'!O75</f>
        <v>0</v>
      </c>
      <c r="N75" s="45">
        <f>'ค่า 2.1'!O75</f>
        <v>1</v>
      </c>
      <c r="O75" s="45">
        <f>'ค่า 2.2'!O75</f>
        <v>1</v>
      </c>
      <c r="P75" s="45">
        <f>'ค่า 2.3'!O75</f>
        <v>1</v>
      </c>
      <c r="Q75" s="45">
        <f>'ค่า 2.4'!O75</f>
        <v>1</v>
      </c>
      <c r="R75" s="45">
        <f>'ค่า 3.1'!O75</f>
        <v>1</v>
      </c>
      <c r="S75" s="45">
        <f>'ค่า 3.2'!O75</f>
        <v>0</v>
      </c>
      <c r="T75" s="45">
        <f>'ค่า 4.1'!O75</f>
        <v>0</v>
      </c>
    </row>
    <row r="76">
      <c r="A76" s="43">
        <v>75.0</v>
      </c>
      <c r="B76" s="44" t="s">
        <v>289</v>
      </c>
      <c r="C76" s="45" t="s">
        <v>715</v>
      </c>
      <c r="D76" s="46" t="str">
        <f t="shared" si="1"/>
        <v>bnco1075@signalschool.ac.th</v>
      </c>
      <c r="E76" s="47">
        <f>'ค่า 1.1'!O76</f>
        <v>0</v>
      </c>
      <c r="F76" s="45">
        <f>'ค่า 1.3'!O76</f>
        <v>1</v>
      </c>
      <c r="G76" s="45">
        <f>'ค่า 1.2'!O76</f>
        <v>0</v>
      </c>
      <c r="H76" s="45">
        <f>'ค่า 1.4'!O76</f>
        <v>0</v>
      </c>
      <c r="I76" s="45">
        <f>'ค่า 1.5'!O76</f>
        <v>0</v>
      </c>
      <c r="J76" s="45">
        <f>'ค่า 1.6'!O76</f>
        <v>1</v>
      </c>
      <c r="K76" s="45">
        <f>'ค่า 1.7'!O76</f>
        <v>1</v>
      </c>
      <c r="L76" s="45">
        <f>'ค่า 1.8'!O76</f>
        <v>0</v>
      </c>
      <c r="M76" s="45">
        <f>'ค่า 1.9'!O76</f>
        <v>0</v>
      </c>
      <c r="N76" s="45">
        <f>'ค่า 2.1'!O76</f>
        <v>1</v>
      </c>
      <c r="O76" s="45">
        <f>'ค่า 2.2'!O76</f>
        <v>1</v>
      </c>
      <c r="P76" s="45">
        <f>'ค่า 2.3'!O76</f>
        <v>0</v>
      </c>
      <c r="Q76" s="45">
        <f>'ค่า 2.4'!O76</f>
        <v>1</v>
      </c>
      <c r="R76" s="45">
        <f>'ค่า 3.1'!O76</f>
        <v>1</v>
      </c>
      <c r="S76" s="45">
        <f>'ค่า 3.2'!O76</f>
        <v>0</v>
      </c>
      <c r="T76" s="45">
        <f>'ค่า 4.1'!O76</f>
        <v>0</v>
      </c>
    </row>
    <row r="77">
      <c r="A77" s="43">
        <v>76.0</v>
      </c>
      <c r="B77" s="44" t="s">
        <v>290</v>
      </c>
      <c r="C77" s="45" t="s">
        <v>716</v>
      </c>
      <c r="D77" s="46" t="str">
        <f t="shared" si="1"/>
        <v>bnco1076@signalschool.ac.th</v>
      </c>
      <c r="E77" s="47">
        <f>'ค่า 1.1'!O77</f>
        <v>1</v>
      </c>
      <c r="F77" s="45">
        <f>'ค่า 1.3'!O77</f>
        <v>1</v>
      </c>
      <c r="G77" s="45">
        <f>'ค่า 1.2'!O77</f>
        <v>1</v>
      </c>
      <c r="H77" s="45">
        <f>'ค่า 1.4'!O77</f>
        <v>1</v>
      </c>
      <c r="I77" s="45">
        <f>'ค่า 1.5'!O77</f>
        <v>1</v>
      </c>
      <c r="J77" s="45">
        <f>'ค่า 1.6'!O77</f>
        <v>1</v>
      </c>
      <c r="K77" s="45">
        <f>'ค่า 1.7'!O77</f>
        <v>1</v>
      </c>
      <c r="L77" s="45">
        <f>'ค่า 1.8'!O77</f>
        <v>1</v>
      </c>
      <c r="M77" s="45">
        <f>'ค่า 1.9'!O77</f>
        <v>1</v>
      </c>
      <c r="N77" s="45">
        <f>'ค่า 2.1'!O77</f>
        <v>1</v>
      </c>
      <c r="O77" s="45">
        <f>'ค่า 2.2'!O77</f>
        <v>1</v>
      </c>
      <c r="P77" s="45">
        <f>'ค่า 2.3'!O77</f>
        <v>1</v>
      </c>
      <c r="Q77" s="45">
        <f>'ค่า 2.4'!O77</f>
        <v>1</v>
      </c>
      <c r="R77" s="45">
        <f>'ค่า 3.1'!O77</f>
        <v>1</v>
      </c>
      <c r="S77" s="45">
        <f>'ค่า 3.2'!O77</f>
        <v>1</v>
      </c>
      <c r="T77" s="45">
        <f>'ค่า 4.1'!O77</f>
        <v>1</v>
      </c>
    </row>
    <row r="78">
      <c r="A78" s="43">
        <v>77.0</v>
      </c>
      <c r="B78" s="44" t="s">
        <v>291</v>
      </c>
      <c r="C78" s="45" t="s">
        <v>717</v>
      </c>
      <c r="D78" s="46" t="str">
        <f t="shared" si="1"/>
        <v>bnco1077@signalschool.ac.th</v>
      </c>
      <c r="E78" s="47">
        <f>'ค่า 1.1'!O78</f>
        <v>0</v>
      </c>
      <c r="F78" s="45">
        <f>'ค่า 1.3'!O78</f>
        <v>1</v>
      </c>
      <c r="G78" s="45">
        <f>'ค่า 1.2'!O78</f>
        <v>0</v>
      </c>
      <c r="H78" s="45">
        <f>'ค่า 1.4'!O78</f>
        <v>0</v>
      </c>
      <c r="I78" s="45">
        <f>'ค่า 1.5'!O78</f>
        <v>0</v>
      </c>
      <c r="J78" s="45">
        <f>'ค่า 1.6'!O78</f>
        <v>1</v>
      </c>
      <c r="K78" s="45">
        <f>'ค่า 1.7'!O78</f>
        <v>1</v>
      </c>
      <c r="L78" s="45">
        <f>'ค่า 1.8'!O78</f>
        <v>0</v>
      </c>
      <c r="M78" s="45">
        <f>'ค่า 1.9'!O78</f>
        <v>0</v>
      </c>
      <c r="N78" s="45">
        <f>'ค่า 2.1'!O78</f>
        <v>0</v>
      </c>
      <c r="O78" s="45">
        <f>'ค่า 2.2'!O78</f>
        <v>0</v>
      </c>
      <c r="P78" s="45">
        <f>'ค่า 2.3'!O78</f>
        <v>0</v>
      </c>
      <c r="Q78" s="45">
        <f>'ค่า 2.4'!O78</f>
        <v>0</v>
      </c>
      <c r="R78" s="45">
        <f>'ค่า 3.1'!O78</f>
        <v>0</v>
      </c>
      <c r="S78" s="45">
        <f>'ค่า 3.2'!O78</f>
        <v>0</v>
      </c>
      <c r="T78" s="45">
        <f>'ค่า 4.1'!O78</f>
        <v>0</v>
      </c>
    </row>
    <row r="79">
      <c r="A79" s="43">
        <v>78.0</v>
      </c>
      <c r="B79" s="44" t="s">
        <v>292</v>
      </c>
      <c r="C79" s="67" t="s">
        <v>718</v>
      </c>
      <c r="D79" s="46" t="str">
        <f t="shared" si="1"/>
        <v>bnco1078@signalschool.ac.th</v>
      </c>
      <c r="E79" s="47">
        <f>'ค่า 1.1'!O79</f>
        <v>1</v>
      </c>
      <c r="F79" s="45">
        <f>'ค่า 1.3'!O79</f>
        <v>1</v>
      </c>
      <c r="G79" s="45">
        <f>'ค่า 1.2'!O79</f>
        <v>1</v>
      </c>
      <c r="H79" s="45">
        <f>'ค่า 1.4'!O79</f>
        <v>1</v>
      </c>
      <c r="I79" s="45">
        <f>'ค่า 1.5'!O79</f>
        <v>1</v>
      </c>
      <c r="J79" s="45">
        <f>'ค่า 1.6'!O79</f>
        <v>1</v>
      </c>
      <c r="K79" s="45">
        <f>'ค่า 1.7'!O79</f>
        <v>1</v>
      </c>
      <c r="L79" s="45">
        <f>'ค่า 1.8'!O79</f>
        <v>1</v>
      </c>
      <c r="M79" s="45">
        <f>'ค่า 1.9'!O79</f>
        <v>1</v>
      </c>
      <c r="N79" s="45">
        <f>'ค่า 2.1'!O79</f>
        <v>1</v>
      </c>
      <c r="O79" s="45">
        <f>'ค่า 2.2'!O79</f>
        <v>1</v>
      </c>
      <c r="P79" s="45">
        <f>'ค่า 2.3'!O79</f>
        <v>1</v>
      </c>
      <c r="Q79" s="45">
        <f>'ค่า 2.4'!O79</f>
        <v>1</v>
      </c>
      <c r="R79" s="45">
        <f>'ค่า 3.1'!O79</f>
        <v>1</v>
      </c>
      <c r="S79" s="45">
        <f>'ค่า 3.2'!O79</f>
        <v>1</v>
      </c>
      <c r="T79" s="45">
        <f>'ค่า 4.1'!O79</f>
        <v>0</v>
      </c>
    </row>
    <row r="80">
      <c r="A80" s="43">
        <v>79.0</v>
      </c>
      <c r="B80" s="44" t="s">
        <v>293</v>
      </c>
      <c r="C80" s="45" t="s">
        <v>719</v>
      </c>
      <c r="D80" s="46" t="str">
        <f t="shared" si="1"/>
        <v>bnco1079@signalschool.ac.th</v>
      </c>
      <c r="E80" s="47">
        <f>'ค่า 1.1'!O80</f>
        <v>1</v>
      </c>
      <c r="F80" s="45">
        <f>'ค่า 1.3'!O80</f>
        <v>1</v>
      </c>
      <c r="G80" s="45">
        <f>'ค่า 1.2'!O80</f>
        <v>1</v>
      </c>
      <c r="H80" s="45">
        <f>'ค่า 1.4'!O80</f>
        <v>1</v>
      </c>
      <c r="I80" s="45">
        <f>'ค่า 1.5'!O80</f>
        <v>1</v>
      </c>
      <c r="J80" s="45">
        <f>'ค่า 1.6'!O80</f>
        <v>1</v>
      </c>
      <c r="K80" s="45">
        <f>'ค่า 1.7'!O80</f>
        <v>1</v>
      </c>
      <c r="L80" s="45">
        <f>'ค่า 1.8'!O80</f>
        <v>1</v>
      </c>
      <c r="M80" s="45">
        <f>'ค่า 1.9'!O80</f>
        <v>1</v>
      </c>
      <c r="N80" s="45">
        <f>'ค่า 2.1'!O80</f>
        <v>1</v>
      </c>
      <c r="O80" s="45">
        <f>'ค่า 2.2'!O80</f>
        <v>1</v>
      </c>
      <c r="P80" s="45">
        <f>'ค่า 2.3'!O80</f>
        <v>1</v>
      </c>
      <c r="Q80" s="45">
        <f>'ค่า 2.4'!O80</f>
        <v>1</v>
      </c>
      <c r="R80" s="45">
        <f>'ค่า 3.1'!O80</f>
        <v>1</v>
      </c>
      <c r="S80" s="45">
        <f>'ค่า 3.2'!O80</f>
        <v>1</v>
      </c>
      <c r="T80" s="45">
        <f>'ค่า 4.1'!O80</f>
        <v>1</v>
      </c>
    </row>
    <row r="81">
      <c r="A81" s="43">
        <v>80.0</v>
      </c>
      <c r="B81" s="44" t="s">
        <v>294</v>
      </c>
      <c r="C81" s="45" t="s">
        <v>720</v>
      </c>
      <c r="D81" s="46" t="str">
        <f t="shared" si="1"/>
        <v>bnco1080@signalschool.ac.th</v>
      </c>
      <c r="E81" s="47">
        <f>'ค่า 1.1'!O81</f>
        <v>1</v>
      </c>
      <c r="F81" s="45">
        <f>'ค่า 1.3'!O81</f>
        <v>1</v>
      </c>
      <c r="G81" s="45">
        <f>'ค่า 1.2'!O81</f>
        <v>1</v>
      </c>
      <c r="H81" s="45">
        <f>'ค่า 1.4'!O81</f>
        <v>1</v>
      </c>
      <c r="I81" s="45">
        <f>'ค่า 1.5'!O81</f>
        <v>1</v>
      </c>
      <c r="J81" s="45">
        <f>'ค่า 1.6'!O81</f>
        <v>1</v>
      </c>
      <c r="K81" s="45">
        <f>'ค่า 1.7'!O81</f>
        <v>1</v>
      </c>
      <c r="L81" s="45">
        <f>'ค่า 1.8'!O81</f>
        <v>1</v>
      </c>
      <c r="M81" s="45">
        <f>'ค่า 1.9'!O81</f>
        <v>1</v>
      </c>
      <c r="N81" s="45">
        <f>'ค่า 2.1'!O81</f>
        <v>1</v>
      </c>
      <c r="O81" s="45">
        <f>'ค่า 2.2'!O81</f>
        <v>1</v>
      </c>
      <c r="P81" s="45">
        <f>'ค่า 2.3'!O81</f>
        <v>1</v>
      </c>
      <c r="Q81" s="45">
        <f>'ค่า 2.4'!O81</f>
        <v>1</v>
      </c>
      <c r="R81" s="45">
        <f>'ค่า 3.1'!O81</f>
        <v>1</v>
      </c>
      <c r="S81" s="45">
        <f>'ค่า 3.2'!O81</f>
        <v>1</v>
      </c>
      <c r="T81" s="45">
        <f>'ค่า 4.1'!O81</f>
        <v>1</v>
      </c>
    </row>
    <row r="82">
      <c r="A82" s="68"/>
      <c r="B82" s="68"/>
      <c r="C82" s="68"/>
      <c r="D82" s="68" t="s">
        <v>295</v>
      </c>
      <c r="E82" s="69">
        <f>'ค่า 1.1'!O101</f>
        <v>67</v>
      </c>
      <c r="F82" s="70" t="str">
        <f>'ค่า 1.3'!O82</f>
        <v/>
      </c>
      <c r="G82" s="70" t="str">
        <f>'ค่า 1.2'!O82</f>
        <v/>
      </c>
      <c r="H82" s="70" t="str">
        <f>'ค่า 1.4'!O82</f>
        <v/>
      </c>
      <c r="I82" s="70" t="str">
        <f>'ค่า 1.5'!O82</f>
        <v/>
      </c>
      <c r="J82" s="70" t="str">
        <f>'ค่า 1.6'!O82</f>
        <v/>
      </c>
      <c r="K82" s="70" t="str">
        <f>'ค่า 1.7'!O82</f>
        <v/>
      </c>
      <c r="L82" s="70" t="str">
        <f>'ค่า 1.8'!O82</f>
        <v/>
      </c>
      <c r="M82" s="70" t="str">
        <f>'ค่า 1.9'!O82</f>
        <v/>
      </c>
      <c r="N82" s="70" t="str">
        <f>'ค่า 2.1'!O82</f>
        <v/>
      </c>
      <c r="O82" s="70" t="str">
        <f>'ค่า 2.2'!O82</f>
        <v/>
      </c>
      <c r="P82" s="70" t="str">
        <f>'ค่า 2.3'!O82</f>
        <v/>
      </c>
      <c r="Q82" s="70" t="str">
        <f>'ค่า 2.4'!O82</f>
        <v/>
      </c>
      <c r="R82" s="70" t="str">
        <f>'ค่า 3.1'!O82</f>
        <v/>
      </c>
      <c r="S82" s="70" t="str">
        <f>'ค่า 3.2'!O82</f>
        <v/>
      </c>
      <c r="T82" s="70" t="str">
        <f>'ค่า 4.1'!O82</f>
        <v/>
      </c>
    </row>
    <row r="83">
      <c r="A83" s="68"/>
      <c r="B83" s="68"/>
      <c r="C83" s="68"/>
      <c r="D83" s="68" t="s">
        <v>296</v>
      </c>
      <c r="E83" s="71">
        <f>'ค่า 1.1'!O102</f>
        <v>83.75</v>
      </c>
      <c r="F83" s="72" t="str">
        <f>'ค่า 1.3'!O83</f>
        <v/>
      </c>
      <c r="G83" s="72" t="str">
        <f>'ค่า 1.2'!O83</f>
        <v/>
      </c>
      <c r="H83" s="72" t="str">
        <f>'ค่า 1.4'!O83</f>
        <v/>
      </c>
      <c r="I83" s="72" t="str">
        <f>'ค่า 1.5'!O83</f>
        <v/>
      </c>
      <c r="J83" s="72" t="str">
        <f>'ค่า 1.6'!O83</f>
        <v/>
      </c>
      <c r="K83" s="72" t="str">
        <f>'ค่า 1.7'!O83</f>
        <v/>
      </c>
      <c r="L83" s="72" t="str">
        <f>'ค่า 1.8'!O83</f>
        <v/>
      </c>
      <c r="M83" s="72" t="str">
        <f>'ค่า 1.9'!O83</f>
        <v/>
      </c>
      <c r="N83" s="72" t="str">
        <f>'ค่า 2.1'!O83</f>
        <v/>
      </c>
      <c r="O83" s="72" t="str">
        <f>'ค่า 2.2'!O83</f>
        <v/>
      </c>
      <c r="P83" s="72" t="str">
        <f>'ค่า 2.3'!O83</f>
        <v/>
      </c>
      <c r="Q83" s="72" t="str">
        <f>'ค่า 2.4'!O83</f>
        <v/>
      </c>
      <c r="R83" s="72" t="str">
        <f>'ค่า 3.1'!O83</f>
        <v/>
      </c>
      <c r="S83" s="72" t="str">
        <f>'ค่า 3.2'!O83</f>
        <v/>
      </c>
      <c r="T83" s="72" t="str">
        <f>'ค่า 4.1'!O83</f>
        <v/>
      </c>
    </row>
    <row r="84">
      <c r="A84" s="73"/>
      <c r="B84" s="73"/>
      <c r="C84" s="73"/>
      <c r="D84" s="73"/>
      <c r="E84" s="73"/>
    </row>
    <row r="85">
      <c r="A85" s="73"/>
      <c r="B85" s="73"/>
      <c r="C85" s="73"/>
      <c r="D85" s="73"/>
      <c r="E85" s="73"/>
    </row>
    <row r="86">
      <c r="A86" s="73"/>
      <c r="B86" s="73"/>
      <c r="C86" s="73"/>
      <c r="D86" s="73"/>
      <c r="E86" s="73"/>
    </row>
    <row r="87">
      <c r="A87" s="73"/>
      <c r="B87" s="73"/>
      <c r="C87" s="73"/>
      <c r="D87" s="73"/>
      <c r="E87" s="73"/>
    </row>
    <row r="88">
      <c r="A88" s="73"/>
      <c r="B88" s="73"/>
      <c r="C88" s="73"/>
      <c r="D88" s="73"/>
      <c r="E88" s="73"/>
    </row>
    <row r="89">
      <c r="A89" s="73"/>
      <c r="B89" s="73"/>
      <c r="C89" s="73"/>
      <c r="D89" s="73"/>
      <c r="E89" s="73"/>
    </row>
    <row r="90">
      <c r="A90" s="73"/>
      <c r="B90" s="73"/>
      <c r="C90" s="73"/>
      <c r="D90" s="73"/>
      <c r="E90" s="73"/>
    </row>
    <row r="91">
      <c r="A91" s="73"/>
      <c r="B91" s="73"/>
      <c r="C91" s="73"/>
      <c r="D91" s="73"/>
      <c r="E91" s="73"/>
    </row>
    <row r="92">
      <c r="A92" s="73"/>
      <c r="B92" s="73"/>
      <c r="C92" s="73"/>
      <c r="D92" s="73"/>
      <c r="E92" s="73"/>
    </row>
    <row r="93">
      <c r="A93" s="73"/>
      <c r="B93" s="73"/>
      <c r="C93" s="73"/>
      <c r="D93" s="73"/>
      <c r="E93" s="73"/>
    </row>
    <row r="94">
      <c r="A94" s="73"/>
      <c r="B94" s="73"/>
      <c r="C94" s="73"/>
      <c r="D94" s="73"/>
      <c r="E94" s="73"/>
    </row>
    <row r="95">
      <c r="A95" s="73"/>
      <c r="B95" s="73"/>
      <c r="C95" s="73"/>
      <c r="D95" s="73"/>
      <c r="E95" s="73"/>
    </row>
    <row r="96">
      <c r="A96" s="73"/>
      <c r="B96" s="73"/>
      <c r="C96" s="73"/>
      <c r="D96" s="73"/>
      <c r="E96" s="73"/>
    </row>
    <row r="97">
      <c r="A97" s="73"/>
      <c r="B97" s="73"/>
      <c r="C97" s="73"/>
      <c r="D97" s="73"/>
      <c r="E97" s="73"/>
    </row>
    <row r="98">
      <c r="A98" s="73"/>
      <c r="B98" s="73"/>
      <c r="C98" s="73"/>
      <c r="D98" s="73"/>
      <c r="E98" s="73"/>
    </row>
    <row r="99">
      <c r="A99" s="73"/>
      <c r="B99" s="73"/>
      <c r="C99" s="73"/>
      <c r="D99" s="73"/>
      <c r="E99" s="73"/>
    </row>
    <row r="100">
      <c r="A100" s="73"/>
      <c r="B100" s="73"/>
      <c r="C100" s="73"/>
      <c r="D100" s="73"/>
      <c r="E100" s="73"/>
    </row>
    <row r="101">
      <c r="A101" s="73"/>
      <c r="B101" s="73"/>
      <c r="C101" s="73"/>
      <c r="D101" s="73"/>
      <c r="E101" s="73"/>
    </row>
    <row r="102">
      <c r="A102" s="73"/>
      <c r="B102" s="73"/>
      <c r="C102" s="73"/>
      <c r="D102" s="73"/>
      <c r="E102" s="73"/>
    </row>
    <row r="103">
      <c r="A103" s="73"/>
      <c r="B103" s="73"/>
      <c r="C103" s="73"/>
      <c r="D103" s="73"/>
      <c r="E103" s="73"/>
    </row>
    <row r="104">
      <c r="A104" s="73"/>
      <c r="B104" s="73"/>
      <c r="C104" s="73"/>
      <c r="D104" s="73"/>
      <c r="E104" s="73"/>
    </row>
    <row r="105">
      <c r="A105" s="73"/>
      <c r="B105" s="73"/>
      <c r="C105" s="73"/>
      <c r="D105" s="73"/>
      <c r="E105" s="73"/>
    </row>
    <row r="106">
      <c r="A106" s="73"/>
      <c r="B106" s="73"/>
      <c r="C106" s="73"/>
      <c r="D106" s="73"/>
      <c r="E106" s="73"/>
    </row>
    <row r="107">
      <c r="A107" s="73"/>
      <c r="B107" s="73"/>
      <c r="C107" s="73"/>
      <c r="D107" s="73"/>
      <c r="E107" s="73"/>
    </row>
    <row r="108">
      <c r="A108" s="73"/>
      <c r="B108" s="73"/>
      <c r="C108" s="73"/>
      <c r="D108" s="73"/>
      <c r="E108" s="73"/>
    </row>
    <row r="109">
      <c r="A109" s="73"/>
      <c r="B109" s="73"/>
      <c r="C109" s="73"/>
      <c r="D109" s="73"/>
      <c r="E109" s="73"/>
    </row>
    <row r="110">
      <c r="A110" s="73"/>
      <c r="B110" s="73"/>
      <c r="C110" s="73"/>
      <c r="D110" s="73"/>
      <c r="E110" s="73"/>
    </row>
    <row r="111">
      <c r="A111" s="73"/>
      <c r="B111" s="73"/>
      <c r="C111" s="73"/>
      <c r="D111" s="73"/>
      <c r="E111" s="73"/>
    </row>
    <row r="112">
      <c r="A112" s="73"/>
      <c r="B112" s="73"/>
      <c r="C112" s="73"/>
      <c r="D112" s="73"/>
      <c r="E112" s="73"/>
    </row>
    <row r="113">
      <c r="A113" s="73"/>
      <c r="B113" s="73"/>
      <c r="C113" s="73"/>
      <c r="D113" s="73"/>
      <c r="E113" s="73"/>
    </row>
    <row r="114">
      <c r="A114" s="73"/>
      <c r="B114" s="73"/>
      <c r="C114" s="73"/>
      <c r="D114" s="73"/>
      <c r="E114" s="73"/>
    </row>
    <row r="115">
      <c r="A115" s="73"/>
      <c r="B115" s="73"/>
      <c r="C115" s="73"/>
      <c r="D115" s="73"/>
      <c r="E115" s="73"/>
    </row>
    <row r="116">
      <c r="A116" s="73"/>
      <c r="B116" s="73"/>
      <c r="C116" s="73"/>
      <c r="D116" s="73"/>
      <c r="E116" s="73"/>
    </row>
    <row r="117">
      <c r="A117" s="73"/>
      <c r="B117" s="73"/>
      <c r="C117" s="73"/>
      <c r="D117" s="73"/>
      <c r="E117" s="73"/>
    </row>
    <row r="118">
      <c r="A118" s="73"/>
      <c r="B118" s="73"/>
      <c r="C118" s="73"/>
      <c r="D118" s="73"/>
      <c r="E118" s="73"/>
    </row>
    <row r="119">
      <c r="A119" s="73"/>
      <c r="B119" s="73"/>
      <c r="C119" s="73"/>
      <c r="D119" s="73"/>
      <c r="E119" s="73"/>
    </row>
    <row r="120">
      <c r="A120" s="73"/>
      <c r="B120" s="73"/>
      <c r="C120" s="73"/>
      <c r="D120" s="73"/>
      <c r="E120" s="73"/>
    </row>
    <row r="121">
      <c r="A121" s="73"/>
      <c r="B121" s="73"/>
      <c r="C121" s="73"/>
      <c r="D121" s="73"/>
      <c r="E121" s="73"/>
    </row>
    <row r="122">
      <c r="A122" s="73"/>
      <c r="B122" s="73"/>
      <c r="C122" s="73"/>
      <c r="D122" s="73"/>
      <c r="E122" s="73"/>
    </row>
    <row r="123">
      <c r="A123" s="73"/>
      <c r="B123" s="73"/>
      <c r="C123" s="73"/>
      <c r="D123" s="73"/>
      <c r="E123" s="73"/>
    </row>
    <row r="124">
      <c r="A124" s="73"/>
      <c r="B124" s="73"/>
      <c r="C124" s="73"/>
      <c r="D124" s="73"/>
      <c r="E124" s="73"/>
    </row>
    <row r="125">
      <c r="A125" s="73"/>
      <c r="B125" s="73"/>
      <c r="C125" s="73"/>
      <c r="D125" s="73"/>
      <c r="E125" s="73"/>
    </row>
    <row r="126">
      <c r="A126" s="73"/>
      <c r="B126" s="73"/>
      <c r="C126" s="73"/>
      <c r="D126" s="73"/>
      <c r="E126" s="73"/>
    </row>
    <row r="127">
      <c r="A127" s="73"/>
      <c r="B127" s="73"/>
      <c r="C127" s="73"/>
      <c r="D127" s="73"/>
      <c r="E127" s="73"/>
    </row>
    <row r="128">
      <c r="A128" s="73"/>
      <c r="B128" s="73"/>
      <c r="C128" s="73"/>
      <c r="D128" s="73"/>
      <c r="E128" s="73"/>
    </row>
    <row r="129">
      <c r="A129" s="73"/>
      <c r="B129" s="73"/>
      <c r="C129" s="73"/>
      <c r="D129" s="73"/>
      <c r="E129" s="73"/>
    </row>
    <row r="130">
      <c r="A130" s="73"/>
      <c r="B130" s="73"/>
      <c r="C130" s="73"/>
      <c r="D130" s="73"/>
      <c r="E130" s="73"/>
    </row>
    <row r="131">
      <c r="A131" s="73"/>
      <c r="B131" s="73"/>
      <c r="C131" s="73"/>
      <c r="D131" s="73"/>
      <c r="E131" s="73"/>
    </row>
    <row r="132">
      <c r="A132" s="73"/>
      <c r="B132" s="73"/>
      <c r="C132" s="73"/>
      <c r="D132" s="73"/>
      <c r="E132" s="73"/>
    </row>
    <row r="133">
      <c r="A133" s="73"/>
      <c r="B133" s="73"/>
      <c r="C133" s="73"/>
      <c r="D133" s="73"/>
      <c r="E133" s="73"/>
    </row>
    <row r="134">
      <c r="A134" s="73"/>
      <c r="B134" s="73"/>
      <c r="C134" s="73"/>
      <c r="D134" s="73"/>
      <c r="E134" s="73"/>
    </row>
    <row r="135">
      <c r="A135" s="73"/>
      <c r="B135" s="73"/>
      <c r="C135" s="73"/>
      <c r="D135" s="73"/>
      <c r="E135" s="73"/>
    </row>
    <row r="136">
      <c r="A136" s="73"/>
      <c r="B136" s="73"/>
      <c r="C136" s="73"/>
      <c r="D136" s="73"/>
      <c r="E136" s="73"/>
    </row>
    <row r="137">
      <c r="A137" s="73"/>
      <c r="B137" s="73"/>
      <c r="C137" s="73"/>
      <c r="D137" s="73"/>
      <c r="E137" s="73"/>
    </row>
    <row r="138">
      <c r="A138" s="73"/>
      <c r="B138" s="73"/>
      <c r="C138" s="73"/>
      <c r="D138" s="73"/>
      <c r="E138" s="73"/>
    </row>
    <row r="139">
      <c r="A139" s="73"/>
      <c r="B139" s="73"/>
      <c r="C139" s="73"/>
      <c r="D139" s="73"/>
      <c r="E139" s="73"/>
    </row>
    <row r="140">
      <c r="A140" s="73"/>
      <c r="B140" s="73"/>
      <c r="C140" s="73"/>
      <c r="D140" s="73"/>
      <c r="E140" s="73"/>
    </row>
    <row r="141">
      <c r="A141" s="73"/>
      <c r="B141" s="73"/>
      <c r="C141" s="73"/>
      <c r="D141" s="73"/>
      <c r="E141" s="73"/>
    </row>
    <row r="142">
      <c r="A142" s="73"/>
      <c r="B142" s="73"/>
      <c r="C142" s="73"/>
      <c r="D142" s="73"/>
      <c r="E142" s="73"/>
    </row>
    <row r="143">
      <c r="A143" s="73"/>
      <c r="B143" s="73"/>
      <c r="C143" s="73"/>
      <c r="D143" s="73"/>
      <c r="E143" s="73"/>
    </row>
    <row r="144">
      <c r="A144" s="73"/>
      <c r="B144" s="73"/>
      <c r="C144" s="73"/>
      <c r="D144" s="73"/>
      <c r="E144" s="73"/>
    </row>
    <row r="145">
      <c r="A145" s="73"/>
      <c r="B145" s="73"/>
      <c r="C145" s="73"/>
      <c r="D145" s="73"/>
      <c r="E145" s="73"/>
    </row>
    <row r="146">
      <c r="A146" s="73"/>
      <c r="B146" s="73"/>
      <c r="C146" s="73"/>
      <c r="D146" s="73"/>
      <c r="E146" s="73"/>
    </row>
    <row r="147">
      <c r="A147" s="73"/>
      <c r="B147" s="73"/>
      <c r="C147" s="73"/>
      <c r="D147" s="73"/>
      <c r="E147" s="73"/>
    </row>
    <row r="148">
      <c r="A148" s="73"/>
      <c r="B148" s="73"/>
      <c r="C148" s="73"/>
      <c r="D148" s="73"/>
      <c r="E148" s="73"/>
    </row>
    <row r="149">
      <c r="A149" s="73"/>
      <c r="B149" s="73"/>
      <c r="C149" s="73"/>
      <c r="D149" s="73"/>
      <c r="E149" s="73"/>
    </row>
    <row r="150">
      <c r="A150" s="73"/>
      <c r="B150" s="73"/>
      <c r="C150" s="73"/>
      <c r="D150" s="73"/>
      <c r="E150" s="73"/>
    </row>
    <row r="151">
      <c r="A151" s="73"/>
      <c r="B151" s="73"/>
      <c r="C151" s="73"/>
      <c r="D151" s="73"/>
      <c r="E151" s="73"/>
    </row>
    <row r="152">
      <c r="A152" s="73"/>
      <c r="B152" s="73"/>
      <c r="C152" s="73"/>
      <c r="D152" s="73"/>
      <c r="E152" s="73"/>
    </row>
    <row r="153">
      <c r="A153" s="73"/>
      <c r="B153" s="73"/>
      <c r="C153" s="73"/>
      <c r="D153" s="73"/>
      <c r="E153" s="73"/>
    </row>
    <row r="154">
      <c r="A154" s="73"/>
      <c r="B154" s="73"/>
      <c r="C154" s="73"/>
      <c r="D154" s="73"/>
      <c r="E154" s="73"/>
    </row>
    <row r="155">
      <c r="A155" s="73"/>
      <c r="B155" s="73"/>
      <c r="C155" s="73"/>
      <c r="D155" s="73"/>
      <c r="E155" s="73"/>
    </row>
    <row r="156">
      <c r="A156" s="73"/>
      <c r="B156" s="73"/>
      <c r="C156" s="73"/>
      <c r="D156" s="73"/>
      <c r="E156" s="73"/>
    </row>
    <row r="157">
      <c r="A157" s="73"/>
      <c r="B157" s="73"/>
      <c r="C157" s="73"/>
      <c r="D157" s="73"/>
      <c r="E157" s="73"/>
    </row>
    <row r="158">
      <c r="A158" s="73"/>
      <c r="B158" s="73"/>
      <c r="C158" s="73"/>
      <c r="D158" s="73"/>
      <c r="E158" s="73"/>
    </row>
    <row r="159">
      <c r="A159" s="73"/>
      <c r="B159" s="73"/>
      <c r="C159" s="73"/>
      <c r="D159" s="73"/>
      <c r="E159" s="73"/>
    </row>
    <row r="160">
      <c r="A160" s="73"/>
      <c r="B160" s="73"/>
      <c r="C160" s="73"/>
      <c r="D160" s="73"/>
      <c r="E160" s="73"/>
    </row>
    <row r="161">
      <c r="A161" s="73"/>
      <c r="B161" s="73"/>
      <c r="C161" s="73"/>
      <c r="D161" s="73"/>
      <c r="E161" s="73"/>
    </row>
    <row r="162">
      <c r="A162" s="73"/>
      <c r="B162" s="73"/>
      <c r="C162" s="73"/>
      <c r="D162" s="73"/>
      <c r="E162" s="73"/>
    </row>
    <row r="163">
      <c r="A163" s="73"/>
      <c r="B163" s="73"/>
      <c r="C163" s="73"/>
      <c r="D163" s="73"/>
      <c r="E163" s="73"/>
    </row>
    <row r="164">
      <c r="A164" s="73"/>
      <c r="B164" s="73"/>
      <c r="C164" s="73"/>
      <c r="D164" s="73"/>
      <c r="E164" s="73"/>
    </row>
    <row r="165">
      <c r="A165" s="73"/>
      <c r="B165" s="73"/>
      <c r="C165" s="73"/>
      <c r="D165" s="73"/>
      <c r="E165" s="73"/>
    </row>
    <row r="166">
      <c r="A166" s="73"/>
      <c r="B166" s="73"/>
      <c r="C166" s="73"/>
      <c r="D166" s="73"/>
      <c r="E166" s="73"/>
    </row>
    <row r="167">
      <c r="A167" s="73"/>
      <c r="B167" s="73"/>
      <c r="C167" s="73"/>
      <c r="D167" s="73"/>
      <c r="E167" s="73"/>
    </row>
    <row r="168">
      <c r="A168" s="73"/>
      <c r="B168" s="73"/>
      <c r="C168" s="73"/>
      <c r="D168" s="73"/>
      <c r="E168" s="73"/>
    </row>
    <row r="169">
      <c r="A169" s="73"/>
      <c r="B169" s="73"/>
      <c r="C169" s="73"/>
      <c r="D169" s="73"/>
      <c r="E169" s="73"/>
    </row>
    <row r="170">
      <c r="A170" s="73"/>
      <c r="B170" s="73"/>
      <c r="C170" s="73"/>
      <c r="D170" s="73"/>
      <c r="E170" s="73"/>
    </row>
    <row r="171">
      <c r="A171" s="73"/>
      <c r="B171" s="73"/>
      <c r="C171" s="73"/>
      <c r="D171" s="73"/>
      <c r="E171" s="73"/>
    </row>
    <row r="172">
      <c r="A172" s="73"/>
      <c r="B172" s="73"/>
      <c r="C172" s="73"/>
      <c r="D172" s="73"/>
      <c r="E172" s="73"/>
    </row>
    <row r="173">
      <c r="A173" s="73"/>
      <c r="B173" s="73"/>
      <c r="C173" s="73"/>
      <c r="D173" s="73"/>
      <c r="E173" s="73"/>
    </row>
    <row r="174">
      <c r="A174" s="73"/>
      <c r="B174" s="73"/>
      <c r="C174" s="73"/>
      <c r="D174" s="73"/>
      <c r="E174" s="73"/>
    </row>
    <row r="175">
      <c r="A175" s="73"/>
      <c r="B175" s="73"/>
      <c r="C175" s="73"/>
      <c r="D175" s="73"/>
      <c r="E175" s="73"/>
    </row>
    <row r="176">
      <c r="A176" s="73"/>
      <c r="B176" s="73"/>
      <c r="C176" s="73"/>
      <c r="D176" s="73"/>
      <c r="E176" s="73"/>
    </row>
    <row r="177">
      <c r="A177" s="73"/>
      <c r="B177" s="73"/>
      <c r="C177" s="73"/>
      <c r="D177" s="73"/>
      <c r="E177" s="73"/>
    </row>
    <row r="178">
      <c r="A178" s="73"/>
      <c r="B178" s="73"/>
      <c r="C178" s="73"/>
      <c r="D178" s="73"/>
      <c r="E178" s="73"/>
    </row>
    <row r="179">
      <c r="A179" s="73"/>
      <c r="B179" s="73"/>
      <c r="C179" s="73"/>
      <c r="D179" s="73"/>
      <c r="E179" s="73"/>
    </row>
    <row r="180">
      <c r="A180" s="73"/>
      <c r="B180" s="73"/>
      <c r="C180" s="73"/>
      <c r="D180" s="73"/>
      <c r="E180" s="73"/>
    </row>
    <row r="181">
      <c r="A181" s="73"/>
      <c r="B181" s="73"/>
      <c r="C181" s="73"/>
      <c r="D181" s="73"/>
      <c r="E181" s="73"/>
    </row>
    <row r="182">
      <c r="A182" s="73"/>
      <c r="B182" s="73"/>
      <c r="C182" s="73"/>
      <c r="D182" s="73"/>
      <c r="E182" s="73"/>
    </row>
    <row r="183">
      <c r="A183" s="73"/>
      <c r="B183" s="73"/>
      <c r="C183" s="73"/>
      <c r="D183" s="73"/>
      <c r="E183" s="73"/>
    </row>
    <row r="184">
      <c r="A184" s="73"/>
      <c r="B184" s="73"/>
      <c r="C184" s="73"/>
      <c r="D184" s="73"/>
      <c r="E184" s="73"/>
    </row>
    <row r="185">
      <c r="A185" s="73"/>
      <c r="B185" s="73"/>
      <c r="C185" s="73"/>
      <c r="D185" s="73"/>
      <c r="E185" s="73"/>
    </row>
    <row r="186">
      <c r="A186" s="73"/>
      <c r="B186" s="73"/>
      <c r="C186" s="73"/>
      <c r="D186" s="73"/>
      <c r="E186" s="73"/>
    </row>
    <row r="187">
      <c r="A187" s="73"/>
      <c r="B187" s="73"/>
      <c r="C187" s="73"/>
      <c r="D187" s="73"/>
      <c r="E187" s="73"/>
    </row>
    <row r="188">
      <c r="A188" s="73"/>
      <c r="B188" s="73"/>
      <c r="C188" s="73"/>
      <c r="D188" s="73"/>
      <c r="E188" s="73"/>
    </row>
    <row r="189">
      <c r="A189" s="73"/>
      <c r="B189" s="73"/>
      <c r="C189" s="73"/>
      <c r="D189" s="73"/>
      <c r="E189" s="73"/>
    </row>
    <row r="190">
      <c r="A190" s="73"/>
      <c r="B190" s="73"/>
      <c r="C190" s="73"/>
      <c r="D190" s="73"/>
      <c r="E190" s="73"/>
    </row>
    <row r="191">
      <c r="A191" s="73"/>
      <c r="B191" s="73"/>
      <c r="C191" s="73"/>
      <c r="D191" s="73"/>
      <c r="E191" s="73"/>
    </row>
    <row r="192">
      <c r="A192" s="73"/>
      <c r="B192" s="73"/>
      <c r="C192" s="73"/>
      <c r="D192" s="73"/>
      <c r="E192" s="73"/>
    </row>
    <row r="193">
      <c r="A193" s="73"/>
      <c r="B193" s="73"/>
      <c r="C193" s="73"/>
      <c r="D193" s="73"/>
      <c r="E193" s="73"/>
    </row>
    <row r="194">
      <c r="A194" s="73"/>
      <c r="B194" s="73"/>
      <c r="C194" s="73"/>
      <c r="D194" s="73"/>
      <c r="E194" s="73"/>
    </row>
    <row r="195">
      <c r="A195" s="73"/>
      <c r="B195" s="73"/>
      <c r="C195" s="73"/>
      <c r="D195" s="73"/>
      <c r="E195" s="73"/>
    </row>
    <row r="196">
      <c r="A196" s="73"/>
      <c r="B196" s="73"/>
      <c r="C196" s="73"/>
      <c r="D196" s="73"/>
      <c r="E196" s="73"/>
    </row>
    <row r="197">
      <c r="A197" s="73"/>
      <c r="B197" s="73"/>
      <c r="C197" s="73"/>
      <c r="D197" s="73"/>
      <c r="E197" s="73"/>
    </row>
    <row r="198">
      <c r="A198" s="73"/>
      <c r="B198" s="73"/>
      <c r="C198" s="73"/>
      <c r="D198" s="73"/>
      <c r="E198" s="73"/>
    </row>
    <row r="199">
      <c r="A199" s="73"/>
      <c r="B199" s="73"/>
      <c r="C199" s="73"/>
      <c r="D199" s="73"/>
      <c r="E199" s="73"/>
    </row>
    <row r="200">
      <c r="A200" s="73"/>
      <c r="B200" s="73"/>
      <c r="C200" s="73"/>
      <c r="D200" s="73"/>
      <c r="E200" s="73"/>
    </row>
    <row r="201">
      <c r="A201" s="73"/>
      <c r="B201" s="73"/>
      <c r="C201" s="73"/>
      <c r="D201" s="73"/>
      <c r="E201" s="73"/>
    </row>
    <row r="202">
      <c r="A202" s="73"/>
      <c r="B202" s="73"/>
      <c r="C202" s="73"/>
      <c r="D202" s="73"/>
      <c r="E202" s="73"/>
    </row>
    <row r="203">
      <c r="A203" s="73"/>
      <c r="B203" s="73"/>
      <c r="C203" s="73"/>
      <c r="D203" s="73"/>
      <c r="E203" s="73"/>
    </row>
    <row r="204">
      <c r="A204" s="73"/>
      <c r="B204" s="73"/>
      <c r="C204" s="73"/>
      <c r="D204" s="73"/>
      <c r="E204" s="73"/>
    </row>
    <row r="205">
      <c r="A205" s="73"/>
      <c r="B205" s="73"/>
      <c r="C205" s="73"/>
      <c r="D205" s="73"/>
      <c r="E205" s="73"/>
    </row>
    <row r="206">
      <c r="A206" s="73"/>
      <c r="B206" s="73"/>
      <c r="C206" s="73"/>
      <c r="D206" s="73"/>
      <c r="E206" s="73"/>
    </row>
    <row r="207">
      <c r="A207" s="73"/>
      <c r="B207" s="73"/>
      <c r="C207" s="73"/>
      <c r="D207" s="73"/>
      <c r="E207" s="73"/>
    </row>
    <row r="208">
      <c r="A208" s="73"/>
      <c r="B208" s="73"/>
      <c r="C208" s="73"/>
      <c r="D208" s="73"/>
      <c r="E208" s="73"/>
    </row>
    <row r="209">
      <c r="A209" s="73"/>
      <c r="B209" s="73"/>
      <c r="C209" s="73"/>
      <c r="D209" s="73"/>
      <c r="E209" s="73"/>
    </row>
    <row r="210">
      <c r="A210" s="73"/>
      <c r="B210" s="73"/>
      <c r="C210" s="73"/>
      <c r="D210" s="73"/>
      <c r="E210" s="73"/>
    </row>
    <row r="211">
      <c r="A211" s="73"/>
      <c r="B211" s="73"/>
      <c r="C211" s="73"/>
      <c r="D211" s="73"/>
      <c r="E211" s="73"/>
    </row>
    <row r="212">
      <c r="A212" s="73"/>
      <c r="B212" s="73"/>
      <c r="C212" s="73"/>
      <c r="D212" s="73"/>
      <c r="E212" s="73"/>
    </row>
    <row r="213">
      <c r="A213" s="73"/>
      <c r="B213" s="73"/>
      <c r="C213" s="73"/>
      <c r="D213" s="73"/>
      <c r="E213" s="73"/>
    </row>
    <row r="214">
      <c r="A214" s="73"/>
      <c r="B214" s="73"/>
      <c r="C214" s="73"/>
      <c r="D214" s="73"/>
      <c r="E214" s="73"/>
    </row>
    <row r="215">
      <c r="A215" s="73"/>
      <c r="B215" s="73"/>
      <c r="C215" s="73"/>
      <c r="D215" s="73"/>
      <c r="E215" s="73"/>
    </row>
    <row r="216">
      <c r="A216" s="73"/>
      <c r="B216" s="73"/>
      <c r="C216" s="73"/>
      <c r="D216" s="73"/>
      <c r="E216" s="73"/>
    </row>
    <row r="217">
      <c r="A217" s="73"/>
      <c r="B217" s="73"/>
      <c r="C217" s="73"/>
      <c r="D217" s="73"/>
      <c r="E217" s="73"/>
    </row>
    <row r="218">
      <c r="A218" s="73"/>
      <c r="B218" s="73"/>
      <c r="C218" s="73"/>
      <c r="D218" s="73"/>
      <c r="E218" s="73"/>
    </row>
    <row r="219">
      <c r="A219" s="73"/>
      <c r="B219" s="73"/>
      <c r="C219" s="73"/>
      <c r="D219" s="73"/>
      <c r="E219" s="73"/>
    </row>
    <row r="220">
      <c r="A220" s="73"/>
      <c r="B220" s="73"/>
      <c r="C220" s="73"/>
      <c r="D220" s="73"/>
      <c r="E220" s="73"/>
    </row>
    <row r="221">
      <c r="A221" s="73"/>
      <c r="B221" s="73"/>
      <c r="C221" s="73"/>
      <c r="D221" s="73"/>
      <c r="E221" s="73"/>
    </row>
    <row r="222">
      <c r="A222" s="73"/>
      <c r="B222" s="73"/>
      <c r="C222" s="73"/>
      <c r="D222" s="73"/>
      <c r="E222" s="73"/>
    </row>
    <row r="223">
      <c r="A223" s="73"/>
      <c r="B223" s="73"/>
      <c r="C223" s="73"/>
      <c r="D223" s="73"/>
      <c r="E223" s="73"/>
    </row>
    <row r="224">
      <c r="A224" s="73"/>
      <c r="B224" s="73"/>
      <c r="C224" s="73"/>
      <c r="D224" s="73"/>
      <c r="E224" s="73"/>
    </row>
    <row r="225">
      <c r="A225" s="73"/>
      <c r="B225" s="73"/>
      <c r="C225" s="73"/>
      <c r="D225" s="73"/>
      <c r="E225" s="73"/>
    </row>
    <row r="226">
      <c r="A226" s="73"/>
      <c r="B226" s="73"/>
      <c r="C226" s="73"/>
      <c r="D226" s="73"/>
      <c r="E226" s="73"/>
    </row>
    <row r="227">
      <c r="A227" s="73"/>
      <c r="B227" s="73"/>
      <c r="C227" s="73"/>
      <c r="D227" s="73"/>
      <c r="E227" s="73"/>
    </row>
    <row r="228">
      <c r="A228" s="73"/>
      <c r="B228" s="73"/>
      <c r="C228" s="73"/>
      <c r="D228" s="73"/>
      <c r="E228" s="73"/>
    </row>
    <row r="229">
      <c r="A229" s="73"/>
      <c r="B229" s="73"/>
      <c r="C229" s="73"/>
      <c r="D229" s="73"/>
      <c r="E229" s="73"/>
    </row>
    <row r="230">
      <c r="A230" s="73"/>
      <c r="B230" s="73"/>
      <c r="C230" s="73"/>
      <c r="D230" s="73"/>
      <c r="E230" s="73"/>
    </row>
    <row r="231">
      <c r="A231" s="73"/>
      <c r="B231" s="73"/>
      <c r="C231" s="73"/>
      <c r="D231" s="73"/>
      <c r="E231" s="73"/>
    </row>
    <row r="232">
      <c r="A232" s="73"/>
      <c r="B232" s="73"/>
      <c r="C232" s="73"/>
      <c r="D232" s="73"/>
      <c r="E232" s="73"/>
    </row>
    <row r="233">
      <c r="A233" s="73"/>
      <c r="B233" s="73"/>
      <c r="C233" s="73"/>
      <c r="D233" s="73"/>
      <c r="E233" s="73"/>
    </row>
    <row r="234">
      <c r="A234" s="73"/>
      <c r="B234" s="73"/>
      <c r="C234" s="73"/>
      <c r="D234" s="73"/>
      <c r="E234" s="73"/>
    </row>
    <row r="235">
      <c r="A235" s="73"/>
      <c r="B235" s="73"/>
      <c r="C235" s="73"/>
      <c r="D235" s="73"/>
      <c r="E235" s="73"/>
    </row>
    <row r="236">
      <c r="A236" s="73"/>
      <c r="B236" s="73"/>
      <c r="C236" s="73"/>
      <c r="D236" s="73"/>
      <c r="E236" s="73"/>
    </row>
    <row r="237">
      <c r="A237" s="73"/>
      <c r="B237" s="73"/>
      <c r="C237" s="73"/>
      <c r="D237" s="73"/>
      <c r="E237" s="73"/>
    </row>
    <row r="238">
      <c r="A238" s="73"/>
      <c r="B238" s="73"/>
      <c r="C238" s="73"/>
      <c r="D238" s="73"/>
      <c r="E238" s="73"/>
    </row>
    <row r="239">
      <c r="A239" s="73"/>
      <c r="B239" s="73"/>
      <c r="C239" s="73"/>
      <c r="D239" s="73"/>
      <c r="E239" s="73"/>
    </row>
    <row r="240">
      <c r="A240" s="73"/>
      <c r="B240" s="73"/>
      <c r="C240" s="73"/>
      <c r="D240" s="73"/>
      <c r="E240" s="73"/>
    </row>
    <row r="241">
      <c r="A241" s="73"/>
      <c r="B241" s="73"/>
      <c r="C241" s="73"/>
      <c r="D241" s="73"/>
      <c r="E241" s="73"/>
    </row>
    <row r="242">
      <c r="A242" s="73"/>
      <c r="B242" s="73"/>
      <c r="C242" s="73"/>
      <c r="D242" s="73"/>
      <c r="E242" s="73"/>
    </row>
    <row r="243">
      <c r="A243" s="73"/>
      <c r="B243" s="73"/>
      <c r="C243" s="73"/>
      <c r="D243" s="73"/>
      <c r="E243" s="73"/>
    </row>
    <row r="244">
      <c r="A244" s="73"/>
      <c r="B244" s="73"/>
      <c r="C244" s="73"/>
      <c r="D244" s="73"/>
      <c r="E244" s="73"/>
    </row>
    <row r="245">
      <c r="A245" s="73"/>
      <c r="B245" s="73"/>
      <c r="C245" s="73"/>
      <c r="D245" s="73"/>
      <c r="E245" s="73"/>
    </row>
    <row r="246">
      <c r="A246" s="73"/>
      <c r="B246" s="73"/>
      <c r="C246" s="73"/>
      <c r="D246" s="73"/>
      <c r="E246" s="73"/>
    </row>
    <row r="247">
      <c r="A247" s="73"/>
      <c r="B247" s="73"/>
      <c r="C247" s="73"/>
      <c r="D247" s="73"/>
      <c r="E247" s="73"/>
    </row>
    <row r="248">
      <c r="A248" s="73"/>
      <c r="B248" s="73"/>
      <c r="C248" s="73"/>
      <c r="D248" s="73"/>
      <c r="E248" s="73"/>
    </row>
    <row r="249">
      <c r="A249" s="73"/>
      <c r="B249" s="73"/>
      <c r="C249" s="73"/>
      <c r="D249" s="73"/>
      <c r="E249" s="73"/>
    </row>
    <row r="250">
      <c r="A250" s="73"/>
      <c r="B250" s="73"/>
      <c r="C250" s="73"/>
      <c r="D250" s="73"/>
      <c r="E250" s="73"/>
    </row>
    <row r="251">
      <c r="A251" s="73"/>
      <c r="B251" s="73"/>
      <c r="C251" s="73"/>
      <c r="D251" s="73"/>
      <c r="E251" s="73"/>
    </row>
    <row r="252">
      <c r="A252" s="73"/>
      <c r="B252" s="73"/>
      <c r="C252" s="73"/>
      <c r="D252" s="73"/>
      <c r="E252" s="73"/>
    </row>
    <row r="253">
      <c r="A253" s="73"/>
      <c r="B253" s="73"/>
      <c r="C253" s="73"/>
      <c r="D253" s="73"/>
      <c r="E253" s="73"/>
    </row>
    <row r="254">
      <c r="A254" s="73"/>
      <c r="B254" s="73"/>
      <c r="C254" s="73"/>
      <c r="D254" s="73"/>
      <c r="E254" s="73"/>
    </row>
    <row r="255">
      <c r="A255" s="73"/>
      <c r="B255" s="73"/>
      <c r="C255" s="73"/>
      <c r="D255" s="73"/>
      <c r="E255" s="73"/>
    </row>
    <row r="256">
      <c r="A256" s="73"/>
      <c r="B256" s="73"/>
      <c r="C256" s="73"/>
      <c r="D256" s="73"/>
      <c r="E256" s="73"/>
    </row>
    <row r="257">
      <c r="A257" s="73"/>
      <c r="B257" s="73"/>
      <c r="C257" s="73"/>
      <c r="D257" s="73"/>
      <c r="E257" s="73"/>
    </row>
    <row r="258">
      <c r="A258" s="73"/>
      <c r="B258" s="73"/>
      <c r="C258" s="73"/>
      <c r="D258" s="73"/>
      <c r="E258" s="73"/>
    </row>
    <row r="259">
      <c r="A259" s="73"/>
      <c r="B259" s="73"/>
      <c r="C259" s="73"/>
      <c r="D259" s="73"/>
      <c r="E259" s="73"/>
    </row>
    <row r="260">
      <c r="A260" s="73"/>
      <c r="B260" s="73"/>
      <c r="C260" s="73"/>
      <c r="D260" s="73"/>
      <c r="E260" s="73"/>
    </row>
    <row r="261">
      <c r="A261" s="73"/>
      <c r="B261" s="73"/>
      <c r="C261" s="73"/>
      <c r="D261" s="73"/>
      <c r="E261" s="73"/>
    </row>
    <row r="262">
      <c r="A262" s="73"/>
      <c r="B262" s="73"/>
      <c r="C262" s="73"/>
      <c r="D262" s="73"/>
      <c r="E262" s="73"/>
    </row>
    <row r="263">
      <c r="A263" s="73"/>
      <c r="B263" s="73"/>
      <c r="C263" s="73"/>
      <c r="D263" s="73"/>
      <c r="E263" s="73"/>
    </row>
    <row r="264">
      <c r="A264" s="73"/>
      <c r="B264" s="73"/>
      <c r="C264" s="73"/>
      <c r="D264" s="73"/>
      <c r="E264" s="73"/>
    </row>
    <row r="265">
      <c r="A265" s="73"/>
      <c r="B265" s="73"/>
      <c r="C265" s="73"/>
      <c r="D265" s="73"/>
      <c r="E265" s="73"/>
    </row>
    <row r="266">
      <c r="A266" s="73"/>
      <c r="B266" s="73"/>
      <c r="C266" s="73"/>
      <c r="D266" s="73"/>
      <c r="E266" s="73"/>
    </row>
    <row r="267">
      <c r="A267" s="73"/>
      <c r="B267" s="73"/>
      <c r="C267" s="73"/>
      <c r="D267" s="73"/>
      <c r="E267" s="73"/>
    </row>
    <row r="268">
      <c r="A268" s="73"/>
      <c r="B268" s="73"/>
      <c r="C268" s="73"/>
      <c r="D268" s="73"/>
      <c r="E268" s="73"/>
    </row>
    <row r="269">
      <c r="A269" s="73"/>
      <c r="B269" s="73"/>
      <c r="C269" s="73"/>
      <c r="D269" s="73"/>
      <c r="E269" s="73"/>
    </row>
    <row r="270">
      <c r="A270" s="73"/>
      <c r="B270" s="73"/>
      <c r="C270" s="73"/>
      <c r="D270" s="73"/>
      <c r="E270" s="73"/>
    </row>
    <row r="271">
      <c r="A271" s="73"/>
      <c r="B271" s="73"/>
      <c r="C271" s="73"/>
      <c r="D271" s="73"/>
      <c r="E271" s="73"/>
    </row>
    <row r="272">
      <c r="A272" s="73"/>
      <c r="B272" s="73"/>
      <c r="C272" s="73"/>
      <c r="D272" s="73"/>
      <c r="E272" s="73"/>
    </row>
    <row r="273">
      <c r="A273" s="73"/>
      <c r="B273" s="73"/>
      <c r="C273" s="73"/>
      <c r="D273" s="73"/>
      <c r="E273" s="73"/>
    </row>
    <row r="274">
      <c r="A274" s="73"/>
      <c r="B274" s="73"/>
      <c r="C274" s="73"/>
      <c r="D274" s="73"/>
      <c r="E274" s="73"/>
    </row>
    <row r="275">
      <c r="A275" s="73"/>
      <c r="B275" s="73"/>
      <c r="C275" s="73"/>
      <c r="D275" s="73"/>
      <c r="E275" s="73"/>
    </row>
    <row r="276">
      <c r="A276" s="73"/>
      <c r="B276" s="73"/>
      <c r="C276" s="73"/>
      <c r="D276" s="73"/>
      <c r="E276" s="73"/>
    </row>
    <row r="277">
      <c r="A277" s="73"/>
      <c r="B277" s="73"/>
      <c r="C277" s="73"/>
      <c r="D277" s="73"/>
      <c r="E277" s="73"/>
    </row>
    <row r="278">
      <c r="A278" s="73"/>
      <c r="B278" s="73"/>
      <c r="C278" s="73"/>
      <c r="D278" s="73"/>
      <c r="E278" s="73"/>
    </row>
    <row r="279">
      <c r="A279" s="73"/>
      <c r="B279" s="73"/>
      <c r="C279" s="73"/>
      <c r="D279" s="73"/>
      <c r="E279" s="73"/>
    </row>
    <row r="280">
      <c r="A280" s="73"/>
      <c r="B280" s="73"/>
      <c r="C280" s="73"/>
      <c r="D280" s="73"/>
      <c r="E280" s="73"/>
    </row>
    <row r="281">
      <c r="A281" s="73"/>
      <c r="B281" s="73"/>
      <c r="C281" s="73"/>
      <c r="D281" s="73"/>
      <c r="E281" s="73"/>
    </row>
    <row r="282">
      <c r="A282" s="73"/>
      <c r="B282" s="73"/>
      <c r="C282" s="73"/>
      <c r="D282" s="73"/>
      <c r="E282" s="73"/>
    </row>
    <row r="283">
      <c r="A283" s="73"/>
      <c r="B283" s="73"/>
      <c r="C283" s="73"/>
      <c r="D283" s="73"/>
      <c r="E283" s="73"/>
    </row>
    <row r="284">
      <c r="A284" s="73"/>
      <c r="B284" s="73"/>
      <c r="C284" s="73"/>
      <c r="D284" s="73"/>
      <c r="E284" s="73"/>
    </row>
    <row r="285">
      <c r="A285" s="73"/>
      <c r="B285" s="73"/>
      <c r="C285" s="73"/>
      <c r="D285" s="73"/>
      <c r="E285" s="73"/>
    </row>
    <row r="286">
      <c r="A286" s="73"/>
      <c r="B286" s="73"/>
      <c r="C286" s="73"/>
      <c r="D286" s="73"/>
      <c r="E286" s="73"/>
    </row>
    <row r="287">
      <c r="A287" s="73"/>
      <c r="B287" s="73"/>
      <c r="C287" s="73"/>
      <c r="D287" s="73"/>
      <c r="E287" s="73"/>
    </row>
    <row r="288">
      <c r="A288" s="73"/>
      <c r="B288" s="73"/>
      <c r="C288" s="73"/>
      <c r="D288" s="73"/>
      <c r="E288" s="73"/>
    </row>
    <row r="289">
      <c r="A289" s="73"/>
      <c r="B289" s="73"/>
      <c r="C289" s="73"/>
      <c r="D289" s="73"/>
      <c r="E289" s="73"/>
    </row>
    <row r="290">
      <c r="A290" s="73"/>
      <c r="B290" s="73"/>
      <c r="C290" s="73"/>
      <c r="D290" s="73"/>
      <c r="E290" s="73"/>
    </row>
    <row r="291">
      <c r="A291" s="73"/>
      <c r="B291" s="73"/>
      <c r="C291" s="73"/>
      <c r="D291" s="73"/>
      <c r="E291" s="73"/>
    </row>
    <row r="292">
      <c r="A292" s="73"/>
      <c r="B292" s="73"/>
      <c r="C292" s="73"/>
      <c r="D292" s="73"/>
      <c r="E292" s="73"/>
    </row>
    <row r="293">
      <c r="A293" s="73"/>
      <c r="B293" s="73"/>
      <c r="C293" s="73"/>
      <c r="D293" s="73"/>
      <c r="E293" s="73"/>
    </row>
    <row r="294">
      <c r="A294" s="73"/>
      <c r="B294" s="73"/>
      <c r="C294" s="73"/>
      <c r="D294" s="73"/>
      <c r="E294" s="73"/>
    </row>
    <row r="295">
      <c r="A295" s="73"/>
      <c r="B295" s="73"/>
      <c r="C295" s="73"/>
      <c r="D295" s="73"/>
      <c r="E295" s="73"/>
    </row>
    <row r="296">
      <c r="A296" s="73"/>
      <c r="B296" s="73"/>
      <c r="C296" s="73"/>
      <c r="D296" s="73"/>
      <c r="E296" s="73"/>
    </row>
    <row r="297">
      <c r="A297" s="73"/>
      <c r="B297" s="73"/>
      <c r="C297" s="73"/>
      <c r="D297" s="73"/>
      <c r="E297" s="73"/>
    </row>
    <row r="298">
      <c r="A298" s="73"/>
      <c r="B298" s="73"/>
      <c r="C298" s="73"/>
      <c r="D298" s="73"/>
      <c r="E298" s="73"/>
    </row>
    <row r="299">
      <c r="A299" s="73"/>
      <c r="B299" s="73"/>
      <c r="C299" s="73"/>
      <c r="D299" s="73"/>
      <c r="E299" s="73"/>
    </row>
    <row r="300">
      <c r="A300" s="73"/>
      <c r="B300" s="73"/>
      <c r="C300" s="73"/>
      <c r="D300" s="73"/>
      <c r="E300" s="73"/>
    </row>
    <row r="301">
      <c r="A301" s="73"/>
      <c r="B301" s="73"/>
      <c r="C301" s="73"/>
      <c r="D301" s="73"/>
      <c r="E301" s="73"/>
    </row>
    <row r="302">
      <c r="A302" s="73"/>
      <c r="B302" s="73"/>
      <c r="C302" s="73"/>
      <c r="D302" s="73"/>
      <c r="E302" s="73"/>
    </row>
    <row r="303">
      <c r="A303" s="73"/>
      <c r="B303" s="73"/>
      <c r="C303" s="73"/>
      <c r="D303" s="73"/>
      <c r="E303" s="73"/>
    </row>
    <row r="304">
      <c r="A304" s="73"/>
      <c r="B304" s="73"/>
      <c r="C304" s="73"/>
      <c r="D304" s="73"/>
      <c r="E304" s="73"/>
    </row>
    <row r="305">
      <c r="A305" s="73"/>
      <c r="B305" s="73"/>
      <c r="C305" s="73"/>
      <c r="D305" s="73"/>
      <c r="E305" s="73"/>
    </row>
    <row r="306">
      <c r="A306" s="73"/>
      <c r="B306" s="73"/>
      <c r="C306" s="73"/>
      <c r="D306" s="73"/>
      <c r="E306" s="73"/>
    </row>
    <row r="307">
      <c r="A307" s="73"/>
      <c r="B307" s="73"/>
      <c r="C307" s="73"/>
      <c r="D307" s="73"/>
      <c r="E307" s="73"/>
    </row>
    <row r="308">
      <c r="A308" s="73"/>
      <c r="B308" s="73"/>
      <c r="C308" s="73"/>
      <c r="D308" s="73"/>
      <c r="E308" s="73"/>
    </row>
    <row r="309">
      <c r="A309" s="73"/>
      <c r="B309" s="73"/>
      <c r="C309" s="73"/>
      <c r="D309" s="73"/>
      <c r="E309" s="73"/>
    </row>
    <row r="310">
      <c r="A310" s="73"/>
      <c r="B310" s="73"/>
      <c r="C310" s="73"/>
      <c r="D310" s="73"/>
      <c r="E310" s="73"/>
    </row>
    <row r="311">
      <c r="A311" s="73"/>
      <c r="B311" s="73"/>
      <c r="C311" s="73"/>
      <c r="D311" s="73"/>
      <c r="E311" s="73"/>
    </row>
    <row r="312">
      <c r="A312" s="73"/>
      <c r="B312" s="73"/>
      <c r="C312" s="73"/>
      <c r="D312" s="73"/>
      <c r="E312" s="73"/>
    </row>
    <row r="313">
      <c r="A313" s="73"/>
      <c r="B313" s="73"/>
      <c r="C313" s="73"/>
      <c r="D313" s="73"/>
      <c r="E313" s="73"/>
    </row>
    <row r="314">
      <c r="A314" s="73"/>
      <c r="B314" s="73"/>
      <c r="C314" s="73"/>
      <c r="D314" s="73"/>
      <c r="E314" s="73"/>
    </row>
    <row r="315">
      <c r="A315" s="73"/>
      <c r="B315" s="73"/>
      <c r="C315" s="73"/>
      <c r="D315" s="73"/>
      <c r="E315" s="73"/>
    </row>
    <row r="316">
      <c r="A316" s="73"/>
      <c r="B316" s="73"/>
      <c r="C316" s="73"/>
      <c r="D316" s="73"/>
      <c r="E316" s="73"/>
    </row>
    <row r="317">
      <c r="A317" s="73"/>
      <c r="B317" s="73"/>
      <c r="C317" s="73"/>
      <c r="D317" s="73"/>
      <c r="E317" s="73"/>
    </row>
    <row r="318">
      <c r="A318" s="73"/>
      <c r="B318" s="73"/>
      <c r="C318" s="73"/>
      <c r="D318" s="73"/>
      <c r="E318" s="73"/>
    </row>
    <row r="319">
      <c r="A319" s="73"/>
      <c r="B319" s="73"/>
      <c r="C319" s="73"/>
      <c r="D319" s="73"/>
      <c r="E319" s="73"/>
    </row>
    <row r="320">
      <c r="A320" s="73"/>
      <c r="B320" s="73"/>
      <c r="C320" s="73"/>
      <c r="D320" s="73"/>
      <c r="E320" s="73"/>
    </row>
    <row r="321">
      <c r="A321" s="73"/>
      <c r="B321" s="73"/>
      <c r="C321" s="73"/>
      <c r="D321" s="73"/>
      <c r="E321" s="73"/>
    </row>
    <row r="322">
      <c r="A322" s="73"/>
      <c r="B322" s="73"/>
      <c r="C322" s="73"/>
      <c r="D322" s="73"/>
      <c r="E322" s="73"/>
    </row>
    <row r="323">
      <c r="A323" s="73"/>
      <c r="B323" s="73"/>
      <c r="C323" s="73"/>
      <c r="D323" s="73"/>
      <c r="E323" s="73"/>
    </row>
    <row r="324">
      <c r="A324" s="73"/>
      <c r="B324" s="73"/>
      <c r="C324" s="73"/>
      <c r="D324" s="73"/>
      <c r="E324" s="73"/>
    </row>
    <row r="325">
      <c r="A325" s="73"/>
      <c r="B325" s="73"/>
      <c r="C325" s="73"/>
      <c r="D325" s="73"/>
      <c r="E325" s="73"/>
    </row>
    <row r="326">
      <c r="A326" s="73"/>
      <c r="B326" s="73"/>
      <c r="C326" s="73"/>
      <c r="D326" s="73"/>
      <c r="E326" s="73"/>
    </row>
    <row r="327">
      <c r="A327" s="73"/>
      <c r="B327" s="73"/>
      <c r="C327" s="73"/>
      <c r="D327" s="73"/>
      <c r="E327" s="73"/>
    </row>
    <row r="328">
      <c r="A328" s="73"/>
      <c r="B328" s="73"/>
      <c r="C328" s="73"/>
      <c r="D328" s="73"/>
      <c r="E328" s="73"/>
    </row>
    <row r="329">
      <c r="A329" s="73"/>
      <c r="B329" s="73"/>
      <c r="C329" s="73"/>
      <c r="D329" s="73"/>
      <c r="E329" s="73"/>
    </row>
    <row r="330">
      <c r="A330" s="73"/>
      <c r="B330" s="73"/>
      <c r="C330" s="73"/>
      <c r="D330" s="73"/>
      <c r="E330" s="73"/>
    </row>
    <row r="331">
      <c r="A331" s="73"/>
      <c r="B331" s="73"/>
      <c r="C331" s="73"/>
      <c r="D331" s="73"/>
      <c r="E331" s="73"/>
    </row>
    <row r="332">
      <c r="A332" s="73"/>
      <c r="B332" s="73"/>
      <c r="C332" s="73"/>
      <c r="D332" s="73"/>
      <c r="E332" s="73"/>
    </row>
    <row r="333">
      <c r="A333" s="73"/>
      <c r="B333" s="73"/>
      <c r="C333" s="73"/>
      <c r="D333" s="73"/>
      <c r="E333" s="73"/>
    </row>
    <row r="334">
      <c r="A334" s="73"/>
      <c r="B334" s="73"/>
      <c r="C334" s="73"/>
      <c r="D334" s="73"/>
      <c r="E334" s="73"/>
    </row>
    <row r="335">
      <c r="A335" s="73"/>
      <c r="B335" s="73"/>
      <c r="C335" s="73"/>
      <c r="D335" s="73"/>
      <c r="E335" s="73"/>
    </row>
    <row r="336">
      <c r="A336" s="73"/>
      <c r="B336" s="73"/>
      <c r="C336" s="73"/>
      <c r="D336" s="73"/>
      <c r="E336" s="73"/>
    </row>
    <row r="337">
      <c r="A337" s="73"/>
      <c r="B337" s="73"/>
      <c r="C337" s="73"/>
      <c r="D337" s="73"/>
      <c r="E337" s="73"/>
    </row>
    <row r="338">
      <c r="A338" s="73"/>
      <c r="B338" s="73"/>
      <c r="C338" s="73"/>
      <c r="D338" s="73"/>
      <c r="E338" s="73"/>
    </row>
    <row r="339">
      <c r="A339" s="73"/>
      <c r="B339" s="73"/>
      <c r="C339" s="73"/>
      <c r="D339" s="73"/>
      <c r="E339" s="73"/>
    </row>
    <row r="340">
      <c r="A340" s="73"/>
      <c r="B340" s="73"/>
      <c r="C340" s="73"/>
      <c r="D340" s="73"/>
      <c r="E340" s="73"/>
    </row>
    <row r="341">
      <c r="A341" s="73"/>
      <c r="B341" s="73"/>
      <c r="C341" s="73"/>
      <c r="D341" s="73"/>
      <c r="E341" s="73"/>
    </row>
    <row r="342">
      <c r="A342" s="73"/>
      <c r="B342" s="73"/>
      <c r="C342" s="73"/>
      <c r="D342" s="73"/>
      <c r="E342" s="73"/>
    </row>
    <row r="343">
      <c r="A343" s="73"/>
      <c r="B343" s="73"/>
      <c r="C343" s="73"/>
      <c r="D343" s="73"/>
      <c r="E343" s="73"/>
    </row>
    <row r="344">
      <c r="A344" s="73"/>
      <c r="B344" s="73"/>
      <c r="C344" s="73"/>
      <c r="D344" s="73"/>
      <c r="E344" s="73"/>
    </row>
    <row r="345">
      <c r="A345" s="73"/>
      <c r="B345" s="73"/>
      <c r="C345" s="73"/>
      <c r="D345" s="73"/>
      <c r="E345" s="73"/>
    </row>
    <row r="346">
      <c r="A346" s="73"/>
      <c r="B346" s="73"/>
      <c r="C346" s="73"/>
      <c r="D346" s="73"/>
      <c r="E346" s="73"/>
    </row>
    <row r="347">
      <c r="A347" s="73"/>
      <c r="B347" s="73"/>
      <c r="C347" s="73"/>
      <c r="D347" s="73"/>
      <c r="E347" s="73"/>
    </row>
    <row r="348">
      <c r="A348" s="73"/>
      <c r="B348" s="73"/>
      <c r="C348" s="73"/>
      <c r="D348" s="73"/>
      <c r="E348" s="73"/>
    </row>
    <row r="349">
      <c r="A349" s="73"/>
      <c r="B349" s="73"/>
      <c r="C349" s="73"/>
      <c r="D349" s="73"/>
      <c r="E349" s="73"/>
    </row>
    <row r="350">
      <c r="A350" s="73"/>
      <c r="B350" s="73"/>
      <c r="C350" s="73"/>
      <c r="D350" s="73"/>
      <c r="E350" s="73"/>
    </row>
    <row r="351">
      <c r="A351" s="73"/>
      <c r="B351" s="73"/>
      <c r="C351" s="73"/>
      <c r="D351" s="73"/>
      <c r="E351" s="73"/>
    </row>
    <row r="352">
      <c r="A352" s="73"/>
      <c r="B352" s="73"/>
      <c r="C352" s="73"/>
      <c r="D352" s="73"/>
      <c r="E352" s="73"/>
    </row>
    <row r="353">
      <c r="A353" s="73"/>
      <c r="B353" s="73"/>
      <c r="C353" s="73"/>
      <c r="D353" s="73"/>
      <c r="E353" s="73"/>
    </row>
    <row r="354">
      <c r="A354" s="73"/>
      <c r="B354" s="73"/>
      <c r="C354" s="73"/>
      <c r="D354" s="73"/>
      <c r="E354" s="73"/>
    </row>
    <row r="355">
      <c r="A355" s="73"/>
      <c r="B355" s="73"/>
      <c r="C355" s="73"/>
      <c r="D355" s="73"/>
      <c r="E355" s="73"/>
    </row>
    <row r="356">
      <c r="A356" s="73"/>
      <c r="B356" s="73"/>
      <c r="C356" s="73"/>
      <c r="D356" s="73"/>
      <c r="E356" s="73"/>
    </row>
    <row r="357">
      <c r="A357" s="73"/>
      <c r="B357" s="73"/>
      <c r="C357" s="73"/>
      <c r="D357" s="73"/>
      <c r="E357" s="73"/>
    </row>
    <row r="358">
      <c r="A358" s="73"/>
      <c r="B358" s="73"/>
      <c r="C358" s="73"/>
      <c r="D358" s="73"/>
      <c r="E358" s="73"/>
    </row>
    <row r="359">
      <c r="A359" s="73"/>
      <c r="B359" s="73"/>
      <c r="C359" s="73"/>
      <c r="D359" s="73"/>
      <c r="E359" s="73"/>
    </row>
    <row r="360">
      <c r="A360" s="73"/>
      <c r="B360" s="73"/>
      <c r="C360" s="73"/>
      <c r="D360" s="73"/>
      <c r="E360" s="73"/>
    </row>
    <row r="361">
      <c r="A361" s="73"/>
      <c r="B361" s="73"/>
      <c r="C361" s="73"/>
      <c r="D361" s="73"/>
      <c r="E361" s="73"/>
    </row>
    <row r="362">
      <c r="A362" s="73"/>
      <c r="B362" s="73"/>
      <c r="C362" s="73"/>
      <c r="D362" s="73"/>
      <c r="E362" s="73"/>
    </row>
    <row r="363">
      <c r="A363" s="73"/>
      <c r="B363" s="73"/>
      <c r="C363" s="73"/>
      <c r="D363" s="73"/>
      <c r="E363" s="73"/>
    </row>
    <row r="364">
      <c r="A364" s="73"/>
      <c r="B364" s="73"/>
      <c r="C364" s="73"/>
      <c r="D364" s="73"/>
      <c r="E364" s="73"/>
    </row>
    <row r="365">
      <c r="A365" s="73"/>
      <c r="B365" s="73"/>
      <c r="C365" s="73"/>
      <c r="D365" s="73"/>
      <c r="E365" s="73"/>
    </row>
    <row r="366">
      <c r="A366" s="73"/>
      <c r="B366" s="73"/>
      <c r="C366" s="73"/>
      <c r="D366" s="73"/>
      <c r="E366" s="73"/>
    </row>
    <row r="367">
      <c r="A367" s="73"/>
      <c r="B367" s="73"/>
      <c r="C367" s="73"/>
      <c r="D367" s="73"/>
      <c r="E367" s="73"/>
    </row>
    <row r="368">
      <c r="A368" s="73"/>
      <c r="B368" s="73"/>
      <c r="C368" s="73"/>
      <c r="D368" s="73"/>
      <c r="E368" s="73"/>
    </row>
    <row r="369">
      <c r="A369" s="73"/>
      <c r="B369" s="73"/>
      <c r="C369" s="73"/>
      <c r="D369" s="73"/>
      <c r="E369" s="73"/>
    </row>
    <row r="370">
      <c r="A370" s="73"/>
      <c r="B370" s="73"/>
      <c r="C370" s="73"/>
      <c r="D370" s="73"/>
      <c r="E370" s="73"/>
    </row>
    <row r="371">
      <c r="A371" s="73"/>
      <c r="B371" s="73"/>
      <c r="C371" s="73"/>
      <c r="D371" s="73"/>
      <c r="E371" s="73"/>
    </row>
    <row r="372">
      <c r="A372" s="73"/>
      <c r="B372" s="73"/>
      <c r="C372" s="73"/>
      <c r="D372" s="73"/>
      <c r="E372" s="73"/>
    </row>
    <row r="373">
      <c r="A373" s="73"/>
      <c r="B373" s="73"/>
      <c r="C373" s="73"/>
      <c r="D373" s="73"/>
      <c r="E373" s="73"/>
    </row>
    <row r="374">
      <c r="A374" s="73"/>
      <c r="B374" s="73"/>
      <c r="C374" s="73"/>
      <c r="D374" s="73"/>
      <c r="E374" s="73"/>
    </row>
    <row r="375">
      <c r="A375" s="73"/>
      <c r="B375" s="73"/>
      <c r="C375" s="73"/>
      <c r="D375" s="73"/>
      <c r="E375" s="73"/>
    </row>
    <row r="376">
      <c r="A376" s="73"/>
      <c r="B376" s="73"/>
      <c r="C376" s="73"/>
      <c r="D376" s="73"/>
      <c r="E376" s="73"/>
    </row>
    <row r="377">
      <c r="A377" s="73"/>
      <c r="B377" s="73"/>
      <c r="C377" s="73"/>
      <c r="D377" s="73"/>
      <c r="E377" s="73"/>
    </row>
    <row r="378">
      <c r="A378" s="73"/>
      <c r="B378" s="73"/>
      <c r="C378" s="73"/>
      <c r="D378" s="73"/>
      <c r="E378" s="73"/>
    </row>
    <row r="379">
      <c r="A379" s="73"/>
      <c r="B379" s="73"/>
      <c r="C379" s="73"/>
      <c r="D379" s="73"/>
      <c r="E379" s="73"/>
    </row>
    <row r="380">
      <c r="A380" s="73"/>
      <c r="B380" s="73"/>
      <c r="C380" s="73"/>
      <c r="D380" s="73"/>
      <c r="E380" s="73"/>
    </row>
    <row r="381">
      <c r="A381" s="73"/>
      <c r="B381" s="73"/>
      <c r="C381" s="73"/>
      <c r="D381" s="73"/>
      <c r="E381" s="73"/>
    </row>
    <row r="382">
      <c r="A382" s="73"/>
      <c r="B382" s="73"/>
      <c r="C382" s="73"/>
      <c r="D382" s="73"/>
      <c r="E382" s="73"/>
    </row>
    <row r="383">
      <c r="A383" s="73"/>
      <c r="B383" s="73"/>
      <c r="C383" s="73"/>
      <c r="D383" s="73"/>
      <c r="E383" s="73"/>
    </row>
    <row r="384">
      <c r="A384" s="73"/>
      <c r="B384" s="73"/>
      <c r="C384" s="73"/>
      <c r="D384" s="73"/>
      <c r="E384" s="73"/>
    </row>
    <row r="385">
      <c r="A385" s="73"/>
      <c r="B385" s="73"/>
      <c r="C385" s="73"/>
      <c r="D385" s="73"/>
      <c r="E385" s="73"/>
    </row>
    <row r="386">
      <c r="A386" s="73"/>
      <c r="B386" s="73"/>
      <c r="C386" s="73"/>
      <c r="D386" s="73"/>
      <c r="E386" s="73"/>
    </row>
    <row r="387">
      <c r="A387" s="73"/>
      <c r="B387" s="73"/>
      <c r="C387" s="73"/>
      <c r="D387" s="73"/>
      <c r="E387" s="73"/>
    </row>
    <row r="388">
      <c r="A388" s="73"/>
      <c r="B388" s="73"/>
      <c r="C388" s="73"/>
      <c r="D388" s="73"/>
      <c r="E388" s="73"/>
    </row>
    <row r="389">
      <c r="A389" s="73"/>
      <c r="B389" s="73"/>
      <c r="C389" s="73"/>
      <c r="D389" s="73"/>
      <c r="E389" s="73"/>
    </row>
    <row r="390">
      <c r="A390" s="73"/>
      <c r="B390" s="73"/>
      <c r="C390" s="73"/>
      <c r="D390" s="73"/>
      <c r="E390" s="73"/>
    </row>
    <row r="391">
      <c r="A391" s="73"/>
      <c r="B391" s="73"/>
      <c r="C391" s="73"/>
      <c r="D391" s="73"/>
      <c r="E391" s="73"/>
    </row>
    <row r="392">
      <c r="A392" s="73"/>
      <c r="B392" s="73"/>
      <c r="C392" s="73"/>
      <c r="D392" s="73"/>
      <c r="E392" s="73"/>
    </row>
    <row r="393">
      <c r="A393" s="73"/>
      <c r="B393" s="73"/>
      <c r="C393" s="73"/>
      <c r="D393" s="73"/>
      <c r="E393" s="73"/>
    </row>
    <row r="394">
      <c r="A394" s="73"/>
      <c r="B394" s="73"/>
      <c r="C394" s="73"/>
      <c r="D394" s="73"/>
      <c r="E394" s="73"/>
    </row>
    <row r="395">
      <c r="A395" s="73"/>
      <c r="B395" s="73"/>
      <c r="C395" s="73"/>
      <c r="D395" s="73"/>
      <c r="E395" s="73"/>
    </row>
    <row r="396">
      <c r="A396" s="73"/>
      <c r="B396" s="73"/>
      <c r="C396" s="73"/>
      <c r="D396" s="73"/>
      <c r="E396" s="73"/>
    </row>
    <row r="397">
      <c r="A397" s="73"/>
      <c r="B397" s="73"/>
      <c r="C397" s="73"/>
      <c r="D397" s="73"/>
      <c r="E397" s="73"/>
    </row>
    <row r="398">
      <c r="A398" s="73"/>
      <c r="B398" s="73"/>
      <c r="C398" s="73"/>
      <c r="D398" s="73"/>
      <c r="E398" s="73"/>
    </row>
    <row r="399">
      <c r="A399" s="73"/>
      <c r="B399" s="73"/>
      <c r="C399" s="73"/>
      <c r="D399" s="73"/>
      <c r="E399" s="73"/>
    </row>
    <row r="400">
      <c r="A400" s="73"/>
      <c r="B400" s="73"/>
      <c r="C400" s="73"/>
      <c r="D400" s="73"/>
      <c r="E400" s="73"/>
    </row>
    <row r="401">
      <c r="A401" s="73"/>
      <c r="B401" s="73"/>
      <c r="C401" s="73"/>
      <c r="D401" s="73"/>
      <c r="E401" s="73"/>
    </row>
    <row r="402">
      <c r="A402" s="73"/>
      <c r="B402" s="73"/>
      <c r="C402" s="73"/>
      <c r="D402" s="73"/>
      <c r="E402" s="73"/>
    </row>
    <row r="403">
      <c r="A403" s="73"/>
      <c r="B403" s="73"/>
      <c r="C403" s="73"/>
      <c r="D403" s="73"/>
      <c r="E403" s="73"/>
    </row>
    <row r="404">
      <c r="A404" s="73"/>
      <c r="B404" s="73"/>
      <c r="C404" s="73"/>
      <c r="D404" s="73"/>
      <c r="E404" s="73"/>
    </row>
    <row r="405">
      <c r="A405" s="73"/>
      <c r="B405" s="73"/>
      <c r="C405" s="73"/>
      <c r="D405" s="73"/>
      <c r="E405" s="73"/>
    </row>
    <row r="406">
      <c r="A406" s="73"/>
      <c r="B406" s="73"/>
      <c r="C406" s="73"/>
      <c r="D406" s="73"/>
      <c r="E406" s="73"/>
    </row>
    <row r="407">
      <c r="A407" s="73"/>
      <c r="B407" s="73"/>
      <c r="C407" s="73"/>
      <c r="D407" s="73"/>
      <c r="E407" s="73"/>
    </row>
    <row r="408">
      <c r="A408" s="73"/>
      <c r="B408" s="73"/>
      <c r="C408" s="73"/>
      <c r="D408" s="73"/>
      <c r="E408" s="73"/>
    </row>
    <row r="409">
      <c r="A409" s="73"/>
      <c r="B409" s="73"/>
      <c r="C409" s="73"/>
      <c r="D409" s="73"/>
      <c r="E409" s="73"/>
    </row>
    <row r="410">
      <c r="A410" s="73"/>
      <c r="B410" s="73"/>
      <c r="C410" s="73"/>
      <c r="D410" s="73"/>
      <c r="E410" s="73"/>
    </row>
    <row r="411">
      <c r="A411" s="73"/>
      <c r="B411" s="73"/>
      <c r="C411" s="73"/>
      <c r="D411" s="73"/>
      <c r="E411" s="73"/>
    </row>
    <row r="412">
      <c r="A412" s="73"/>
      <c r="B412" s="73"/>
      <c r="C412" s="73"/>
      <c r="D412" s="73"/>
      <c r="E412" s="73"/>
    </row>
    <row r="413">
      <c r="A413" s="73"/>
      <c r="B413" s="73"/>
      <c r="C413" s="73"/>
      <c r="D413" s="73"/>
      <c r="E413" s="73"/>
    </row>
    <row r="414">
      <c r="A414" s="73"/>
      <c r="B414" s="73"/>
      <c r="C414" s="73"/>
      <c r="D414" s="73"/>
      <c r="E414" s="73"/>
    </row>
    <row r="415">
      <c r="A415" s="73"/>
      <c r="B415" s="73"/>
      <c r="C415" s="73"/>
      <c r="D415" s="73"/>
      <c r="E415" s="73"/>
    </row>
    <row r="416">
      <c r="A416" s="73"/>
      <c r="B416" s="73"/>
      <c r="C416" s="73"/>
      <c r="D416" s="73"/>
      <c r="E416" s="73"/>
    </row>
    <row r="417">
      <c r="A417" s="73"/>
      <c r="B417" s="73"/>
      <c r="C417" s="73"/>
      <c r="D417" s="73"/>
      <c r="E417" s="73"/>
    </row>
    <row r="418">
      <c r="A418" s="73"/>
      <c r="B418" s="73"/>
      <c r="C418" s="73"/>
      <c r="D418" s="73"/>
      <c r="E418" s="73"/>
    </row>
    <row r="419">
      <c r="A419" s="73"/>
      <c r="B419" s="73"/>
      <c r="C419" s="73"/>
      <c r="D419" s="73"/>
      <c r="E419" s="73"/>
    </row>
    <row r="420">
      <c r="A420" s="73"/>
      <c r="B420" s="73"/>
      <c r="C420" s="73"/>
      <c r="D420" s="73"/>
      <c r="E420" s="73"/>
    </row>
    <row r="421">
      <c r="A421" s="73"/>
      <c r="B421" s="73"/>
      <c r="C421" s="73"/>
      <c r="D421" s="73"/>
      <c r="E421" s="73"/>
    </row>
    <row r="422">
      <c r="A422" s="73"/>
      <c r="B422" s="73"/>
      <c r="C422" s="73"/>
      <c r="D422" s="73"/>
      <c r="E422" s="73"/>
    </row>
    <row r="423">
      <c r="A423" s="73"/>
      <c r="B423" s="73"/>
      <c r="C423" s="73"/>
      <c r="D423" s="73"/>
      <c r="E423" s="73"/>
    </row>
    <row r="424">
      <c r="A424" s="73"/>
      <c r="B424" s="73"/>
      <c r="C424" s="73"/>
      <c r="D424" s="73"/>
      <c r="E424" s="73"/>
    </row>
    <row r="425">
      <c r="A425" s="73"/>
      <c r="B425" s="73"/>
      <c r="C425" s="73"/>
      <c r="D425" s="73"/>
      <c r="E425" s="73"/>
    </row>
    <row r="426">
      <c r="A426" s="73"/>
      <c r="B426" s="73"/>
      <c r="C426" s="73"/>
      <c r="D426" s="73"/>
      <c r="E426" s="73"/>
    </row>
    <row r="427">
      <c r="A427" s="73"/>
      <c r="B427" s="73"/>
      <c r="C427" s="73"/>
      <c r="D427" s="73"/>
      <c r="E427" s="73"/>
    </row>
    <row r="428">
      <c r="A428" s="73"/>
      <c r="B428" s="73"/>
      <c r="C428" s="73"/>
      <c r="D428" s="73"/>
      <c r="E428" s="73"/>
    </row>
    <row r="429">
      <c r="A429" s="73"/>
      <c r="B429" s="73"/>
      <c r="C429" s="73"/>
      <c r="D429" s="73"/>
      <c r="E429" s="73"/>
    </row>
    <row r="430">
      <c r="A430" s="73"/>
      <c r="B430" s="73"/>
      <c r="C430" s="73"/>
      <c r="D430" s="73"/>
      <c r="E430" s="73"/>
    </row>
    <row r="431">
      <c r="A431" s="73"/>
      <c r="B431" s="73"/>
      <c r="C431" s="73"/>
      <c r="D431" s="73"/>
      <c r="E431" s="73"/>
    </row>
    <row r="432">
      <c r="A432" s="73"/>
      <c r="B432" s="73"/>
      <c r="C432" s="73"/>
      <c r="D432" s="73"/>
      <c r="E432" s="73"/>
    </row>
    <row r="433">
      <c r="A433" s="73"/>
      <c r="B433" s="73"/>
      <c r="C433" s="73"/>
      <c r="D433" s="73"/>
      <c r="E433" s="73"/>
    </row>
    <row r="434">
      <c r="A434" s="73"/>
      <c r="B434" s="73"/>
      <c r="C434" s="73"/>
      <c r="D434" s="73"/>
      <c r="E434" s="73"/>
    </row>
    <row r="435">
      <c r="A435" s="73"/>
      <c r="B435" s="73"/>
      <c r="C435" s="73"/>
      <c r="D435" s="73"/>
      <c r="E435" s="73"/>
    </row>
    <row r="436">
      <c r="A436" s="73"/>
      <c r="B436" s="73"/>
      <c r="C436" s="73"/>
      <c r="D436" s="73"/>
      <c r="E436" s="73"/>
    </row>
    <row r="437">
      <c r="A437" s="73"/>
      <c r="B437" s="73"/>
      <c r="C437" s="73"/>
      <c r="D437" s="73"/>
      <c r="E437" s="73"/>
    </row>
    <row r="438">
      <c r="A438" s="73"/>
      <c r="B438" s="73"/>
      <c r="C438" s="73"/>
      <c r="D438" s="73"/>
      <c r="E438" s="73"/>
    </row>
    <row r="439">
      <c r="A439" s="73"/>
      <c r="B439" s="73"/>
      <c r="C439" s="73"/>
      <c r="D439" s="73"/>
      <c r="E439" s="73"/>
    </row>
    <row r="440">
      <c r="A440" s="73"/>
      <c r="B440" s="73"/>
      <c r="C440" s="73"/>
      <c r="D440" s="73"/>
      <c r="E440" s="73"/>
    </row>
    <row r="441">
      <c r="A441" s="73"/>
      <c r="B441" s="73"/>
      <c r="C441" s="73"/>
      <c r="D441" s="73"/>
      <c r="E441" s="73"/>
    </row>
    <row r="442">
      <c r="A442" s="73"/>
      <c r="B442" s="73"/>
      <c r="C442" s="73"/>
      <c r="D442" s="73"/>
      <c r="E442" s="73"/>
    </row>
    <row r="443">
      <c r="A443" s="73"/>
      <c r="B443" s="73"/>
      <c r="C443" s="73"/>
      <c r="D443" s="73"/>
      <c r="E443" s="73"/>
    </row>
    <row r="444">
      <c r="A444" s="73"/>
      <c r="B444" s="73"/>
      <c r="C444" s="73"/>
      <c r="D444" s="73"/>
      <c r="E444" s="73"/>
    </row>
    <row r="445">
      <c r="A445" s="73"/>
      <c r="B445" s="73"/>
      <c r="C445" s="73"/>
      <c r="D445" s="73"/>
      <c r="E445" s="73"/>
    </row>
    <row r="446">
      <c r="A446" s="73"/>
      <c r="B446" s="73"/>
      <c r="C446" s="73"/>
      <c r="D446" s="73"/>
      <c r="E446" s="73"/>
    </row>
    <row r="447">
      <c r="A447" s="73"/>
      <c r="B447" s="73"/>
      <c r="C447" s="73"/>
      <c r="D447" s="73"/>
      <c r="E447" s="73"/>
    </row>
    <row r="448">
      <c r="A448" s="73"/>
      <c r="B448" s="73"/>
      <c r="C448" s="73"/>
      <c r="D448" s="73"/>
      <c r="E448" s="73"/>
    </row>
    <row r="449">
      <c r="A449" s="73"/>
      <c r="B449" s="73"/>
      <c r="C449" s="73"/>
      <c r="D449" s="73"/>
      <c r="E449" s="73"/>
    </row>
    <row r="450">
      <c r="A450" s="73"/>
      <c r="B450" s="73"/>
      <c r="C450" s="73"/>
      <c r="D450" s="73"/>
      <c r="E450" s="73"/>
    </row>
    <row r="451">
      <c r="A451" s="73"/>
      <c r="B451" s="73"/>
      <c r="C451" s="73"/>
      <c r="D451" s="73"/>
      <c r="E451" s="73"/>
    </row>
    <row r="452">
      <c r="A452" s="73"/>
      <c r="B452" s="73"/>
      <c r="C452" s="73"/>
      <c r="D452" s="73"/>
      <c r="E452" s="73"/>
    </row>
    <row r="453">
      <c r="A453" s="73"/>
      <c r="B453" s="73"/>
      <c r="C453" s="73"/>
      <c r="D453" s="73"/>
      <c r="E453" s="73"/>
    </row>
    <row r="454">
      <c r="A454" s="73"/>
      <c r="B454" s="73"/>
      <c r="C454" s="73"/>
      <c r="D454" s="73"/>
      <c r="E454" s="73"/>
    </row>
    <row r="455">
      <c r="A455" s="73"/>
      <c r="B455" s="73"/>
      <c r="C455" s="73"/>
      <c r="D455" s="73"/>
      <c r="E455" s="73"/>
    </row>
    <row r="456">
      <c r="A456" s="73"/>
      <c r="B456" s="73"/>
      <c r="C456" s="73"/>
      <c r="D456" s="73"/>
      <c r="E456" s="73"/>
    </row>
    <row r="457">
      <c r="A457" s="73"/>
      <c r="B457" s="73"/>
      <c r="C457" s="73"/>
      <c r="D457" s="73"/>
      <c r="E457" s="73"/>
    </row>
    <row r="458">
      <c r="A458" s="73"/>
      <c r="B458" s="73"/>
      <c r="C458" s="73"/>
      <c r="D458" s="73"/>
      <c r="E458" s="73"/>
    </row>
    <row r="459">
      <c r="A459" s="73"/>
      <c r="B459" s="73"/>
      <c r="C459" s="73"/>
      <c r="D459" s="73"/>
      <c r="E459" s="73"/>
    </row>
    <row r="460">
      <c r="A460" s="73"/>
      <c r="B460" s="73"/>
      <c r="C460" s="73"/>
      <c r="D460" s="73"/>
      <c r="E460" s="73"/>
    </row>
    <row r="461">
      <c r="A461" s="73"/>
      <c r="B461" s="73"/>
      <c r="C461" s="73"/>
      <c r="D461" s="73"/>
      <c r="E461" s="73"/>
    </row>
    <row r="462">
      <c r="A462" s="73"/>
      <c r="B462" s="73"/>
      <c r="C462" s="73"/>
      <c r="D462" s="73"/>
      <c r="E462" s="73"/>
    </row>
    <row r="463">
      <c r="A463" s="73"/>
      <c r="B463" s="73"/>
      <c r="C463" s="73"/>
      <c r="D463" s="73"/>
      <c r="E463" s="73"/>
    </row>
    <row r="464">
      <c r="A464" s="73"/>
      <c r="B464" s="73"/>
      <c r="C464" s="73"/>
      <c r="D464" s="73"/>
      <c r="E464" s="73"/>
    </row>
    <row r="465">
      <c r="A465" s="73"/>
      <c r="B465" s="73"/>
      <c r="C465" s="73"/>
      <c r="D465" s="73"/>
      <c r="E465" s="73"/>
    </row>
    <row r="466">
      <c r="A466" s="73"/>
      <c r="B466" s="73"/>
      <c r="C466" s="73"/>
      <c r="D466" s="73"/>
      <c r="E466" s="73"/>
    </row>
    <row r="467">
      <c r="A467" s="73"/>
      <c r="B467" s="73"/>
      <c r="C467" s="73"/>
      <c r="D467" s="73"/>
      <c r="E467" s="73"/>
    </row>
    <row r="468">
      <c r="A468" s="73"/>
      <c r="B468" s="73"/>
      <c r="C468" s="73"/>
      <c r="D468" s="73"/>
      <c r="E468" s="73"/>
    </row>
    <row r="469">
      <c r="A469" s="73"/>
      <c r="B469" s="73"/>
      <c r="C469" s="73"/>
      <c r="D469" s="73"/>
      <c r="E469" s="73"/>
    </row>
    <row r="470">
      <c r="A470" s="73"/>
      <c r="B470" s="73"/>
      <c r="C470" s="73"/>
      <c r="D470" s="73"/>
      <c r="E470" s="73"/>
    </row>
    <row r="471">
      <c r="A471" s="73"/>
      <c r="B471" s="73"/>
      <c r="C471" s="73"/>
      <c r="D471" s="73"/>
      <c r="E471" s="73"/>
    </row>
    <row r="472">
      <c r="A472" s="73"/>
      <c r="B472" s="73"/>
      <c r="C472" s="73"/>
      <c r="D472" s="73"/>
      <c r="E472" s="73"/>
    </row>
    <row r="473">
      <c r="A473" s="73"/>
      <c r="B473" s="73"/>
      <c r="C473" s="73"/>
      <c r="D473" s="73"/>
      <c r="E473" s="73"/>
    </row>
    <row r="474">
      <c r="A474" s="73"/>
      <c r="B474" s="73"/>
      <c r="C474" s="73"/>
      <c r="D474" s="73"/>
      <c r="E474" s="73"/>
    </row>
    <row r="475">
      <c r="A475" s="73"/>
      <c r="B475" s="73"/>
      <c r="C475" s="73"/>
      <c r="D475" s="73"/>
      <c r="E475" s="73"/>
    </row>
    <row r="476">
      <c r="A476" s="73"/>
      <c r="B476" s="73"/>
      <c r="C476" s="73"/>
      <c r="D476" s="73"/>
      <c r="E476" s="73"/>
    </row>
    <row r="477">
      <c r="A477" s="73"/>
      <c r="B477" s="73"/>
      <c r="C477" s="73"/>
      <c r="D477" s="73"/>
      <c r="E477" s="73"/>
    </row>
    <row r="478">
      <c r="A478" s="73"/>
      <c r="B478" s="73"/>
      <c r="C478" s="73"/>
      <c r="D478" s="73"/>
      <c r="E478" s="73"/>
    </row>
    <row r="479">
      <c r="A479" s="73"/>
      <c r="B479" s="73"/>
      <c r="C479" s="73"/>
      <c r="D479" s="73"/>
      <c r="E479" s="73"/>
    </row>
    <row r="480">
      <c r="A480" s="73"/>
      <c r="B480" s="73"/>
      <c r="C480" s="73"/>
      <c r="D480" s="73"/>
      <c r="E480" s="73"/>
    </row>
    <row r="481">
      <c r="A481" s="73"/>
      <c r="B481" s="73"/>
      <c r="C481" s="73"/>
      <c r="D481" s="73"/>
      <c r="E481" s="73"/>
    </row>
    <row r="482">
      <c r="A482" s="73"/>
      <c r="B482" s="73"/>
      <c r="C482" s="73"/>
      <c r="D482" s="73"/>
      <c r="E482" s="73"/>
    </row>
    <row r="483">
      <c r="A483" s="73"/>
      <c r="B483" s="73"/>
      <c r="C483" s="73"/>
      <c r="D483" s="73"/>
      <c r="E483" s="73"/>
    </row>
    <row r="484">
      <c r="A484" s="73"/>
      <c r="B484" s="73"/>
      <c r="C484" s="73"/>
      <c r="D484" s="73"/>
      <c r="E484" s="73"/>
    </row>
    <row r="485">
      <c r="A485" s="73"/>
      <c r="B485" s="73"/>
      <c r="C485" s="73"/>
      <c r="D485" s="73"/>
      <c r="E485" s="73"/>
    </row>
    <row r="486">
      <c r="A486" s="73"/>
      <c r="B486" s="73"/>
      <c r="C486" s="73"/>
      <c r="D486" s="73"/>
      <c r="E486" s="73"/>
    </row>
    <row r="487">
      <c r="A487" s="73"/>
      <c r="B487" s="73"/>
      <c r="C487" s="73"/>
      <c r="D487" s="73"/>
      <c r="E487" s="73"/>
    </row>
    <row r="488">
      <c r="A488" s="73"/>
      <c r="B488" s="73"/>
      <c r="C488" s="73"/>
      <c r="D488" s="73"/>
      <c r="E488" s="73"/>
    </row>
    <row r="489">
      <c r="A489" s="73"/>
      <c r="B489" s="73"/>
      <c r="C489" s="73"/>
      <c r="D489" s="73"/>
      <c r="E489" s="73"/>
    </row>
    <row r="490">
      <c r="A490" s="73"/>
      <c r="B490" s="73"/>
      <c r="C490" s="73"/>
      <c r="D490" s="73"/>
      <c r="E490" s="73"/>
    </row>
    <row r="491">
      <c r="A491" s="73"/>
      <c r="B491" s="73"/>
      <c r="C491" s="73"/>
      <c r="D491" s="73"/>
      <c r="E491" s="73"/>
    </row>
    <row r="492">
      <c r="A492" s="73"/>
      <c r="B492" s="73"/>
      <c r="C492" s="73"/>
      <c r="D492" s="73"/>
      <c r="E492" s="73"/>
    </row>
    <row r="493">
      <c r="A493" s="73"/>
      <c r="B493" s="73"/>
      <c r="C493" s="73"/>
      <c r="D493" s="73"/>
      <c r="E493" s="73"/>
    </row>
    <row r="494">
      <c r="A494" s="73"/>
      <c r="B494" s="73"/>
      <c r="C494" s="73"/>
      <c r="D494" s="73"/>
      <c r="E494" s="73"/>
    </row>
    <row r="495">
      <c r="A495" s="73"/>
      <c r="B495" s="73"/>
      <c r="C495" s="73"/>
      <c r="D495" s="73"/>
      <c r="E495" s="73"/>
    </row>
    <row r="496">
      <c r="A496" s="73"/>
      <c r="B496" s="73"/>
      <c r="C496" s="73"/>
      <c r="D496" s="73"/>
      <c r="E496" s="73"/>
    </row>
    <row r="497">
      <c r="A497" s="73"/>
      <c r="B497" s="73"/>
      <c r="C497" s="73"/>
      <c r="D497" s="73"/>
      <c r="E497" s="73"/>
    </row>
    <row r="498">
      <c r="A498" s="73"/>
      <c r="B498" s="73"/>
      <c r="C498" s="73"/>
      <c r="D498" s="73"/>
      <c r="E498" s="73"/>
    </row>
    <row r="499">
      <c r="A499" s="73"/>
      <c r="B499" s="73"/>
      <c r="C499" s="73"/>
      <c r="D499" s="73"/>
      <c r="E499" s="73"/>
    </row>
    <row r="500">
      <c r="A500" s="73"/>
      <c r="B500" s="73"/>
      <c r="C500" s="73"/>
      <c r="D500" s="73"/>
      <c r="E500" s="73"/>
    </row>
    <row r="501">
      <c r="A501" s="73"/>
      <c r="B501" s="73"/>
      <c r="C501" s="73"/>
      <c r="D501" s="73"/>
      <c r="E501" s="73"/>
    </row>
    <row r="502">
      <c r="A502" s="73"/>
      <c r="B502" s="73"/>
      <c r="C502" s="73"/>
      <c r="D502" s="73"/>
      <c r="E502" s="73"/>
    </row>
    <row r="503">
      <c r="A503" s="73"/>
      <c r="B503" s="73"/>
      <c r="C503" s="73"/>
      <c r="D503" s="73"/>
      <c r="E503" s="73"/>
    </row>
    <row r="504">
      <c r="A504" s="73"/>
      <c r="B504" s="73"/>
      <c r="C504" s="73"/>
      <c r="D504" s="73"/>
      <c r="E504" s="73"/>
    </row>
    <row r="505">
      <c r="A505" s="73"/>
      <c r="B505" s="73"/>
      <c r="C505" s="73"/>
      <c r="D505" s="73"/>
      <c r="E505" s="73"/>
    </row>
    <row r="506">
      <c r="A506" s="73"/>
      <c r="B506" s="73"/>
      <c r="C506" s="73"/>
      <c r="D506" s="73"/>
      <c r="E506" s="73"/>
    </row>
    <row r="507">
      <c r="A507" s="73"/>
      <c r="B507" s="73"/>
      <c r="C507" s="73"/>
      <c r="D507" s="73"/>
      <c r="E507" s="73"/>
    </row>
    <row r="508">
      <c r="A508" s="73"/>
      <c r="B508" s="73"/>
      <c r="C508" s="73"/>
      <c r="D508" s="73"/>
      <c r="E508" s="73"/>
    </row>
    <row r="509">
      <c r="A509" s="73"/>
      <c r="B509" s="73"/>
      <c r="C509" s="73"/>
      <c r="D509" s="73"/>
      <c r="E509" s="73"/>
    </row>
    <row r="510">
      <c r="A510" s="73"/>
      <c r="B510" s="73"/>
      <c r="C510" s="73"/>
      <c r="D510" s="73"/>
      <c r="E510" s="73"/>
    </row>
    <row r="511">
      <c r="A511" s="73"/>
      <c r="B511" s="73"/>
      <c r="C511" s="73"/>
      <c r="D511" s="73"/>
      <c r="E511" s="73"/>
    </row>
    <row r="512">
      <c r="A512" s="73"/>
      <c r="B512" s="73"/>
      <c r="C512" s="73"/>
      <c r="D512" s="73"/>
      <c r="E512" s="73"/>
    </row>
    <row r="513">
      <c r="A513" s="73"/>
      <c r="B513" s="73"/>
      <c r="C513" s="73"/>
      <c r="D513" s="73"/>
      <c r="E513" s="73"/>
    </row>
    <row r="514">
      <c r="A514" s="73"/>
      <c r="B514" s="73"/>
      <c r="C514" s="73"/>
      <c r="D514" s="73"/>
      <c r="E514" s="73"/>
    </row>
    <row r="515">
      <c r="A515" s="73"/>
      <c r="B515" s="73"/>
      <c r="C515" s="73"/>
      <c r="D515" s="73"/>
      <c r="E515" s="73"/>
    </row>
    <row r="516">
      <c r="A516" s="73"/>
      <c r="B516" s="73"/>
      <c r="C516" s="73"/>
      <c r="D516" s="73"/>
      <c r="E516" s="73"/>
    </row>
    <row r="517">
      <c r="A517" s="73"/>
      <c r="B517" s="73"/>
      <c r="C517" s="73"/>
      <c r="D517" s="73"/>
      <c r="E517" s="73"/>
    </row>
    <row r="518">
      <c r="A518" s="73"/>
      <c r="B518" s="73"/>
      <c r="C518" s="73"/>
      <c r="D518" s="73"/>
      <c r="E518" s="73"/>
    </row>
    <row r="519">
      <c r="A519" s="73"/>
      <c r="B519" s="73"/>
      <c r="C519" s="73"/>
      <c r="D519" s="73"/>
      <c r="E519" s="73"/>
    </row>
    <row r="520">
      <c r="A520" s="73"/>
      <c r="B520" s="73"/>
      <c r="C520" s="73"/>
      <c r="D520" s="73"/>
      <c r="E520" s="73"/>
    </row>
    <row r="521">
      <c r="A521" s="73"/>
      <c r="B521" s="73"/>
      <c r="C521" s="73"/>
      <c r="D521" s="73"/>
      <c r="E521" s="73"/>
    </row>
    <row r="522">
      <c r="A522" s="73"/>
      <c r="B522" s="73"/>
      <c r="C522" s="73"/>
      <c r="D522" s="73"/>
      <c r="E522" s="73"/>
    </row>
    <row r="523">
      <c r="A523" s="73"/>
      <c r="B523" s="73"/>
      <c r="C523" s="73"/>
      <c r="D523" s="73"/>
      <c r="E523" s="73"/>
    </row>
    <row r="524">
      <c r="A524" s="73"/>
      <c r="B524" s="73"/>
      <c r="C524" s="73"/>
      <c r="D524" s="73"/>
      <c r="E524" s="73"/>
    </row>
    <row r="525">
      <c r="A525" s="73"/>
      <c r="B525" s="73"/>
      <c r="C525" s="73"/>
      <c r="D525" s="73"/>
      <c r="E525" s="73"/>
    </row>
    <row r="526">
      <c r="A526" s="73"/>
      <c r="B526" s="73"/>
      <c r="C526" s="73"/>
      <c r="D526" s="73"/>
      <c r="E526" s="73"/>
    </row>
    <row r="527">
      <c r="A527" s="73"/>
      <c r="B527" s="73"/>
      <c r="C527" s="73"/>
      <c r="D527" s="73"/>
      <c r="E527" s="73"/>
    </row>
    <row r="528">
      <c r="A528" s="73"/>
      <c r="B528" s="73"/>
      <c r="C528" s="73"/>
      <c r="D528" s="73"/>
      <c r="E528" s="73"/>
    </row>
    <row r="529">
      <c r="A529" s="73"/>
      <c r="B529" s="73"/>
      <c r="C529" s="73"/>
      <c r="D529" s="73"/>
      <c r="E529" s="73"/>
    </row>
    <row r="530">
      <c r="A530" s="73"/>
      <c r="B530" s="73"/>
      <c r="C530" s="73"/>
      <c r="D530" s="73"/>
      <c r="E530" s="73"/>
    </row>
    <row r="531">
      <c r="A531" s="73"/>
      <c r="B531" s="73"/>
      <c r="C531" s="73"/>
      <c r="D531" s="73"/>
      <c r="E531" s="73"/>
    </row>
    <row r="532">
      <c r="A532" s="73"/>
      <c r="B532" s="73"/>
      <c r="C532" s="73"/>
      <c r="D532" s="73"/>
      <c r="E532" s="73"/>
    </row>
    <row r="533">
      <c r="A533" s="73"/>
      <c r="B533" s="73"/>
      <c r="C533" s="73"/>
      <c r="D533" s="73"/>
      <c r="E533" s="73"/>
    </row>
    <row r="534">
      <c r="A534" s="73"/>
      <c r="B534" s="73"/>
      <c r="C534" s="73"/>
      <c r="D534" s="73"/>
      <c r="E534" s="73"/>
    </row>
    <row r="535">
      <c r="A535" s="73"/>
      <c r="B535" s="73"/>
      <c r="C535" s="73"/>
      <c r="D535" s="73"/>
      <c r="E535" s="73"/>
    </row>
    <row r="536">
      <c r="A536" s="73"/>
      <c r="B536" s="73"/>
      <c r="C536" s="73"/>
      <c r="D536" s="73"/>
      <c r="E536" s="73"/>
    </row>
    <row r="537">
      <c r="A537" s="73"/>
      <c r="B537" s="73"/>
      <c r="C537" s="73"/>
      <c r="D537" s="73"/>
      <c r="E537" s="73"/>
    </row>
    <row r="538">
      <c r="A538" s="73"/>
      <c r="B538" s="73"/>
      <c r="C538" s="73"/>
      <c r="D538" s="73"/>
      <c r="E538" s="73"/>
    </row>
    <row r="539">
      <c r="A539" s="73"/>
      <c r="B539" s="73"/>
      <c r="C539" s="73"/>
      <c r="D539" s="73"/>
      <c r="E539" s="73"/>
    </row>
    <row r="540">
      <c r="A540" s="73"/>
      <c r="B540" s="73"/>
      <c r="C540" s="73"/>
      <c r="D540" s="73"/>
      <c r="E540" s="73"/>
    </row>
    <row r="541">
      <c r="A541" s="73"/>
      <c r="B541" s="73"/>
      <c r="C541" s="73"/>
      <c r="D541" s="73"/>
      <c r="E541" s="73"/>
    </row>
    <row r="542">
      <c r="A542" s="73"/>
      <c r="B542" s="73"/>
      <c r="C542" s="73"/>
      <c r="D542" s="73"/>
      <c r="E542" s="73"/>
    </row>
    <row r="543">
      <c r="A543" s="73"/>
      <c r="B543" s="73"/>
      <c r="C543" s="73"/>
      <c r="D543" s="73"/>
      <c r="E543" s="73"/>
    </row>
    <row r="544">
      <c r="A544" s="73"/>
      <c r="B544" s="73"/>
      <c r="C544" s="73"/>
      <c r="D544" s="73"/>
      <c r="E544" s="73"/>
    </row>
    <row r="545">
      <c r="A545" s="73"/>
      <c r="B545" s="73"/>
      <c r="C545" s="73"/>
      <c r="D545" s="73"/>
      <c r="E545" s="73"/>
    </row>
    <row r="546">
      <c r="A546" s="73"/>
      <c r="B546" s="73"/>
      <c r="C546" s="73"/>
      <c r="D546" s="73"/>
      <c r="E546" s="73"/>
    </row>
    <row r="547">
      <c r="A547" s="73"/>
      <c r="B547" s="73"/>
      <c r="C547" s="73"/>
      <c r="D547" s="73"/>
      <c r="E547" s="73"/>
    </row>
    <row r="548">
      <c r="A548" s="73"/>
      <c r="B548" s="73"/>
      <c r="C548" s="73"/>
      <c r="D548" s="73"/>
      <c r="E548" s="73"/>
    </row>
    <row r="549">
      <c r="A549" s="73"/>
      <c r="B549" s="73"/>
      <c r="C549" s="73"/>
      <c r="D549" s="73"/>
      <c r="E549" s="73"/>
    </row>
    <row r="550">
      <c r="A550" s="73"/>
      <c r="B550" s="73"/>
      <c r="C550" s="73"/>
      <c r="D550" s="73"/>
      <c r="E550" s="73"/>
    </row>
    <row r="551">
      <c r="A551" s="73"/>
      <c r="B551" s="73"/>
      <c r="C551" s="73"/>
      <c r="D551" s="73"/>
      <c r="E551" s="73"/>
    </row>
    <row r="552">
      <c r="A552" s="73"/>
      <c r="B552" s="73"/>
      <c r="C552" s="73"/>
      <c r="D552" s="73"/>
      <c r="E552" s="73"/>
    </row>
    <row r="553">
      <c r="A553" s="73"/>
      <c r="B553" s="73"/>
      <c r="C553" s="73"/>
      <c r="D553" s="73"/>
      <c r="E553" s="73"/>
    </row>
    <row r="554">
      <c r="A554" s="73"/>
      <c r="B554" s="73"/>
      <c r="C554" s="73"/>
      <c r="D554" s="73"/>
      <c r="E554" s="73"/>
    </row>
    <row r="555">
      <c r="A555" s="73"/>
      <c r="B555" s="73"/>
      <c r="C555" s="73"/>
      <c r="D555" s="73"/>
      <c r="E555" s="73"/>
    </row>
    <row r="556">
      <c r="A556" s="73"/>
      <c r="B556" s="73"/>
      <c r="C556" s="73"/>
      <c r="D556" s="73"/>
      <c r="E556" s="73"/>
    </row>
    <row r="557">
      <c r="A557" s="73"/>
      <c r="B557" s="73"/>
      <c r="C557" s="73"/>
      <c r="D557" s="73"/>
      <c r="E557" s="73"/>
    </row>
    <row r="558">
      <c r="A558" s="73"/>
      <c r="B558" s="73"/>
      <c r="C558" s="73"/>
      <c r="D558" s="73"/>
      <c r="E558" s="73"/>
    </row>
    <row r="559">
      <c r="A559" s="73"/>
      <c r="B559" s="73"/>
      <c r="C559" s="73"/>
      <c r="D559" s="73"/>
      <c r="E559" s="73"/>
    </row>
    <row r="560">
      <c r="A560" s="73"/>
      <c r="B560" s="73"/>
      <c r="C560" s="73"/>
      <c r="D560" s="73"/>
      <c r="E560" s="73"/>
    </row>
    <row r="561">
      <c r="A561" s="73"/>
      <c r="B561" s="73"/>
      <c r="C561" s="73"/>
      <c r="D561" s="73"/>
      <c r="E561" s="73"/>
    </row>
    <row r="562">
      <c r="A562" s="73"/>
      <c r="B562" s="73"/>
      <c r="C562" s="73"/>
      <c r="D562" s="73"/>
      <c r="E562" s="73"/>
    </row>
    <row r="563">
      <c r="A563" s="73"/>
      <c r="B563" s="73"/>
      <c r="C563" s="73"/>
      <c r="D563" s="73"/>
      <c r="E563" s="73"/>
    </row>
    <row r="564">
      <c r="A564" s="73"/>
      <c r="B564" s="73"/>
      <c r="C564" s="73"/>
      <c r="D564" s="73"/>
      <c r="E564" s="73"/>
    </row>
    <row r="565">
      <c r="A565" s="73"/>
      <c r="B565" s="73"/>
      <c r="C565" s="73"/>
      <c r="D565" s="73"/>
      <c r="E565" s="73"/>
    </row>
    <row r="566">
      <c r="A566" s="73"/>
      <c r="B566" s="73"/>
      <c r="C566" s="73"/>
      <c r="D566" s="73"/>
      <c r="E566" s="73"/>
    </row>
    <row r="567">
      <c r="A567" s="73"/>
      <c r="B567" s="73"/>
      <c r="C567" s="73"/>
      <c r="D567" s="73"/>
      <c r="E567" s="73"/>
    </row>
    <row r="568">
      <c r="A568" s="73"/>
      <c r="B568" s="73"/>
      <c r="C568" s="73"/>
      <c r="D568" s="73"/>
      <c r="E568" s="73"/>
    </row>
    <row r="569">
      <c r="A569" s="73"/>
      <c r="B569" s="73"/>
      <c r="C569" s="73"/>
      <c r="D569" s="73"/>
      <c r="E569" s="73"/>
    </row>
    <row r="570">
      <c r="A570" s="73"/>
      <c r="B570" s="73"/>
      <c r="C570" s="73"/>
      <c r="D570" s="73"/>
      <c r="E570" s="73"/>
    </row>
    <row r="571">
      <c r="A571" s="73"/>
      <c r="B571" s="73"/>
      <c r="C571" s="73"/>
      <c r="D571" s="73"/>
      <c r="E571" s="73"/>
    </row>
    <row r="572">
      <c r="A572" s="73"/>
      <c r="B572" s="73"/>
      <c r="C572" s="73"/>
      <c r="D572" s="73"/>
      <c r="E572" s="73"/>
    </row>
    <row r="573">
      <c r="A573" s="73"/>
      <c r="B573" s="73"/>
      <c r="C573" s="73"/>
      <c r="D573" s="73"/>
      <c r="E573" s="73"/>
    </row>
    <row r="574">
      <c r="A574" s="73"/>
      <c r="B574" s="73"/>
      <c r="C574" s="73"/>
      <c r="D574" s="73"/>
      <c r="E574" s="73"/>
    </row>
    <row r="575">
      <c r="A575" s="73"/>
      <c r="B575" s="73"/>
      <c r="C575" s="73"/>
      <c r="D575" s="73"/>
      <c r="E575" s="73"/>
    </row>
    <row r="576">
      <c r="A576" s="73"/>
      <c r="B576" s="73"/>
      <c r="C576" s="73"/>
      <c r="D576" s="73"/>
      <c r="E576" s="73"/>
    </row>
    <row r="577">
      <c r="A577" s="73"/>
      <c r="B577" s="73"/>
      <c r="C577" s="73"/>
      <c r="D577" s="73"/>
      <c r="E577" s="73"/>
    </row>
    <row r="578">
      <c r="A578" s="73"/>
      <c r="B578" s="73"/>
      <c r="C578" s="73"/>
      <c r="D578" s="73"/>
      <c r="E578" s="73"/>
    </row>
    <row r="579">
      <c r="A579" s="73"/>
      <c r="B579" s="73"/>
      <c r="C579" s="73"/>
      <c r="D579" s="73"/>
      <c r="E579" s="73"/>
    </row>
    <row r="580">
      <c r="A580" s="73"/>
      <c r="B580" s="73"/>
      <c r="C580" s="73"/>
      <c r="D580" s="73"/>
      <c r="E580" s="73"/>
    </row>
    <row r="581">
      <c r="A581" s="73"/>
      <c r="B581" s="73"/>
      <c r="C581" s="73"/>
      <c r="D581" s="73"/>
      <c r="E581" s="73"/>
    </row>
    <row r="582">
      <c r="A582" s="73"/>
      <c r="B582" s="73"/>
      <c r="C582" s="73"/>
      <c r="D582" s="73"/>
      <c r="E582" s="73"/>
    </row>
    <row r="583">
      <c r="A583" s="73"/>
      <c r="B583" s="73"/>
      <c r="C583" s="73"/>
      <c r="D583" s="73"/>
      <c r="E583" s="73"/>
    </row>
    <row r="584">
      <c r="A584" s="73"/>
      <c r="B584" s="73"/>
      <c r="C584" s="73"/>
      <c r="D584" s="73"/>
      <c r="E584" s="73"/>
    </row>
    <row r="585">
      <c r="A585" s="73"/>
      <c r="B585" s="73"/>
      <c r="C585" s="73"/>
      <c r="D585" s="73"/>
      <c r="E585" s="73"/>
    </row>
    <row r="586">
      <c r="A586" s="73"/>
      <c r="B586" s="73"/>
      <c r="C586" s="73"/>
      <c r="D586" s="73"/>
      <c r="E586" s="73"/>
    </row>
    <row r="587">
      <c r="A587" s="73"/>
      <c r="B587" s="73"/>
      <c r="C587" s="73"/>
      <c r="D587" s="73"/>
      <c r="E587" s="73"/>
    </row>
    <row r="588">
      <c r="A588" s="73"/>
      <c r="B588" s="73"/>
      <c r="C588" s="73"/>
      <c r="D588" s="73"/>
      <c r="E588" s="73"/>
    </row>
    <row r="589">
      <c r="A589" s="73"/>
      <c r="B589" s="73"/>
      <c r="C589" s="73"/>
      <c r="D589" s="73"/>
      <c r="E589" s="73"/>
    </row>
    <row r="590">
      <c r="A590" s="73"/>
      <c r="B590" s="73"/>
      <c r="C590" s="73"/>
      <c r="D590" s="73"/>
      <c r="E590" s="73"/>
    </row>
    <row r="591">
      <c r="A591" s="73"/>
      <c r="B591" s="73"/>
      <c r="C591" s="73"/>
      <c r="D591" s="73"/>
      <c r="E591" s="73"/>
    </row>
    <row r="592">
      <c r="A592" s="73"/>
      <c r="B592" s="73"/>
      <c r="C592" s="73"/>
      <c r="D592" s="73"/>
      <c r="E592" s="73"/>
    </row>
    <row r="593">
      <c r="A593" s="73"/>
      <c r="B593" s="73"/>
      <c r="C593" s="73"/>
      <c r="D593" s="73"/>
      <c r="E593" s="73"/>
    </row>
    <row r="594">
      <c r="A594" s="73"/>
      <c r="B594" s="73"/>
      <c r="C594" s="73"/>
      <c r="D594" s="73"/>
      <c r="E594" s="73"/>
    </row>
    <row r="595">
      <c r="A595" s="73"/>
      <c r="B595" s="73"/>
      <c r="C595" s="73"/>
      <c r="D595" s="73"/>
      <c r="E595" s="73"/>
    </row>
    <row r="596">
      <c r="A596" s="73"/>
      <c r="B596" s="73"/>
      <c r="C596" s="73"/>
      <c r="D596" s="73"/>
      <c r="E596" s="73"/>
    </row>
    <row r="597">
      <c r="A597" s="73"/>
      <c r="B597" s="73"/>
      <c r="C597" s="73"/>
      <c r="D597" s="73"/>
      <c r="E597" s="73"/>
    </row>
    <row r="598">
      <c r="A598" s="73"/>
      <c r="B598" s="73"/>
      <c r="C598" s="73"/>
      <c r="D598" s="73"/>
      <c r="E598" s="73"/>
    </row>
    <row r="599">
      <c r="A599" s="73"/>
      <c r="B599" s="73"/>
      <c r="C599" s="73"/>
      <c r="D599" s="73"/>
      <c r="E599" s="73"/>
    </row>
    <row r="600">
      <c r="A600" s="73"/>
      <c r="B600" s="73"/>
      <c r="C600" s="73"/>
      <c r="D600" s="73"/>
      <c r="E600" s="73"/>
    </row>
    <row r="601">
      <c r="A601" s="73"/>
      <c r="B601" s="73"/>
      <c r="C601" s="73"/>
      <c r="D601" s="73"/>
      <c r="E601" s="73"/>
    </row>
    <row r="602">
      <c r="A602" s="73"/>
      <c r="B602" s="73"/>
      <c r="C602" s="73"/>
      <c r="D602" s="73"/>
      <c r="E602" s="73"/>
    </row>
    <row r="603">
      <c r="A603" s="73"/>
      <c r="B603" s="73"/>
      <c r="C603" s="73"/>
      <c r="D603" s="73"/>
      <c r="E603" s="73"/>
    </row>
    <row r="604">
      <c r="A604" s="73"/>
      <c r="B604" s="73"/>
      <c r="C604" s="73"/>
      <c r="D604" s="73"/>
      <c r="E604" s="73"/>
    </row>
    <row r="605">
      <c r="A605" s="73"/>
      <c r="B605" s="73"/>
      <c r="C605" s="73"/>
      <c r="D605" s="73"/>
      <c r="E605" s="73"/>
    </row>
    <row r="606">
      <c r="A606" s="73"/>
      <c r="B606" s="73"/>
      <c r="C606" s="73"/>
      <c r="D606" s="73"/>
      <c r="E606" s="73"/>
    </row>
    <row r="607">
      <c r="A607" s="73"/>
      <c r="B607" s="73"/>
      <c r="C607" s="73"/>
      <c r="D607" s="73"/>
      <c r="E607" s="73"/>
    </row>
    <row r="608">
      <c r="A608" s="73"/>
      <c r="B608" s="73"/>
      <c r="C608" s="73"/>
      <c r="D608" s="73"/>
      <c r="E608" s="73"/>
    </row>
    <row r="609">
      <c r="A609" s="73"/>
      <c r="B609" s="73"/>
      <c r="C609" s="73"/>
      <c r="D609" s="73"/>
      <c r="E609" s="73"/>
    </row>
    <row r="610">
      <c r="A610" s="73"/>
      <c r="B610" s="73"/>
      <c r="C610" s="73"/>
      <c r="D610" s="73"/>
      <c r="E610" s="73"/>
    </row>
    <row r="611">
      <c r="A611" s="73"/>
      <c r="B611" s="73"/>
      <c r="C611" s="73"/>
      <c r="D611" s="73"/>
      <c r="E611" s="73"/>
    </row>
    <row r="612">
      <c r="A612" s="73"/>
      <c r="B612" s="73"/>
      <c r="C612" s="73"/>
      <c r="D612" s="73"/>
      <c r="E612" s="73"/>
    </row>
    <row r="613">
      <c r="A613" s="73"/>
      <c r="B613" s="73"/>
      <c r="C613" s="73"/>
      <c r="D613" s="73"/>
      <c r="E613" s="73"/>
    </row>
    <row r="614">
      <c r="A614" s="73"/>
      <c r="B614" s="73"/>
      <c r="C614" s="73"/>
      <c r="D614" s="73"/>
      <c r="E614" s="73"/>
    </row>
    <row r="615">
      <c r="A615" s="73"/>
      <c r="B615" s="73"/>
      <c r="C615" s="73"/>
      <c r="D615" s="73"/>
      <c r="E615" s="73"/>
    </row>
    <row r="616">
      <c r="A616" s="73"/>
      <c r="B616" s="73"/>
      <c r="C616" s="73"/>
      <c r="D616" s="73"/>
      <c r="E616" s="73"/>
    </row>
    <row r="617">
      <c r="A617" s="73"/>
      <c r="B617" s="73"/>
      <c r="C617" s="73"/>
      <c r="D617" s="73"/>
      <c r="E617" s="73"/>
    </row>
    <row r="618">
      <c r="A618" s="73"/>
      <c r="B618" s="73"/>
      <c r="C618" s="73"/>
      <c r="D618" s="73"/>
      <c r="E618" s="73"/>
    </row>
    <row r="619">
      <c r="A619" s="73"/>
      <c r="B619" s="73"/>
      <c r="C619" s="73"/>
      <c r="D619" s="73"/>
      <c r="E619" s="73"/>
    </row>
    <row r="620">
      <c r="A620" s="73"/>
      <c r="B620" s="73"/>
      <c r="C620" s="73"/>
      <c r="D620" s="73"/>
      <c r="E620" s="73"/>
    </row>
    <row r="621">
      <c r="A621" s="73"/>
      <c r="B621" s="73"/>
      <c r="C621" s="73"/>
      <c r="D621" s="73"/>
      <c r="E621" s="73"/>
    </row>
    <row r="622">
      <c r="A622" s="73"/>
      <c r="B622" s="73"/>
      <c r="C622" s="73"/>
      <c r="D622" s="73"/>
      <c r="E622" s="73"/>
    </row>
    <row r="623">
      <c r="A623" s="73"/>
      <c r="B623" s="73"/>
      <c r="C623" s="73"/>
      <c r="D623" s="73"/>
      <c r="E623" s="73"/>
    </row>
    <row r="624">
      <c r="A624" s="73"/>
      <c r="B624" s="73"/>
      <c r="C624" s="73"/>
      <c r="D624" s="73"/>
      <c r="E624" s="73"/>
    </row>
    <row r="625">
      <c r="A625" s="73"/>
      <c r="B625" s="73"/>
      <c r="C625" s="73"/>
      <c r="D625" s="73"/>
      <c r="E625" s="73"/>
    </row>
    <row r="626">
      <c r="A626" s="73"/>
      <c r="B626" s="73"/>
      <c r="C626" s="73"/>
      <c r="D626" s="73"/>
      <c r="E626" s="73"/>
    </row>
    <row r="627">
      <c r="A627" s="73"/>
      <c r="B627" s="73"/>
      <c r="C627" s="73"/>
      <c r="D627" s="73"/>
      <c r="E627" s="73"/>
    </row>
    <row r="628">
      <c r="A628" s="73"/>
      <c r="B628" s="73"/>
      <c r="C628" s="73"/>
      <c r="D628" s="73"/>
      <c r="E628" s="73"/>
    </row>
    <row r="629">
      <c r="A629" s="73"/>
      <c r="B629" s="73"/>
      <c r="C629" s="73"/>
      <c r="D629" s="73"/>
      <c r="E629" s="73"/>
    </row>
    <row r="630">
      <c r="A630" s="73"/>
      <c r="B630" s="73"/>
      <c r="C630" s="73"/>
      <c r="D630" s="73"/>
      <c r="E630" s="73"/>
    </row>
    <row r="631">
      <c r="A631" s="73"/>
      <c r="B631" s="73"/>
      <c r="C631" s="73"/>
      <c r="D631" s="73"/>
      <c r="E631" s="73"/>
    </row>
    <row r="632">
      <c r="A632" s="73"/>
      <c r="B632" s="73"/>
      <c r="C632" s="73"/>
      <c r="D632" s="73"/>
      <c r="E632" s="73"/>
    </row>
    <row r="633">
      <c r="A633" s="73"/>
      <c r="B633" s="73"/>
      <c r="C633" s="73"/>
      <c r="D633" s="73"/>
      <c r="E633" s="73"/>
    </row>
    <row r="634">
      <c r="A634" s="73"/>
      <c r="B634" s="73"/>
      <c r="C634" s="73"/>
      <c r="D634" s="73"/>
      <c r="E634" s="73"/>
    </row>
    <row r="635">
      <c r="A635" s="73"/>
      <c r="B635" s="73"/>
      <c r="C635" s="73"/>
      <c r="D635" s="73"/>
      <c r="E635" s="73"/>
    </row>
    <row r="636">
      <c r="A636" s="73"/>
      <c r="B636" s="73"/>
      <c r="C636" s="73"/>
      <c r="D636" s="73"/>
      <c r="E636" s="73"/>
    </row>
    <row r="637">
      <c r="A637" s="73"/>
      <c r="B637" s="73"/>
      <c r="C637" s="73"/>
      <c r="D637" s="73"/>
      <c r="E637" s="73"/>
    </row>
    <row r="638">
      <c r="A638" s="73"/>
      <c r="B638" s="73"/>
      <c r="C638" s="73"/>
      <c r="D638" s="73"/>
      <c r="E638" s="73"/>
    </row>
    <row r="639">
      <c r="A639" s="73"/>
      <c r="B639" s="73"/>
      <c r="C639" s="73"/>
      <c r="D639" s="73"/>
      <c r="E639" s="73"/>
    </row>
    <row r="640">
      <c r="A640" s="73"/>
      <c r="B640" s="73"/>
      <c r="C640" s="73"/>
      <c r="D640" s="73"/>
      <c r="E640" s="73"/>
    </row>
    <row r="641">
      <c r="A641" s="73"/>
      <c r="B641" s="73"/>
      <c r="C641" s="73"/>
      <c r="D641" s="73"/>
      <c r="E641" s="73"/>
    </row>
    <row r="642">
      <c r="A642" s="73"/>
      <c r="B642" s="73"/>
      <c r="C642" s="73"/>
      <c r="D642" s="73"/>
      <c r="E642" s="73"/>
    </row>
    <row r="643">
      <c r="A643" s="73"/>
      <c r="B643" s="73"/>
      <c r="C643" s="73"/>
      <c r="D643" s="73"/>
      <c r="E643" s="73"/>
    </row>
    <row r="644">
      <c r="A644" s="73"/>
      <c r="B644" s="73"/>
      <c r="C644" s="73"/>
      <c r="D644" s="73"/>
      <c r="E644" s="73"/>
    </row>
    <row r="645">
      <c r="A645" s="73"/>
      <c r="B645" s="73"/>
      <c r="C645" s="73"/>
      <c r="D645" s="73"/>
      <c r="E645" s="73"/>
    </row>
    <row r="646">
      <c r="A646" s="73"/>
      <c r="B646" s="73"/>
      <c r="C646" s="73"/>
      <c r="D646" s="73"/>
      <c r="E646" s="73"/>
    </row>
    <row r="647">
      <c r="A647" s="73"/>
      <c r="B647" s="73"/>
      <c r="C647" s="73"/>
      <c r="D647" s="73"/>
      <c r="E647" s="73"/>
    </row>
    <row r="648">
      <c r="A648" s="73"/>
      <c r="B648" s="73"/>
      <c r="C648" s="73"/>
      <c r="D648" s="73"/>
      <c r="E648" s="73"/>
    </row>
    <row r="649">
      <c r="A649" s="73"/>
      <c r="B649" s="73"/>
      <c r="C649" s="73"/>
      <c r="D649" s="73"/>
      <c r="E649" s="73"/>
    </row>
    <row r="650">
      <c r="A650" s="73"/>
      <c r="B650" s="73"/>
      <c r="C650" s="73"/>
      <c r="D650" s="73"/>
      <c r="E650" s="73"/>
    </row>
    <row r="651">
      <c r="A651" s="73"/>
      <c r="B651" s="73"/>
      <c r="C651" s="73"/>
      <c r="D651" s="73"/>
      <c r="E651" s="73"/>
    </row>
    <row r="652">
      <c r="A652" s="73"/>
      <c r="B652" s="73"/>
      <c r="C652" s="73"/>
      <c r="D652" s="73"/>
      <c r="E652" s="73"/>
    </row>
    <row r="653">
      <c r="A653" s="73"/>
      <c r="B653" s="73"/>
      <c r="C653" s="73"/>
      <c r="D653" s="73"/>
      <c r="E653" s="73"/>
    </row>
    <row r="654">
      <c r="A654" s="73"/>
      <c r="B654" s="73"/>
      <c r="C654" s="73"/>
      <c r="D654" s="73"/>
      <c r="E654" s="73"/>
    </row>
    <row r="655">
      <c r="A655" s="73"/>
      <c r="B655" s="73"/>
      <c r="C655" s="73"/>
      <c r="D655" s="73"/>
      <c r="E655" s="73"/>
    </row>
    <row r="656">
      <c r="A656" s="73"/>
      <c r="B656" s="73"/>
      <c r="C656" s="73"/>
      <c r="D656" s="73"/>
      <c r="E656" s="73"/>
    </row>
    <row r="657">
      <c r="A657" s="73"/>
      <c r="B657" s="73"/>
      <c r="C657" s="73"/>
      <c r="D657" s="73"/>
      <c r="E657" s="73"/>
    </row>
    <row r="658">
      <c r="A658" s="73"/>
      <c r="B658" s="73"/>
      <c r="C658" s="73"/>
      <c r="D658" s="73"/>
      <c r="E658" s="73"/>
    </row>
    <row r="659">
      <c r="A659" s="73"/>
      <c r="B659" s="73"/>
      <c r="C659" s="73"/>
      <c r="D659" s="73"/>
      <c r="E659" s="73"/>
    </row>
    <row r="660">
      <c r="A660" s="73"/>
      <c r="B660" s="73"/>
      <c r="C660" s="73"/>
      <c r="D660" s="73"/>
      <c r="E660" s="73"/>
    </row>
    <row r="661">
      <c r="A661" s="73"/>
      <c r="B661" s="73"/>
      <c r="C661" s="73"/>
      <c r="D661" s="73"/>
      <c r="E661" s="73"/>
    </row>
    <row r="662">
      <c r="A662" s="73"/>
      <c r="B662" s="73"/>
      <c r="C662" s="73"/>
      <c r="D662" s="73"/>
      <c r="E662" s="73"/>
    </row>
    <row r="663">
      <c r="A663" s="73"/>
      <c r="B663" s="73"/>
      <c r="C663" s="73"/>
      <c r="D663" s="73"/>
      <c r="E663" s="73"/>
    </row>
    <row r="664">
      <c r="A664" s="73"/>
      <c r="B664" s="73"/>
      <c r="C664" s="73"/>
      <c r="D664" s="73"/>
      <c r="E664" s="73"/>
    </row>
    <row r="665">
      <c r="A665" s="73"/>
      <c r="B665" s="73"/>
      <c r="C665" s="73"/>
      <c r="D665" s="73"/>
      <c r="E665" s="73"/>
    </row>
    <row r="666">
      <c r="A666" s="73"/>
      <c r="B666" s="73"/>
      <c r="C666" s="73"/>
      <c r="D666" s="73"/>
      <c r="E666" s="73"/>
    </row>
    <row r="667">
      <c r="A667" s="73"/>
      <c r="B667" s="73"/>
      <c r="C667" s="73"/>
      <c r="D667" s="73"/>
      <c r="E667" s="73"/>
    </row>
    <row r="668">
      <c r="A668" s="73"/>
      <c r="B668" s="73"/>
      <c r="C668" s="73"/>
      <c r="D668" s="73"/>
      <c r="E668" s="73"/>
    </row>
    <row r="669">
      <c r="A669" s="73"/>
      <c r="B669" s="73"/>
      <c r="C669" s="73"/>
      <c r="D669" s="73"/>
      <c r="E669" s="73"/>
    </row>
    <row r="670">
      <c r="A670" s="73"/>
      <c r="B670" s="73"/>
      <c r="C670" s="73"/>
      <c r="D670" s="73"/>
      <c r="E670" s="73"/>
    </row>
    <row r="671">
      <c r="A671" s="73"/>
      <c r="B671" s="73"/>
      <c r="C671" s="73"/>
      <c r="D671" s="73"/>
      <c r="E671" s="73"/>
    </row>
    <row r="672">
      <c r="A672" s="73"/>
      <c r="B672" s="73"/>
      <c r="C672" s="73"/>
      <c r="D672" s="73"/>
      <c r="E672" s="73"/>
    </row>
    <row r="673">
      <c r="A673" s="73"/>
      <c r="B673" s="73"/>
      <c r="C673" s="73"/>
      <c r="D673" s="73"/>
      <c r="E673" s="73"/>
    </row>
    <row r="674">
      <c r="A674" s="73"/>
      <c r="B674" s="73"/>
      <c r="C674" s="73"/>
      <c r="D674" s="73"/>
      <c r="E674" s="73"/>
    </row>
    <row r="675">
      <c r="A675" s="73"/>
      <c r="B675" s="73"/>
      <c r="C675" s="73"/>
      <c r="D675" s="73"/>
      <c r="E675" s="73"/>
    </row>
    <row r="676">
      <c r="A676" s="73"/>
      <c r="B676" s="73"/>
      <c r="C676" s="73"/>
      <c r="D676" s="73"/>
      <c r="E676" s="73"/>
    </row>
    <row r="677">
      <c r="A677" s="73"/>
      <c r="B677" s="73"/>
      <c r="C677" s="73"/>
      <c r="D677" s="73"/>
      <c r="E677" s="73"/>
    </row>
    <row r="678">
      <c r="A678" s="73"/>
      <c r="B678" s="73"/>
      <c r="C678" s="73"/>
      <c r="D678" s="73"/>
      <c r="E678" s="73"/>
    </row>
    <row r="679">
      <c r="A679" s="73"/>
      <c r="B679" s="73"/>
      <c r="C679" s="73"/>
      <c r="D679" s="73"/>
      <c r="E679" s="73"/>
    </row>
    <row r="680">
      <c r="A680" s="73"/>
      <c r="B680" s="73"/>
      <c r="C680" s="73"/>
      <c r="D680" s="73"/>
      <c r="E680" s="73"/>
    </row>
    <row r="681">
      <c r="A681" s="73"/>
      <c r="B681" s="73"/>
      <c r="C681" s="73"/>
      <c r="D681" s="73"/>
      <c r="E681" s="73"/>
    </row>
    <row r="682">
      <c r="A682" s="73"/>
      <c r="B682" s="73"/>
      <c r="C682" s="73"/>
      <c r="D682" s="73"/>
      <c r="E682" s="73"/>
    </row>
    <row r="683">
      <c r="A683" s="73"/>
      <c r="B683" s="73"/>
      <c r="C683" s="73"/>
      <c r="D683" s="73"/>
      <c r="E683" s="73"/>
    </row>
    <row r="684">
      <c r="A684" s="73"/>
      <c r="B684" s="73"/>
      <c r="C684" s="73"/>
      <c r="D684" s="73"/>
      <c r="E684" s="73"/>
    </row>
    <row r="685">
      <c r="A685" s="73"/>
      <c r="B685" s="73"/>
      <c r="C685" s="73"/>
      <c r="D685" s="73"/>
      <c r="E685" s="73"/>
    </row>
    <row r="686">
      <c r="A686" s="73"/>
      <c r="B686" s="73"/>
      <c r="C686" s="73"/>
      <c r="D686" s="73"/>
      <c r="E686" s="73"/>
    </row>
    <row r="687">
      <c r="A687" s="73"/>
      <c r="B687" s="73"/>
      <c r="C687" s="73"/>
      <c r="D687" s="73"/>
      <c r="E687" s="73"/>
    </row>
    <row r="688">
      <c r="A688" s="73"/>
      <c r="B688" s="73"/>
      <c r="C688" s="73"/>
      <c r="D688" s="73"/>
      <c r="E688" s="73"/>
    </row>
    <row r="689">
      <c r="A689" s="73"/>
      <c r="B689" s="73"/>
      <c r="C689" s="73"/>
      <c r="D689" s="73"/>
      <c r="E689" s="73"/>
    </row>
    <row r="690">
      <c r="A690" s="73"/>
      <c r="B690" s="73"/>
      <c r="C690" s="73"/>
      <c r="D690" s="73"/>
      <c r="E690" s="73"/>
    </row>
    <row r="691">
      <c r="A691" s="73"/>
      <c r="B691" s="73"/>
      <c r="C691" s="73"/>
      <c r="D691" s="73"/>
      <c r="E691" s="73"/>
    </row>
    <row r="692">
      <c r="A692" s="73"/>
      <c r="B692" s="73"/>
      <c r="C692" s="73"/>
      <c r="D692" s="73"/>
      <c r="E692" s="73"/>
    </row>
    <row r="693">
      <c r="A693" s="73"/>
      <c r="B693" s="73"/>
      <c r="C693" s="73"/>
      <c r="D693" s="73"/>
      <c r="E693" s="73"/>
    </row>
    <row r="694">
      <c r="A694" s="73"/>
      <c r="B694" s="73"/>
      <c r="C694" s="73"/>
      <c r="D694" s="73"/>
      <c r="E694" s="73"/>
    </row>
    <row r="695">
      <c r="A695" s="73"/>
      <c r="B695" s="73"/>
      <c r="C695" s="73"/>
      <c r="D695" s="73"/>
      <c r="E695" s="73"/>
    </row>
    <row r="696">
      <c r="A696" s="73"/>
      <c r="B696" s="73"/>
      <c r="C696" s="73"/>
      <c r="D696" s="73"/>
      <c r="E696" s="73"/>
    </row>
    <row r="697">
      <c r="A697" s="73"/>
      <c r="B697" s="73"/>
      <c r="C697" s="73"/>
      <c r="D697" s="73"/>
      <c r="E697" s="73"/>
    </row>
    <row r="698">
      <c r="A698" s="73"/>
      <c r="B698" s="73"/>
      <c r="C698" s="73"/>
      <c r="D698" s="73"/>
      <c r="E698" s="73"/>
    </row>
    <row r="699">
      <c r="A699" s="73"/>
      <c r="B699" s="73"/>
      <c r="C699" s="73"/>
      <c r="D699" s="73"/>
      <c r="E699" s="73"/>
    </row>
    <row r="700">
      <c r="A700" s="73"/>
      <c r="B700" s="73"/>
      <c r="C700" s="73"/>
      <c r="D700" s="73"/>
      <c r="E700" s="73"/>
    </row>
    <row r="701">
      <c r="A701" s="73"/>
      <c r="B701" s="73"/>
      <c r="C701" s="73"/>
      <c r="D701" s="73"/>
      <c r="E701" s="73"/>
    </row>
    <row r="702">
      <c r="A702" s="73"/>
      <c r="B702" s="73"/>
      <c r="C702" s="73"/>
      <c r="D702" s="73"/>
      <c r="E702" s="73"/>
    </row>
    <row r="703">
      <c r="A703" s="73"/>
      <c r="B703" s="73"/>
      <c r="C703" s="73"/>
      <c r="D703" s="73"/>
      <c r="E703" s="73"/>
    </row>
    <row r="704">
      <c r="A704" s="73"/>
      <c r="B704" s="73"/>
      <c r="C704" s="73"/>
      <c r="D704" s="73"/>
      <c r="E704" s="73"/>
    </row>
    <row r="705">
      <c r="A705" s="73"/>
      <c r="B705" s="73"/>
      <c r="C705" s="73"/>
      <c r="D705" s="73"/>
      <c r="E705" s="73"/>
    </row>
    <row r="706">
      <c r="A706" s="73"/>
      <c r="B706" s="73"/>
      <c r="C706" s="73"/>
      <c r="D706" s="73"/>
      <c r="E706" s="73"/>
    </row>
    <row r="707">
      <c r="A707" s="73"/>
      <c r="B707" s="73"/>
      <c r="C707" s="73"/>
      <c r="D707" s="73"/>
      <c r="E707" s="73"/>
    </row>
    <row r="708">
      <c r="A708" s="73"/>
      <c r="B708" s="73"/>
      <c r="C708" s="73"/>
      <c r="D708" s="73"/>
      <c r="E708" s="73"/>
    </row>
    <row r="709">
      <c r="A709" s="73"/>
      <c r="B709" s="73"/>
      <c r="C709" s="73"/>
      <c r="D709" s="73"/>
      <c r="E709" s="73"/>
    </row>
    <row r="710">
      <c r="A710" s="73"/>
      <c r="B710" s="73"/>
      <c r="C710" s="73"/>
      <c r="D710" s="73"/>
      <c r="E710" s="73"/>
    </row>
    <row r="711">
      <c r="A711" s="73"/>
      <c r="B711" s="73"/>
      <c r="C711" s="73"/>
      <c r="D711" s="73"/>
      <c r="E711" s="73"/>
    </row>
    <row r="712">
      <c r="A712" s="73"/>
      <c r="B712" s="73"/>
      <c r="C712" s="73"/>
      <c r="D712" s="73"/>
      <c r="E712" s="73"/>
    </row>
    <row r="713">
      <c r="A713" s="73"/>
      <c r="B713" s="73"/>
      <c r="C713" s="73"/>
      <c r="D713" s="73"/>
      <c r="E713" s="73"/>
    </row>
    <row r="714">
      <c r="A714" s="73"/>
      <c r="B714" s="73"/>
      <c r="C714" s="73"/>
      <c r="D714" s="73"/>
      <c r="E714" s="73"/>
    </row>
    <row r="715">
      <c r="A715" s="73"/>
      <c r="B715" s="73"/>
      <c r="C715" s="73"/>
      <c r="D715" s="73"/>
      <c r="E715" s="73"/>
    </row>
    <row r="716">
      <c r="A716" s="73"/>
      <c r="B716" s="73"/>
      <c r="C716" s="73"/>
      <c r="D716" s="73"/>
      <c r="E716" s="73"/>
    </row>
    <row r="717">
      <c r="A717" s="73"/>
      <c r="B717" s="73"/>
      <c r="C717" s="73"/>
      <c r="D717" s="73"/>
      <c r="E717" s="73"/>
    </row>
    <row r="718">
      <c r="A718" s="73"/>
      <c r="B718" s="73"/>
      <c r="C718" s="73"/>
      <c r="D718" s="73"/>
      <c r="E718" s="73"/>
    </row>
    <row r="719">
      <c r="A719" s="73"/>
      <c r="B719" s="73"/>
      <c r="C719" s="73"/>
      <c r="D719" s="73"/>
      <c r="E719" s="73"/>
    </row>
    <row r="720">
      <c r="A720" s="73"/>
      <c r="B720" s="73"/>
      <c r="C720" s="73"/>
      <c r="D720" s="73"/>
      <c r="E720" s="73"/>
    </row>
    <row r="721">
      <c r="A721" s="73"/>
      <c r="B721" s="73"/>
      <c r="C721" s="73"/>
      <c r="D721" s="73"/>
      <c r="E721" s="73"/>
    </row>
    <row r="722">
      <c r="A722" s="73"/>
      <c r="B722" s="73"/>
      <c r="C722" s="73"/>
      <c r="D722" s="73"/>
      <c r="E722" s="73"/>
    </row>
    <row r="723">
      <c r="A723" s="73"/>
      <c r="B723" s="73"/>
      <c r="C723" s="73"/>
      <c r="D723" s="73"/>
      <c r="E723" s="73"/>
    </row>
    <row r="724">
      <c r="A724" s="73"/>
      <c r="B724" s="73"/>
      <c r="C724" s="73"/>
      <c r="D724" s="73"/>
      <c r="E724" s="73"/>
    </row>
    <row r="725">
      <c r="A725" s="73"/>
      <c r="B725" s="73"/>
      <c r="C725" s="73"/>
      <c r="D725" s="73"/>
      <c r="E725" s="73"/>
    </row>
    <row r="726">
      <c r="A726" s="73"/>
      <c r="B726" s="73"/>
      <c r="C726" s="73"/>
      <c r="D726" s="73"/>
      <c r="E726" s="73"/>
    </row>
    <row r="727">
      <c r="A727" s="73"/>
      <c r="B727" s="73"/>
      <c r="C727" s="73"/>
      <c r="D727" s="73"/>
      <c r="E727" s="73"/>
    </row>
    <row r="728">
      <c r="A728" s="73"/>
      <c r="B728" s="73"/>
      <c r="C728" s="73"/>
      <c r="D728" s="73"/>
      <c r="E728" s="73"/>
    </row>
    <row r="729">
      <c r="A729" s="73"/>
      <c r="B729" s="73"/>
      <c r="C729" s="73"/>
      <c r="D729" s="73"/>
      <c r="E729" s="73"/>
    </row>
    <row r="730">
      <c r="A730" s="73"/>
      <c r="B730" s="73"/>
      <c r="C730" s="73"/>
      <c r="D730" s="73"/>
      <c r="E730" s="73"/>
    </row>
    <row r="731">
      <c r="A731" s="73"/>
      <c r="B731" s="73"/>
      <c r="C731" s="73"/>
      <c r="D731" s="73"/>
      <c r="E731" s="73"/>
    </row>
    <row r="732">
      <c r="A732" s="73"/>
      <c r="B732" s="73"/>
      <c r="C732" s="73"/>
      <c r="D732" s="73"/>
      <c r="E732" s="73"/>
    </row>
    <row r="733">
      <c r="A733" s="73"/>
      <c r="B733" s="73"/>
      <c r="C733" s="73"/>
      <c r="D733" s="73"/>
      <c r="E733" s="73"/>
    </row>
    <row r="734">
      <c r="A734" s="73"/>
      <c r="B734" s="73"/>
      <c r="C734" s="73"/>
      <c r="D734" s="73"/>
      <c r="E734" s="73"/>
    </row>
    <row r="735">
      <c r="A735" s="73"/>
      <c r="B735" s="73"/>
      <c r="C735" s="73"/>
      <c r="D735" s="73"/>
      <c r="E735" s="73"/>
    </row>
    <row r="736">
      <c r="A736" s="73"/>
      <c r="B736" s="73"/>
      <c r="C736" s="73"/>
      <c r="D736" s="73"/>
      <c r="E736" s="73"/>
    </row>
    <row r="737">
      <c r="A737" s="73"/>
      <c r="B737" s="73"/>
      <c r="C737" s="73"/>
      <c r="D737" s="73"/>
      <c r="E737" s="73"/>
    </row>
    <row r="738">
      <c r="A738" s="73"/>
      <c r="B738" s="73"/>
      <c r="C738" s="73"/>
      <c r="D738" s="73"/>
      <c r="E738" s="73"/>
    </row>
    <row r="739">
      <c r="A739" s="73"/>
      <c r="B739" s="73"/>
      <c r="C739" s="73"/>
      <c r="D739" s="73"/>
      <c r="E739" s="73"/>
    </row>
    <row r="740">
      <c r="A740" s="73"/>
      <c r="B740" s="73"/>
      <c r="C740" s="73"/>
      <c r="D740" s="73"/>
      <c r="E740" s="73"/>
    </row>
    <row r="741">
      <c r="A741" s="73"/>
      <c r="B741" s="73"/>
      <c r="C741" s="73"/>
      <c r="D741" s="73"/>
      <c r="E741" s="73"/>
    </row>
    <row r="742">
      <c r="A742" s="73"/>
      <c r="B742" s="73"/>
      <c r="C742" s="73"/>
      <c r="D742" s="73"/>
      <c r="E742" s="73"/>
    </row>
    <row r="743">
      <c r="A743" s="73"/>
      <c r="B743" s="73"/>
      <c r="C743" s="73"/>
      <c r="D743" s="73"/>
      <c r="E743" s="73"/>
    </row>
    <row r="744">
      <c r="A744" s="73"/>
      <c r="B744" s="73"/>
      <c r="C744" s="73"/>
      <c r="D744" s="73"/>
      <c r="E744" s="73"/>
    </row>
    <row r="745">
      <c r="A745" s="73"/>
      <c r="B745" s="73"/>
      <c r="C745" s="73"/>
      <c r="D745" s="73"/>
      <c r="E745" s="73"/>
    </row>
    <row r="746">
      <c r="A746" s="73"/>
      <c r="B746" s="73"/>
      <c r="C746" s="73"/>
      <c r="D746" s="73"/>
      <c r="E746" s="73"/>
    </row>
    <row r="747">
      <c r="A747" s="73"/>
      <c r="B747" s="73"/>
      <c r="C747" s="73"/>
      <c r="D747" s="73"/>
      <c r="E747" s="73"/>
    </row>
    <row r="748">
      <c r="A748" s="73"/>
      <c r="B748" s="73"/>
      <c r="C748" s="73"/>
      <c r="D748" s="73"/>
      <c r="E748" s="73"/>
    </row>
    <row r="749">
      <c r="A749" s="73"/>
      <c r="B749" s="73"/>
      <c r="C749" s="73"/>
      <c r="D749" s="73"/>
      <c r="E749" s="73"/>
    </row>
    <row r="750">
      <c r="A750" s="73"/>
      <c r="B750" s="73"/>
      <c r="C750" s="73"/>
      <c r="D750" s="73"/>
      <c r="E750" s="73"/>
    </row>
    <row r="751">
      <c r="A751" s="73"/>
      <c r="B751" s="73"/>
      <c r="C751" s="73"/>
      <c r="D751" s="73"/>
      <c r="E751" s="73"/>
    </row>
    <row r="752">
      <c r="A752" s="73"/>
      <c r="B752" s="73"/>
      <c r="C752" s="73"/>
      <c r="D752" s="73"/>
      <c r="E752" s="73"/>
    </row>
    <row r="753">
      <c r="A753" s="73"/>
      <c r="B753" s="73"/>
      <c r="C753" s="73"/>
      <c r="D753" s="73"/>
      <c r="E753" s="73"/>
    </row>
    <row r="754">
      <c r="A754" s="73"/>
      <c r="B754" s="73"/>
      <c r="C754" s="73"/>
      <c r="D754" s="73"/>
      <c r="E754" s="73"/>
    </row>
    <row r="755">
      <c r="A755" s="73"/>
      <c r="B755" s="73"/>
      <c r="C755" s="73"/>
      <c r="D755" s="73"/>
      <c r="E755" s="73"/>
    </row>
    <row r="756">
      <c r="A756" s="73"/>
      <c r="B756" s="73"/>
      <c r="C756" s="73"/>
      <c r="D756" s="73"/>
      <c r="E756" s="73"/>
    </row>
    <row r="757">
      <c r="A757" s="73"/>
      <c r="B757" s="73"/>
      <c r="C757" s="73"/>
      <c r="D757" s="73"/>
      <c r="E757" s="73"/>
    </row>
    <row r="758">
      <c r="A758" s="73"/>
      <c r="B758" s="73"/>
      <c r="C758" s="73"/>
      <c r="D758" s="73"/>
      <c r="E758" s="73"/>
    </row>
    <row r="759">
      <c r="A759" s="73"/>
      <c r="B759" s="73"/>
      <c r="C759" s="73"/>
      <c r="D759" s="73"/>
      <c r="E759" s="73"/>
    </row>
    <row r="760">
      <c r="A760" s="73"/>
      <c r="B760" s="73"/>
      <c r="C760" s="73"/>
      <c r="D760" s="73"/>
      <c r="E760" s="73"/>
    </row>
    <row r="761">
      <c r="A761" s="73"/>
      <c r="B761" s="73"/>
      <c r="C761" s="73"/>
      <c r="D761" s="73"/>
      <c r="E761" s="73"/>
    </row>
    <row r="762">
      <c r="A762" s="73"/>
      <c r="B762" s="73"/>
      <c r="C762" s="73"/>
      <c r="D762" s="73"/>
      <c r="E762" s="73"/>
    </row>
    <row r="763">
      <c r="A763" s="73"/>
      <c r="B763" s="73"/>
      <c r="C763" s="73"/>
      <c r="D763" s="73"/>
      <c r="E763" s="73"/>
    </row>
    <row r="764">
      <c r="A764" s="73"/>
      <c r="B764" s="73"/>
      <c r="C764" s="73"/>
      <c r="D764" s="73"/>
      <c r="E764" s="73"/>
    </row>
    <row r="765">
      <c r="A765" s="73"/>
      <c r="B765" s="73"/>
      <c r="C765" s="73"/>
      <c r="D765" s="73"/>
      <c r="E765" s="73"/>
    </row>
    <row r="766">
      <c r="A766" s="73"/>
      <c r="B766" s="73"/>
      <c r="C766" s="73"/>
      <c r="D766" s="73"/>
      <c r="E766" s="73"/>
    </row>
    <row r="767">
      <c r="A767" s="73"/>
      <c r="B767" s="73"/>
      <c r="C767" s="73"/>
      <c r="D767" s="73"/>
      <c r="E767" s="73"/>
    </row>
    <row r="768">
      <c r="A768" s="73"/>
      <c r="B768" s="73"/>
      <c r="C768" s="73"/>
      <c r="D768" s="73"/>
      <c r="E768" s="73"/>
    </row>
    <row r="769">
      <c r="A769" s="73"/>
      <c r="B769" s="73"/>
      <c r="C769" s="73"/>
      <c r="D769" s="73"/>
      <c r="E769" s="73"/>
    </row>
    <row r="770">
      <c r="A770" s="73"/>
      <c r="B770" s="73"/>
      <c r="C770" s="73"/>
      <c r="D770" s="73"/>
      <c r="E770" s="73"/>
    </row>
    <row r="771">
      <c r="A771" s="73"/>
      <c r="B771" s="73"/>
      <c r="C771" s="73"/>
      <c r="D771" s="73"/>
      <c r="E771" s="73"/>
    </row>
    <row r="772">
      <c r="A772" s="73"/>
      <c r="B772" s="73"/>
      <c r="C772" s="73"/>
      <c r="D772" s="73"/>
      <c r="E772" s="73"/>
    </row>
    <row r="773">
      <c r="A773" s="73"/>
      <c r="B773" s="73"/>
      <c r="C773" s="73"/>
      <c r="D773" s="73"/>
      <c r="E773" s="73"/>
    </row>
    <row r="774">
      <c r="A774" s="73"/>
      <c r="B774" s="73"/>
      <c r="C774" s="73"/>
      <c r="D774" s="73"/>
      <c r="E774" s="73"/>
    </row>
    <row r="775">
      <c r="A775" s="73"/>
      <c r="B775" s="73"/>
      <c r="C775" s="73"/>
      <c r="D775" s="73"/>
      <c r="E775" s="73"/>
    </row>
    <row r="776">
      <c r="A776" s="73"/>
      <c r="B776" s="73"/>
      <c r="C776" s="73"/>
      <c r="D776" s="73"/>
      <c r="E776" s="73"/>
    </row>
    <row r="777">
      <c r="A777" s="73"/>
      <c r="B777" s="73"/>
      <c r="C777" s="73"/>
      <c r="D777" s="73"/>
      <c r="E777" s="73"/>
    </row>
    <row r="778">
      <c r="A778" s="73"/>
      <c r="B778" s="73"/>
      <c r="C778" s="73"/>
      <c r="D778" s="73"/>
      <c r="E778" s="73"/>
    </row>
    <row r="779">
      <c r="A779" s="73"/>
      <c r="B779" s="73"/>
      <c r="C779" s="73"/>
      <c r="D779" s="73"/>
      <c r="E779" s="73"/>
    </row>
    <row r="780">
      <c r="A780" s="73"/>
      <c r="B780" s="73"/>
      <c r="C780" s="73"/>
      <c r="D780" s="73"/>
      <c r="E780" s="73"/>
    </row>
    <row r="781">
      <c r="A781" s="73"/>
      <c r="B781" s="73"/>
      <c r="C781" s="73"/>
      <c r="D781" s="73"/>
      <c r="E781" s="73"/>
    </row>
    <row r="782">
      <c r="A782" s="73"/>
      <c r="B782" s="73"/>
      <c r="C782" s="73"/>
      <c r="D782" s="73"/>
      <c r="E782" s="73"/>
    </row>
    <row r="783">
      <c r="A783" s="73"/>
      <c r="B783" s="73"/>
      <c r="C783" s="73"/>
      <c r="D783" s="73"/>
      <c r="E783" s="73"/>
    </row>
    <row r="784">
      <c r="A784" s="73"/>
      <c r="B784" s="73"/>
      <c r="C784" s="73"/>
      <c r="D784" s="73"/>
      <c r="E784" s="73"/>
    </row>
    <row r="785">
      <c r="A785" s="73"/>
      <c r="B785" s="73"/>
      <c r="C785" s="73"/>
      <c r="D785" s="73"/>
      <c r="E785" s="73"/>
    </row>
    <row r="786">
      <c r="A786" s="73"/>
      <c r="B786" s="73"/>
      <c r="C786" s="73"/>
      <c r="D786" s="73"/>
      <c r="E786" s="73"/>
    </row>
    <row r="787">
      <c r="A787" s="73"/>
      <c r="B787" s="73"/>
      <c r="C787" s="73"/>
      <c r="D787" s="73"/>
      <c r="E787" s="73"/>
    </row>
    <row r="788">
      <c r="A788" s="73"/>
      <c r="B788" s="73"/>
      <c r="C788" s="73"/>
      <c r="D788" s="73"/>
      <c r="E788" s="73"/>
    </row>
    <row r="789">
      <c r="A789" s="73"/>
      <c r="B789" s="73"/>
      <c r="C789" s="73"/>
      <c r="D789" s="73"/>
      <c r="E789" s="73"/>
    </row>
    <row r="790">
      <c r="A790" s="73"/>
      <c r="B790" s="73"/>
      <c r="C790" s="73"/>
      <c r="D790" s="73"/>
      <c r="E790" s="73"/>
    </row>
    <row r="791">
      <c r="A791" s="73"/>
      <c r="B791" s="73"/>
      <c r="C791" s="73"/>
      <c r="D791" s="73"/>
      <c r="E791" s="73"/>
    </row>
    <row r="792">
      <c r="A792" s="73"/>
      <c r="B792" s="73"/>
      <c r="C792" s="73"/>
      <c r="D792" s="73"/>
      <c r="E792" s="73"/>
    </row>
    <row r="793">
      <c r="A793" s="73"/>
      <c r="B793" s="73"/>
      <c r="C793" s="73"/>
      <c r="D793" s="73"/>
      <c r="E793" s="73"/>
    </row>
    <row r="794">
      <c r="A794" s="73"/>
      <c r="B794" s="73"/>
      <c r="C794" s="73"/>
      <c r="D794" s="73"/>
      <c r="E794" s="73"/>
    </row>
    <row r="795">
      <c r="A795" s="73"/>
      <c r="B795" s="73"/>
      <c r="C795" s="73"/>
      <c r="D795" s="73"/>
      <c r="E795" s="73"/>
    </row>
    <row r="796">
      <c r="A796" s="73"/>
      <c r="B796" s="73"/>
      <c r="C796" s="73"/>
      <c r="D796" s="73"/>
      <c r="E796" s="73"/>
    </row>
    <row r="797">
      <c r="A797" s="73"/>
      <c r="B797" s="73"/>
      <c r="C797" s="73"/>
      <c r="D797" s="73"/>
      <c r="E797" s="73"/>
    </row>
    <row r="798">
      <c r="A798" s="73"/>
      <c r="B798" s="73"/>
      <c r="C798" s="73"/>
      <c r="D798" s="73"/>
      <c r="E798" s="73"/>
    </row>
    <row r="799">
      <c r="A799" s="73"/>
      <c r="B799" s="73"/>
      <c r="C799" s="73"/>
      <c r="D799" s="73"/>
      <c r="E799" s="73"/>
    </row>
    <row r="800">
      <c r="A800" s="73"/>
      <c r="B800" s="73"/>
      <c r="C800" s="73"/>
      <c r="D800" s="73"/>
      <c r="E800" s="73"/>
    </row>
    <row r="801">
      <c r="A801" s="73"/>
      <c r="B801" s="73"/>
      <c r="C801" s="73"/>
      <c r="D801" s="73"/>
      <c r="E801" s="73"/>
    </row>
    <row r="802">
      <c r="A802" s="73"/>
      <c r="B802" s="73"/>
      <c r="C802" s="73"/>
      <c r="D802" s="73"/>
      <c r="E802" s="73"/>
    </row>
    <row r="803">
      <c r="A803" s="73"/>
      <c r="B803" s="73"/>
      <c r="C803" s="73"/>
      <c r="D803" s="73"/>
      <c r="E803" s="73"/>
    </row>
    <row r="804">
      <c r="A804" s="73"/>
      <c r="B804" s="73"/>
      <c r="C804" s="73"/>
      <c r="D804" s="73"/>
      <c r="E804" s="73"/>
    </row>
    <row r="805">
      <c r="A805" s="73"/>
      <c r="B805" s="73"/>
      <c r="C805" s="73"/>
      <c r="D805" s="73"/>
      <c r="E805" s="73"/>
    </row>
    <row r="806">
      <c r="A806" s="73"/>
      <c r="B806" s="73"/>
      <c r="C806" s="73"/>
      <c r="D806" s="73"/>
      <c r="E806" s="73"/>
    </row>
    <row r="807">
      <c r="A807" s="73"/>
      <c r="B807" s="73"/>
      <c r="C807" s="73"/>
      <c r="D807" s="73"/>
      <c r="E807" s="73"/>
    </row>
    <row r="808">
      <c r="A808" s="73"/>
      <c r="B808" s="73"/>
      <c r="C808" s="73"/>
      <c r="D808" s="73"/>
      <c r="E808" s="73"/>
    </row>
    <row r="809">
      <c r="A809" s="73"/>
      <c r="B809" s="73"/>
      <c r="C809" s="73"/>
      <c r="D809" s="73"/>
      <c r="E809" s="73"/>
    </row>
    <row r="810">
      <c r="A810" s="73"/>
      <c r="B810" s="73"/>
      <c r="C810" s="73"/>
      <c r="D810" s="73"/>
      <c r="E810" s="73"/>
    </row>
    <row r="811">
      <c r="A811" s="73"/>
      <c r="B811" s="73"/>
      <c r="C811" s="73"/>
      <c r="D811" s="73"/>
      <c r="E811" s="73"/>
    </row>
    <row r="812">
      <c r="A812" s="73"/>
      <c r="B812" s="73"/>
      <c r="C812" s="73"/>
      <c r="D812" s="73"/>
      <c r="E812" s="73"/>
    </row>
    <row r="813">
      <c r="A813" s="73"/>
      <c r="B813" s="73"/>
      <c r="C813" s="73"/>
      <c r="D813" s="73"/>
      <c r="E813" s="73"/>
    </row>
    <row r="814">
      <c r="A814" s="73"/>
      <c r="B814" s="73"/>
      <c r="C814" s="73"/>
      <c r="D814" s="73"/>
      <c r="E814" s="73"/>
    </row>
    <row r="815">
      <c r="A815" s="73"/>
      <c r="B815" s="73"/>
      <c r="C815" s="73"/>
      <c r="D815" s="73"/>
      <c r="E815" s="73"/>
    </row>
    <row r="816">
      <c r="A816" s="73"/>
      <c r="B816" s="73"/>
      <c r="C816" s="73"/>
      <c r="D816" s="73"/>
      <c r="E816" s="73"/>
    </row>
    <row r="817">
      <c r="A817" s="73"/>
      <c r="B817" s="73"/>
      <c r="C817" s="73"/>
      <c r="D817" s="73"/>
      <c r="E817" s="73"/>
    </row>
    <row r="818">
      <c r="A818" s="73"/>
      <c r="B818" s="73"/>
      <c r="C818" s="73"/>
      <c r="D818" s="73"/>
      <c r="E818" s="73"/>
    </row>
    <row r="819">
      <c r="A819" s="73"/>
      <c r="B819" s="73"/>
      <c r="C819" s="73"/>
      <c r="D819" s="73"/>
      <c r="E819" s="73"/>
    </row>
    <row r="820">
      <c r="A820" s="73"/>
      <c r="B820" s="73"/>
      <c r="C820" s="73"/>
      <c r="D820" s="73"/>
      <c r="E820" s="73"/>
    </row>
    <row r="821">
      <c r="A821" s="73"/>
      <c r="B821" s="73"/>
      <c r="C821" s="73"/>
      <c r="D821" s="73"/>
      <c r="E821" s="73"/>
    </row>
    <row r="822">
      <c r="A822" s="73"/>
      <c r="B822" s="73"/>
      <c r="C822" s="73"/>
      <c r="D822" s="73"/>
      <c r="E822" s="73"/>
    </row>
    <row r="823">
      <c r="A823" s="73"/>
      <c r="B823" s="73"/>
      <c r="C823" s="73"/>
      <c r="D823" s="73"/>
      <c r="E823" s="73"/>
    </row>
    <row r="824">
      <c r="A824" s="73"/>
      <c r="B824" s="73"/>
      <c r="C824" s="73"/>
      <c r="D824" s="73"/>
      <c r="E824" s="73"/>
    </row>
    <row r="825">
      <c r="A825" s="73"/>
      <c r="B825" s="73"/>
      <c r="C825" s="73"/>
      <c r="D825" s="73"/>
      <c r="E825" s="73"/>
    </row>
    <row r="826">
      <c r="A826" s="73"/>
      <c r="B826" s="73"/>
      <c r="C826" s="73"/>
      <c r="D826" s="73"/>
      <c r="E826" s="73"/>
    </row>
    <row r="827">
      <c r="A827" s="73"/>
      <c r="B827" s="73"/>
      <c r="C827" s="73"/>
      <c r="D827" s="73"/>
      <c r="E827" s="73"/>
    </row>
    <row r="828">
      <c r="A828" s="73"/>
      <c r="B828" s="73"/>
      <c r="C828" s="73"/>
      <c r="D828" s="73"/>
      <c r="E828" s="73"/>
    </row>
    <row r="829">
      <c r="A829" s="73"/>
      <c r="B829" s="73"/>
      <c r="C829" s="73"/>
      <c r="D829" s="73"/>
      <c r="E829" s="73"/>
    </row>
    <row r="830">
      <c r="A830" s="73"/>
      <c r="B830" s="73"/>
      <c r="C830" s="73"/>
      <c r="D830" s="73"/>
      <c r="E830" s="73"/>
    </row>
    <row r="831">
      <c r="A831" s="73"/>
      <c r="B831" s="73"/>
      <c r="C831" s="73"/>
      <c r="D831" s="73"/>
      <c r="E831" s="73"/>
    </row>
    <row r="832">
      <c r="A832" s="73"/>
      <c r="B832" s="73"/>
      <c r="C832" s="73"/>
      <c r="D832" s="73"/>
      <c r="E832" s="73"/>
    </row>
    <row r="833">
      <c r="A833" s="73"/>
      <c r="B833" s="73"/>
      <c r="C833" s="73"/>
      <c r="D833" s="73"/>
      <c r="E833" s="73"/>
    </row>
    <row r="834">
      <c r="A834" s="73"/>
      <c r="B834" s="73"/>
      <c r="C834" s="73"/>
      <c r="D834" s="73"/>
      <c r="E834" s="73"/>
    </row>
    <row r="835">
      <c r="A835" s="73"/>
      <c r="B835" s="73"/>
      <c r="C835" s="73"/>
      <c r="D835" s="73"/>
      <c r="E835" s="73"/>
    </row>
    <row r="836">
      <c r="A836" s="73"/>
      <c r="B836" s="73"/>
      <c r="C836" s="73"/>
      <c r="D836" s="73"/>
      <c r="E836" s="73"/>
    </row>
    <row r="837">
      <c r="A837" s="73"/>
      <c r="B837" s="73"/>
      <c r="C837" s="73"/>
      <c r="D837" s="73"/>
      <c r="E837" s="73"/>
    </row>
    <row r="838">
      <c r="A838" s="73"/>
      <c r="B838" s="73"/>
      <c r="C838" s="73"/>
      <c r="D838" s="73"/>
      <c r="E838" s="73"/>
    </row>
    <row r="839">
      <c r="A839" s="73"/>
      <c r="B839" s="73"/>
      <c r="C839" s="73"/>
      <c r="D839" s="73"/>
      <c r="E839" s="73"/>
    </row>
    <row r="840">
      <c r="A840" s="73"/>
      <c r="B840" s="73"/>
      <c r="C840" s="73"/>
      <c r="D840" s="73"/>
      <c r="E840" s="73"/>
    </row>
    <row r="841">
      <c r="A841" s="73"/>
      <c r="B841" s="73"/>
      <c r="C841" s="73"/>
      <c r="D841" s="73"/>
      <c r="E841" s="73"/>
    </row>
    <row r="842">
      <c r="A842" s="73"/>
      <c r="B842" s="73"/>
      <c r="C842" s="73"/>
      <c r="D842" s="73"/>
      <c r="E842" s="73"/>
    </row>
    <row r="843">
      <c r="A843" s="73"/>
      <c r="B843" s="73"/>
      <c r="C843" s="73"/>
      <c r="D843" s="73"/>
      <c r="E843" s="73"/>
    </row>
    <row r="844">
      <c r="A844" s="73"/>
      <c r="B844" s="73"/>
      <c r="C844" s="73"/>
      <c r="D844" s="73"/>
      <c r="E844" s="73"/>
    </row>
    <row r="845">
      <c r="A845" s="73"/>
      <c r="B845" s="73"/>
      <c r="C845" s="73"/>
      <c r="D845" s="73"/>
      <c r="E845" s="73"/>
    </row>
    <row r="846">
      <c r="A846" s="73"/>
      <c r="B846" s="73"/>
      <c r="C846" s="73"/>
      <c r="D846" s="73"/>
      <c r="E846" s="73"/>
    </row>
    <row r="847">
      <c r="A847" s="73"/>
      <c r="B847" s="73"/>
      <c r="C847" s="73"/>
      <c r="D847" s="73"/>
      <c r="E847" s="73"/>
    </row>
    <row r="848">
      <c r="A848" s="73"/>
      <c r="B848" s="73"/>
      <c r="C848" s="73"/>
      <c r="D848" s="73"/>
      <c r="E848" s="73"/>
    </row>
    <row r="849">
      <c r="A849" s="73"/>
      <c r="B849" s="73"/>
      <c r="C849" s="73"/>
      <c r="D849" s="73"/>
      <c r="E849" s="73"/>
    </row>
    <row r="850">
      <c r="A850" s="73"/>
      <c r="B850" s="73"/>
      <c r="C850" s="73"/>
      <c r="D850" s="73"/>
      <c r="E850" s="73"/>
    </row>
    <row r="851">
      <c r="A851" s="73"/>
      <c r="B851" s="73"/>
      <c r="C851" s="73"/>
      <c r="D851" s="73"/>
      <c r="E851" s="73"/>
    </row>
    <row r="852">
      <c r="A852" s="73"/>
      <c r="B852" s="73"/>
      <c r="C852" s="73"/>
      <c r="D852" s="73"/>
      <c r="E852" s="73"/>
    </row>
    <row r="853">
      <c r="A853" s="73"/>
      <c r="B853" s="73"/>
      <c r="C853" s="73"/>
      <c r="D853" s="73"/>
      <c r="E853" s="73"/>
    </row>
    <row r="854">
      <c r="A854" s="73"/>
      <c r="B854" s="73"/>
      <c r="C854" s="73"/>
      <c r="D854" s="73"/>
      <c r="E854" s="73"/>
    </row>
    <row r="855">
      <c r="A855" s="73"/>
      <c r="B855" s="73"/>
      <c r="C855" s="73"/>
      <c r="D855" s="73"/>
      <c r="E855" s="73"/>
    </row>
    <row r="856">
      <c r="A856" s="73"/>
      <c r="B856" s="73"/>
      <c r="C856" s="73"/>
      <c r="D856" s="73"/>
      <c r="E856" s="73"/>
    </row>
    <row r="857">
      <c r="A857" s="73"/>
      <c r="B857" s="73"/>
      <c r="C857" s="73"/>
      <c r="D857" s="73"/>
      <c r="E857" s="73"/>
    </row>
    <row r="858">
      <c r="A858" s="73"/>
      <c r="B858" s="73"/>
      <c r="C858" s="73"/>
      <c r="D858" s="73"/>
      <c r="E858" s="73"/>
    </row>
    <row r="859">
      <c r="A859" s="73"/>
      <c r="B859" s="73"/>
      <c r="C859" s="73"/>
      <c r="D859" s="73"/>
      <c r="E859" s="73"/>
    </row>
    <row r="860">
      <c r="A860" s="73"/>
      <c r="B860" s="73"/>
      <c r="C860" s="73"/>
      <c r="D860" s="73"/>
      <c r="E860" s="73"/>
    </row>
    <row r="861">
      <c r="A861" s="73"/>
      <c r="B861" s="73"/>
      <c r="C861" s="73"/>
      <c r="D861" s="73"/>
      <c r="E861" s="73"/>
    </row>
    <row r="862">
      <c r="A862" s="73"/>
      <c r="B862" s="73"/>
      <c r="C862" s="73"/>
      <c r="D862" s="73"/>
      <c r="E862" s="73"/>
    </row>
    <row r="863">
      <c r="A863" s="73"/>
      <c r="B863" s="73"/>
      <c r="C863" s="73"/>
      <c r="D863" s="73"/>
      <c r="E863" s="73"/>
    </row>
    <row r="864">
      <c r="A864" s="73"/>
      <c r="B864" s="73"/>
      <c r="C864" s="73"/>
      <c r="D864" s="73"/>
      <c r="E864" s="73"/>
    </row>
    <row r="865">
      <c r="A865" s="73"/>
      <c r="B865" s="73"/>
      <c r="C865" s="73"/>
      <c r="D865" s="73"/>
      <c r="E865" s="73"/>
    </row>
    <row r="866">
      <c r="A866" s="73"/>
      <c r="B866" s="73"/>
      <c r="C866" s="73"/>
      <c r="D866" s="73"/>
      <c r="E866" s="73"/>
    </row>
    <row r="867">
      <c r="A867" s="73"/>
      <c r="B867" s="73"/>
      <c r="C867" s="73"/>
      <c r="D867" s="73"/>
      <c r="E867" s="73"/>
    </row>
    <row r="868">
      <c r="A868" s="73"/>
      <c r="B868" s="73"/>
      <c r="C868" s="73"/>
      <c r="D868" s="73"/>
      <c r="E868" s="73"/>
    </row>
    <row r="869">
      <c r="A869" s="73"/>
      <c r="B869" s="73"/>
      <c r="C869" s="73"/>
      <c r="D869" s="73"/>
      <c r="E869" s="73"/>
    </row>
    <row r="870">
      <c r="A870" s="73"/>
      <c r="B870" s="73"/>
      <c r="C870" s="73"/>
      <c r="D870" s="73"/>
      <c r="E870" s="73"/>
    </row>
    <row r="871">
      <c r="A871" s="73"/>
      <c r="B871" s="73"/>
      <c r="C871" s="73"/>
      <c r="D871" s="73"/>
      <c r="E871" s="73"/>
    </row>
    <row r="872">
      <c r="A872" s="73"/>
      <c r="B872" s="73"/>
      <c r="C872" s="73"/>
      <c r="D872" s="73"/>
      <c r="E872" s="73"/>
    </row>
    <row r="873">
      <c r="A873" s="73"/>
      <c r="B873" s="73"/>
      <c r="C873" s="73"/>
      <c r="D873" s="73"/>
      <c r="E873" s="73"/>
    </row>
    <row r="874">
      <c r="A874" s="73"/>
      <c r="B874" s="73"/>
      <c r="C874" s="73"/>
      <c r="D874" s="73"/>
      <c r="E874" s="73"/>
    </row>
    <row r="875">
      <c r="A875" s="73"/>
      <c r="B875" s="73"/>
      <c r="C875" s="73"/>
      <c r="D875" s="73"/>
      <c r="E875" s="73"/>
    </row>
    <row r="876">
      <c r="A876" s="73"/>
      <c r="B876" s="73"/>
      <c r="C876" s="73"/>
      <c r="D876" s="73"/>
      <c r="E876" s="73"/>
    </row>
    <row r="877">
      <c r="A877" s="73"/>
      <c r="B877" s="73"/>
      <c r="C877" s="73"/>
      <c r="D877" s="73"/>
      <c r="E877" s="73"/>
    </row>
    <row r="878">
      <c r="A878" s="73"/>
      <c r="B878" s="73"/>
      <c r="C878" s="73"/>
      <c r="D878" s="73"/>
      <c r="E878" s="73"/>
    </row>
    <row r="879">
      <c r="A879" s="73"/>
      <c r="B879" s="73"/>
      <c r="C879" s="73"/>
      <c r="D879" s="73"/>
      <c r="E879" s="73"/>
    </row>
    <row r="880">
      <c r="A880" s="73"/>
      <c r="B880" s="73"/>
      <c r="C880" s="73"/>
      <c r="D880" s="73"/>
      <c r="E880" s="73"/>
    </row>
    <row r="881">
      <c r="A881" s="73"/>
      <c r="B881" s="73"/>
      <c r="C881" s="73"/>
      <c r="D881" s="73"/>
      <c r="E881" s="73"/>
    </row>
    <row r="882">
      <c r="A882" s="73"/>
      <c r="B882" s="73"/>
      <c r="C882" s="73"/>
      <c r="D882" s="73"/>
      <c r="E882" s="73"/>
    </row>
    <row r="883">
      <c r="A883" s="73"/>
      <c r="B883" s="73"/>
      <c r="C883" s="73"/>
      <c r="D883" s="73"/>
      <c r="E883" s="73"/>
    </row>
    <row r="884">
      <c r="A884" s="73"/>
      <c r="B884" s="73"/>
      <c r="C884" s="73"/>
      <c r="D884" s="73"/>
      <c r="E884" s="73"/>
    </row>
    <row r="885">
      <c r="A885" s="73"/>
      <c r="B885" s="73"/>
      <c r="C885" s="73"/>
      <c r="D885" s="73"/>
      <c r="E885" s="73"/>
    </row>
    <row r="886">
      <c r="A886" s="73"/>
      <c r="B886" s="73"/>
      <c r="C886" s="73"/>
      <c r="D886" s="73"/>
      <c r="E886" s="73"/>
    </row>
    <row r="887">
      <c r="A887" s="73"/>
      <c r="B887" s="73"/>
      <c r="C887" s="73"/>
      <c r="D887" s="73"/>
      <c r="E887" s="73"/>
    </row>
    <row r="888">
      <c r="A888" s="73"/>
      <c r="B888" s="73"/>
      <c r="C888" s="73"/>
      <c r="D888" s="73"/>
      <c r="E888" s="73"/>
    </row>
    <row r="889">
      <c r="A889" s="73"/>
      <c r="B889" s="73"/>
      <c r="C889" s="73"/>
      <c r="D889" s="73"/>
      <c r="E889" s="73"/>
    </row>
    <row r="890">
      <c r="A890" s="73"/>
      <c r="B890" s="73"/>
      <c r="C890" s="73"/>
      <c r="D890" s="73"/>
      <c r="E890" s="73"/>
    </row>
    <row r="891">
      <c r="A891" s="73"/>
      <c r="B891" s="73"/>
      <c r="C891" s="73"/>
      <c r="D891" s="73"/>
      <c r="E891" s="73"/>
    </row>
    <row r="892">
      <c r="A892" s="73"/>
      <c r="B892" s="73"/>
      <c r="C892" s="73"/>
      <c r="D892" s="73"/>
      <c r="E892" s="73"/>
    </row>
    <row r="893">
      <c r="A893" s="73"/>
      <c r="B893" s="73"/>
      <c r="C893" s="73"/>
      <c r="D893" s="73"/>
      <c r="E893" s="73"/>
    </row>
    <row r="894">
      <c r="A894" s="73"/>
      <c r="B894" s="73"/>
      <c r="C894" s="73"/>
      <c r="D894" s="73"/>
      <c r="E894" s="73"/>
    </row>
    <row r="895">
      <c r="A895" s="73"/>
      <c r="B895" s="73"/>
      <c r="C895" s="73"/>
      <c r="D895" s="73"/>
      <c r="E895" s="73"/>
    </row>
    <row r="896">
      <c r="A896" s="73"/>
      <c r="B896" s="73"/>
      <c r="C896" s="73"/>
      <c r="D896" s="73"/>
      <c r="E896" s="73"/>
    </row>
    <row r="897">
      <c r="A897" s="73"/>
      <c r="B897" s="73"/>
      <c r="C897" s="73"/>
      <c r="D897" s="73"/>
      <c r="E897" s="73"/>
    </row>
    <row r="898">
      <c r="A898" s="73"/>
      <c r="B898" s="73"/>
      <c r="C898" s="73"/>
      <c r="D898" s="73"/>
      <c r="E898" s="73"/>
    </row>
    <row r="899">
      <c r="A899" s="73"/>
      <c r="B899" s="73"/>
      <c r="C899" s="73"/>
      <c r="D899" s="73"/>
      <c r="E899" s="73"/>
    </row>
    <row r="900">
      <c r="A900" s="73"/>
      <c r="B900" s="73"/>
      <c r="C900" s="73"/>
      <c r="D900" s="73"/>
      <c r="E900" s="73"/>
    </row>
    <row r="901">
      <c r="A901" s="73"/>
      <c r="B901" s="73"/>
      <c r="C901" s="73"/>
      <c r="D901" s="73"/>
      <c r="E901" s="73"/>
    </row>
    <row r="902">
      <c r="A902" s="73"/>
      <c r="B902" s="73"/>
      <c r="C902" s="73"/>
      <c r="D902" s="73"/>
      <c r="E902" s="73"/>
    </row>
    <row r="903">
      <c r="A903" s="73"/>
      <c r="B903" s="73"/>
      <c r="C903" s="73"/>
      <c r="D903" s="73"/>
      <c r="E903" s="73"/>
    </row>
    <row r="904">
      <c r="A904" s="73"/>
      <c r="B904" s="73"/>
      <c r="C904" s="73"/>
      <c r="D904" s="73"/>
      <c r="E904" s="73"/>
    </row>
    <row r="905">
      <c r="A905" s="73"/>
      <c r="B905" s="73"/>
      <c r="C905" s="73"/>
      <c r="D905" s="73"/>
      <c r="E905" s="73"/>
    </row>
    <row r="906">
      <c r="A906" s="73"/>
      <c r="B906" s="73"/>
      <c r="C906" s="73"/>
      <c r="D906" s="73"/>
      <c r="E906" s="73"/>
    </row>
    <row r="907">
      <c r="A907" s="73"/>
      <c r="B907" s="73"/>
      <c r="C907" s="73"/>
      <c r="D907" s="73"/>
      <c r="E907" s="73"/>
    </row>
    <row r="908">
      <c r="A908" s="73"/>
      <c r="B908" s="73"/>
      <c r="C908" s="73"/>
      <c r="D908" s="73"/>
      <c r="E908" s="73"/>
    </row>
    <row r="909">
      <c r="A909" s="73"/>
      <c r="B909" s="73"/>
      <c r="C909" s="73"/>
      <c r="D909" s="73"/>
      <c r="E909" s="73"/>
    </row>
    <row r="910">
      <c r="A910" s="73"/>
      <c r="B910" s="73"/>
      <c r="C910" s="73"/>
      <c r="D910" s="73"/>
      <c r="E910" s="73"/>
    </row>
    <row r="911">
      <c r="A911" s="73"/>
      <c r="B911" s="73"/>
      <c r="C911" s="73"/>
      <c r="D911" s="73"/>
      <c r="E911" s="73"/>
    </row>
    <row r="912">
      <c r="A912" s="73"/>
      <c r="B912" s="73"/>
      <c r="C912" s="73"/>
      <c r="D912" s="73"/>
      <c r="E912" s="73"/>
    </row>
    <row r="913">
      <c r="A913" s="73"/>
      <c r="B913" s="73"/>
      <c r="C913" s="73"/>
      <c r="D913" s="73"/>
      <c r="E913" s="73"/>
    </row>
    <row r="914">
      <c r="A914" s="73"/>
      <c r="B914" s="73"/>
      <c r="C914" s="73"/>
      <c r="D914" s="73"/>
      <c r="E914" s="73"/>
    </row>
    <row r="915">
      <c r="A915" s="73"/>
      <c r="B915" s="73"/>
      <c r="C915" s="73"/>
      <c r="D915" s="73"/>
      <c r="E915" s="73"/>
    </row>
    <row r="916">
      <c r="A916" s="73"/>
      <c r="B916" s="73"/>
      <c r="C916" s="73"/>
      <c r="D916" s="73"/>
      <c r="E916" s="73"/>
    </row>
    <row r="917">
      <c r="A917" s="73"/>
      <c r="B917" s="73"/>
      <c r="C917" s="73"/>
      <c r="D917" s="73"/>
      <c r="E917" s="73"/>
    </row>
    <row r="918">
      <c r="A918" s="73"/>
      <c r="B918" s="73"/>
      <c r="C918" s="73"/>
      <c r="D918" s="73"/>
      <c r="E918" s="73"/>
    </row>
    <row r="919">
      <c r="A919" s="73"/>
      <c r="B919" s="73"/>
      <c r="C919" s="73"/>
      <c r="D919" s="73"/>
      <c r="E919" s="73"/>
    </row>
    <row r="920">
      <c r="A920" s="73"/>
      <c r="B920" s="73"/>
      <c r="C920" s="73"/>
      <c r="D920" s="73"/>
      <c r="E920" s="73"/>
    </row>
    <row r="921">
      <c r="A921" s="73"/>
      <c r="B921" s="73"/>
      <c r="C921" s="73"/>
      <c r="D921" s="73"/>
      <c r="E921" s="73"/>
    </row>
    <row r="922">
      <c r="A922" s="73"/>
      <c r="B922" s="73"/>
      <c r="C922" s="73"/>
      <c r="D922" s="73"/>
      <c r="E922" s="73"/>
    </row>
    <row r="923">
      <c r="A923" s="73"/>
      <c r="B923" s="73"/>
      <c r="C923" s="73"/>
      <c r="D923" s="73"/>
      <c r="E923" s="73"/>
    </row>
    <row r="924">
      <c r="A924" s="73"/>
      <c r="B924" s="73"/>
      <c r="C924" s="73"/>
      <c r="D924" s="73"/>
      <c r="E924" s="73"/>
    </row>
    <row r="925">
      <c r="A925" s="73"/>
      <c r="B925" s="73"/>
      <c r="C925" s="73"/>
      <c r="D925" s="73"/>
      <c r="E925" s="73"/>
    </row>
    <row r="926">
      <c r="A926" s="73"/>
      <c r="B926" s="73"/>
      <c r="C926" s="73"/>
      <c r="D926" s="73"/>
      <c r="E926" s="73"/>
    </row>
    <row r="927">
      <c r="A927" s="73"/>
      <c r="B927" s="73"/>
      <c r="C927" s="73"/>
      <c r="D927" s="73"/>
      <c r="E927" s="73"/>
    </row>
    <row r="928">
      <c r="A928" s="73"/>
      <c r="B928" s="73"/>
      <c r="C928" s="73"/>
      <c r="D928" s="73"/>
      <c r="E928" s="73"/>
    </row>
    <row r="929">
      <c r="A929" s="73"/>
      <c r="B929" s="73"/>
      <c r="C929" s="73"/>
      <c r="D929" s="73"/>
      <c r="E929" s="73"/>
    </row>
    <row r="930">
      <c r="A930" s="73"/>
      <c r="B930" s="73"/>
      <c r="C930" s="73"/>
      <c r="D930" s="73"/>
      <c r="E930" s="73"/>
    </row>
    <row r="931">
      <c r="A931" s="73"/>
      <c r="B931" s="73"/>
      <c r="C931" s="73"/>
      <c r="D931" s="73"/>
      <c r="E931" s="73"/>
    </row>
    <row r="932">
      <c r="A932" s="73"/>
      <c r="B932" s="73"/>
      <c r="C932" s="73"/>
      <c r="D932" s="73"/>
      <c r="E932" s="73"/>
    </row>
    <row r="933">
      <c r="A933" s="73"/>
      <c r="B933" s="73"/>
      <c r="C933" s="73"/>
      <c r="D933" s="73"/>
      <c r="E933" s="73"/>
    </row>
    <row r="934">
      <c r="A934" s="73"/>
      <c r="B934" s="73"/>
      <c r="C934" s="73"/>
      <c r="D934" s="73"/>
      <c r="E934" s="73"/>
    </row>
    <row r="935">
      <c r="A935" s="73"/>
      <c r="B935" s="73"/>
      <c r="C935" s="73"/>
      <c r="D935" s="73"/>
      <c r="E935" s="73"/>
    </row>
    <row r="936">
      <c r="A936" s="73"/>
      <c r="B936" s="73"/>
      <c r="C936" s="73"/>
      <c r="D936" s="73"/>
      <c r="E936" s="73"/>
    </row>
    <row r="937">
      <c r="A937" s="73"/>
      <c r="B937" s="73"/>
      <c r="C937" s="73"/>
      <c r="D937" s="73"/>
      <c r="E937" s="73"/>
    </row>
    <row r="938">
      <c r="A938" s="73"/>
      <c r="B938" s="73"/>
      <c r="C938" s="73"/>
      <c r="D938" s="73"/>
      <c r="E938" s="73"/>
    </row>
    <row r="939">
      <c r="A939" s="73"/>
      <c r="B939" s="73"/>
      <c r="C939" s="73"/>
      <c r="D939" s="73"/>
      <c r="E939" s="73"/>
    </row>
    <row r="940">
      <c r="A940" s="73"/>
      <c r="B940" s="73"/>
      <c r="C940" s="73"/>
      <c r="D940" s="73"/>
      <c r="E940" s="73"/>
    </row>
    <row r="941">
      <c r="A941" s="73"/>
      <c r="B941" s="73"/>
      <c r="C941" s="73"/>
      <c r="D941" s="73"/>
      <c r="E941" s="73"/>
    </row>
    <row r="942">
      <c r="A942" s="73"/>
      <c r="B942" s="73"/>
      <c r="C942" s="73"/>
      <c r="D942" s="73"/>
      <c r="E942" s="73"/>
    </row>
    <row r="943">
      <c r="A943" s="73"/>
      <c r="B943" s="73"/>
      <c r="C943" s="73"/>
      <c r="D943" s="73"/>
      <c r="E943" s="73"/>
    </row>
    <row r="944">
      <c r="A944" s="73"/>
      <c r="B944" s="73"/>
      <c r="C944" s="73"/>
      <c r="D944" s="73"/>
      <c r="E944" s="73"/>
    </row>
    <row r="945">
      <c r="A945" s="73"/>
      <c r="B945" s="73"/>
      <c r="C945" s="73"/>
      <c r="D945" s="73"/>
      <c r="E945" s="73"/>
    </row>
    <row r="946">
      <c r="A946" s="73"/>
      <c r="B946" s="73"/>
      <c r="C946" s="73"/>
      <c r="D946" s="73"/>
      <c r="E946" s="73"/>
    </row>
    <row r="947">
      <c r="A947" s="73"/>
      <c r="B947" s="73"/>
      <c r="C947" s="73"/>
      <c r="D947" s="73"/>
      <c r="E947" s="73"/>
    </row>
    <row r="948">
      <c r="A948" s="73"/>
      <c r="B948" s="73"/>
      <c r="C948" s="73"/>
      <c r="D948" s="73"/>
      <c r="E948" s="73"/>
    </row>
    <row r="949">
      <c r="A949" s="73"/>
      <c r="B949" s="73"/>
      <c r="C949" s="73"/>
      <c r="D949" s="73"/>
      <c r="E949" s="73"/>
    </row>
    <row r="950">
      <c r="A950" s="73"/>
      <c r="B950" s="73"/>
      <c r="C950" s="73"/>
      <c r="D950" s="73"/>
      <c r="E950" s="73"/>
    </row>
    <row r="951">
      <c r="A951" s="73"/>
      <c r="B951" s="73"/>
      <c r="C951" s="73"/>
      <c r="D951" s="73"/>
      <c r="E951" s="73"/>
    </row>
    <row r="952">
      <c r="A952" s="73"/>
      <c r="B952" s="73"/>
      <c r="C952" s="73"/>
      <c r="D952" s="73"/>
      <c r="E952" s="73"/>
    </row>
    <row r="953">
      <c r="A953" s="73"/>
      <c r="B953" s="73"/>
      <c r="C953" s="73"/>
      <c r="D953" s="73"/>
      <c r="E953" s="73"/>
    </row>
    <row r="954">
      <c r="A954" s="73"/>
      <c r="B954" s="73"/>
      <c r="C954" s="73"/>
      <c r="D954" s="73"/>
      <c r="E954" s="73"/>
    </row>
    <row r="955">
      <c r="A955" s="73"/>
      <c r="B955" s="73"/>
      <c r="C955" s="73"/>
      <c r="D955" s="73"/>
      <c r="E955" s="73"/>
    </row>
    <row r="956">
      <c r="A956" s="73"/>
      <c r="B956" s="73"/>
      <c r="C956" s="73"/>
      <c r="D956" s="73"/>
      <c r="E956" s="73"/>
    </row>
    <row r="957">
      <c r="A957" s="73"/>
      <c r="B957" s="73"/>
      <c r="C957" s="73"/>
      <c r="D957" s="73"/>
      <c r="E957" s="73"/>
    </row>
    <row r="958">
      <c r="A958" s="73"/>
      <c r="B958" s="73"/>
      <c r="C958" s="73"/>
      <c r="D958" s="73"/>
      <c r="E958" s="73"/>
    </row>
    <row r="959">
      <c r="A959" s="73"/>
      <c r="B959" s="73"/>
      <c r="C959" s="73"/>
      <c r="D959" s="73"/>
      <c r="E959" s="73"/>
    </row>
    <row r="960">
      <c r="A960" s="73"/>
      <c r="B960" s="73"/>
      <c r="C960" s="73"/>
      <c r="D960" s="73"/>
      <c r="E960" s="73"/>
    </row>
    <row r="961">
      <c r="A961" s="73"/>
      <c r="B961" s="73"/>
      <c r="C961" s="73"/>
      <c r="D961" s="73"/>
      <c r="E961" s="73"/>
    </row>
    <row r="962">
      <c r="A962" s="73"/>
      <c r="B962" s="73"/>
      <c r="C962" s="73"/>
      <c r="D962" s="73"/>
      <c r="E962" s="73"/>
    </row>
    <row r="963">
      <c r="A963" s="73"/>
      <c r="B963" s="73"/>
      <c r="C963" s="73"/>
      <c r="D963" s="73"/>
      <c r="E963" s="73"/>
    </row>
    <row r="964">
      <c r="A964" s="73"/>
      <c r="B964" s="73"/>
      <c r="C964" s="73"/>
      <c r="D964" s="73"/>
      <c r="E964" s="73"/>
    </row>
    <row r="965">
      <c r="A965" s="73"/>
      <c r="B965" s="73"/>
      <c r="C965" s="73"/>
      <c r="D965" s="73"/>
      <c r="E965" s="73"/>
    </row>
    <row r="966">
      <c r="A966" s="73"/>
      <c r="B966" s="73"/>
      <c r="C966" s="73"/>
      <c r="D966" s="73"/>
      <c r="E966" s="73"/>
    </row>
    <row r="967">
      <c r="A967" s="73"/>
      <c r="B967" s="73"/>
      <c r="C967" s="73"/>
      <c r="D967" s="73"/>
      <c r="E967" s="73"/>
    </row>
    <row r="968">
      <c r="A968" s="73"/>
      <c r="B968" s="73"/>
      <c r="C968" s="73"/>
      <c r="D968" s="73"/>
      <c r="E968" s="73"/>
    </row>
    <row r="969">
      <c r="A969" s="73"/>
      <c r="B969" s="73"/>
      <c r="C969" s="73"/>
      <c r="D969" s="73"/>
      <c r="E969" s="73"/>
    </row>
    <row r="970">
      <c r="A970" s="73"/>
      <c r="B970" s="73"/>
      <c r="C970" s="73"/>
      <c r="D970" s="73"/>
      <c r="E970" s="73"/>
    </row>
    <row r="971">
      <c r="A971" s="73"/>
      <c r="B971" s="73"/>
      <c r="C971" s="73"/>
      <c r="D971" s="73"/>
      <c r="E971" s="73"/>
    </row>
    <row r="972">
      <c r="A972" s="73"/>
      <c r="B972" s="73"/>
      <c r="C972" s="73"/>
      <c r="D972" s="73"/>
      <c r="E972" s="73"/>
    </row>
    <row r="973">
      <c r="A973" s="73"/>
      <c r="B973" s="73"/>
      <c r="C973" s="73"/>
      <c r="D973" s="73"/>
      <c r="E973" s="73"/>
    </row>
    <row r="974">
      <c r="A974" s="73"/>
      <c r="B974" s="73"/>
      <c r="C974" s="73"/>
      <c r="D974" s="73"/>
      <c r="E974" s="73"/>
    </row>
    <row r="975">
      <c r="A975" s="73"/>
      <c r="B975" s="73"/>
      <c r="C975" s="73"/>
      <c r="D975" s="73"/>
      <c r="E975" s="73"/>
    </row>
    <row r="976">
      <c r="A976" s="73"/>
      <c r="B976" s="73"/>
      <c r="C976" s="73"/>
      <c r="D976" s="73"/>
      <c r="E976" s="73"/>
    </row>
    <row r="977">
      <c r="A977" s="73"/>
      <c r="B977" s="73"/>
      <c r="C977" s="73"/>
      <c r="D977" s="73"/>
      <c r="E977" s="73"/>
    </row>
    <row r="978">
      <c r="A978" s="73"/>
      <c r="B978" s="73"/>
      <c r="C978" s="73"/>
      <c r="D978" s="73"/>
      <c r="E978" s="73"/>
    </row>
    <row r="979">
      <c r="A979" s="73"/>
      <c r="B979" s="73"/>
      <c r="C979" s="73"/>
      <c r="D979" s="73"/>
      <c r="E979" s="73"/>
    </row>
    <row r="980">
      <c r="A980" s="73"/>
      <c r="B980" s="73"/>
      <c r="C980" s="73"/>
      <c r="D980" s="73"/>
      <c r="E980" s="73"/>
    </row>
    <row r="981">
      <c r="A981" s="73"/>
      <c r="B981" s="73"/>
      <c r="C981" s="73"/>
      <c r="D981" s="73"/>
      <c r="E981" s="73"/>
    </row>
    <row r="982">
      <c r="A982" s="73"/>
      <c r="B982" s="73"/>
      <c r="C982" s="73"/>
      <c r="D982" s="73"/>
      <c r="E982" s="73"/>
    </row>
    <row r="983">
      <c r="A983" s="73"/>
      <c r="B983" s="73"/>
      <c r="C983" s="73"/>
      <c r="D983" s="73"/>
      <c r="E983" s="73"/>
    </row>
    <row r="984">
      <c r="A984" s="73"/>
      <c r="B984" s="73"/>
      <c r="C984" s="73"/>
      <c r="D984" s="73"/>
      <c r="E984" s="73"/>
    </row>
    <row r="985">
      <c r="A985" s="73"/>
      <c r="B985" s="73"/>
      <c r="C985" s="73"/>
      <c r="D985" s="73"/>
      <c r="E985" s="73"/>
    </row>
    <row r="986">
      <c r="A986" s="73"/>
      <c r="B986" s="73"/>
      <c r="C986" s="73"/>
      <c r="D986" s="73"/>
      <c r="E986" s="73"/>
    </row>
    <row r="987">
      <c r="A987" s="73"/>
      <c r="B987" s="73"/>
      <c r="C987" s="73"/>
      <c r="D987" s="73"/>
      <c r="E987" s="73"/>
    </row>
    <row r="988">
      <c r="A988" s="73"/>
      <c r="B988" s="73"/>
      <c r="C988" s="73"/>
      <c r="D988" s="73"/>
      <c r="E988" s="73"/>
    </row>
    <row r="989">
      <c r="A989" s="73"/>
      <c r="B989" s="73"/>
      <c r="C989" s="73"/>
      <c r="D989" s="73"/>
      <c r="E989" s="73"/>
    </row>
    <row r="990">
      <c r="A990" s="73"/>
      <c r="B990" s="73"/>
      <c r="C990" s="73"/>
      <c r="D990" s="73"/>
      <c r="E990" s="73"/>
    </row>
    <row r="991">
      <c r="A991" s="73"/>
      <c r="B991" s="73"/>
      <c r="C991" s="73"/>
      <c r="D991" s="73"/>
      <c r="E991" s="73"/>
    </row>
    <row r="992">
      <c r="A992" s="73"/>
      <c r="B992" s="73"/>
      <c r="C992" s="73"/>
      <c r="D992" s="73"/>
      <c r="E992" s="73"/>
    </row>
    <row r="993">
      <c r="A993" s="73"/>
      <c r="B993" s="73"/>
      <c r="C993" s="73"/>
      <c r="D993" s="73"/>
      <c r="E993" s="73"/>
    </row>
    <row r="994">
      <c r="A994" s="73"/>
      <c r="B994" s="73"/>
      <c r="C994" s="73"/>
      <c r="D994" s="73"/>
      <c r="E994" s="73"/>
    </row>
    <row r="995">
      <c r="A995" s="73"/>
      <c r="B995" s="73"/>
      <c r="C995" s="73"/>
      <c r="D995" s="73"/>
      <c r="E995" s="73"/>
    </row>
    <row r="996">
      <c r="A996" s="73"/>
      <c r="B996" s="73"/>
      <c r="C996" s="73"/>
      <c r="D996" s="73"/>
      <c r="E996" s="73"/>
    </row>
    <row r="997">
      <c r="A997" s="73"/>
      <c r="B997" s="73"/>
      <c r="C997" s="73"/>
      <c r="D997" s="73"/>
      <c r="E997" s="73"/>
    </row>
    <row r="998">
      <c r="A998" s="73"/>
      <c r="B998" s="73"/>
      <c r="C998" s="73"/>
      <c r="D998" s="73"/>
      <c r="E998" s="73"/>
    </row>
    <row r="999">
      <c r="A999" s="73"/>
      <c r="B999" s="73"/>
      <c r="C999" s="73"/>
      <c r="D999" s="73"/>
      <c r="E999" s="73"/>
    </row>
    <row r="1000">
      <c r="A1000" s="73"/>
      <c r="B1000" s="73"/>
      <c r="C1000" s="73"/>
      <c r="D1000" s="73"/>
      <c r="E1000" s="73"/>
    </row>
  </sheetData>
  <mergeCells count="1">
    <mergeCell ref="C1:D1"/>
  </mergeCells>
  <conditionalFormatting sqref="E2:T81">
    <cfRule type="cellIs" dxfId="0" priority="1" operator="equal">
      <formula>0</formula>
    </cfRule>
  </conditionalFormatting>
  <printOptions gridLines="1" horizontalCentered="1"/>
  <pageMargins bottom="0.75" footer="0.0" header="0.0" left="0.7" right="0.7" top="0.75"/>
  <pageSetup paperSize="9" scale="48" cellComments="atEnd" orientation="portrait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63"/>
    <col customWidth="1" min="2" max="2" width="13.5"/>
    <col customWidth="1" min="5" max="5" width="30.38"/>
    <col customWidth="1" min="6" max="6" width="26.75"/>
  </cols>
  <sheetData>
    <row r="1">
      <c r="A1" s="49" t="s">
        <v>686</v>
      </c>
      <c r="B1" s="50" t="s">
        <v>687</v>
      </c>
      <c r="C1" s="51" t="s">
        <v>688</v>
      </c>
      <c r="D1" s="52" t="s">
        <v>689</v>
      </c>
      <c r="E1" s="53"/>
      <c r="F1" s="53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5" t="s">
        <v>620</v>
      </c>
      <c r="B2" s="56">
        <f>'ค่า 1.1'!O101</f>
        <v>67</v>
      </c>
      <c r="C2" s="57">
        <f>AVERAGE(B2:B17)</f>
        <v>69.0625</v>
      </c>
      <c r="D2" s="57">
        <f>C2*100/80</f>
        <v>86.328125</v>
      </c>
      <c r="E2" s="58"/>
      <c r="F2" s="59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60" t="s">
        <v>622</v>
      </c>
      <c r="B3" s="56">
        <f>'ค่า 1.2'!O101</f>
        <v>66</v>
      </c>
      <c r="C3" s="57" t="str">
        <f>'ค่า 1.3'!O83</f>
        <v/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60" t="s">
        <v>621</v>
      </c>
      <c r="B4" s="56">
        <f>'ค่า 1.2'!O101</f>
        <v>66</v>
      </c>
      <c r="C4" s="57" t="str">
        <f>'ค่า 1.2'!O83</f>
        <v/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61" t="s">
        <v>623</v>
      </c>
      <c r="B5" s="56">
        <f>'ค่า 1.4'!O101</f>
        <v>66</v>
      </c>
      <c r="C5" s="57" t="str">
        <f>'ค่า 1.4'!O83</f>
        <v/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61" t="s">
        <v>624</v>
      </c>
      <c r="B6" s="62">
        <f>'ค่า 1.5'!O101</f>
        <v>66</v>
      </c>
      <c r="C6" s="63" t="str">
        <f>'ค่า 1.5'!O83</f>
        <v/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60" t="s">
        <v>625</v>
      </c>
      <c r="B7" s="56">
        <f>'ค่า 1.6'!O101</f>
        <v>76</v>
      </c>
      <c r="C7" s="57" t="str">
        <f>'ค่า 1.6'!O83</f>
        <v/>
      </c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60" t="s">
        <v>626</v>
      </c>
      <c r="B8" s="56">
        <f>'ค่า 1.7'!O101</f>
        <v>76</v>
      </c>
      <c r="C8" s="57" t="str">
        <f>'ค่า 1.7'!O83</f>
        <v/>
      </c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60" t="s">
        <v>628</v>
      </c>
      <c r="B9" s="56">
        <f>'ค่า 1.8'!O101</f>
        <v>65</v>
      </c>
      <c r="C9" s="57" t="str">
        <f>'ค่า 1.8'!O83</f>
        <v/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60" t="s">
        <v>627</v>
      </c>
      <c r="B10" s="56">
        <f>'ค่า 1.9'!O101</f>
        <v>66</v>
      </c>
      <c r="C10" s="57" t="str">
        <f>'ค่า 1.9'!O83</f>
        <v/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60" t="s">
        <v>629</v>
      </c>
      <c r="B11" s="56">
        <f>'ค่า 2.1'!O101</f>
        <v>73</v>
      </c>
      <c r="C11" s="57" t="str">
        <f>'ค่า 2.1'!O83</f>
        <v/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60" t="s">
        <v>630</v>
      </c>
      <c r="B12" s="56">
        <f>'ค่า 2.2'!O101</f>
        <v>74</v>
      </c>
      <c r="C12" s="57" t="str">
        <f>'ค่า 2.2'!O83</f>
        <v/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61" t="s">
        <v>631</v>
      </c>
      <c r="B13" s="56">
        <f>'ค่า 2.3'!O101</f>
        <v>72</v>
      </c>
      <c r="C13" s="57" t="str">
        <f>'ค่า 2.3'!O83</f>
        <v/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60" t="s">
        <v>632</v>
      </c>
      <c r="B14" s="56">
        <f>'ค่า 2.4'!O101</f>
        <v>73</v>
      </c>
      <c r="C14" s="57" t="str">
        <f>'ค่า 2.4'!O83</f>
        <v/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60" t="s">
        <v>633</v>
      </c>
      <c r="B15" s="56">
        <f>'ค่า 3.1'!O101</f>
        <v>74</v>
      </c>
      <c r="C15" s="57" t="str">
        <f>'ค่า 3.1'!O83</f>
        <v/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61" t="s">
        <v>694</v>
      </c>
      <c r="B16" s="56">
        <f>'ค่า 3.2'!O101</f>
        <v>64</v>
      </c>
      <c r="C16" s="57" t="str">
        <f>'ค่า 3.2'!O83</f>
        <v/>
      </c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61" t="s">
        <v>635</v>
      </c>
      <c r="B17" s="56">
        <f>'ค่า 4.1'!O101</f>
        <v>61</v>
      </c>
      <c r="C17" s="57" t="str">
        <f>'ค่า 4.1'!O83</f>
        <v/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54"/>
      <c r="B18" s="64"/>
      <c r="C18" s="65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54"/>
      <c r="B19" s="64"/>
      <c r="C19" s="66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64"/>
      <c r="C20" s="66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4"/>
      <c r="B21" s="64"/>
      <c r="C21" s="66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54"/>
      <c r="B22" s="64"/>
      <c r="C22" s="6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54"/>
      <c r="B23" s="64"/>
      <c r="C23" s="66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4"/>
      <c r="B24" s="64"/>
      <c r="C24" s="66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4"/>
      <c r="B25" s="64"/>
      <c r="C25" s="66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4"/>
      <c r="B26" s="64"/>
      <c r="C26" s="66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4"/>
      <c r="B27" s="64"/>
      <c r="C27" s="66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4"/>
      <c r="B28" s="64"/>
      <c r="C28" s="66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64"/>
      <c r="C29" s="66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64"/>
      <c r="C30" s="6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64"/>
      <c r="C31" s="66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64"/>
      <c r="C32" s="66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64"/>
      <c r="C33" s="66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64"/>
      <c r="C34" s="66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64"/>
      <c r="C35" s="6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64"/>
      <c r="C36" s="66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64"/>
      <c r="C37" s="66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64"/>
      <c r="C38" s="66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64"/>
      <c r="C39" s="66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64"/>
      <c r="C40" s="66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64"/>
      <c r="C41" s="66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64"/>
      <c r="C42" s="66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64"/>
      <c r="C43" s="66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64"/>
      <c r="C44" s="66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64"/>
      <c r="C45" s="66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64"/>
      <c r="C46" s="66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64"/>
      <c r="C47" s="66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64"/>
      <c r="C48" s="66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64"/>
      <c r="C49" s="66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64"/>
      <c r="C50" s="66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64"/>
      <c r="C51" s="66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64"/>
      <c r="C52" s="66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64"/>
      <c r="C53" s="66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64"/>
      <c r="C54" s="66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64"/>
      <c r="C55" s="66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64"/>
      <c r="C56" s="66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64"/>
      <c r="C57" s="66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64"/>
      <c r="C58" s="66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64"/>
      <c r="C59" s="66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64"/>
      <c r="C60" s="66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64"/>
      <c r="C61" s="66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64"/>
      <c r="C62" s="66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64"/>
      <c r="C63" s="66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64"/>
      <c r="C64" s="66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64"/>
      <c r="C65" s="66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64"/>
      <c r="C66" s="66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64"/>
      <c r="C67" s="66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64"/>
      <c r="C68" s="66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64"/>
      <c r="C69" s="66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64"/>
      <c r="C70" s="66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64"/>
      <c r="C71" s="66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64"/>
      <c r="C72" s="66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64"/>
      <c r="C73" s="66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64"/>
      <c r="C74" s="66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64"/>
      <c r="C75" s="66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64"/>
      <c r="C76" s="66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64"/>
      <c r="C77" s="66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64"/>
      <c r="C78" s="66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64"/>
      <c r="C79" s="66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64"/>
      <c r="C80" s="66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64"/>
      <c r="C81" s="66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64"/>
      <c r="C82" s="66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64"/>
      <c r="C83" s="66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64"/>
      <c r="C84" s="66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64"/>
      <c r="C85" s="66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64"/>
      <c r="C86" s="66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64"/>
      <c r="C87" s="66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64"/>
      <c r="C88" s="66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64"/>
      <c r="C89" s="66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64"/>
      <c r="C90" s="66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64"/>
      <c r="C91" s="66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64"/>
      <c r="C92" s="66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64"/>
      <c r="C93" s="66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64"/>
      <c r="C94" s="66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64"/>
      <c r="C95" s="66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64"/>
      <c r="C96" s="66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64"/>
      <c r="C97" s="66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64"/>
      <c r="C98" s="66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64"/>
      <c r="C99" s="66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64"/>
      <c r="C100" s="66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64"/>
      <c r="C101" s="66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64"/>
      <c r="C102" s="66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64"/>
      <c r="C103" s="66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64"/>
      <c r="C104" s="66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64"/>
      <c r="C105" s="66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64"/>
      <c r="C106" s="66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64"/>
      <c r="C107" s="66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64"/>
      <c r="C108" s="66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64"/>
      <c r="C109" s="66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64"/>
      <c r="C110" s="66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64"/>
      <c r="C111" s="66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64"/>
      <c r="C112" s="66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64"/>
      <c r="C113" s="66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64"/>
      <c r="C114" s="66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64"/>
      <c r="C115" s="66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64"/>
      <c r="C116" s="66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64"/>
      <c r="C117" s="66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64"/>
      <c r="C118" s="66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64"/>
      <c r="C119" s="66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64"/>
      <c r="C120" s="66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64"/>
      <c r="C121" s="66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64"/>
      <c r="C122" s="66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64"/>
      <c r="C123" s="66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64"/>
      <c r="C124" s="66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64"/>
      <c r="C125" s="66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64"/>
      <c r="C126" s="66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64"/>
      <c r="C127" s="66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64"/>
      <c r="C128" s="66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64"/>
      <c r="C129" s="66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64"/>
      <c r="C130" s="66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64"/>
      <c r="C131" s="66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64"/>
      <c r="C132" s="66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64"/>
      <c r="C133" s="66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64"/>
      <c r="C134" s="66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64"/>
      <c r="C135" s="66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64"/>
      <c r="C136" s="66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64"/>
      <c r="C137" s="66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64"/>
      <c r="C138" s="66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64"/>
      <c r="C139" s="66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64"/>
      <c r="C140" s="66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64"/>
      <c r="C141" s="66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64"/>
      <c r="C142" s="66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64"/>
      <c r="C143" s="66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64"/>
      <c r="C144" s="66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64"/>
      <c r="C145" s="66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64"/>
      <c r="C146" s="66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64"/>
      <c r="C147" s="66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64"/>
      <c r="C148" s="66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64"/>
      <c r="C149" s="66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64"/>
      <c r="C150" s="66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64"/>
      <c r="C151" s="66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64"/>
      <c r="C152" s="66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64"/>
      <c r="C153" s="66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64"/>
      <c r="C154" s="66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64"/>
      <c r="C155" s="66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64"/>
      <c r="C156" s="66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64"/>
      <c r="C157" s="66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64"/>
      <c r="C158" s="66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64"/>
      <c r="C159" s="66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64"/>
      <c r="C160" s="66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64"/>
      <c r="C161" s="66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64"/>
      <c r="C162" s="66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64"/>
      <c r="C163" s="66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64"/>
      <c r="C164" s="66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64"/>
      <c r="C165" s="66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64"/>
      <c r="C166" s="66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64"/>
      <c r="C167" s="66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64"/>
      <c r="C168" s="66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64"/>
      <c r="C169" s="66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64"/>
      <c r="C170" s="66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64"/>
      <c r="C171" s="66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64"/>
      <c r="C172" s="66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64"/>
      <c r="C173" s="66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64"/>
      <c r="C174" s="66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64"/>
      <c r="C175" s="66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64"/>
      <c r="C176" s="66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64"/>
      <c r="C177" s="66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64"/>
      <c r="C178" s="66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64"/>
      <c r="C179" s="66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64"/>
      <c r="C180" s="66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64"/>
      <c r="C181" s="66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64"/>
      <c r="C182" s="66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64"/>
      <c r="C183" s="66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64"/>
      <c r="C184" s="66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64"/>
      <c r="C185" s="66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64"/>
      <c r="C186" s="66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64"/>
      <c r="C187" s="66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64"/>
      <c r="C188" s="66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64"/>
      <c r="C189" s="66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64"/>
      <c r="C190" s="66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64"/>
      <c r="C191" s="66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64"/>
      <c r="C192" s="66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64"/>
      <c r="C193" s="66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64"/>
      <c r="C194" s="66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64"/>
      <c r="C195" s="66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64"/>
      <c r="C196" s="66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64"/>
      <c r="C197" s="66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64"/>
      <c r="C198" s="66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64"/>
      <c r="C199" s="66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64"/>
      <c r="C200" s="66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64"/>
      <c r="C201" s="66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64"/>
      <c r="C202" s="66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64"/>
      <c r="C203" s="66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64"/>
      <c r="C204" s="66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64"/>
      <c r="C205" s="66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64"/>
      <c r="C206" s="66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64"/>
      <c r="C207" s="66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64"/>
      <c r="C208" s="66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64"/>
      <c r="C209" s="66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64"/>
      <c r="C210" s="66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64"/>
      <c r="C211" s="66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64"/>
      <c r="C212" s="66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64"/>
      <c r="C213" s="66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64"/>
      <c r="C214" s="66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64"/>
      <c r="C215" s="66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64"/>
      <c r="C216" s="66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64"/>
      <c r="C217" s="66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64"/>
      <c r="C218" s="66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64"/>
      <c r="C219" s="66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64"/>
      <c r="C220" s="66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64"/>
      <c r="C221" s="66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64"/>
      <c r="C222" s="66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64"/>
      <c r="C223" s="66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64"/>
      <c r="C224" s="66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64"/>
      <c r="C225" s="66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64"/>
      <c r="C226" s="66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64"/>
      <c r="C227" s="66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64"/>
      <c r="C228" s="66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64"/>
      <c r="C229" s="66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64"/>
      <c r="C230" s="66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64"/>
      <c r="C231" s="66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64"/>
      <c r="C232" s="66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64"/>
      <c r="C233" s="66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64"/>
      <c r="C234" s="66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64"/>
      <c r="C235" s="66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64"/>
      <c r="C236" s="66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64"/>
      <c r="C237" s="66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64"/>
      <c r="C238" s="66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64"/>
      <c r="C239" s="66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64"/>
      <c r="C240" s="66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64"/>
      <c r="C241" s="66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64"/>
      <c r="C242" s="66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64"/>
      <c r="C243" s="66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64"/>
      <c r="C244" s="66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64"/>
      <c r="C245" s="66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64"/>
      <c r="C246" s="66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64"/>
      <c r="C247" s="66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64"/>
      <c r="C248" s="66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64"/>
      <c r="C249" s="66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64"/>
      <c r="C250" s="66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64"/>
      <c r="C251" s="66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64"/>
      <c r="C252" s="66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64"/>
      <c r="C253" s="66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64"/>
      <c r="C254" s="66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64"/>
      <c r="C255" s="66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64"/>
      <c r="C256" s="66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64"/>
      <c r="C257" s="66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64"/>
      <c r="C258" s="66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64"/>
      <c r="C259" s="66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64"/>
      <c r="C260" s="66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64"/>
      <c r="C261" s="66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64"/>
      <c r="C262" s="66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64"/>
      <c r="C263" s="66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64"/>
      <c r="C264" s="66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64"/>
      <c r="C265" s="66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64"/>
      <c r="C266" s="66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64"/>
      <c r="C267" s="66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64"/>
      <c r="C268" s="66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64"/>
      <c r="C269" s="66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64"/>
      <c r="C270" s="66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64"/>
      <c r="C271" s="66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64"/>
      <c r="C272" s="66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64"/>
      <c r="C273" s="66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64"/>
      <c r="C274" s="66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64"/>
      <c r="C275" s="66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64"/>
      <c r="C276" s="66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64"/>
      <c r="C277" s="66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64"/>
      <c r="C278" s="66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64"/>
      <c r="C279" s="66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64"/>
      <c r="C280" s="66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64"/>
      <c r="C281" s="66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64"/>
      <c r="C282" s="66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64"/>
      <c r="C283" s="66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64"/>
      <c r="C284" s="66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64"/>
      <c r="C285" s="66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64"/>
      <c r="C286" s="66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64"/>
      <c r="C287" s="66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64"/>
      <c r="C288" s="66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64"/>
      <c r="C289" s="66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64"/>
      <c r="C290" s="66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64"/>
      <c r="C291" s="66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64"/>
      <c r="C292" s="66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64"/>
      <c r="C293" s="66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64"/>
      <c r="C294" s="66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64"/>
      <c r="C295" s="66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64"/>
      <c r="C296" s="66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64"/>
      <c r="C297" s="66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64"/>
      <c r="C298" s="66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64"/>
      <c r="C299" s="66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64"/>
      <c r="C300" s="66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64"/>
      <c r="C301" s="66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64"/>
      <c r="C302" s="66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64"/>
      <c r="C303" s="66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64"/>
      <c r="C304" s="66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64"/>
      <c r="C305" s="66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64"/>
      <c r="C306" s="66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64"/>
      <c r="C307" s="66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64"/>
      <c r="C308" s="66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64"/>
      <c r="C309" s="66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64"/>
      <c r="C310" s="66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64"/>
      <c r="C311" s="66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64"/>
      <c r="C312" s="66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64"/>
      <c r="C313" s="66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64"/>
      <c r="C314" s="66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64"/>
      <c r="C315" s="66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64"/>
      <c r="C316" s="66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64"/>
      <c r="C317" s="66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64"/>
      <c r="C318" s="66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64"/>
      <c r="C319" s="66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64"/>
      <c r="C320" s="66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64"/>
      <c r="C321" s="66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64"/>
      <c r="C322" s="66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64"/>
      <c r="C323" s="66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64"/>
      <c r="C324" s="66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64"/>
      <c r="C325" s="66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64"/>
      <c r="C326" s="66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64"/>
      <c r="C327" s="66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64"/>
      <c r="C328" s="66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64"/>
      <c r="C329" s="66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64"/>
      <c r="C330" s="66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64"/>
      <c r="C331" s="66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64"/>
      <c r="C332" s="66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64"/>
      <c r="C333" s="66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64"/>
      <c r="C334" s="66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64"/>
      <c r="C335" s="66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64"/>
      <c r="C336" s="66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64"/>
      <c r="C337" s="66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64"/>
      <c r="C338" s="66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64"/>
      <c r="C339" s="66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64"/>
      <c r="C340" s="66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64"/>
      <c r="C341" s="66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64"/>
      <c r="C342" s="66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64"/>
      <c r="C343" s="66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64"/>
      <c r="C344" s="66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64"/>
      <c r="C345" s="66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64"/>
      <c r="C346" s="66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64"/>
      <c r="C347" s="66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64"/>
      <c r="C348" s="66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64"/>
      <c r="C349" s="66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64"/>
      <c r="C350" s="66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64"/>
      <c r="C351" s="66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64"/>
      <c r="C352" s="66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64"/>
      <c r="C353" s="66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64"/>
      <c r="C354" s="66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64"/>
      <c r="C355" s="66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64"/>
      <c r="C356" s="66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64"/>
      <c r="C357" s="66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64"/>
      <c r="C358" s="66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64"/>
      <c r="C359" s="66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64"/>
      <c r="C360" s="66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64"/>
      <c r="C361" s="66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64"/>
      <c r="C362" s="66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64"/>
      <c r="C363" s="66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64"/>
      <c r="C364" s="66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64"/>
      <c r="C365" s="66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64"/>
      <c r="C366" s="66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64"/>
      <c r="C367" s="66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64"/>
      <c r="C368" s="66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64"/>
      <c r="C369" s="66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64"/>
      <c r="C370" s="66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64"/>
      <c r="C371" s="66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64"/>
      <c r="C372" s="66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64"/>
      <c r="C373" s="66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64"/>
      <c r="C374" s="66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64"/>
      <c r="C375" s="66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64"/>
      <c r="C376" s="66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64"/>
      <c r="C377" s="66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64"/>
      <c r="C378" s="66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64"/>
      <c r="C379" s="66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64"/>
      <c r="C380" s="66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64"/>
      <c r="C381" s="66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64"/>
      <c r="C382" s="66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64"/>
      <c r="C383" s="66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64"/>
      <c r="C384" s="66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64"/>
      <c r="C385" s="66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64"/>
      <c r="C386" s="66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64"/>
      <c r="C387" s="66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64"/>
      <c r="C388" s="66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64"/>
      <c r="C389" s="66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64"/>
      <c r="C390" s="66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64"/>
      <c r="C391" s="66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64"/>
      <c r="C392" s="66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64"/>
      <c r="C393" s="66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64"/>
      <c r="C394" s="66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64"/>
      <c r="C395" s="66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64"/>
      <c r="C396" s="66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64"/>
      <c r="C397" s="66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64"/>
      <c r="C398" s="66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64"/>
      <c r="C399" s="66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64"/>
      <c r="C400" s="66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64"/>
      <c r="C401" s="66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64"/>
      <c r="C402" s="66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64"/>
      <c r="C403" s="66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64"/>
      <c r="C404" s="66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64"/>
      <c r="C405" s="66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64"/>
      <c r="C406" s="66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64"/>
      <c r="C407" s="66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64"/>
      <c r="C408" s="66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64"/>
      <c r="C409" s="66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64"/>
      <c r="C410" s="66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64"/>
      <c r="C411" s="66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64"/>
      <c r="C412" s="66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64"/>
      <c r="C413" s="66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64"/>
      <c r="C414" s="66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64"/>
      <c r="C415" s="66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64"/>
      <c r="C416" s="66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64"/>
      <c r="C417" s="66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64"/>
      <c r="C418" s="66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64"/>
      <c r="C419" s="66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64"/>
      <c r="C420" s="66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64"/>
      <c r="C421" s="66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64"/>
      <c r="C422" s="66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64"/>
      <c r="C423" s="66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64"/>
      <c r="C424" s="66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64"/>
      <c r="C425" s="66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64"/>
      <c r="C426" s="66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64"/>
      <c r="C427" s="66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64"/>
      <c r="C428" s="66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64"/>
      <c r="C429" s="66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64"/>
      <c r="C430" s="66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64"/>
      <c r="C431" s="66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64"/>
      <c r="C432" s="66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64"/>
      <c r="C433" s="66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64"/>
      <c r="C434" s="66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64"/>
      <c r="C435" s="66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64"/>
      <c r="C436" s="66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64"/>
      <c r="C437" s="66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64"/>
      <c r="C438" s="66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64"/>
      <c r="C439" s="66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64"/>
      <c r="C440" s="66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64"/>
      <c r="C441" s="66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64"/>
      <c r="C442" s="66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64"/>
      <c r="C443" s="66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64"/>
      <c r="C444" s="66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64"/>
      <c r="C445" s="66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64"/>
      <c r="C446" s="66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64"/>
      <c r="C447" s="66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64"/>
      <c r="C448" s="66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64"/>
      <c r="C449" s="66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64"/>
      <c r="C450" s="66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64"/>
      <c r="C451" s="66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64"/>
      <c r="C452" s="66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64"/>
      <c r="C453" s="66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64"/>
      <c r="C454" s="66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64"/>
      <c r="C455" s="66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64"/>
      <c r="C456" s="66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64"/>
      <c r="C457" s="66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64"/>
      <c r="C458" s="66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64"/>
      <c r="C459" s="66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64"/>
      <c r="C460" s="66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64"/>
      <c r="C461" s="66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64"/>
      <c r="C462" s="66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64"/>
      <c r="C463" s="66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64"/>
      <c r="C464" s="66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64"/>
      <c r="C465" s="66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64"/>
      <c r="C466" s="66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64"/>
      <c r="C467" s="66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64"/>
      <c r="C468" s="66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64"/>
      <c r="C469" s="66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64"/>
      <c r="C470" s="66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64"/>
      <c r="C471" s="66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64"/>
      <c r="C472" s="66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64"/>
      <c r="C473" s="66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64"/>
      <c r="C474" s="66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64"/>
      <c r="C475" s="66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64"/>
      <c r="C476" s="66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64"/>
      <c r="C477" s="66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64"/>
      <c r="C478" s="66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64"/>
      <c r="C479" s="66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64"/>
      <c r="C480" s="66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64"/>
      <c r="C481" s="66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64"/>
      <c r="C482" s="66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64"/>
      <c r="C483" s="66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64"/>
      <c r="C484" s="66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64"/>
      <c r="C485" s="66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64"/>
      <c r="C486" s="66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64"/>
      <c r="C487" s="66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64"/>
      <c r="C488" s="66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64"/>
      <c r="C489" s="66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64"/>
      <c r="C490" s="66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64"/>
      <c r="C491" s="66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64"/>
      <c r="C492" s="66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64"/>
      <c r="C493" s="66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64"/>
      <c r="C494" s="66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64"/>
      <c r="C495" s="66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64"/>
      <c r="C496" s="66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64"/>
      <c r="C497" s="66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64"/>
      <c r="C498" s="66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64"/>
      <c r="C499" s="66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64"/>
      <c r="C500" s="66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64"/>
      <c r="C501" s="66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64"/>
      <c r="C502" s="66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64"/>
      <c r="C503" s="66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64"/>
      <c r="C504" s="66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64"/>
      <c r="C505" s="66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64"/>
      <c r="C506" s="66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64"/>
      <c r="C507" s="66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64"/>
      <c r="C508" s="66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64"/>
      <c r="C509" s="66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64"/>
      <c r="C510" s="66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64"/>
      <c r="C511" s="66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64"/>
      <c r="C512" s="66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64"/>
      <c r="C513" s="66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64"/>
      <c r="C514" s="66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64"/>
      <c r="C515" s="66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64"/>
      <c r="C516" s="66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64"/>
      <c r="C517" s="66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64"/>
      <c r="C518" s="66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64"/>
      <c r="C519" s="66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64"/>
      <c r="C520" s="66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64"/>
      <c r="C521" s="66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64"/>
      <c r="C522" s="66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64"/>
      <c r="C523" s="66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64"/>
      <c r="C524" s="66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64"/>
      <c r="C525" s="66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64"/>
      <c r="C526" s="66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64"/>
      <c r="C527" s="66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64"/>
      <c r="C528" s="66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64"/>
      <c r="C529" s="66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64"/>
      <c r="C530" s="66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64"/>
      <c r="C531" s="66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64"/>
      <c r="C532" s="66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64"/>
      <c r="C533" s="66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64"/>
      <c r="C534" s="66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64"/>
      <c r="C535" s="66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64"/>
      <c r="C536" s="66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64"/>
      <c r="C537" s="66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64"/>
      <c r="C538" s="66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64"/>
      <c r="C539" s="66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64"/>
      <c r="C540" s="66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64"/>
      <c r="C541" s="66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64"/>
      <c r="C542" s="66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64"/>
      <c r="C543" s="66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64"/>
      <c r="C544" s="66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64"/>
      <c r="C545" s="66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64"/>
      <c r="C546" s="66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64"/>
      <c r="C547" s="66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64"/>
      <c r="C548" s="66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64"/>
      <c r="C549" s="66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64"/>
      <c r="C550" s="66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64"/>
      <c r="C551" s="66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64"/>
      <c r="C552" s="66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64"/>
      <c r="C553" s="66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64"/>
      <c r="C554" s="66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64"/>
      <c r="C555" s="66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64"/>
      <c r="C556" s="66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64"/>
      <c r="C557" s="66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64"/>
      <c r="C558" s="66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64"/>
      <c r="C559" s="66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64"/>
      <c r="C560" s="66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64"/>
      <c r="C561" s="66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64"/>
      <c r="C562" s="66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64"/>
      <c r="C563" s="66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64"/>
      <c r="C564" s="66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64"/>
      <c r="C565" s="66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64"/>
      <c r="C566" s="66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64"/>
      <c r="C567" s="66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64"/>
      <c r="C568" s="66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64"/>
      <c r="C569" s="66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64"/>
      <c r="C570" s="66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64"/>
      <c r="C571" s="66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64"/>
      <c r="C572" s="66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64"/>
      <c r="C573" s="66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64"/>
      <c r="C574" s="66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64"/>
      <c r="C575" s="66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64"/>
      <c r="C576" s="66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64"/>
      <c r="C577" s="66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64"/>
      <c r="C578" s="66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64"/>
      <c r="C579" s="66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64"/>
      <c r="C580" s="66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64"/>
      <c r="C581" s="66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64"/>
      <c r="C582" s="66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64"/>
      <c r="C583" s="66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64"/>
      <c r="C584" s="66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64"/>
      <c r="C585" s="66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64"/>
      <c r="C586" s="66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64"/>
      <c r="C587" s="66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64"/>
      <c r="C588" s="66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64"/>
      <c r="C589" s="66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64"/>
      <c r="C590" s="66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64"/>
      <c r="C591" s="66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64"/>
      <c r="C592" s="66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64"/>
      <c r="C593" s="66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64"/>
      <c r="C594" s="66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64"/>
      <c r="C595" s="66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64"/>
      <c r="C596" s="66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64"/>
      <c r="C597" s="66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64"/>
      <c r="C598" s="66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64"/>
      <c r="C599" s="66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64"/>
      <c r="C600" s="66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64"/>
      <c r="C601" s="66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64"/>
      <c r="C602" s="66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64"/>
      <c r="C603" s="66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64"/>
      <c r="C604" s="66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64"/>
      <c r="C605" s="66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64"/>
      <c r="C606" s="66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64"/>
      <c r="C607" s="66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64"/>
      <c r="C608" s="66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64"/>
      <c r="C609" s="66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64"/>
      <c r="C610" s="66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64"/>
      <c r="C611" s="66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64"/>
      <c r="C612" s="66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64"/>
      <c r="C613" s="66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64"/>
      <c r="C614" s="66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64"/>
      <c r="C615" s="66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64"/>
      <c r="C616" s="66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64"/>
      <c r="C617" s="66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64"/>
      <c r="C618" s="66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64"/>
      <c r="C619" s="66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64"/>
      <c r="C620" s="66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64"/>
      <c r="C621" s="66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64"/>
      <c r="C622" s="66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64"/>
      <c r="C623" s="66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64"/>
      <c r="C624" s="66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64"/>
      <c r="C625" s="66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64"/>
      <c r="C626" s="66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64"/>
      <c r="C627" s="66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64"/>
      <c r="C628" s="66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64"/>
      <c r="C629" s="66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64"/>
      <c r="C630" s="66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64"/>
      <c r="C631" s="66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64"/>
      <c r="C632" s="66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64"/>
      <c r="C633" s="66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64"/>
      <c r="C634" s="66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64"/>
      <c r="C635" s="66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64"/>
      <c r="C636" s="66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64"/>
      <c r="C637" s="66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64"/>
      <c r="C638" s="66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64"/>
      <c r="C639" s="66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64"/>
      <c r="C640" s="66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64"/>
      <c r="C641" s="66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64"/>
      <c r="C642" s="66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64"/>
      <c r="C643" s="66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64"/>
      <c r="C644" s="66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64"/>
      <c r="C645" s="66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64"/>
      <c r="C646" s="66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64"/>
      <c r="C647" s="66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64"/>
      <c r="C648" s="66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64"/>
      <c r="C649" s="66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64"/>
      <c r="C650" s="66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64"/>
      <c r="C651" s="66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64"/>
      <c r="C652" s="66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64"/>
      <c r="C653" s="66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64"/>
      <c r="C654" s="66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64"/>
      <c r="C655" s="66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64"/>
      <c r="C656" s="66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64"/>
      <c r="C657" s="66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64"/>
      <c r="C658" s="66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64"/>
      <c r="C659" s="66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64"/>
      <c r="C660" s="66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64"/>
      <c r="C661" s="66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64"/>
      <c r="C662" s="66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64"/>
      <c r="C663" s="66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64"/>
      <c r="C664" s="66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64"/>
      <c r="C665" s="66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64"/>
      <c r="C666" s="66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64"/>
      <c r="C667" s="66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64"/>
      <c r="C668" s="66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64"/>
      <c r="C669" s="66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64"/>
      <c r="C670" s="66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64"/>
      <c r="C671" s="66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64"/>
      <c r="C672" s="66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64"/>
      <c r="C673" s="66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64"/>
      <c r="C674" s="66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64"/>
      <c r="C675" s="66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64"/>
      <c r="C676" s="66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64"/>
      <c r="C677" s="66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64"/>
      <c r="C678" s="66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64"/>
      <c r="C679" s="66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64"/>
      <c r="C680" s="66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64"/>
      <c r="C681" s="66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64"/>
      <c r="C682" s="66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64"/>
      <c r="C683" s="66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64"/>
      <c r="C684" s="66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64"/>
      <c r="C685" s="66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64"/>
      <c r="C686" s="66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64"/>
      <c r="C687" s="66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64"/>
      <c r="C688" s="66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64"/>
      <c r="C689" s="66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64"/>
      <c r="C690" s="66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64"/>
      <c r="C691" s="66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64"/>
      <c r="C692" s="66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64"/>
      <c r="C693" s="66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64"/>
      <c r="C694" s="66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64"/>
      <c r="C695" s="66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64"/>
      <c r="C696" s="66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64"/>
      <c r="C697" s="66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64"/>
      <c r="C698" s="66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64"/>
      <c r="C699" s="66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64"/>
      <c r="C700" s="66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64"/>
      <c r="C701" s="66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64"/>
      <c r="C702" s="66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64"/>
      <c r="C703" s="66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64"/>
      <c r="C704" s="66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64"/>
      <c r="C705" s="66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64"/>
      <c r="C706" s="66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64"/>
      <c r="C707" s="66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64"/>
      <c r="C708" s="66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64"/>
      <c r="C709" s="66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64"/>
      <c r="C710" s="66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64"/>
      <c r="C711" s="66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64"/>
      <c r="C712" s="66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64"/>
      <c r="C713" s="66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64"/>
      <c r="C714" s="66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64"/>
      <c r="C715" s="66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64"/>
      <c r="C716" s="66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64"/>
      <c r="C717" s="66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64"/>
      <c r="C718" s="66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64"/>
      <c r="C719" s="66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64"/>
      <c r="C720" s="66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64"/>
      <c r="C721" s="66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64"/>
      <c r="C722" s="66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64"/>
      <c r="C723" s="66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64"/>
      <c r="C724" s="66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64"/>
      <c r="C725" s="66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64"/>
      <c r="C726" s="66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64"/>
      <c r="C727" s="66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64"/>
      <c r="C728" s="66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64"/>
      <c r="C729" s="66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64"/>
      <c r="C730" s="66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64"/>
      <c r="C731" s="66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64"/>
      <c r="C732" s="66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64"/>
      <c r="C733" s="66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64"/>
      <c r="C734" s="66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64"/>
      <c r="C735" s="66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64"/>
      <c r="C736" s="66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64"/>
      <c r="C737" s="66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64"/>
      <c r="C738" s="66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64"/>
      <c r="C739" s="66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64"/>
      <c r="C740" s="66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64"/>
      <c r="C741" s="66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64"/>
      <c r="C742" s="66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64"/>
      <c r="C743" s="66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64"/>
      <c r="C744" s="66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64"/>
      <c r="C745" s="66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64"/>
      <c r="C746" s="66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64"/>
      <c r="C747" s="66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64"/>
      <c r="C748" s="66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64"/>
      <c r="C749" s="66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64"/>
      <c r="C750" s="66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64"/>
      <c r="C751" s="66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64"/>
      <c r="C752" s="66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64"/>
      <c r="C753" s="66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64"/>
      <c r="C754" s="66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64"/>
      <c r="C755" s="66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64"/>
      <c r="C756" s="66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64"/>
      <c r="C757" s="66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64"/>
      <c r="C758" s="66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64"/>
      <c r="C759" s="66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64"/>
      <c r="C760" s="66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64"/>
      <c r="C761" s="66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64"/>
      <c r="C762" s="66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64"/>
      <c r="C763" s="66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64"/>
      <c r="C764" s="66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64"/>
      <c r="C765" s="66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64"/>
      <c r="C766" s="66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64"/>
      <c r="C767" s="66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64"/>
      <c r="C768" s="66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64"/>
      <c r="C769" s="66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64"/>
      <c r="C770" s="66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64"/>
      <c r="C771" s="66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64"/>
      <c r="C772" s="66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64"/>
      <c r="C773" s="66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64"/>
      <c r="C774" s="66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64"/>
      <c r="C775" s="66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64"/>
      <c r="C776" s="66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64"/>
      <c r="C777" s="66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64"/>
      <c r="C778" s="66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64"/>
      <c r="C779" s="66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64"/>
      <c r="C780" s="66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64"/>
      <c r="C781" s="66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64"/>
      <c r="C782" s="66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64"/>
      <c r="C783" s="66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64"/>
      <c r="C784" s="66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64"/>
      <c r="C785" s="66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64"/>
      <c r="C786" s="66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64"/>
      <c r="C787" s="66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64"/>
      <c r="C788" s="66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64"/>
      <c r="C789" s="66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64"/>
      <c r="C790" s="66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64"/>
      <c r="C791" s="66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64"/>
      <c r="C792" s="66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64"/>
      <c r="C793" s="66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64"/>
      <c r="C794" s="66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64"/>
      <c r="C795" s="66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64"/>
      <c r="C796" s="66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64"/>
      <c r="C797" s="66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64"/>
      <c r="C798" s="66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64"/>
      <c r="C799" s="66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64"/>
      <c r="C800" s="66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64"/>
      <c r="C801" s="66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64"/>
      <c r="C802" s="66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64"/>
      <c r="C803" s="66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64"/>
      <c r="C804" s="66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64"/>
      <c r="C805" s="66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64"/>
      <c r="C806" s="66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64"/>
      <c r="C807" s="66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64"/>
      <c r="C808" s="66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64"/>
      <c r="C809" s="66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64"/>
      <c r="C810" s="66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64"/>
      <c r="C811" s="66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64"/>
      <c r="C812" s="66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64"/>
      <c r="C813" s="66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64"/>
      <c r="C814" s="66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64"/>
      <c r="C815" s="66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64"/>
      <c r="C816" s="66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64"/>
      <c r="C817" s="66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64"/>
      <c r="C818" s="66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64"/>
      <c r="C819" s="66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64"/>
      <c r="C820" s="66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64"/>
      <c r="C821" s="66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64"/>
      <c r="C822" s="66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64"/>
      <c r="C823" s="66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64"/>
      <c r="C824" s="66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64"/>
      <c r="C825" s="66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64"/>
      <c r="C826" s="66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64"/>
      <c r="C827" s="66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64"/>
      <c r="C828" s="66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64"/>
      <c r="C829" s="66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64"/>
      <c r="C830" s="66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64"/>
      <c r="C831" s="66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64"/>
      <c r="C832" s="66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64"/>
      <c r="C833" s="66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64"/>
      <c r="C834" s="66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64"/>
      <c r="C835" s="66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64"/>
      <c r="C836" s="66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64"/>
      <c r="C837" s="66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64"/>
      <c r="C838" s="66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64"/>
      <c r="C839" s="66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64"/>
      <c r="C840" s="66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64"/>
      <c r="C841" s="66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64"/>
      <c r="C842" s="66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64"/>
      <c r="C843" s="66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64"/>
      <c r="C844" s="66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64"/>
      <c r="C845" s="66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64"/>
      <c r="C846" s="66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64"/>
      <c r="C847" s="66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64"/>
      <c r="C848" s="66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64"/>
      <c r="C849" s="66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64"/>
      <c r="C850" s="66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64"/>
      <c r="C851" s="66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64"/>
      <c r="C852" s="66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64"/>
      <c r="C853" s="66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64"/>
      <c r="C854" s="66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64"/>
      <c r="C855" s="66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64"/>
      <c r="C856" s="66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64"/>
      <c r="C857" s="66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64"/>
      <c r="C858" s="66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64"/>
      <c r="C859" s="66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64"/>
      <c r="C860" s="66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64"/>
      <c r="C861" s="66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64"/>
      <c r="C862" s="66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64"/>
      <c r="C863" s="66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64"/>
      <c r="C864" s="66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64"/>
      <c r="C865" s="66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64"/>
      <c r="C866" s="66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64"/>
      <c r="C867" s="66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64"/>
      <c r="C868" s="66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64"/>
      <c r="C869" s="66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64"/>
      <c r="C870" s="66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64"/>
      <c r="C871" s="66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64"/>
      <c r="C872" s="66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64"/>
      <c r="C873" s="66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64"/>
      <c r="C874" s="66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64"/>
      <c r="C875" s="66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64"/>
      <c r="C876" s="66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64"/>
      <c r="C877" s="66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64"/>
      <c r="C878" s="66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64"/>
      <c r="C879" s="66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64"/>
      <c r="C880" s="66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64"/>
      <c r="C881" s="66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64"/>
      <c r="C882" s="66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64"/>
      <c r="C883" s="66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64"/>
      <c r="C884" s="66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64"/>
      <c r="C885" s="66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64"/>
      <c r="C886" s="66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64"/>
      <c r="C887" s="66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64"/>
      <c r="C888" s="66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64"/>
      <c r="C889" s="66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64"/>
      <c r="C890" s="66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64"/>
      <c r="C891" s="66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64"/>
      <c r="C892" s="66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64"/>
      <c r="C893" s="66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64"/>
      <c r="C894" s="66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64"/>
      <c r="C895" s="66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64"/>
      <c r="C896" s="66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64"/>
      <c r="C897" s="66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64"/>
      <c r="C898" s="66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64"/>
      <c r="C899" s="66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64"/>
      <c r="C900" s="66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64"/>
      <c r="C901" s="66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64"/>
      <c r="C902" s="66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64"/>
      <c r="C903" s="66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64"/>
      <c r="C904" s="66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64"/>
      <c r="C905" s="66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64"/>
      <c r="C906" s="66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64"/>
      <c r="C907" s="66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64"/>
      <c r="C908" s="66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64"/>
      <c r="C909" s="66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64"/>
      <c r="C910" s="66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64"/>
      <c r="C911" s="66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64"/>
      <c r="C912" s="66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64"/>
      <c r="C913" s="66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64"/>
      <c r="C914" s="66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64"/>
      <c r="C915" s="66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64"/>
      <c r="C916" s="66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64"/>
      <c r="C917" s="66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64"/>
      <c r="C918" s="66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64"/>
      <c r="C919" s="66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64"/>
      <c r="C920" s="66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64"/>
      <c r="C921" s="66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64"/>
      <c r="C922" s="66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64"/>
      <c r="C923" s="66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64"/>
      <c r="C924" s="66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64"/>
      <c r="C925" s="66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64"/>
      <c r="C926" s="66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64"/>
      <c r="C927" s="66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64"/>
      <c r="C928" s="66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64"/>
      <c r="C929" s="66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64"/>
      <c r="C930" s="66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64"/>
      <c r="C931" s="66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64"/>
      <c r="C932" s="66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64"/>
      <c r="C933" s="66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64"/>
      <c r="C934" s="66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64"/>
      <c r="C935" s="66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64"/>
      <c r="C936" s="66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64"/>
      <c r="C937" s="66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64"/>
      <c r="C938" s="66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64"/>
      <c r="C939" s="66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64"/>
      <c r="C940" s="66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64"/>
      <c r="C941" s="66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64"/>
      <c r="C942" s="66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64"/>
      <c r="C943" s="66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64"/>
      <c r="C944" s="66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64"/>
      <c r="C945" s="66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64"/>
      <c r="C946" s="66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64"/>
      <c r="C947" s="66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64"/>
      <c r="C948" s="66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64"/>
      <c r="C949" s="66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64"/>
      <c r="C950" s="66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64"/>
      <c r="C951" s="66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64"/>
      <c r="C952" s="66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64"/>
      <c r="C953" s="66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64"/>
      <c r="C954" s="66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64"/>
      <c r="C955" s="66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64"/>
      <c r="C956" s="66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64"/>
      <c r="C957" s="66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64"/>
      <c r="C958" s="66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64"/>
      <c r="C959" s="66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64"/>
      <c r="C960" s="66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64"/>
      <c r="C961" s="66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64"/>
      <c r="C962" s="66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64"/>
      <c r="C963" s="66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64"/>
      <c r="C964" s="66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64"/>
      <c r="C965" s="66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64"/>
      <c r="C966" s="66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64"/>
      <c r="C967" s="66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64"/>
      <c r="C968" s="66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64"/>
      <c r="C969" s="66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64"/>
      <c r="C970" s="66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64"/>
      <c r="C971" s="66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64"/>
      <c r="C972" s="66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64"/>
      <c r="C973" s="66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64"/>
      <c r="C974" s="66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64"/>
      <c r="C975" s="66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64"/>
      <c r="C976" s="66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64"/>
      <c r="C977" s="66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64"/>
      <c r="C978" s="66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64"/>
      <c r="C979" s="66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64"/>
      <c r="C980" s="66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64"/>
      <c r="C981" s="66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64"/>
      <c r="C982" s="66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64"/>
      <c r="C983" s="66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64"/>
      <c r="C984" s="66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64"/>
      <c r="C985" s="66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64"/>
      <c r="C986" s="66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64"/>
      <c r="C987" s="66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64"/>
      <c r="C988" s="66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64"/>
      <c r="C989" s="66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64"/>
      <c r="C990" s="66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</sheetData>
  <drawing r:id="rId1"/>
</worksheet>
</file>