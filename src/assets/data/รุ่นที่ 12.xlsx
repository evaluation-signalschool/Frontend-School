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1" sheetId="1" r:id="rId5"/>
    <sheet state="visible" name="ค่า 1.1" sheetId="2" r:id="rId6"/>
    <sheet state="visible" name="1.2" sheetId="3" r:id="rId7"/>
    <sheet state="visible" name="ค่า 1.2" sheetId="4" r:id="rId8"/>
    <sheet state="visible" name="1.3" sheetId="5" r:id="rId9"/>
    <sheet state="visible" name="ค่า 1.3" sheetId="6" r:id="rId10"/>
    <sheet state="visible" name="1.4" sheetId="7" r:id="rId11"/>
    <sheet state="visible" name="ค่า 1.4" sheetId="8" r:id="rId12"/>
    <sheet state="visible" name="1.5" sheetId="9" r:id="rId13"/>
    <sheet state="visible" name="ค่า 1.5" sheetId="10" r:id="rId14"/>
    <sheet state="visible" name="1.6" sheetId="11" r:id="rId15"/>
    <sheet state="visible" name="ค่า 1.6" sheetId="12" r:id="rId16"/>
    <sheet state="visible" name="1.7" sheetId="13" r:id="rId17"/>
    <sheet state="visible" name="ค่า 1.7" sheetId="14" r:id="rId18"/>
    <sheet state="visible" name="1.8" sheetId="15" r:id="rId19"/>
    <sheet state="visible" name="ค่า 1.8" sheetId="16" r:id="rId20"/>
    <sheet state="visible" name="1.9" sheetId="17" r:id="rId21"/>
    <sheet state="visible" name="ค่า 1.9" sheetId="18" r:id="rId22"/>
    <sheet state="visible" name="2.1" sheetId="19" r:id="rId23"/>
    <sheet state="visible" name="ค่า 2.1" sheetId="20" r:id="rId24"/>
    <sheet state="visible" name="2.2" sheetId="21" r:id="rId25"/>
    <sheet state="visible" name="ค่า 2.2" sheetId="22" r:id="rId26"/>
    <sheet state="visible" name="2.3" sheetId="23" r:id="rId27"/>
    <sheet state="visible" name="ค่า 2.3" sheetId="24" r:id="rId28"/>
    <sheet state="visible" name="2.4" sheetId="25" r:id="rId29"/>
    <sheet state="visible" name="ค่า 2.4" sheetId="26" r:id="rId30"/>
    <sheet state="visible" name="3.1" sheetId="27" r:id="rId31"/>
    <sheet state="visible" name="ค่า 3.1" sheetId="28" r:id="rId32"/>
    <sheet state="visible" name="3.2" sheetId="29" r:id="rId33"/>
    <sheet state="visible" name="ค่า 3.2" sheetId="30" r:id="rId34"/>
    <sheet state="visible" name="4.1" sheetId="31" r:id="rId35"/>
    <sheet state="visible" name="ค่า 4.1" sheetId="32" r:id="rId36"/>
    <sheet state="visible" name="lookup" sheetId="33" r:id="rId37"/>
    <sheet state="visible" name="สรุปการเข้าประเมินรายบุคคล" sheetId="34" r:id="rId38"/>
    <sheet state="visible" name="สรุป ยอดร้อยละ" sheetId="35" r:id="rId39"/>
    <sheet state="visible" name="ชีต2" sheetId="36" r:id="rId40"/>
  </sheets>
  <definedNames/>
  <calcPr/>
</workbook>
</file>

<file path=xl/sharedStrings.xml><?xml version="1.0" encoding="utf-8"?>
<sst xmlns="http://schemas.openxmlformats.org/spreadsheetml/2006/main" count="13511" uniqueCount="556">
  <si>
    <t>ประทับเวลา</t>
  </si>
  <si>
    <t>ที่อยู่อีเมล</t>
  </si>
  <si>
    <t>ยศ ชื่อ-สกุล ครู-อาจารย์ผู้สอน</t>
  </si>
  <si>
    <t>1. บุคลิกภาพและลักษณะท่าทางของอาจารย์ผู้สอน</t>
  </si>
  <si>
    <t>2. การพูดและการใช้นํ้าเสียง</t>
  </si>
  <si>
    <t>3. การเตรียมการสอน</t>
  </si>
  <si>
    <t>4. การจัดเตรียมสื่อการสอน</t>
  </si>
  <si>
    <t>5. การถ่ายทอดความรู้และการนำเข้าสู่บทเรียน</t>
  </si>
  <si>
    <t>6. ผู้เรียนได้ฝึกทักษะการคิดวิเคราะห์ หรือการพัฒนาความคิดสร้างสรรค์จากการเรียนรายวิชานี้มากน้อยเพียงใด</t>
  </si>
  <si>
    <t>7. ผู้เรียนได้ฝึกทักษะการสื่อสาร การนำเสนอ และการใช้งานเทคโนโลยีสารสนเทศจากการเรียนรายวิชานี้มากน้อยเพียงใด</t>
  </si>
  <si>
    <t>ข้อเสนอแนะอื่นๆ</t>
  </si>
  <si>
    <t>bnco0910@signalschool.ac.th</t>
  </si>
  <si>
    <t>bnco0958@signalschool.ac.th</t>
  </si>
  <si>
    <t>ส.อ.ไชยพร รัก รักษากุล</t>
  </si>
  <si>
    <t>ส.อ.พิจักษณ์ คงแสง</t>
  </si>
  <si>
    <t>ลักษณะทางทหาร "ดีมาก" มีความเชื่อมั่นในตนเองเป็นแบบอย่างที่ดีแก่ผู้เรียนได้</t>
  </si>
  <si>
    <t>เสียงดังฟังชัดและจังหวะการพูดไม่ช้า/เร็วเกินไป</t>
  </si>
  <si>
    <t>มีประมวลรายวิชาและแนะนำเนื้อหาวิชา</t>
  </si>
  <si>
    <t>มีการจัดเตรียมสื่อการเรียนการสอนและรวบรวมแหล่งอ้างอิงไว้อย่างเหมาะสม</t>
  </si>
  <si>
    <t>มีการจัดการเรียนการสอนเป็นไปตามประมวลรายวิชาครบถ้วนและการนำเข้าสู่บทเรียนให้ข้อมูลที่เป็นประโยชน์แก่ผู้เรียนครบถ้วน</t>
  </si>
  <si>
    <t>มีการส่งเสริมให้ผู้เรียนได้ฝึกทักษะการคิดได้อย่างเหมาะสมดีมาก</t>
  </si>
  <si>
    <t>มีการส่งเสริมให้ผู้เรียนได้ฝึกทักษะการสื่อสารได้อย่างเหมาะสมดีมาก</t>
  </si>
  <si>
    <t>bnco0936@signalschool.ac.th</t>
  </si>
  <si>
    <t>จ.ส.ต.ภานุพงษ์  ใจเฉื่อย</t>
  </si>
  <si>
    <t>ตรวจสอบผู้เข้าประเมิน</t>
  </si>
  <si>
    <t>bnco0934@signalschool.ac.th</t>
  </si>
  <si>
    <t>ส.อ.สุขเกษม พิบูลสุขสิน</t>
  </si>
  <si>
    <t>bnco0940@signalschool.ac.th</t>
  </si>
  <si>
    <t>ส.อ.ไชยพร รักษากุล</t>
  </si>
  <si>
    <t>-</t>
  </si>
  <si>
    <t>bnco0950@signalschool.ac.th</t>
  </si>
  <si>
    <t>bnco0971@signalschool.ac.th</t>
  </si>
  <si>
    <t>ส.อ.วิศวะ กิจสุวรรณ์</t>
  </si>
  <si>
    <t>เสียงเบา "แต่" จังหวะการพูดไม่ช้า/เร็วเกินไป</t>
  </si>
  <si>
    <t>ไม่มีครับ</t>
  </si>
  <si>
    <t>bnco0951@signalschool.ac.th</t>
  </si>
  <si>
    <t>จ.ส.อ.พัลลภ ดวงเดือน</t>
  </si>
  <si>
    <t>bnco0920@signalschool.ac.th</t>
  </si>
  <si>
    <t>จ.ส.ท.ณัฐพงษ์ / จ.ส.ต.ภาณุพงษ์</t>
  </si>
  <si>
    <t>สอนดีมากครับ</t>
  </si>
  <si>
    <t>bnco0906@signalschool.ac.th</t>
  </si>
  <si>
    <t>ลักษณะทางทหาร "มีความเหมาะสม" มีความเชื่อมั่นในตนเองปานกลาง</t>
  </si>
  <si>
    <t>bnco0967@signalschool.ac.th</t>
  </si>
  <si>
    <t>มีประมวลรายวิชา "แต่ไม่มีการ" แนะนำเนื้อหาวิชา</t>
  </si>
  <si>
    <t>มีการจัดเตรียมสื่อการเรียนการสอน "แต่ไม่ปรากฏ" แหล่งอ้างอิง</t>
  </si>
  <si>
    <t>จ.ส.อ.พัลลภ  ดวงเดือน</t>
  </si>
  <si>
    <t>มีการจัดการเรียนการสอนเป็นไปตามประมวลรายวิชาบางส่วน "หรือ" การนำเข้าสู่บทเรียนให้ข้อมูลที่เป็นประโยชน์แก่ผู้เรียน (อย่างใดอย่างหนึ่ง)</t>
  </si>
  <si>
    <t>มีการส่งเสริมให้ผู้เรียนได้ฝึกทักษะการคิดได้อย่างเหมาะสม</t>
  </si>
  <si>
    <t>มีการส่งเสริมให้ผู้เรียนได้ฝึกทักษะการสื่อสารได้อย่างเหมาะสม</t>
  </si>
  <si>
    <t>bnco0955@signalschool.ac.th</t>
  </si>
  <si>
    <t>อาจารย์ประจำวิชาการจัดหน่วยทหารสื่อสาร</t>
  </si>
  <si>
    <t>bnco0974@signalschool.ac.th</t>
  </si>
  <si>
    <t>ร.ท.ศุภรัชฎ หมอกสุข</t>
  </si>
  <si>
    <t>bnco0943@signalschool.ac.th</t>
  </si>
  <si>
    <t>bnco0919@signalschool.ac.th</t>
  </si>
  <si>
    <t>bnco0937@signalschool.ac.th</t>
  </si>
  <si>
    <t>ร.ท.ศุภรัชฎ  หมอกสุข</t>
  </si>
  <si>
    <t>bnco0924@signalschool.ac.th</t>
  </si>
  <si>
    <t>จ.ส.อ. พัลลภ ดวงเดือน</t>
  </si>
  <si>
    <t>bnco0970@signalschool.ac.th</t>
  </si>
  <si>
    <t>ส.อ.ภาณุพงศ์ อุทธิยา</t>
  </si>
  <si>
    <t>bnco0939@signalschool.ac.th</t>
  </si>
  <si>
    <t>bnco0973@signalschool.ac.th</t>
  </si>
  <si>
    <t>bnco0925@signalschool.ac.th</t>
  </si>
  <si>
    <t>ส.อ. กานต์ เรณู ณ อยุธยา</t>
  </si>
  <si>
    <t>bnco0938@signalschool.ac.th</t>
  </si>
  <si>
    <t>ร.ท.ศุภรัชฏ  หมอกสุข</t>
  </si>
  <si>
    <t>bnco0935@signalschool.ac.th</t>
  </si>
  <si>
    <t>bnco0905@signalschool.ac.th</t>
  </si>
  <si>
    <t>ร.ท. ศุภรัชฎ หมอกสุข</t>
  </si>
  <si>
    <t>bnco0954@signalschool.ac.th</t>
  </si>
  <si>
    <t>bnco0933@signalschool.ac.th</t>
  </si>
  <si>
    <t>ร.ท.ศุภรัชฏ หมอกสุข</t>
  </si>
  <si>
    <t>bnco0952@signalschool.ac.th</t>
  </si>
  <si>
    <t>bnco0903@signalschool.ac.th</t>
  </si>
  <si>
    <t>bnco0923@signalschool.ac.th</t>
  </si>
  <si>
    <t>bnco0962@signalschool.ac.th</t>
  </si>
  <si>
    <t>อาจารย์สอนเนื้อหาดี การเรียนการสอนสนุกครับ</t>
  </si>
  <si>
    <t>ร.ท.ศุภรัชฎ   หมอกสุข</t>
  </si>
  <si>
    <t>bnco0932@signalschool.ac.th</t>
  </si>
  <si>
    <t>อาจารย์สอนได้ความรู้ดีมากครับ</t>
  </si>
  <si>
    <t>bnco0901@signalschool.ac.th</t>
  </si>
  <si>
    <t>bnco0941@signalschool.ac.th</t>
  </si>
  <si>
    <t>ร.ท.ศุภรัชภ หมอกสุช</t>
  </si>
  <si>
    <t>ร.ท.ศุภรัฎ หมอกสุข</t>
  </si>
  <si>
    <t>ส.อ. ทศพล  จุลดาลัย</t>
  </si>
  <si>
    <t>bnco0956@signalschool.ac.th</t>
  </si>
  <si>
    <t>ขอขอบคุณอาจารย์ที่ได้ถ่ายทอดความรู้ครับ</t>
  </si>
  <si>
    <t>bnco0963@signalschool.ac.th</t>
  </si>
  <si>
    <t>bnco0922@signalschool.ac.th</t>
  </si>
  <si>
    <t>อาจารย์ใช้คำพูดที่เข้าใจง่าย สอนสนุกครับ เป็นกันเองมากๆ</t>
  </si>
  <si>
    <t>bnco0949@signalschool.ac.th</t>
  </si>
  <si>
    <t>bnco0911@signalschool.ac.th</t>
  </si>
  <si>
    <t>bnco0904@signalschool.ac.th</t>
  </si>
  <si>
    <t>bnco0978@signalschool.ac.th</t>
  </si>
  <si>
    <t>bnco0965@signalschool.ac.th</t>
  </si>
  <si>
    <t>จ.ส.อ. พัลลภ  ดวงเดือน</t>
  </si>
  <si>
    <t>ขอบคุณครับอาจารย์</t>
  </si>
  <si>
    <t>bnco0948@signalschool.ac.th</t>
  </si>
  <si>
    <t>ส.อ.สุริยา  มาลาคำ</t>
  </si>
  <si>
    <t>bnco0916@signalschool.ac.th</t>
  </si>
  <si>
    <t>bnco0977@signalschool.ac.th</t>
  </si>
  <si>
    <t>bnco0914@signalschool.ac.th</t>
  </si>
  <si>
    <t>จ.ส.อ. พัลลภ  ดวงเดือน, ส.อ. สิทธิศักดิ์  รินไธสง</t>
  </si>
  <si>
    <t>bnco0960@signalschool.ac.th</t>
  </si>
  <si>
    <t>bnco0968@signalschool.ac.th</t>
  </si>
  <si>
    <t>bnco0972@signalschool.ac.th</t>
  </si>
  <si>
    <t>จ.ส.อ.พัลลพ ดวงเดือน</t>
  </si>
  <si>
    <t>bnco0926@signalschool.ac.th</t>
  </si>
  <si>
    <t>จ.ส.อ. พัลลภ  ดวงเดือน, ส.อ. สิทธิศักดิ์  รินไธสง</t>
  </si>
  <si>
    <t>bnco0918@signalschool.ac.th</t>
  </si>
  <si>
    <t xml:space="preserve"> ร.ท.ศุภรัชฎ หมอกสุข</t>
  </si>
  <si>
    <t>อาจารย์สอนไม่กดดันเข้าใจง่ายมากค่ะ</t>
  </si>
  <si>
    <t>bnco0953@signalschool.ac.th</t>
  </si>
  <si>
    <t>bnco0959@signalschool.ac.th</t>
  </si>
  <si>
    <t>ไม่มี</t>
  </si>
  <si>
    <t>bnco0901</t>
  </si>
  <si>
    <t>การจัดการเรียนการสอนมีการพูดคุยโต้ตอบ สร้างบรรยากาศได้ดีมาก ทำให้กระตุ้นการเรียนรู้และสนุกกับการเรียนครับ</t>
  </si>
  <si>
    <t>bnco0921@signalschool.ac.th</t>
  </si>
  <si>
    <t>bnco0928@signalschool.ac.th</t>
  </si>
  <si>
    <t>ร.ท.ศุภรัช  หมอกสุข</t>
  </si>
  <si>
    <t>bnco0915@signalschool.ac.th</t>
  </si>
  <si>
    <t>อาจารย์สอนเข้าใจมาก มีการยกตัวอย่างให้เห็นอย่างชัดเจน สามารถตอบข้อปัญหาข้อสงสัยต่างๆของนักเรียนได้เป็นอย่างดีครับ</t>
  </si>
  <si>
    <t>bnco0964@signalschool.ac.th</t>
  </si>
  <si>
    <t>bnco0908@signalschool.ac.th</t>
  </si>
  <si>
    <t>bnco0930@signalschool.ac.th</t>
  </si>
  <si>
    <t>bnco0966@signalschool.ac.th</t>
  </si>
  <si>
    <t>จ.ส.อ.พัลลภ ดวงเดือน, ส.อ.สิทธิศักดิ์ รินไธสง</t>
  </si>
  <si>
    <t>bnco0957@signalschool.ac.th</t>
  </si>
  <si>
    <t>ส.อ.จารุเดช เปรมจิตต์</t>
  </si>
  <si>
    <t>bnco0976@signalschool.ac.th</t>
  </si>
  <si>
    <t>ส.อ.ธนากร ศรีน้อย</t>
  </si>
  <si>
    <t>ไม่มีประมวลรายวิชา "และไม่มีการ" แนะนำเนื้อหาวิชา</t>
  </si>
  <si>
    <t>bnco0944@signalschool.ac.th</t>
  </si>
  <si>
    <t>bnco0927@signalschool.ac.th</t>
  </si>
  <si>
    <t>bnco0969@signalschool.ac.th</t>
  </si>
  <si>
    <t>ร.ท. ศุภรัชฎ  หมอกสุข</t>
  </si>
  <si>
    <t>bnco0945@signalschool.ac.th</t>
  </si>
  <si>
    <t>bnco0909@signalschool.ac.th</t>
  </si>
  <si>
    <t>ร.ท.ศุภรัช หมอกสุข</t>
  </si>
  <si>
    <t>อาจารย์สอนเข้าใจดีมากครับ</t>
  </si>
  <si>
    <t>จ.ส.อ.พัลลภ ดวงเดือน, ส.อ. สิทธิศักดิ์  รินไธสง</t>
  </si>
  <si>
    <t>bnco0942@signalschool.ac.th</t>
  </si>
  <si>
    <t>ร.ท. ศุภณัฐ  หมอกสุข</t>
  </si>
  <si>
    <t>bnco0913@signalschool.ac.th</t>
  </si>
  <si>
    <t>ร.ท.ศุภรัชฏ หมอกสุก</t>
  </si>
  <si>
    <t>ลักษณะทางทหารต้อง "ได้รับการปรับปรุง" ขาดความเชื่อมั่นในตนเอง</t>
  </si>
  <si>
    <t>bnco0902@signalschool.ac.th</t>
  </si>
  <si>
    <t>bnco0912@signalschool.ac.th</t>
  </si>
  <si>
    <t>อาจารย์ ศุภรัตน์  หมอกสุข</t>
  </si>
  <si>
    <t>bnco0946@signalschool.ac.th</t>
  </si>
  <si>
    <t>bnco0979@signalschool.ac.th</t>
  </si>
  <si>
    <t>ร.ท.สุภรัชฎ หมอกสุข</t>
  </si>
  <si>
    <t>ขอขอบคุณสำหรับความรู้ และคำสอนครับ จะนำมาต่อยอด และพัฒนาตนเองให้ดียิ่งขึ้นครับ</t>
  </si>
  <si>
    <t>ร.ท. ศุภรัชฏ  หมอกสุข</t>
  </si>
  <si>
    <t>bnco0907@signalschool.ac.th</t>
  </si>
  <si>
    <t>จ.ส.อ. พัลลภ  ดวงเดือน , ส.อ. สิทธิศักดิ์  รินไธสง</t>
  </si>
  <si>
    <t>bnco0902</t>
  </si>
  <si>
    <t>bnco0947@signalschool.ac.th</t>
  </si>
  <si>
    <t>ขอบคุณครับ อาจารย์</t>
  </si>
  <si>
    <t>จ.ส.อ.พัลลภ  ดวงเดือน, ส.อ.สิทธิศักดิ์  รินไธสง</t>
  </si>
  <si>
    <t>bnco0929@signalschool.ac.th</t>
  </si>
  <si>
    <t>bnco0961@signalschool.ac.th</t>
  </si>
  <si>
    <t>ร.ท ศุรัฎ สุขหมอก</t>
  </si>
  <si>
    <t>จ.ส.อ.พัลลภ ดวงเดือน/ส.อ.สิทธิศักดิ์ รินไธสง</t>
  </si>
  <si>
    <t>ร.ท.ศุภนัชฎ หมอกสุข</t>
  </si>
  <si>
    <t>bnco0980@signalschool.ac.th</t>
  </si>
  <si>
    <t>ร.ท.ศุภรักฏ หมอกสุข</t>
  </si>
  <si>
    <t>จ.ส.อ. พัลลภ ดวงเดือน, ส.อ. สิทธิศักดิ์ รินไธสง</t>
  </si>
  <si>
    <t>bnco0917@signalschool.ac.th</t>
  </si>
  <si>
    <t>จ.ส.อ. พัลลภ  ดวงเดือน,ส.อ. สิทธิศักดิ์  รินไธสง</t>
  </si>
  <si>
    <t>bnco0931@signalschool.ac.th</t>
  </si>
  <si>
    <t>bnco0975@signalschool.ac.th</t>
  </si>
  <si>
    <t>ชอบวิธีการนำเสนอของอาจารย์ เอกสารที่ใช้ในการสอนสามารถศึกษาเพิ่มเติมและไปต่อยอดเพิ่มในชีวิตได้ครับ</t>
  </si>
  <si>
    <t>ได้รับความรู้เพิ่มเติม สามารถนำไปปรับใช้ในชีวิตประจำวัน</t>
  </si>
  <si>
    <t>ทำให้ได้ความรู้ใหม่ๆ</t>
  </si>
  <si>
    <t>จ.ส.อ.พัลลภ ดวงเดือน,ส.อ.สิทธิศักดิ์ รินไธสง</t>
  </si>
  <si>
    <t>ในหลักสูตรสมควรมีชั่วโมงเรียนให้มากกว่านี้จะได้เข้าใจเรื่องวงจรไฟฟ้าได้มากยิ่งขึ้นครับ</t>
  </si>
  <si>
    <t xml:space="preserve">ส.อ.กฤษดา เพ็งภา / จ.ส.อ.พัลลญ  ดวงเดือน </t>
  </si>
  <si>
    <t>จ.ส.อ.พัลลภ ดวงเดือน,ส.อ.ธันวา เพิแย้ม</t>
  </si>
  <si>
    <t xml:space="preserve"> จ.ส.อ. พัลลภ  ดวงเดือน  ส.อ ไพฑูรย์ พัชรภูษิตตสกุล</t>
  </si>
  <si>
    <t>สอนดีมาก เข้าใจง่ายครับ</t>
  </si>
  <si>
    <t>bnco0903</t>
  </si>
  <si>
    <t>จ.ส.อ.พัลลภ  ดวงเดือน ,  ส.อ. ปฐมพร  ลาป้อง</t>
  </si>
  <si>
    <t>อาจารย์ สอนดีมากมีความเข้าใจง่ายในการสอน และนักเรียนสามารถนำไปใช่ต่อได้ ขอบคุณ อาจารย์ที่มาสอนให้ความรู้ในตัวผมได้นำที่อาจารย์สอนไปใช้ได้ในชีวิตจริงได้ ขอบคุณครับ</t>
  </si>
  <si>
    <t>จ.ส.อพัลลภ ดวงเดือน</t>
  </si>
  <si>
    <t>มีการจัดการเรียนการสอน "ไม่เป็นไปตาม" ประมวลรายวิชาครบถ้วนและ "ไม่มี" การนำเข้าสู่บทเรียนให้ข้อมูลที่เป็นประโยชน์แก่ผู้เรียน</t>
  </si>
  <si>
    <t>ผมไม่ประทับใจ ในชั่วโมงแรก ที่อาจารย์แซวนักเรียนผู้หญิง ผมว่าไม่เหมาะสม ถึงแม้จะรู้จักกันหรือไม่ก็ตาม แต่ผมทราบดีว่าอาจจารย์อาจจะไม่ได้คิดอะไรมาก หรือ นักเรียนหญิงดังกล่าวอาจจะไม่คิดมาก แต่ผมรู้สึกว่าไม่โอเคครับในฐานะผู้ฟังร่วมด้วย ควรคิดก่อนพูดและระมัดระวังมากกว่านี้ครับ ส่วนเรื่องอื่นๆผมรู้สึกว่าอาจารย์ตั้งใจเต็มที่ในการให้ความรู้มากๆครับ</t>
  </si>
  <si>
    <t>จ.ส.อ.พัลลภ  ดวงเดือนม , ส.อ.สิทธิศักดิ์  รินไธสง</t>
  </si>
  <si>
    <t>ร.อ.ธัญญพันธ์ ตรีศักดิ์ศรี</t>
  </si>
  <si>
    <t>จ.ส.อ.พัลลภ ดวงเดือน, ส.อ.สมชาย ผลดี</t>
  </si>
  <si>
    <t>poranai609@gmail.com</t>
  </si>
  <si>
    <t>จ.ส.อ.พัลลภ ดวงเดือน , จ.ส.อ.ธรรมรักษ์ หมวกเพ็ชร</t>
  </si>
  <si>
    <t>bnco0904</t>
  </si>
  <si>
    <t>ร.อ.สุพจน์  มงคล</t>
  </si>
  <si>
    <t>ร.อ. สุพจน์ มงคล</t>
  </si>
  <si>
    <t>พ.ท.หญิงลัดดาวัลย์ / พ.ท.วิญญขนม์</t>
  </si>
  <si>
    <t>bnco0905</t>
  </si>
  <si>
    <t>ร.อ.สุพจน์ มงคล</t>
  </si>
  <si>
    <t>พ.ท.หญิงลัดดาวัลย์ / พ.ท.วิญญูชนม์</t>
  </si>
  <si>
    <t>อาจารย์ประจำวิชาการส่งกำลังและซ่อมบำรุงสายสื่อสาร</t>
  </si>
  <si>
    <t xml:space="preserve">ร.อ.สุพจน์  มงคล </t>
  </si>
  <si>
    <t>ร.อ.สุพจน์   มงคล</t>
  </si>
  <si>
    <t>bnco0906</t>
  </si>
  <si>
    <t xml:space="preserve">ร.อ. สุพจน์  </t>
  </si>
  <si>
    <t xml:space="preserve">ร.อ.สุพจน์ มงคล </t>
  </si>
  <si>
    <t>bnco0907</t>
  </si>
  <si>
    <t>ร.ท.สุพจย์ มงคล</t>
  </si>
  <si>
    <t>ร.อ. สุพจน์  มงคล</t>
  </si>
  <si>
    <t>ร.อ.สุพจน์​ มงคล</t>
  </si>
  <si>
    <t>ร.อ.สุพจน์ มลคล</t>
  </si>
  <si>
    <t>bnco0908</t>
  </si>
  <si>
    <t>bnco0909</t>
  </si>
  <si>
    <t>bnco0910</t>
  </si>
  <si>
    <t>bnco0911</t>
  </si>
  <si>
    <t>จ.ส.ต. ภาณุพงษ์ ใจเฉื่อย</t>
  </si>
  <si>
    <t xml:space="preserve"> จ.ส.ต. ภาณุพงษ์ ใจเฉือย</t>
  </si>
  <si>
    <t>จ.ส.ต.ภาณุพงษ์ ใจเฉื่อย</t>
  </si>
  <si>
    <t>ร.ท.ศุภรัชฎ / จ.ส.ต.ภาณุพงษ์</t>
  </si>
  <si>
    <t>สอนได้ดีครับ เนื้อหาครบถ้วน</t>
  </si>
  <si>
    <t>จ.ส.อ.ศุภรัชฏ หมอกสุข จ.ส.ต.ภาณุพงษ์ ใจเฉื่อย</t>
  </si>
  <si>
    <t>อาจารย์ประจำวิชาการสื่อสารทางยุทธวิธี</t>
  </si>
  <si>
    <t>bnco0912</t>
  </si>
  <si>
    <t>ศุภรัชฎ หมอกสุข</t>
  </si>
  <si>
    <t>ร.ท.ศุรัชฎ หมอกสุข</t>
  </si>
  <si>
    <t>ร.ท.ภรัชฎ หมอกสุข</t>
  </si>
  <si>
    <t xml:space="preserve">ร.ท.ศุภรัชฎ หมอกสุข </t>
  </si>
  <si>
    <t>bnco0913</t>
  </si>
  <si>
    <t>ควรมีการส่งเสริมให้ผู้เรียนได้มีการฝึกทักษะการคิด</t>
  </si>
  <si>
    <t>ร.อ.ศุภรัชฎ หมอกสุข</t>
  </si>
  <si>
    <t>bnco0914</t>
  </si>
  <si>
    <t>งานมอบเยอะไปนิดนึงครับ เพราะเมื่อมาเรียนที่โรงเรียนก็ได้ปฏิบัติหรือลองทำได้ เช่นกัน จึงอยากแนะนำให้งานมอบลดลงนิดนึงครับ</t>
  </si>
  <si>
    <t>bnco0915</t>
  </si>
  <si>
    <t>bnco0916</t>
  </si>
  <si>
    <t>bnco0917</t>
  </si>
  <si>
    <t>bnco0918</t>
  </si>
  <si>
    <t>bnco0919</t>
  </si>
  <si>
    <t>bnco0920</t>
  </si>
  <si>
    <t>bnco0921</t>
  </si>
  <si>
    <t>bnco0922</t>
  </si>
  <si>
    <t>bnco0923</t>
  </si>
  <si>
    <t>bnco0924</t>
  </si>
  <si>
    <t>bnco0925</t>
  </si>
  <si>
    <t>bnco0926</t>
  </si>
  <si>
    <t>bnco0927</t>
  </si>
  <si>
    <t>bnco0928</t>
  </si>
  <si>
    <t>bnco0929</t>
  </si>
  <si>
    <t>bnco0930</t>
  </si>
  <si>
    <t>bnco0931</t>
  </si>
  <si>
    <t>bnco0932</t>
  </si>
  <si>
    <t>bnco0933</t>
  </si>
  <si>
    <t>bnco0934</t>
  </si>
  <si>
    <t>bnco0935</t>
  </si>
  <si>
    <t>bnco0936</t>
  </si>
  <si>
    <t>bnco0937</t>
  </si>
  <si>
    <t>bnco0938</t>
  </si>
  <si>
    <t>bnco0939</t>
  </si>
  <si>
    <t>bnco0940</t>
  </si>
  <si>
    <t>bnco0941</t>
  </si>
  <si>
    <t>bnco0942</t>
  </si>
  <si>
    <t>bnco0943</t>
  </si>
  <si>
    <t>bnco0944</t>
  </si>
  <si>
    <t>bnco0945</t>
  </si>
  <si>
    <t>bnco0946</t>
  </si>
  <si>
    <t>bnco0947</t>
  </si>
  <si>
    <t>bnco0948</t>
  </si>
  <si>
    <t>bnco0949</t>
  </si>
  <si>
    <t>bnco0950</t>
  </si>
  <si>
    <t>bnco0951</t>
  </si>
  <si>
    <t>bnco0952</t>
  </si>
  <si>
    <t>bnco0953</t>
  </si>
  <si>
    <t>bnco0954</t>
  </si>
  <si>
    <t>bnco0955</t>
  </si>
  <si>
    <t>bnco0956</t>
  </si>
  <si>
    <t>bnco0957</t>
  </si>
  <si>
    <t>bnco0958</t>
  </si>
  <si>
    <t>bnco0959</t>
  </si>
  <si>
    <t>bnco0960</t>
  </si>
  <si>
    <t>bnco0961</t>
  </si>
  <si>
    <t>bnco0962</t>
  </si>
  <si>
    <t>bnco0963</t>
  </si>
  <si>
    <t>bnco0964</t>
  </si>
  <si>
    <t>bnco0965</t>
  </si>
  <si>
    <t>bnco0966</t>
  </si>
  <si>
    <t>bnco0967</t>
  </si>
  <si>
    <t>bnco0968</t>
  </si>
  <si>
    <t>bnco0969</t>
  </si>
  <si>
    <t>bnco0970</t>
  </si>
  <si>
    <t>bnco0971</t>
  </si>
  <si>
    <t>bnco0972</t>
  </si>
  <si>
    <t>bnco0973</t>
  </si>
  <si>
    <t>bnco0974</t>
  </si>
  <si>
    <t>bnco0975</t>
  </si>
  <si>
    <t>bnco0976</t>
  </si>
  <si>
    <t>bnco0977</t>
  </si>
  <si>
    <t>bnco0978</t>
  </si>
  <si>
    <t>bnco0979</t>
  </si>
  <si>
    <t>bnco0980</t>
  </si>
  <si>
    <t>ยอดผู้เข้าประเมิน</t>
  </si>
  <si>
    <t>ภาพรวมร้อยละ</t>
  </si>
  <si>
    <t>ร.ต.วสันต์ ทัศนามล</t>
  </si>
  <si>
    <t>ร.ต.วสันต์  ทัศนามล</t>
  </si>
  <si>
    <t>ร.ค.วสันต์  ทัศนามล จ.ส.อ.ประกาศิต แซ่เจียม จ.ส.ท.ศุภกิตติ์ ปัญญาจักร จ.ส.อ.วรากร ไตรศัพท์</t>
  </si>
  <si>
    <t>ร.ต.วสันต์ / จ.ส.อ.ประกาศิต / จ.ส.ท.ศุภกิตติ์ / จ.ส.อ.วรากร</t>
  </si>
  <si>
    <t>จ.ส.ต.ศุภกิตติ์ ปัญญาจักร จ.ส.อ.วรากร ไตรศัพท์ จ.ส.อ.อนุชิต ทิพย์มณฑา จ.ส.อ.ประกาศิต แซ่เจียม</t>
  </si>
  <si>
    <t>อาจารย์ประจำวิชาการสื่อสารประเภทวิทยุและการสงครามอิเล็กทรอนิกส์</t>
  </si>
  <si>
    <t>ร.ต.วสันต์ ทัศนามล จ.ส.อ.ประกาศิต แซ่เจียม จ.ส.อ.วรากร ไตรศัพท์ ปัญญาจักร จ.ส.ท.ศุภกิตติ์</t>
  </si>
  <si>
    <t>ร.ต.วสันต์. ทัศนามล</t>
  </si>
  <si>
    <t>ร.ต.วสันต์  ทัศนามล จ.ส.อ.ประกาศิต  แซ่เจียม จ.ส.อ.วรากร  ไตรศัพท์ จ.ส.ท.ศุภกิตติ์  ปัญญาจักร</t>
  </si>
  <si>
    <t>.ต.วสัน ทัศนามล</t>
  </si>
  <si>
    <t>ร.ต.วัสันต์ ทัศนามล</t>
  </si>
  <si>
    <t>ร.ต.วสันต์ ทัศนามล,จ.ส.อ.ประกาศิต แซ่เจียม,จ.ส.อ.วรากร ศัพท์,จ.ส.ท.ศุภกิตย์ ปัญญาจักร</t>
  </si>
  <si>
    <t>ร.ต.วสันต์ ทศนามล</t>
  </si>
  <si>
    <t>ร.ต.วสันต์   ทัศนามล</t>
  </si>
  <si>
    <t>ร.ต.วสันต์ ทัศนามล / จ.ส.อ.ประกาศิต แซ่เจียม / จ.ส.อ.วรากร ไตรศัพท์ / จ.ส.ท.ศุภกิตติ์ ปัญญาจักร</t>
  </si>
  <si>
    <t>.ต.วสันต์  จ.ส.อ.ประกาศิต จ.ส.อ.วรากร จ.ส.ท.ศุภกิตติ์ ทัศนามล แช่เจียม ไตรศัพท์ ปัญญาจักร</t>
  </si>
  <si>
    <t>ร.ต.วสันต์ ทัศนามล , จ.ส.อ.ประกาศิต แช่เจียม , จ.ส.อ.วรากร ไตรศัพท์ , จ.ส.ท.ศุภกิตติ์ ปัญญาจักร</t>
  </si>
  <si>
    <t>ร.ต.วสันต์ ทัศนามล จ.ส.อ.ประกาศิต แซ่เจียม จ.ส.อ.วรากร ไตรศัพท์ จ.ส.อ.ศุภกิตติ์ ปัญญาจักร</t>
  </si>
  <si>
    <t>ร.ต.วสันต์  ทัศนามล  จ.ส.อ.ประกาศิต  แซ่เจียม  จ.ส.อ.วรากร  ไตรศัพท์  จ.ส.ท.ศุภกิตติ์  ปัญญาจักร</t>
  </si>
  <si>
    <t>มร.ต.วสันต์ ทัศนามล จ.ส.อ.ประกาศิต แซ่เจียม จ.ส.อ.วรากร ไตรศัพท์ ปัญญาจักร จ.ส.ท.ศุภกิตติ์</t>
  </si>
  <si>
    <t>ร.ต.วสันต์ ทัศนามล,จ.ส.อ.ประกาศิตาแซ่เจียม,จ.ส.อ.วรากร ไตรศัพท์ ,จ.ส.ท.ศุภกิตติ์ ปัญญาจักร</t>
  </si>
  <si>
    <t>จ.ส.อ.วรากร ไตรศัพท์/จ.ส.อ.ประกาศิต แซ่เจียม</t>
  </si>
  <si>
    <t>จ.ส.อ.ประกาศิต แซ่เจียม</t>
  </si>
  <si>
    <t>ร.ต.วสันต์ ทัศนามล จ.ส.อ.ประกาศิต แซ่เจียม จ.ส.อ.วรากร ไตรศัพท์ จ.ส.ท.ศุกภกิตติ์ ปัญญาจักร</t>
  </si>
  <si>
    <t>จ.ส.อ.พงศภัค อุ่นอนันต์</t>
  </si>
  <si>
    <t>ร.ต.วสันต์​  ทัศนามล</t>
  </si>
  <si>
    <t xml:space="preserve">ชอบมากครับ อาจารย์มีเทคนิควิธีการสอนที่ดี ทำเนื้อหาที่ยากให้เข้าใจได้ง่ายขึ้น </t>
  </si>
  <si>
    <t>ร.ต. วสันต์  ทัศนามล  จ.ส.อ.ประกาศิต  แซ่เจียม  จ.ส.อ วรากร  ไตรศัพท์  จ.ส.ท. ศุภกิตติ์  ปัญญาจักร</t>
  </si>
  <si>
    <t>ร.ต.วสันต์  ทัศนามล จ.ส.อ.ประกาศิต  แซ่เจียม จ.ส.อ.วรากร  ไตรศัพท์ จ.ส.อ.ศุภกิตต์  ปัญญาจักร</t>
  </si>
  <si>
    <t>ร.ต.วสันต์ อิเล็กทรอนิกส์ จ.ส.อ.ประกาศิต จ.ส.อ.วรากร จ.ส.ท.ศุภกิตติ์ ทัศนามล แช่เจียม ไตรศัพท์ ปัญญาจักร</t>
  </si>
  <si>
    <t>ร.ต.วสันต์  ทีศนามล</t>
  </si>
  <si>
    <t>ร.ต.วสันต์  ทัศนามล จ.ส.อ. ประกาศิต  แซ่เจียม จ.ส.อ. วรากร  ไตรศัพท์ จ.ส.ท.ศุภกิตติ์  ปัญญาจักร</t>
  </si>
  <si>
    <t>ร.ต.วสันต์ ทัศนามล จ.ส.อ.ประกาศิต แช่เจียม จ.ส.อ.วรากร ไตรศัพท์ จ.ส.ท.ศุภกิตติ์ ปัญญาจัก</t>
  </si>
  <si>
    <t>ร.ต.วสันต์ ทัศนามล , จ.ส.อ.ประกาศิต แซ่เจียม ,จ.ส.อ.วราดร ไตรศัพท์,จ.ส.ท.ศุภกิตติ์ ปัญญาจักร</t>
  </si>
  <si>
    <t>ร.ต.วสันต์ ทัศนะนามล</t>
  </si>
  <si>
    <t>ส.อ.พงษ์พัฒน์  บำรุงนา</t>
  </si>
  <si>
    <t>สอนได้เข้าใจครับ</t>
  </si>
  <si>
    <t>ส.อ.พจนันท์ ประสิทธิ์สัชฌุกร</t>
  </si>
  <si>
    <t>51 ส.อ.อธิพัฒน์ เสงี่ยมพันธ์ , ส.อ.พจนันท์ ประสิทธิ์สัชฌุกร</t>
  </si>
  <si>
    <t>ส.อ.พจนันท์  ประสิทธิ์สัชฌุกร</t>
  </si>
  <si>
    <t>ส.อ.ชกร นิตยบูรณ์</t>
  </si>
  <si>
    <t>ส.อ.ธนพนธ์  เคยพุดซา</t>
  </si>
  <si>
    <t>อาจารย์สอนได้เข้าใจดีมากครับ</t>
  </si>
  <si>
    <t>ส.อ.พจนันท์ ประสิทธิ์สัชฆกร</t>
  </si>
  <si>
    <t>ส.อ พจนันท์ ประสิทธิ์สัชฌุกร</t>
  </si>
  <si>
    <t>ส.อ.อภิญญา เข็มทอง</t>
  </si>
  <si>
    <t>สอนได้ละเอียด เข้าใจง่าย มีตัวอย่างประกอบการสอนครับ</t>
  </si>
  <si>
    <t>ส.อ.พจนันท  ประสิทธิ์สัชฌุกร</t>
  </si>
  <si>
    <t>ส.อ.พจนันท์ ประสิทธิสัชฌุกรณ์</t>
  </si>
  <si>
    <t>อาจารย์สอนเข้าใจง่าย</t>
  </si>
  <si>
    <t>ดีมากแล้วครับ</t>
  </si>
  <si>
    <t>https://forms.gle/di5R9im3bqx8rGkXA</t>
  </si>
  <si>
    <t>ส.อ. สหัส  สุยา / ส.อ. พจนันท์ ประสิทธิ์สัชฌุกร</t>
  </si>
  <si>
    <t>ส.อ.พจนันท์ ประสิทธิ์สัชฌุกร /ส.อ.กฤษดา เพ็งภา</t>
  </si>
  <si>
    <t>ส.อ.พจนันท์ ประสิทธิ์สัชณุกร</t>
  </si>
  <si>
    <t xml:space="preserve">ส.อ. จักรพรรณ์  </t>
  </si>
  <si>
    <t>ส.อ.พจนันท์  ประสิทธิ์สัชณุกร</t>
  </si>
  <si>
    <t>อาจารย์พูดได้ชัดเจนดีครับ</t>
  </si>
  <si>
    <t>ส.อ.พจนันท์ ประสิทธิ</t>
  </si>
  <si>
    <t>ส.อ.พจนันท์ ประสิทธิ์สัชฌุกร ส.อ.ศุภณัฐ ไชยโสภา</t>
  </si>
  <si>
    <t xml:space="preserve">พ.อ.บุญมา หัดเจริญ , พ.ท.สัญญา ก้อนทอง ,พ.ท.สามารถ เถินมงคล , พ.ต.วิชาญ สีจำปา , ร.อ.พรพงศ์ อยู่ร่วม , ร.ท.ศุภชัย ป้องเศร้า , จ.ส.อ.พงศภัค อุ่นอนันต์ , ส.อ.ชาคริต เมธาวีระนนท์ , ส.อ.พจนันท์ ประสิทธิสัชฌุกรณ์ , ส.อ.ศุภณัฐ ไชยโสภา , ส.อ.ทรงสิทธิ์  โนนสว่าง ,  ส.ท.จักรพรรณ  ปานนุช </t>
  </si>
  <si>
    <t>ร.ท.ศุภชัย ป้องเศร้า</t>
  </si>
  <si>
    <t>ร.ท.ศุภชัย. ป้องเศร้า</t>
  </si>
  <si>
    <t>ร.ท.ศุภชัย  ป้องเศร้า จ.ส.อ.พงศภัค  อุ่นอนันต์</t>
  </si>
  <si>
    <t xml:space="preserve">ร.ท.ศุภชัย ป้องเศร้า </t>
  </si>
  <si>
    <t>ร.ท.ศุภชัย ป้องเศร้า , จ.ส.อ.พงศภัค อุ่นอนันต์</t>
  </si>
  <si>
    <t>ร.ท.ศุภชัย ป้องเศร้า จ.ส.อ.พงศภัค อุ่นอนันต์</t>
  </si>
  <si>
    <t xml:space="preserve"> จ.ส.อ.พงศภัค อุ่นอนันต์</t>
  </si>
  <si>
    <t>ร.อ.ศุภชัย ป้องเศ้รา</t>
  </si>
  <si>
    <t>ร.ท.ศุภชัย ป้อนเศร้า</t>
  </si>
  <si>
    <t>ร.ท.ศุภชัย  ป้องเศร้า</t>
  </si>
  <si>
    <t xml:space="preserve">  ร.ท.ศุภชัย ป้องเศร้า , จ.ส.อ.พงศภัค อุ่นอนันต์</t>
  </si>
  <si>
    <t>ส.อ.ธันวา เพิกแย้ม</t>
  </si>
  <si>
    <t>พ.ต.ประทีป</t>
  </si>
  <si>
    <t>51 ส.อ.อธิพัฒน์ เสงี่ยมพันธ์ , พ.ต.ประทีบ คุ้มยิ้ม</t>
  </si>
  <si>
    <t>พ.ต.ประทีป คุ้มยิ้ม</t>
  </si>
  <si>
    <t xml:space="preserve">พ.ต.ประทีป คุ้มยิ้ม </t>
  </si>
  <si>
    <t xml:space="preserve">พ.ต.ประทีป คุ้มยิ้ม   </t>
  </si>
  <si>
    <t xml:space="preserve">พ.ต.ประทีป คุ้มยิ้ม  </t>
  </si>
  <si>
    <t>พ.ต.ประทีป  คุ้มยิ้ม</t>
  </si>
  <si>
    <t>อาจารย์  สอนได้เข้าใจง่าย และเข้าองค์ประกอบได้ง่าย</t>
  </si>
  <si>
    <t>ไม่มี ครับ</t>
  </si>
  <si>
    <t>พ.ต. ประทีป  คุ้มยิ้ม</t>
  </si>
  <si>
    <t xml:space="preserve">พ.ต.ประทีป คุ้มยิ้ม   / ส.อ.กฤษดา เพ็งภา </t>
  </si>
  <si>
    <t>พ.ต.ประทีบ คุ้มยิ้ม</t>
  </si>
  <si>
    <t>อาจารย์สอนใจเย็นและเข้าใจง่ายดีคับ</t>
  </si>
  <si>
    <t>ดีมากครับ</t>
  </si>
  <si>
    <t>ควรมีการส่งเสริมให้ผู้เรียนได้มีการฝึกทักษะการสื่อสารฯ</t>
  </si>
  <si>
    <t>ส.อ.ทศพล จุลดาลัย</t>
  </si>
  <si>
    <t>ความรู้ที่อาจารย์สอนมีประโยชน์มากครับ</t>
  </si>
  <si>
    <t>ส.อ.ศุภกร ดิษฐ์ประดับ</t>
  </si>
  <si>
    <t>มีการประเมินผล ตรงตามเนื้อหาที่เรียนดีมากครับ</t>
  </si>
  <si>
    <t>นำเสนอความรู้ได้ครบถ้วนครับ</t>
  </si>
  <si>
    <t>พ.ต.ประทีป   คุ้มยิ้ม</t>
  </si>
  <si>
    <t>พ.อ.สุธิพงษ์ ขำดี</t>
  </si>
  <si>
    <t>พ.ท.สุธิพงษ์ ขำตี</t>
  </si>
  <si>
    <t>พ.ท.สุธิพงษ์ ขำดี</t>
  </si>
  <si>
    <t>จ.ส.ต.พรสุพพัต วุฒิสุวรรณ</t>
  </si>
  <si>
    <t xml:space="preserve"> จ.ส.ต.พรสุพพัต วุฒิสุวรรณ</t>
  </si>
  <si>
    <t>จ.ส.อ.พรสุพพัต  วุฒสุวรรณ</t>
  </si>
  <si>
    <t>พ.ต.หญิงกฤติญา / จ.ส.ต.พรสุพพัต / ส.อ.วริทธิ์พล / จ.ส.อ.วีระศักดิ์ / ส.อ.มงคล</t>
  </si>
  <si>
    <t>ส.อ.มงคล บุญญะถิติ ส.อ.วิริทธิ์พล แข็งธัญญะกรณ์</t>
  </si>
  <si>
    <t>อาจารย์ประจำวิชาการพัฒนาทักษะดิจิทัลที่จำเป็นระดับต้น</t>
  </si>
  <si>
    <t>จ.ส.ต.พรสุพพัต วุฒิสุวรรณ ส.อ.วิริทธิ์พล แข็งธัญญะกรณ์ ส.อ.มงคล บุญญะถิติ</t>
  </si>
  <si>
    <t>จ.ส.ต.พรสุพพัต  วุฒิสุวรรณ</t>
  </si>
  <si>
    <t>จ.ส.ต.พรสุพพัต. วุฒิสุวรรณ</t>
  </si>
  <si>
    <t>จ.ส.ต. พรสุพพัต วุฒิสุวรรณ,ส.อ. วิริทธิ์พล แข็งธัญญะกรณ์,ส.อ. มงคล บุญญะถิติ</t>
  </si>
  <si>
    <t>จ.ส.ต.พรสุพพัต วุฒิสุวรรณ , ส.อ.วิริทธิ์พล แข็งธัญญะกรณ์ , ส.อ.มงคล บุญญะถิติ</t>
  </si>
  <si>
    <t>จ.ส.ต.พรสุพัต  วุฒิสุวรรณ</t>
  </si>
  <si>
    <t>ส.อ.มงคล บุญญะถิติ</t>
  </si>
  <si>
    <t>ส.อ. มงคล</t>
  </si>
  <si>
    <t>จ.ส.ต.พรสุพพัต วุฒิสุวรรณ / ส.อ.วิริทธิ์พล แข็งธัญญะกรณ์ / ส.อ.มงคล บุญญะถิติ</t>
  </si>
  <si>
    <t>จ.ส.ต.พรสุพพัด วุฒสุวรรณ</t>
  </si>
  <si>
    <t>จ.ส.ต.พรสุพพัต วัฒิสุวรรณ</t>
  </si>
  <si>
    <t>จ.ส.ต.พรสุพัต  วุฒิสุวรรณ  ส.อ.วิริทธิ์พล  แข็งธัญญะกรณ์  ส.อ.มงคล  บุญญะธิติ</t>
  </si>
  <si>
    <t>จ.ส.ต.พรสุพพัต   วุฒิสุวรรณ</t>
  </si>
  <si>
    <t>จ.ส.ต.พรสุพพัต วุฒิสุวรรณ สอ.วิริทธิ์พล แข็งธัญญะกรณ์ ส.อ.มงคล บุญญะถิติ</t>
  </si>
  <si>
    <t>จ.ส.ต.พรสุพพัต วุฒิสุวรรณ ส.อ.​วิริทธิ์พล​ แข็งธัญญะกรณ์ ส.อ.มงคล​ บุญญะถิติ</t>
  </si>
  <si>
    <t>จ.ส.ต.พรสุพพัต ส.อ.วิริทธิ์พล ส.อ.มงคล วุฒิสุวรรณ แข็งธัญญะกรณ์ บุญญะถิติ</t>
  </si>
  <si>
    <t xml:space="preserve">จ.ส.ต.พรสุพัต วุฒิสุวรรณ </t>
  </si>
  <si>
    <t xml:space="preserve">จ.ส.ต.พรสุพพัต  วุฒิสุวรรณ </t>
  </si>
  <si>
    <t xml:space="preserve"> จ.ส.ต.พรสุพพัต วุฒิสุวรรณ , ส.อ.วิริทธิ์พล แข็งธัญญะกรณ์ , ส.อ.มงคล บุญญะถิติ</t>
  </si>
  <si>
    <t>จ.ส.ต.พรสุพพัต วุฒิสุวรรณ ,ส.อ.วิริทธิ์พล แข็งธัญญะกรณ์,ส.อ.มงคล บุญญะถิติ</t>
  </si>
  <si>
    <t>พ.ต.หญิงพิมพ์ชนก จิรัฎฐิติกาล</t>
  </si>
  <si>
    <t>.</t>
  </si>
  <si>
    <t>อาจารย์สอนดีมากครับ พูดเพราะด้วยครับ</t>
  </si>
  <si>
    <t>สอนสนุกเข้าใจง่ายมากค่ะ คำที่อ่ารไม่เป็นเข้าใจผิด ก็เข้าใจถูกขึ้น</t>
  </si>
  <si>
    <t>ขอบคุณมากๆครับอาจารย์</t>
  </si>
  <si>
    <t>พ.ต.หญิง พิมพ์ชนก จิรัฎฐิติกาล</t>
  </si>
  <si>
    <t>elec1829@gmail.com</t>
  </si>
  <si>
    <t>พ.ต.หญิง พิมพ์ชนก</t>
  </si>
  <si>
    <t>อาจารย์สอนได้เข้าใจดีมากครับ สามารถตอบข้อสงสัยของนักเรียนได้เป็นอย่างดีครับ</t>
  </si>
  <si>
    <t>สอนดีเข้าใจง่าย เนื้อหาครบครับ</t>
  </si>
  <si>
    <t>พ.ต.หญิง พิมพ์ชนก  จิรัฎฐิติกาล</t>
  </si>
  <si>
    <t>พ.ต.หญิงพิมพ์ชนก จิรัฏฐิติกาล</t>
  </si>
  <si>
    <t xml:space="preserve">เข้าใจคำศัพท์ใหม่ๆ </t>
  </si>
  <si>
    <t>อาจารย์สอนดีมากครับ นักเรียนมีข้อสงสัยสามารถถามได้ตลอดเวลาครับ ไม่ว่าจะในเวลาเรียนหรือนอกเวลาเรียนครับ</t>
  </si>
  <si>
    <t>พ.ต. หญิงพิมพ์ชนก จิรัฎฐิติกาล</t>
  </si>
  <si>
    <t xml:space="preserve"> พ.ต.หญิงพิมพ์ชนก จิรัฎฐิติกาล</t>
  </si>
  <si>
    <t xml:space="preserve">อาจารย์สอนมีอัธยาศัยดี รู้จริง สอนเข้าใจง่ายครับ </t>
  </si>
  <si>
    <t>พ.ต.หญิงพิมพ์ชนก   จิรัฎฐิติกาล / ส.อ.กฤษดา  เพ็งภา</t>
  </si>
  <si>
    <t>อาจารย์ผู้สอน พูดชัดเจน เนื้อหาการสอนดีมากครับ</t>
  </si>
  <si>
    <t>พ.ต.หญิงพิมพ์ชนก จิรัฏฐิกาล</t>
  </si>
  <si>
    <t xml:space="preserve">ผมไม่แน่ใจครับว่าเป็นที่ คอมเครื่องผม หรือหูฟังเครื่องผม ได้ยินเสียงอาจารย์แบบมีเสียงแทรกและก็เดี๋ยวเสียงเบา เดี๋ยวเสียงดังครับ ขาดหายเป็นบางช่วงครับ </t>
  </si>
  <si>
    <t>พ.ต.หญิง พิมพ์ชนก  จิรัฏฐิติกาล</t>
  </si>
  <si>
    <t>อาจารย์สอนดีเข้าใจง่าย ได้ความรู้ด้านภาษาไปใช้ต่อยอดในชีวิตประจำวันหรือการสอบต่างๆ ได้อย่างมีประโยชน์</t>
  </si>
  <si>
    <t xml:space="preserve">อ.สามารถอธิบายในหัวข้อที่ไม่เข้าได้ดีครับ </t>
  </si>
  <si>
    <t>ส.อ.อธิพัฒน์ เสงี่ยมพันธ์ ,พ.ต.หญิงพิมพ์ชนก จิรัฎฐิติกาล</t>
  </si>
  <si>
    <t>อาจารย์สอนดีเข้าใจง่ายมากครับ</t>
  </si>
  <si>
    <t>ไม่มีข้อเสนอแนะครับอาจารย์  เพราะเป็นการสอนที่สมบูรณ์แล้วครับ</t>
  </si>
  <si>
    <t>ไม่มีครับ สอนดีอยู่แล้วครับ</t>
  </si>
  <si>
    <t>พ.ต.หญิงพิมพ์ชนก  จิรัฎฐิติกาล</t>
  </si>
  <si>
    <t>พ.ต.หญิงพิมพ์ชนก  จิรัฎติกาล</t>
  </si>
  <si>
    <t>ร.อ.ธัญญพัทธ์ ตรีศักดิ์ศรี</t>
  </si>
  <si>
    <t>ได้รับความรู้เพิ่มเติม สามารถนำไปปรับใช้ในการทำงาน และใช้ในชีวิตประจำวัน</t>
  </si>
  <si>
    <t xml:space="preserve">พ.ต.หญิง พิมพ์ชนก จิรัฏฐิติกาล </t>
  </si>
  <si>
    <t>พ.ต.หญิง พิมพ์ชนก จิรัฏฐิติกาล . ร.อ.ธัญญพัทธ์ ตรีศักดิ์ศรี</t>
  </si>
  <si>
    <t>พ.ต.หญิงพิมพ์ชนก  จิรัฏฐิติกาล</t>
  </si>
  <si>
    <t>พ.ต. ไมตรี  บุญเหลื่อม</t>
  </si>
  <si>
    <t>พ.ต.ไมตรี บุญเหลื่อม</t>
  </si>
  <si>
    <t>พ.ต.ไมตรี  บุญเหลื่อม</t>
  </si>
  <si>
    <t>พ.ต.ไมตรี บุญเหลี่ยม</t>
  </si>
  <si>
    <t>อาจารย์ประจำวิชาการรักษาความปลอดภัย</t>
  </si>
  <si>
    <t>พ.ต.ไมตรี บุญเหลือม</t>
  </si>
  <si>
    <t>พ.ต.ไมตรี   บุญเหลื่อม</t>
  </si>
  <si>
    <t>พ.ต. ไมตรี บุญเหลือม</t>
  </si>
  <si>
    <t>สนุกเข้าใจง่ายครับ</t>
  </si>
  <si>
    <t>พ.ต.ไมตรี​ บุญเหลี่ยม</t>
  </si>
  <si>
    <t>FC. ครับ</t>
  </si>
  <si>
    <t>อาจารย์ประจำวิชาการป้องกันและปราบปรามการก่อความไม่สงบ</t>
  </si>
  <si>
    <t>พ.ต.ไมตรี  บุญเหลื่ิอม</t>
  </si>
  <si>
    <t>พ.ต.ไมตร บุญเหลื่อม</t>
  </si>
  <si>
    <t xml:space="preserve">-
</t>
  </si>
  <si>
    <t xml:space="preserve"> พ.ต.ไมตรี บุญเหลื่อม</t>
  </si>
  <si>
    <t>FC ครับ</t>
  </si>
  <si>
    <t>อาจารย์ประจำวิชาระเบียบงานสารบรรณ</t>
  </si>
  <si>
    <t>พ.ต.ไม่ตรี บุญเหลือม</t>
  </si>
  <si>
    <t>อาจารย์ประจำวิชาแผนที่เข็มทิศ</t>
  </si>
  <si>
    <t>พ.ตไมตรี บุญเหลื่อม</t>
  </si>
  <si>
    <t>อาจารย์ประจำวิชาผู้นำหน่วย</t>
  </si>
  <si>
    <t xml:space="preserve">พ.ต.ไมตรี บุญเหลื่อม </t>
  </si>
  <si>
    <t>ร.อ.ธัญญพัทธ์  ตรีศักดิ์ศรี/จ.ส.อ.ชัยยุทธ ดิษบุตร</t>
  </si>
  <si>
    <t>ร.อ.ธัญญพัทธ์ ตรีศักดิ์ศรี จ.ส.ต.พรสุพพัต วุฒิสุวรรณ จ.ส.อ.ชัยยุทธ ดิษบุตร</t>
  </si>
  <si>
    <t>ร.อ.ธัญญพัทธ์ ตรีศักดิ์ตรี,จ.ส.อ.ชัยยุทธ ดิษบุตร,จ.ส.ต.พรสุพัต วุฒิสุวรรณ</t>
  </si>
  <si>
    <t>(ไม่มีครับ)</t>
  </si>
  <si>
    <t>ร.อ.ธัญญพัทธ์ ตรีศักดิ์ตรี , จ.ส.อ.ชัยยุทธ ดิษบุตร , จ.ส.ต.พรสุัต วุฒิสุวรรณ</t>
  </si>
  <si>
    <t>ร.อ.ธัญญพันธ์ / จ.ส.อ.ชัยยุทธ</t>
  </si>
  <si>
    <t>ร.อ.ธัญญพัทธ์ ตรีศักดิ์ศรี จ.ส.อ.ชัยยุทธ ดิษบุตร ส.อ.ชาตรี คำทะเนตร</t>
  </si>
  <si>
    <t>อาจารย์ประจำวิชาตามนโยบายที่กองทัพบกกำหนด</t>
  </si>
  <si>
    <t>ร.อ.ธัญญพัทธ์ ตรีศักดิ์ศรี จ.ส.อ.ชัยยุทธ ดิษบุตร</t>
  </si>
  <si>
    <t>จ.ส.อ.ชัยยุทธ ดิษบุตร</t>
  </si>
  <si>
    <t>ร.อ.ธัญญพัทธ์. ตรีศักดิ์ศรี</t>
  </si>
  <si>
    <t>ร.อ.ธัญญพัทธ์  ตรีศักดิ์ศรี</t>
  </si>
  <si>
    <t>ร.อ.ธัญญพัทธ์ ตรีศักดิ์ศรี,จ.ส.อ.ชัยยุทธ ดิษบุตร</t>
  </si>
  <si>
    <t>จ.ส.อ.ชัยยุทธ ดิษยุทธ</t>
  </si>
  <si>
    <t>ร.อ.ธัญญพัทธ์ ตรีศักดิ์ศรี , จ.ส.อ.ชัยยุทธ ดิษบุตร</t>
  </si>
  <si>
    <t>ร.อ.ธัญญพัทธ์  ตรีศักดิ์ศรี จ.ส.อ.ชัยยุทธ ดิษบุตร</t>
  </si>
  <si>
    <t>ร.อ.ธัญญพัทธ์  ตรีศักดิ์ศรี / จ.ส.อ.ชัยยุทธ  ดิษบุตร</t>
  </si>
  <si>
    <t>ร.อ.ธัญญพัทย์ ตรีศักดิ์ศรี</t>
  </si>
  <si>
    <t xml:space="preserve"> ร.อ.ธัญญพัทธ์ ตรีศัก</t>
  </si>
  <si>
    <t>ร.อ. ธัญญพันธุ์ ตรีศักศรี</t>
  </si>
  <si>
    <t>ร.อ.ธัญญพัทธ์ จ.ส.อ.ชัยยุทธ ตรีศักดิ์ศรี ดิษบุตร</t>
  </si>
  <si>
    <t>ร.อ.ธัญญพัทธ์ ตรีศักดิ์ศรี  จ.ส.อ.ชัยยุทธ ดิษบุตร</t>
  </si>
  <si>
    <t>.อ.ธัญญพัทธ์ จ.ส.อ.ชัยยุทธ ตรีศักดิ์ศรี ดิษบุตร</t>
  </si>
  <si>
    <t xml:space="preserve"> ร.อ.ธัญญพัทธ์ ตรีศักดิ์ศรี , จ.ส.อ.ชัยยุทธ ดิษบุตร</t>
  </si>
  <si>
    <t xml:space="preserve">ร.อ.ธัญญพัทธ์ ตรีศักดิ์ศรี </t>
  </si>
  <si>
    <t>ครู-อาจารย์ กศ.รร.ส.สส.</t>
  </si>
  <si>
    <t>.อ.ธัญญพัทธ์ ตรีศักดิ์ศรี จ.ส.อ.ชัยยุทธ ดิษบุตร</t>
  </si>
  <si>
    <t>ร.อ.ธัญญพัทธ์ ตรีศักดิ์ศรี , จ.ส.อ.ชัยยุทธ ดิษบุต</t>
  </si>
  <si>
    <t>ครู-อาจารย์ รร.ส.สส.</t>
  </si>
  <si>
    <t>ครู - อาจารย์ กศ.รร.ส.สส.</t>
  </si>
  <si>
    <t>/</t>
  </si>
  <si>
    <t>ไม่ครับ</t>
  </si>
  <si>
    <t>วิชาฝึกทบทวนการใช้เครื่องมือสื่อสาร</t>
  </si>
  <si>
    <t>ครู อาจารย์ กศ.รร.ส.สส.</t>
  </si>
  <si>
    <t>ครู -  อาจารย์ กศ.รร.ส.สส</t>
  </si>
  <si>
    <t>ครู อาจารย์ กศ.รร.ส.สส</t>
  </si>
  <si>
    <t>ครู -อาจารย์ กศ.รร.ส.สส.</t>
  </si>
  <si>
    <t>ครู- อาจารย์ กศ.รร.ส.สส.</t>
  </si>
  <si>
    <t>ครูอาจารย์ กศ.รร.ส.สส.</t>
  </si>
  <si>
    <t>ครูอาจารย์โรงเรียนสื่อสาร</t>
  </si>
  <si>
    <t>ครู - อาจารย์ กศ.รร.ส.สส</t>
  </si>
  <si>
    <t>ครู-อาจารย์ กศ.รร.สส.ส.</t>
  </si>
  <si>
    <t xml:space="preserve">ครู อาจารย์ </t>
  </si>
  <si>
    <t>ครู-อาจารย์ผู้สอน</t>
  </si>
  <si>
    <t>ครู-อาจารย์</t>
  </si>
  <si>
    <t>อาจารย์ กศ.รร.ส.สส.</t>
  </si>
  <si>
    <t xml:space="preserve"> ครู - อาจารย์ กศ.รร.ส.สส.</t>
  </si>
  <si>
    <t>เสียงเบาและจังหวะการพูดช้า/เร็วเกินไป</t>
  </si>
  <si>
    <t>"ไม่มี" การจัดเตรียมสื่อการเรียนการสอน "และไม่ปรากฏ" แหล่งอ้างอิง</t>
  </si>
  <si>
    <t xml:space="preserve">มีการจัดการเรียนการสอนเป็นไปตามประมวลรายวิชาบางส่วน "หรือ" การนำเข้าสู่บทเรียนให้ข้อมูลที่เป็นประโยชน์แก่ผู้เรียน (อย่างใดอย่างหนึ่ง) </t>
  </si>
  <si>
    <t xml:space="preserve">มีการจัดการเรียนการสอน "ไม่เป็นไปตาม" ประมวลรายวิชาครบถ้วนและ "ไม่มี" การนำเข้าสู่บทเรียนให้ข้อมูลที่เป็นประโยชน์แก่ผู้เรียน </t>
  </si>
  <si>
    <t xml:space="preserve">มีการส่งเสริมให้ผู้เรียนได้ฝึกทักษะการคิดได้อย่างเหมาะสมดีมาก </t>
  </si>
  <si>
    <t xml:space="preserve">มีการส่งเสริมให้ผู้เรียนได้ฝึกทักษะการคิดได้อย่างเหมาะสม </t>
  </si>
  <si>
    <t>ลำดับ</t>
  </si>
  <si>
    <t>การจัดหน่วยทหารสื่อสาร</t>
  </si>
  <si>
    <t>การส่งกำลังและซ่อมบำรุงสายสื่อสาร</t>
  </si>
  <si>
    <t>วงจรไฟฟ้า</t>
  </si>
  <si>
    <t>การสื่อสารทางยุทธวิธี</t>
  </si>
  <si>
    <t>การสื่อสารประเภทวิทยุและการสงครามอิเล็กทรอนิกส์</t>
  </si>
  <si>
    <t>การสื่อสารประเภทสาย</t>
  </si>
  <si>
    <t>การอำนวยการทางการสื่อสาร</t>
  </si>
  <si>
    <t>ภาษาอังกฤษทางทหาร</t>
  </si>
  <si>
    <t>การพัฒนาทักษะดิจิทัลที่จำเป็นระดับต้น</t>
  </si>
  <si>
    <t>การรักษาความปลอดภัย</t>
  </si>
  <si>
    <t>การป้องกันและปราบปรามการก่อความไม่สงบ</t>
  </si>
  <si>
    <t>ระเบียบงานสารบรรณ</t>
  </si>
  <si>
    <t>แผนที่เข็มทิศ</t>
  </si>
  <si>
    <t>ผู้นำหน่วย</t>
  </si>
  <si>
    <t>วิชาตามนโยบายที่กองทัพบกกำหนด</t>
  </si>
  <si>
    <t>ฝึกทบทวนการใช้เครื่องมือสื่อสาร</t>
  </si>
  <si>
    <t>รายวิชา</t>
  </si>
  <si>
    <t>ยอดเข้าประเมิน</t>
  </si>
  <si>
    <t>คิดเป็นร้อยละ</t>
  </si>
  <si>
    <t>ภาพรวม ร้อยละ</t>
  </si>
  <si>
    <t>ตามนโยบายที่กองทัพบกกำหนด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</si>
</sst>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1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theme="1"/>
      <name val="Arial"/>
      <scheme val="minor"/>
    </font>
    <font>
      <sz val="11.0"/>
      <color rgb="FF000000"/>
      <name val="Arial"/>
      <scheme val="minor"/>
    </font>
    <font>
      <sz val="12.0"/>
      <color rgb="FF444444"/>
      <name val="Arial"/>
      <scheme val="minor"/>
    </font>
    <font>
      <color theme="1"/>
      <name val="Arial"/>
    </font>
    <font>
      <u/>
      <color rgb="FF0000FF"/>
    </font>
    <font>
      <u/>
      <sz val="12.0"/>
      <color rgb="FF0000FF"/>
    </font>
    <font>
      <sz val="11.0"/>
      <color rgb="FF202124"/>
      <name val="Roboto"/>
    </font>
    <font>
      <color theme="1"/>
      <name val="Sarabun"/>
    </font>
    <font>
      <sz val="10.0"/>
      <color theme="1"/>
      <name val="Sarabun"/>
    </font>
    <font/>
    <font>
      <sz val="10.0"/>
      <color rgb="FF444444"/>
      <name val="Sarabun"/>
    </font>
    <font>
      <b/>
      <sz val="18.0"/>
      <color theme="1"/>
      <name val="TH SarabunPSK"/>
    </font>
    <font>
      <sz val="18.0"/>
      <color theme="1"/>
      <name val="TH SarabunPSK"/>
    </font>
    <font>
      <sz val="16.0"/>
      <color theme="1"/>
      <name val="TH SarabunPSK"/>
    </font>
    <font>
      <sz val="16.0"/>
      <color rgb="FF000000"/>
      <name val="TH SarabunPSK"/>
    </font>
    <font>
      <sz val="18.0"/>
      <color rgb="FF000000"/>
      <name val="TH SarabunPSK"/>
    </font>
    <font>
      <color theme="1"/>
      <name val="TH SarabunPSK"/>
    </font>
    <font>
      <sz val="10.0"/>
      <color rgb="FF000000"/>
      <name val="Sarabun"/>
    </font>
    <font>
      <sz val="11.0"/>
      <color theme="1"/>
      <name val="Sarabun"/>
    </font>
  </fonts>
  <fills count="7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  <fill>
      <patternFill patternType="solid">
        <fgColor rgb="FF0000FF"/>
        <bgColor rgb="FF0000FF"/>
      </patternFill>
    </fill>
    <fill>
      <patternFill patternType="solid">
        <fgColor rgb="FFDADCE0"/>
        <bgColor rgb="FFDADCE0"/>
      </patternFill>
    </fill>
    <fill>
      <patternFill patternType="solid">
        <fgColor rgb="FFD9D9D9"/>
        <bgColor rgb="FFD9D9D9"/>
      </patternFill>
    </fill>
  </fills>
  <borders count="6">
    <border/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bottom"/>
    </xf>
    <xf borderId="0" fillId="0" fontId="2" numFmtId="0" xfId="0" applyAlignment="1" applyFont="1">
      <alignment shrinkToFit="0" vertical="bottom" wrapText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vertical="top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shrinkToFit="0" vertical="bottom" wrapText="1"/>
    </xf>
    <xf borderId="0" fillId="0" fontId="2" numFmtId="164" xfId="0" applyAlignment="1" applyFont="1" applyNumberFormat="1">
      <alignment horizontal="right" vertical="bottom"/>
    </xf>
    <xf borderId="0" fillId="2" fontId="2" numFmtId="0" xfId="0" applyAlignment="1" applyFill="1" applyFont="1">
      <alignment horizontal="right" vertical="bottom"/>
    </xf>
    <xf borderId="0" fillId="0" fontId="2" numFmtId="0" xfId="0" applyAlignment="1" applyFont="1">
      <alignment horizontal="right" vertical="bottom"/>
    </xf>
    <xf borderId="0" fillId="3" fontId="3" numFmtId="0" xfId="0" applyFill="1" applyFont="1"/>
    <xf borderId="0" fillId="3" fontId="4" numFmtId="0" xfId="0" applyAlignment="1" applyFill="1" applyFont="1">
      <alignment horizontal="right" vertical="bottom"/>
    </xf>
    <xf borderId="0" fillId="0" fontId="2" numFmtId="2" xfId="0" applyAlignment="1" applyFont="1" applyNumberFormat="1">
      <alignment vertical="bottom"/>
    </xf>
    <xf borderId="0" fillId="0" fontId="2" numFmtId="2" xfId="0" applyAlignment="1" applyFont="1" applyNumberFormat="1">
      <alignment horizontal="right" vertical="bottom"/>
    </xf>
    <xf borderId="0" fillId="0" fontId="1" numFmtId="2" xfId="0" applyFont="1" applyNumberFormat="1"/>
    <xf borderId="0" fillId="4" fontId="1" numFmtId="0" xfId="0" applyFill="1" applyFont="1"/>
    <xf borderId="0" fillId="0" fontId="5" numFmtId="0" xfId="0" applyAlignment="1" applyFont="1">
      <alignment readingOrder="0" vertical="bottom"/>
    </xf>
    <xf borderId="0" fillId="0" fontId="6" numFmtId="0" xfId="0" applyAlignment="1" applyFont="1">
      <alignment readingOrder="0"/>
    </xf>
    <xf borderId="0" fillId="0" fontId="7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3" fontId="8" numFmtId="0" xfId="0" applyFill="1" applyFont="1"/>
    <xf borderId="0" fillId="0" fontId="5" numFmtId="0" xfId="0" applyFont="1"/>
    <xf borderId="0" fillId="5" fontId="8" numFmtId="0" xfId="0" applyFill="1" applyFont="1"/>
    <xf borderId="0" fillId="6" fontId="9" numFmtId="0" xfId="0" applyAlignment="1" applyFill="1" applyFont="1">
      <alignment horizontal="center" readingOrder="0" vertical="center"/>
    </xf>
    <xf borderId="1" fillId="6" fontId="10" numFmtId="0" xfId="0" applyAlignment="1" applyBorder="1" applyFill="1" applyFont="1">
      <alignment horizontal="center" shrinkToFit="0" vertical="center" wrapText="1"/>
    </xf>
    <xf borderId="2" fillId="6" fontId="10" numFmtId="0" xfId="0" applyAlignment="1" applyBorder="1" applyFill="1" applyFont="1">
      <alignment horizontal="center" shrinkToFit="0" vertical="center" wrapText="1"/>
    </xf>
    <xf borderId="3" fillId="0" fontId="11" numFmtId="0" xfId="0" applyBorder="1" applyFont="1"/>
    <xf borderId="4" fillId="6" fontId="10" numFmtId="0" xfId="0" applyAlignment="1" applyBorder="1" applyFill="1" applyFont="1">
      <alignment horizontal="center" textRotation="90" vertical="bottom"/>
    </xf>
    <xf borderId="4" fillId="0" fontId="10" numFmtId="0" xfId="0" applyAlignment="1" applyBorder="1" applyFont="1">
      <alignment horizontal="right" vertical="bottom"/>
    </xf>
    <xf borderId="4" fillId="0" fontId="10" numFmtId="0" xfId="0" applyAlignment="1" applyBorder="1" applyFont="1">
      <alignment readingOrder="0"/>
    </xf>
    <xf borderId="4" fillId="0" fontId="10" numFmtId="0" xfId="0" applyBorder="1" applyFont="1"/>
    <xf borderId="4" fillId="3" fontId="10" numFmtId="0" xfId="0" applyAlignment="1" applyBorder="1" applyFill="1" applyFont="1">
      <alignment vertical="bottom"/>
    </xf>
    <xf borderId="4" fillId="3" fontId="12" numFmtId="0" xfId="0" applyAlignment="1" applyBorder="1" applyFill="1" applyFont="1">
      <alignment horizontal="right" vertical="bottom"/>
    </xf>
    <xf borderId="4" fillId="3" fontId="10" numFmtId="0" xfId="0" applyBorder="1" applyFill="1" applyFont="1"/>
    <xf borderId="4" fillId="0" fontId="13" numFmtId="0" xfId="0" applyAlignment="1" applyBorder="1" applyFont="1">
      <alignment horizontal="center" readingOrder="0"/>
    </xf>
    <xf borderId="4" fillId="0" fontId="14" numFmtId="0" xfId="0" applyAlignment="1" applyBorder="1" applyFont="1">
      <alignment horizontal="center" readingOrder="0"/>
    </xf>
    <xf borderId="4" fillId="0" fontId="14" numFmtId="2" xfId="0" applyAlignment="1" applyBorder="1" applyFont="1" applyNumberFormat="1">
      <alignment horizontal="center" readingOrder="0"/>
    </xf>
    <xf borderId="4" fillId="0" fontId="14" numFmtId="0" xfId="0" applyAlignment="1" applyBorder="1" applyFont="1">
      <alignment readingOrder="0"/>
    </xf>
    <xf borderId="0" fillId="0" fontId="14" numFmtId="0" xfId="0" applyAlignment="1" applyFont="1">
      <alignment readingOrder="0"/>
    </xf>
    <xf borderId="0" fillId="0" fontId="14" numFmtId="0" xfId="0" applyFont="1"/>
    <xf borderId="4" fillId="0" fontId="15" numFmtId="0" xfId="0" applyBorder="1" applyFont="1"/>
    <xf borderId="4" fillId="0" fontId="14" numFmtId="0" xfId="0" applyAlignment="1" applyBorder="1" applyFont="1">
      <alignment horizontal="center"/>
    </xf>
    <xf borderId="4" fillId="0" fontId="14" numFmtId="2" xfId="0" applyBorder="1" applyFont="1" applyNumberFormat="1"/>
    <xf borderId="0" fillId="3" fontId="16" numFmtId="0" xfId="0" applyAlignment="1" applyFill="1" applyFont="1">
      <alignment horizontal="right" vertical="center"/>
    </xf>
    <xf borderId="0" fillId="0" fontId="14" numFmtId="2" xfId="0" applyAlignment="1" applyFont="1" applyNumberFormat="1">
      <alignment vertical="center"/>
    </xf>
    <xf borderId="5" fillId="0" fontId="15" numFmtId="0" xfId="0" applyBorder="1" applyFont="1"/>
    <xf borderId="5" fillId="0" fontId="15" numFmtId="0" xfId="0" applyAlignment="1" applyBorder="1" applyFont="1">
      <alignment readingOrder="0"/>
    </xf>
    <xf borderId="4" fillId="0" fontId="17" numFmtId="0" xfId="0" applyAlignment="1" applyBorder="1" applyFont="1">
      <alignment horizontal="center"/>
    </xf>
    <xf borderId="4" fillId="0" fontId="17" numFmtId="2" xfId="0" applyBorder="1" applyFont="1" applyNumberFormat="1"/>
    <xf borderId="0" fillId="0" fontId="14" numFmtId="0" xfId="0" applyAlignment="1" applyFont="1">
      <alignment horizontal="center"/>
    </xf>
    <xf borderId="0" fillId="0" fontId="18" numFmtId="2" xfId="0" applyFont="1" applyNumberFormat="1"/>
    <xf borderId="0" fillId="0" fontId="14" numFmtId="2" xfId="0" applyFont="1" applyNumberFormat="1"/>
    <xf borderId="4" fillId="0" fontId="19" numFmtId="0" xfId="0" applyBorder="1" applyFont="1"/>
    <xf borderId="0" fillId="0" fontId="10" numFmtId="0" xfId="0" applyAlignment="1" applyFont="1">
      <alignment vertical="bottom"/>
    </xf>
    <xf borderId="0" fillId="3" fontId="12" numFmtId="0" xfId="0" applyAlignment="1" applyFill="1" applyFont="1">
      <alignment horizontal="right" vertical="bottom"/>
    </xf>
    <xf borderId="0" fillId="0" fontId="10" numFmtId="0" xfId="0" applyFont="1"/>
    <xf borderId="0" fillId="3" fontId="12" numFmtId="2" xfId="0" applyAlignment="1" applyFill="1" applyFont="1" applyNumberFormat="1">
      <alignment horizontal="right" vertical="bottom"/>
    </xf>
    <xf borderId="0" fillId="0" fontId="10" numFmtId="2" xfId="0" applyFont="1" applyNumberFormat="1"/>
    <xf borderId="0" fillId="0" fontId="20" numFmtId="0" xfId="0" applyFont="1"/>
  </cellXfs>
  <cellStyles count="1">
    <cellStyle xfId="0" name="Normal" builtinId="0"/>
  </cellStyles>
  <dxfs count="1">
    <dxf>
      <font/>
      <fill>
        <patternFill patternType="solid">
          <fgColor rgb="FF980000"/>
          <bgColor rgb="FF98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37" Type="http://schemas.openxmlformats.org/officeDocument/2006/relationships/worksheet" Target="worksheets/sheet33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39" Type="http://schemas.openxmlformats.org/officeDocument/2006/relationships/worksheet" Target="worksheets/sheet35.xml"/><Relationship Id="rId16" Type="http://schemas.openxmlformats.org/officeDocument/2006/relationships/worksheet" Target="worksheets/sheet12.xml"/><Relationship Id="rId38" Type="http://schemas.openxmlformats.org/officeDocument/2006/relationships/worksheet" Target="worksheets/sheet34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forms.gle/di5R9im3bqx8rGkXA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7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4">
        <v>46181.52152271991</v>
      </c>
      <c r="B2" s="6" t="s">
        <v>11</v>
      </c>
      <c r="C2" s="6" t="s">
        <v>13</v>
      </c>
      <c r="D2" s="6" t="s">
        <v>15</v>
      </c>
      <c r="E2" s="6" t="s">
        <v>16</v>
      </c>
      <c r="F2" s="6" t="s">
        <v>17</v>
      </c>
      <c r="G2" s="6" t="s">
        <v>18</v>
      </c>
      <c r="H2" s="6" t="s">
        <v>19</v>
      </c>
      <c r="I2" s="6" t="s">
        <v>20</v>
      </c>
      <c r="J2" s="6" t="s">
        <v>21</v>
      </c>
    </row>
    <row r="3">
      <c r="A3" s="4">
        <v>46189.42882292824</v>
      </c>
      <c r="B3" s="6" t="s">
        <v>22</v>
      </c>
      <c r="C3" s="6" t="s">
        <v>23</v>
      </c>
      <c r="D3" s="6" t="s">
        <v>15</v>
      </c>
      <c r="E3" s="6" t="s">
        <v>16</v>
      </c>
      <c r="F3" s="6" t="s">
        <v>17</v>
      </c>
      <c r="G3" s="6" t="s">
        <v>18</v>
      </c>
      <c r="H3" s="6" t="s">
        <v>19</v>
      </c>
      <c r="I3" s="6" t="s">
        <v>20</v>
      </c>
      <c r="J3" s="6" t="s">
        <v>21</v>
      </c>
    </row>
    <row r="4">
      <c r="A4" s="4">
        <v>46189.43452891204</v>
      </c>
      <c r="B4" s="6" t="s">
        <v>27</v>
      </c>
      <c r="C4" s="6" t="s">
        <v>28</v>
      </c>
      <c r="D4" s="6" t="s">
        <v>15</v>
      </c>
      <c r="E4" s="6" t="s">
        <v>16</v>
      </c>
      <c r="F4" s="6" t="s">
        <v>17</v>
      </c>
      <c r="G4" s="6" t="s">
        <v>18</v>
      </c>
      <c r="H4" s="6" t="s">
        <v>19</v>
      </c>
      <c r="I4" s="6" t="s">
        <v>20</v>
      </c>
      <c r="J4" s="6" t="s">
        <v>21</v>
      </c>
      <c r="K4" s="6" t="s">
        <v>29</v>
      </c>
    </row>
    <row r="5">
      <c r="A5" s="4">
        <v>46204.34641586806</v>
      </c>
      <c r="B5" s="6" t="s">
        <v>30</v>
      </c>
      <c r="C5" s="6" t="s">
        <v>28</v>
      </c>
      <c r="D5" s="6" t="s">
        <v>15</v>
      </c>
      <c r="E5" s="6" t="s">
        <v>16</v>
      </c>
      <c r="F5" s="6" t="s">
        <v>17</v>
      </c>
      <c r="G5" s="6" t="s">
        <v>18</v>
      </c>
      <c r="H5" s="6" t="s">
        <v>19</v>
      </c>
      <c r="I5" s="6" t="s">
        <v>20</v>
      </c>
      <c r="J5" s="6" t="s">
        <v>21</v>
      </c>
      <c r="K5" s="6" t="s">
        <v>34</v>
      </c>
    </row>
    <row r="6">
      <c r="A6" s="4">
        <v>46204.466582395835</v>
      </c>
      <c r="B6" s="6" t="s">
        <v>35</v>
      </c>
      <c r="C6" s="6" t="s">
        <v>28</v>
      </c>
      <c r="D6" s="6" t="s">
        <v>15</v>
      </c>
      <c r="E6" s="6" t="s">
        <v>16</v>
      </c>
      <c r="F6" s="6" t="s">
        <v>17</v>
      </c>
      <c r="G6" s="6" t="s">
        <v>18</v>
      </c>
      <c r="H6" s="6" t="s">
        <v>19</v>
      </c>
      <c r="I6" s="6" t="s">
        <v>20</v>
      </c>
      <c r="J6" s="6" t="s">
        <v>21</v>
      </c>
    </row>
    <row r="7">
      <c r="A7" s="4">
        <v>46206.59416821759</v>
      </c>
      <c r="B7" s="6" t="s">
        <v>37</v>
      </c>
      <c r="C7" s="6" t="s">
        <v>38</v>
      </c>
      <c r="D7" s="6" t="s">
        <v>15</v>
      </c>
      <c r="E7" s="6" t="s">
        <v>16</v>
      </c>
      <c r="F7" s="6" t="s">
        <v>17</v>
      </c>
      <c r="G7" s="6" t="s">
        <v>18</v>
      </c>
      <c r="H7" s="6" t="s">
        <v>19</v>
      </c>
      <c r="I7" s="6" t="s">
        <v>20</v>
      </c>
      <c r="J7" s="6" t="s">
        <v>21</v>
      </c>
      <c r="K7" s="6" t="s">
        <v>39</v>
      </c>
    </row>
    <row r="8">
      <c r="A8" s="4">
        <v>46212.57564027778</v>
      </c>
      <c r="B8" s="6" t="s">
        <v>40</v>
      </c>
      <c r="C8" s="6" t="s">
        <v>28</v>
      </c>
      <c r="D8" s="6" t="s">
        <v>41</v>
      </c>
      <c r="E8" s="6" t="s">
        <v>33</v>
      </c>
      <c r="F8" s="6" t="s">
        <v>43</v>
      </c>
      <c r="G8" s="6" t="s">
        <v>44</v>
      </c>
      <c r="H8" s="6" t="s">
        <v>46</v>
      </c>
      <c r="I8" s="6" t="s">
        <v>47</v>
      </c>
      <c r="J8" s="6" t="s">
        <v>48</v>
      </c>
    </row>
    <row r="9">
      <c r="A9" s="4">
        <v>46212.61358991898</v>
      </c>
      <c r="B9" s="6" t="s">
        <v>49</v>
      </c>
      <c r="C9" s="6" t="s">
        <v>50</v>
      </c>
      <c r="D9" s="6" t="s">
        <v>15</v>
      </c>
      <c r="E9" s="6" t="s">
        <v>16</v>
      </c>
      <c r="F9" s="6" t="s">
        <v>17</v>
      </c>
      <c r="G9" s="6" t="s">
        <v>18</v>
      </c>
      <c r="H9" s="6" t="s">
        <v>19</v>
      </c>
      <c r="I9" s="6" t="s">
        <v>20</v>
      </c>
      <c r="J9" s="6" t="s">
        <v>21</v>
      </c>
    </row>
    <row r="10">
      <c r="A10" s="4">
        <v>46212.61642770833</v>
      </c>
      <c r="B10" s="6" t="s">
        <v>51</v>
      </c>
      <c r="C10" s="6" t="s">
        <v>52</v>
      </c>
      <c r="D10" s="6" t="s">
        <v>41</v>
      </c>
      <c r="E10" s="6" t="s">
        <v>16</v>
      </c>
      <c r="F10" s="6" t="s">
        <v>17</v>
      </c>
      <c r="G10" s="6" t="s">
        <v>18</v>
      </c>
      <c r="H10" s="6" t="s">
        <v>19</v>
      </c>
      <c r="I10" s="6" t="s">
        <v>20</v>
      </c>
      <c r="J10" s="6" t="s">
        <v>21</v>
      </c>
      <c r="K10" s="6" t="s">
        <v>29</v>
      </c>
    </row>
    <row r="11">
      <c r="A11" s="4">
        <v>46212.61674424769</v>
      </c>
      <c r="B11" s="6" t="s">
        <v>54</v>
      </c>
      <c r="C11" s="6" t="s">
        <v>52</v>
      </c>
      <c r="D11" s="6" t="s">
        <v>15</v>
      </c>
      <c r="E11" s="6" t="s">
        <v>16</v>
      </c>
      <c r="F11" s="6" t="s">
        <v>17</v>
      </c>
      <c r="G11" s="6" t="s">
        <v>18</v>
      </c>
      <c r="H11" s="6" t="s">
        <v>19</v>
      </c>
      <c r="I11" s="6" t="s">
        <v>20</v>
      </c>
      <c r="J11" s="6" t="s">
        <v>21</v>
      </c>
    </row>
    <row r="12">
      <c r="A12" s="4">
        <v>46212.616740868056</v>
      </c>
      <c r="B12" s="6" t="s">
        <v>55</v>
      </c>
      <c r="C12" s="6" t="s">
        <v>56</v>
      </c>
      <c r="D12" s="6" t="s">
        <v>15</v>
      </c>
      <c r="E12" s="6" t="s">
        <v>16</v>
      </c>
      <c r="F12" s="6" t="s">
        <v>17</v>
      </c>
      <c r="G12" s="6" t="s">
        <v>18</v>
      </c>
      <c r="H12" s="6" t="s">
        <v>19</v>
      </c>
      <c r="I12" s="6" t="s">
        <v>20</v>
      </c>
      <c r="J12" s="6" t="s">
        <v>21</v>
      </c>
    </row>
    <row r="13">
      <c r="A13" s="4">
        <v>46212.616864166666</v>
      </c>
      <c r="B13" s="6" t="s">
        <v>59</v>
      </c>
      <c r="C13" s="6" t="s">
        <v>60</v>
      </c>
      <c r="D13" s="6" t="s">
        <v>15</v>
      </c>
      <c r="E13" s="6" t="s">
        <v>16</v>
      </c>
      <c r="F13" s="6" t="s">
        <v>17</v>
      </c>
      <c r="G13" s="6" t="s">
        <v>18</v>
      </c>
      <c r="H13" s="6" t="s">
        <v>19</v>
      </c>
      <c r="I13" s="6" t="s">
        <v>20</v>
      </c>
      <c r="J13" s="6" t="s">
        <v>21</v>
      </c>
      <c r="K13" s="6" t="s">
        <v>34</v>
      </c>
    </row>
    <row r="14">
      <c r="A14" s="4">
        <v>46212.617136388886</v>
      </c>
      <c r="B14" s="6" t="s">
        <v>62</v>
      </c>
      <c r="C14" s="6" t="s">
        <v>52</v>
      </c>
      <c r="D14" s="6" t="s">
        <v>15</v>
      </c>
      <c r="E14" s="6" t="s">
        <v>16</v>
      </c>
      <c r="F14" s="6" t="s">
        <v>17</v>
      </c>
      <c r="G14" s="6" t="s">
        <v>18</v>
      </c>
      <c r="H14" s="6" t="s">
        <v>19</v>
      </c>
      <c r="I14" s="6" t="s">
        <v>20</v>
      </c>
      <c r="J14" s="6" t="s">
        <v>21</v>
      </c>
    </row>
    <row r="15">
      <c r="A15" s="4">
        <v>46212.61718017361</v>
      </c>
      <c r="B15" s="6" t="s">
        <v>65</v>
      </c>
      <c r="C15" s="6" t="s">
        <v>66</v>
      </c>
      <c r="D15" s="6" t="s">
        <v>41</v>
      </c>
      <c r="E15" s="6" t="s">
        <v>33</v>
      </c>
      <c r="F15" s="6" t="s">
        <v>17</v>
      </c>
      <c r="G15" s="6" t="s">
        <v>44</v>
      </c>
      <c r="H15" s="6" t="s">
        <v>46</v>
      </c>
      <c r="I15" s="6" t="s">
        <v>20</v>
      </c>
      <c r="J15" s="6" t="s">
        <v>21</v>
      </c>
    </row>
    <row r="16">
      <c r="A16" s="4">
        <v>46212.61723765046</v>
      </c>
      <c r="B16" s="6" t="s">
        <v>12</v>
      </c>
      <c r="C16" s="6" t="s">
        <v>52</v>
      </c>
      <c r="D16" s="6" t="s">
        <v>15</v>
      </c>
      <c r="E16" s="6" t="s">
        <v>16</v>
      </c>
      <c r="F16" s="6" t="s">
        <v>17</v>
      </c>
      <c r="G16" s="6" t="s">
        <v>18</v>
      </c>
      <c r="H16" s="6" t="s">
        <v>19</v>
      </c>
      <c r="I16" s="6" t="s">
        <v>20</v>
      </c>
      <c r="J16" s="6" t="s">
        <v>21</v>
      </c>
    </row>
    <row r="17">
      <c r="A17" s="4">
        <v>46212.617269166665</v>
      </c>
      <c r="B17" s="6" t="s">
        <v>67</v>
      </c>
      <c r="C17" s="6" t="s">
        <v>52</v>
      </c>
      <c r="D17" s="6" t="s">
        <v>15</v>
      </c>
      <c r="E17" s="6" t="s">
        <v>16</v>
      </c>
      <c r="F17" s="6" t="s">
        <v>17</v>
      </c>
      <c r="G17" s="6" t="s">
        <v>18</v>
      </c>
      <c r="H17" s="6" t="s">
        <v>19</v>
      </c>
      <c r="I17" s="6" t="s">
        <v>20</v>
      </c>
      <c r="J17" s="6" t="s">
        <v>21</v>
      </c>
    </row>
    <row r="18">
      <c r="A18" s="4">
        <v>46212.617295578704</v>
      </c>
      <c r="B18" s="6" t="s">
        <v>68</v>
      </c>
      <c r="C18" s="6" t="s">
        <v>69</v>
      </c>
      <c r="D18" s="6" t="s">
        <v>15</v>
      </c>
      <c r="E18" s="6" t="s">
        <v>16</v>
      </c>
      <c r="F18" s="6" t="s">
        <v>17</v>
      </c>
      <c r="G18" s="6" t="s">
        <v>18</v>
      </c>
      <c r="H18" s="6" t="s">
        <v>19</v>
      </c>
      <c r="I18" s="6" t="s">
        <v>20</v>
      </c>
      <c r="J18" s="6" t="s">
        <v>21</v>
      </c>
    </row>
    <row r="19">
      <c r="A19" s="4">
        <v>46212.61729861111</v>
      </c>
      <c r="B19" s="6" t="s">
        <v>71</v>
      </c>
      <c r="C19" s="6" t="s">
        <v>72</v>
      </c>
      <c r="D19" s="6" t="s">
        <v>15</v>
      </c>
      <c r="E19" s="6" t="s">
        <v>16</v>
      </c>
      <c r="F19" s="6" t="s">
        <v>17</v>
      </c>
      <c r="G19" s="6" t="s">
        <v>18</v>
      </c>
      <c r="H19" s="6" t="s">
        <v>19</v>
      </c>
      <c r="I19" s="6" t="s">
        <v>20</v>
      </c>
      <c r="J19" s="6" t="s">
        <v>21</v>
      </c>
    </row>
    <row r="20">
      <c r="A20" s="4">
        <v>46212.6173049537</v>
      </c>
      <c r="B20" s="6" t="s">
        <v>74</v>
      </c>
      <c r="C20" s="6" t="s">
        <v>52</v>
      </c>
      <c r="D20" s="6" t="s">
        <v>15</v>
      </c>
      <c r="E20" s="6" t="s">
        <v>16</v>
      </c>
      <c r="F20" s="6" t="s">
        <v>17</v>
      </c>
      <c r="G20" s="6" t="s">
        <v>18</v>
      </c>
      <c r="H20" s="6" t="s">
        <v>19</v>
      </c>
      <c r="I20" s="6" t="s">
        <v>20</v>
      </c>
      <c r="J20" s="6" t="s">
        <v>21</v>
      </c>
    </row>
    <row r="21">
      <c r="A21" s="4">
        <v>46212.617385694444</v>
      </c>
      <c r="B21" s="6" t="s">
        <v>75</v>
      </c>
      <c r="C21" s="6" t="s">
        <v>52</v>
      </c>
      <c r="D21" s="6" t="s">
        <v>15</v>
      </c>
      <c r="E21" s="6" t="s">
        <v>16</v>
      </c>
      <c r="F21" s="6" t="s">
        <v>17</v>
      </c>
      <c r="G21" s="6" t="s">
        <v>18</v>
      </c>
      <c r="H21" s="6" t="s">
        <v>19</v>
      </c>
      <c r="I21" s="6" t="s">
        <v>20</v>
      </c>
      <c r="J21" s="6" t="s">
        <v>21</v>
      </c>
    </row>
    <row r="22">
      <c r="A22" s="4">
        <v>46212.61740270833</v>
      </c>
      <c r="B22" s="6" t="s">
        <v>76</v>
      </c>
      <c r="C22" s="6" t="s">
        <v>78</v>
      </c>
      <c r="D22" s="6" t="s">
        <v>15</v>
      </c>
      <c r="E22" s="6" t="s">
        <v>16</v>
      </c>
      <c r="F22" s="6" t="s">
        <v>17</v>
      </c>
      <c r="G22" s="6" t="s">
        <v>18</v>
      </c>
      <c r="H22" s="6" t="s">
        <v>19</v>
      </c>
      <c r="I22" s="6" t="s">
        <v>20</v>
      </c>
      <c r="J22" s="6" t="s">
        <v>21</v>
      </c>
    </row>
    <row r="23">
      <c r="A23" s="4">
        <v>46212.61743474537</v>
      </c>
      <c r="B23" s="6" t="s">
        <v>79</v>
      </c>
      <c r="C23" s="6" t="s">
        <v>56</v>
      </c>
      <c r="D23" s="6" t="s">
        <v>15</v>
      </c>
      <c r="E23" s="6" t="s">
        <v>16</v>
      </c>
      <c r="F23" s="6" t="s">
        <v>17</v>
      </c>
      <c r="G23" s="6" t="s">
        <v>18</v>
      </c>
      <c r="H23" s="6" t="s">
        <v>19</v>
      </c>
      <c r="I23" s="6" t="s">
        <v>20</v>
      </c>
      <c r="J23" s="6" t="s">
        <v>21</v>
      </c>
    </row>
    <row r="24">
      <c r="A24" s="4">
        <v>46212.61746689815</v>
      </c>
      <c r="B24" s="6" t="s">
        <v>82</v>
      </c>
      <c r="C24" s="6" t="s">
        <v>83</v>
      </c>
      <c r="D24" s="6" t="s">
        <v>15</v>
      </c>
      <c r="E24" s="6" t="s">
        <v>16</v>
      </c>
      <c r="F24" s="6" t="s">
        <v>17</v>
      </c>
      <c r="G24" s="6" t="s">
        <v>18</v>
      </c>
      <c r="H24" s="6" t="s">
        <v>19</v>
      </c>
      <c r="I24" s="6" t="s">
        <v>20</v>
      </c>
      <c r="J24" s="6" t="s">
        <v>21</v>
      </c>
    </row>
    <row r="25">
      <c r="A25" s="4">
        <v>46212.61747373843</v>
      </c>
      <c r="B25" s="6" t="s">
        <v>25</v>
      </c>
      <c r="C25" s="6" t="s">
        <v>84</v>
      </c>
      <c r="D25" s="6" t="s">
        <v>15</v>
      </c>
      <c r="E25" s="6" t="s">
        <v>16</v>
      </c>
      <c r="F25" s="6" t="s">
        <v>17</v>
      </c>
      <c r="G25" s="6" t="s">
        <v>18</v>
      </c>
      <c r="H25" s="6" t="s">
        <v>19</v>
      </c>
      <c r="I25" s="6" t="s">
        <v>20</v>
      </c>
      <c r="J25" s="6" t="s">
        <v>21</v>
      </c>
    </row>
    <row r="26">
      <c r="A26" s="4">
        <v>46212.61747799769</v>
      </c>
      <c r="B26" s="6" t="s">
        <v>86</v>
      </c>
      <c r="C26" s="6" t="s">
        <v>52</v>
      </c>
      <c r="D26" s="6" t="s">
        <v>15</v>
      </c>
      <c r="E26" s="6" t="s">
        <v>16</v>
      </c>
      <c r="F26" s="6" t="s">
        <v>17</v>
      </c>
      <c r="G26" s="6" t="s">
        <v>18</v>
      </c>
      <c r="H26" s="6" t="s">
        <v>19</v>
      </c>
      <c r="I26" s="6" t="s">
        <v>20</v>
      </c>
      <c r="J26" s="6" t="s">
        <v>21</v>
      </c>
    </row>
    <row r="27">
      <c r="A27" s="4">
        <v>46212.617544374996</v>
      </c>
      <c r="B27" s="6" t="s">
        <v>88</v>
      </c>
      <c r="C27" s="6" t="s">
        <v>52</v>
      </c>
      <c r="D27" s="6" t="s">
        <v>15</v>
      </c>
      <c r="E27" s="6" t="s">
        <v>16</v>
      </c>
      <c r="F27" s="6" t="s">
        <v>17</v>
      </c>
      <c r="G27" s="6" t="s">
        <v>18</v>
      </c>
      <c r="H27" s="6" t="s">
        <v>19</v>
      </c>
      <c r="I27" s="6" t="s">
        <v>20</v>
      </c>
      <c r="J27" s="6" t="s">
        <v>21</v>
      </c>
    </row>
    <row r="28">
      <c r="A28" s="4">
        <v>46212.61754533565</v>
      </c>
      <c r="B28" s="6" t="s">
        <v>89</v>
      </c>
      <c r="C28" s="6" t="s">
        <v>52</v>
      </c>
      <c r="D28" s="6" t="s">
        <v>15</v>
      </c>
      <c r="E28" s="6" t="s">
        <v>16</v>
      </c>
      <c r="F28" s="6" t="s">
        <v>17</v>
      </c>
      <c r="G28" s="6" t="s">
        <v>18</v>
      </c>
      <c r="H28" s="6" t="s">
        <v>19</v>
      </c>
      <c r="I28" s="6" t="s">
        <v>20</v>
      </c>
      <c r="J28" s="6" t="s">
        <v>21</v>
      </c>
      <c r="K28" s="6" t="s">
        <v>29</v>
      </c>
    </row>
    <row r="29">
      <c r="A29" s="4">
        <v>46212.61755837963</v>
      </c>
      <c r="B29" s="6" t="s">
        <v>57</v>
      </c>
      <c r="C29" s="6" t="s">
        <v>52</v>
      </c>
      <c r="D29" s="6" t="s">
        <v>15</v>
      </c>
      <c r="E29" s="6" t="s">
        <v>16</v>
      </c>
      <c r="F29" s="6" t="s">
        <v>17</v>
      </c>
      <c r="G29" s="6" t="s">
        <v>18</v>
      </c>
      <c r="H29" s="6" t="s">
        <v>19</v>
      </c>
      <c r="I29" s="6" t="s">
        <v>20</v>
      </c>
      <c r="J29" s="6" t="s">
        <v>21</v>
      </c>
    </row>
    <row r="30">
      <c r="A30" s="4">
        <v>46212.61757043982</v>
      </c>
      <c r="B30" s="6" t="s">
        <v>73</v>
      </c>
      <c r="C30" s="6" t="s">
        <v>56</v>
      </c>
      <c r="D30" s="6" t="s">
        <v>15</v>
      </c>
      <c r="E30" s="6" t="s">
        <v>16</v>
      </c>
      <c r="F30" s="6" t="s">
        <v>17</v>
      </c>
      <c r="G30" s="6" t="s">
        <v>18</v>
      </c>
      <c r="H30" s="6" t="s">
        <v>19</v>
      </c>
      <c r="I30" s="6" t="s">
        <v>20</v>
      </c>
      <c r="J30" s="6" t="s">
        <v>21</v>
      </c>
    </row>
    <row r="31">
      <c r="A31" s="4">
        <v>46212.61759578704</v>
      </c>
      <c r="B31" s="6" t="s">
        <v>93</v>
      </c>
      <c r="C31" s="6" t="s">
        <v>56</v>
      </c>
      <c r="D31" s="6" t="s">
        <v>15</v>
      </c>
      <c r="E31" s="6" t="s">
        <v>16</v>
      </c>
      <c r="F31" s="6" t="s">
        <v>17</v>
      </c>
      <c r="G31" s="6" t="s">
        <v>18</v>
      </c>
      <c r="H31" s="6" t="s">
        <v>19</v>
      </c>
      <c r="I31" s="6" t="s">
        <v>20</v>
      </c>
      <c r="J31" s="6" t="s">
        <v>21</v>
      </c>
    </row>
    <row r="32">
      <c r="A32" s="4">
        <v>46212.61760215278</v>
      </c>
      <c r="B32" s="6" t="s">
        <v>94</v>
      </c>
      <c r="C32" s="6" t="s">
        <v>56</v>
      </c>
      <c r="D32" s="6" t="s">
        <v>15</v>
      </c>
      <c r="E32" s="6" t="s">
        <v>16</v>
      </c>
      <c r="F32" s="6" t="s">
        <v>17</v>
      </c>
      <c r="G32" s="6" t="s">
        <v>18</v>
      </c>
      <c r="H32" s="6" t="s">
        <v>19</v>
      </c>
      <c r="I32" s="6" t="s">
        <v>20</v>
      </c>
      <c r="J32" s="6" t="s">
        <v>21</v>
      </c>
    </row>
    <row r="33">
      <c r="A33" s="4">
        <v>46212.61767446759</v>
      </c>
      <c r="B33" s="6" t="s">
        <v>100</v>
      </c>
      <c r="C33" s="6" t="s">
        <v>52</v>
      </c>
      <c r="D33" s="6" t="s">
        <v>15</v>
      </c>
      <c r="E33" s="6" t="s">
        <v>16</v>
      </c>
      <c r="F33" s="6" t="s">
        <v>17</v>
      </c>
      <c r="G33" s="6" t="s">
        <v>18</v>
      </c>
      <c r="H33" s="6" t="s">
        <v>19</v>
      </c>
      <c r="I33" s="6" t="s">
        <v>20</v>
      </c>
      <c r="J33" s="6" t="s">
        <v>21</v>
      </c>
    </row>
    <row r="34">
      <c r="A34" s="4">
        <v>46212.61769328704</v>
      </c>
      <c r="B34" s="6" t="s">
        <v>102</v>
      </c>
      <c r="C34" s="6" t="s">
        <v>72</v>
      </c>
      <c r="D34" s="6" t="s">
        <v>15</v>
      </c>
      <c r="E34" s="6" t="s">
        <v>16</v>
      </c>
      <c r="F34" s="6" t="s">
        <v>17</v>
      </c>
      <c r="G34" s="6" t="s">
        <v>18</v>
      </c>
      <c r="H34" s="6" t="s">
        <v>19</v>
      </c>
      <c r="I34" s="6" t="s">
        <v>20</v>
      </c>
      <c r="J34" s="6" t="s">
        <v>21</v>
      </c>
    </row>
    <row r="35">
      <c r="A35" s="4">
        <v>46212.6177375463</v>
      </c>
      <c r="B35" s="6" t="s">
        <v>92</v>
      </c>
      <c r="C35" s="6" t="s">
        <v>52</v>
      </c>
      <c r="D35" s="6" t="s">
        <v>15</v>
      </c>
      <c r="E35" s="6" t="s">
        <v>16</v>
      </c>
      <c r="F35" s="6" t="s">
        <v>17</v>
      </c>
      <c r="G35" s="6" t="s">
        <v>18</v>
      </c>
      <c r="H35" s="6" t="s">
        <v>19</v>
      </c>
      <c r="I35" s="6" t="s">
        <v>20</v>
      </c>
      <c r="J35" s="6" t="s">
        <v>21</v>
      </c>
    </row>
    <row r="36">
      <c r="A36" s="4">
        <v>46212.617751944446</v>
      </c>
      <c r="B36" s="6" t="s">
        <v>31</v>
      </c>
      <c r="C36" s="6" t="s">
        <v>52</v>
      </c>
      <c r="D36" s="6" t="s">
        <v>15</v>
      </c>
      <c r="E36" s="6" t="s">
        <v>16</v>
      </c>
      <c r="F36" s="6" t="s">
        <v>17</v>
      </c>
      <c r="G36" s="6" t="s">
        <v>18</v>
      </c>
      <c r="H36" s="6" t="s">
        <v>19</v>
      </c>
      <c r="I36" s="6" t="s">
        <v>20</v>
      </c>
      <c r="J36" s="6" t="s">
        <v>21</v>
      </c>
    </row>
    <row r="37">
      <c r="A37" s="4">
        <v>46212.6177528125</v>
      </c>
      <c r="B37" s="6" t="s">
        <v>106</v>
      </c>
      <c r="C37" s="6" t="s">
        <v>56</v>
      </c>
      <c r="D37" s="6" t="s">
        <v>15</v>
      </c>
      <c r="E37" s="6" t="s">
        <v>16</v>
      </c>
      <c r="F37" s="6" t="s">
        <v>17</v>
      </c>
      <c r="G37" s="6" t="s">
        <v>18</v>
      </c>
      <c r="H37" s="6" t="s">
        <v>19</v>
      </c>
      <c r="I37" s="6" t="s">
        <v>20</v>
      </c>
      <c r="J37" s="6" t="s">
        <v>21</v>
      </c>
    </row>
    <row r="38">
      <c r="A38" s="4">
        <v>46212.617756527776</v>
      </c>
      <c r="B38" s="6" t="s">
        <v>108</v>
      </c>
      <c r="C38" s="6" t="s">
        <v>52</v>
      </c>
      <c r="D38" s="6" t="s">
        <v>15</v>
      </c>
      <c r="E38" s="6" t="s">
        <v>16</v>
      </c>
      <c r="F38" s="6" t="s">
        <v>17</v>
      </c>
      <c r="G38" s="6" t="s">
        <v>18</v>
      </c>
      <c r="H38" s="6" t="s">
        <v>19</v>
      </c>
      <c r="I38" s="6" t="s">
        <v>20</v>
      </c>
      <c r="J38" s="6" t="s">
        <v>21</v>
      </c>
    </row>
    <row r="39">
      <c r="A39" s="4">
        <v>46212.617756886575</v>
      </c>
      <c r="B39" s="6" t="s">
        <v>110</v>
      </c>
      <c r="C39" s="6" t="s">
        <v>111</v>
      </c>
      <c r="D39" s="6" t="s">
        <v>15</v>
      </c>
      <c r="E39" s="6" t="s">
        <v>16</v>
      </c>
      <c r="F39" s="6" t="s">
        <v>17</v>
      </c>
      <c r="G39" s="6" t="s">
        <v>18</v>
      </c>
      <c r="H39" s="6" t="s">
        <v>19</v>
      </c>
      <c r="I39" s="6" t="s">
        <v>20</v>
      </c>
      <c r="J39" s="6" t="s">
        <v>21</v>
      </c>
    </row>
    <row r="40">
      <c r="A40" s="4">
        <v>46212.617841342595</v>
      </c>
      <c r="B40" s="6" t="s">
        <v>113</v>
      </c>
      <c r="C40" s="6" t="s">
        <v>52</v>
      </c>
      <c r="D40" s="6" t="s">
        <v>15</v>
      </c>
      <c r="E40" s="6" t="s">
        <v>16</v>
      </c>
      <c r="F40" s="6" t="s">
        <v>17</v>
      </c>
      <c r="G40" s="6" t="s">
        <v>18</v>
      </c>
      <c r="H40" s="6" t="s">
        <v>19</v>
      </c>
      <c r="I40" s="6" t="s">
        <v>20</v>
      </c>
      <c r="J40" s="6" t="s">
        <v>21</v>
      </c>
    </row>
    <row r="41">
      <c r="A41" s="4">
        <v>46212.6178587037</v>
      </c>
      <c r="B41" s="6" t="s">
        <v>105</v>
      </c>
      <c r="C41" s="6" t="s">
        <v>52</v>
      </c>
      <c r="D41" s="6" t="s">
        <v>15</v>
      </c>
      <c r="E41" s="6" t="s">
        <v>16</v>
      </c>
      <c r="F41" s="6" t="s">
        <v>17</v>
      </c>
      <c r="G41" s="6" t="s">
        <v>18</v>
      </c>
      <c r="H41" s="6" t="s">
        <v>19</v>
      </c>
      <c r="I41" s="6" t="s">
        <v>20</v>
      </c>
      <c r="J41" s="6" t="s">
        <v>21</v>
      </c>
      <c r="K41" s="6" t="s">
        <v>115</v>
      </c>
    </row>
    <row r="42">
      <c r="A42" s="4">
        <v>46212.61787407407</v>
      </c>
      <c r="B42" s="6" t="s">
        <v>114</v>
      </c>
      <c r="C42" s="6" t="s">
        <v>56</v>
      </c>
      <c r="D42" s="6" t="s">
        <v>15</v>
      </c>
      <c r="E42" s="6" t="s">
        <v>16</v>
      </c>
      <c r="F42" s="6" t="s">
        <v>17</v>
      </c>
      <c r="G42" s="6" t="s">
        <v>18</v>
      </c>
      <c r="H42" s="6" t="s">
        <v>19</v>
      </c>
      <c r="I42" s="6" t="s">
        <v>20</v>
      </c>
      <c r="J42" s="6" t="s">
        <v>21</v>
      </c>
    </row>
    <row r="43">
      <c r="A43" s="4">
        <v>46212.61787983796</v>
      </c>
      <c r="B43" s="6" t="s">
        <v>119</v>
      </c>
      <c r="C43" s="6" t="s">
        <v>120</v>
      </c>
      <c r="D43" s="6" t="s">
        <v>15</v>
      </c>
      <c r="E43" s="6" t="s">
        <v>33</v>
      </c>
      <c r="F43" s="6" t="s">
        <v>17</v>
      </c>
      <c r="G43" s="6" t="s">
        <v>18</v>
      </c>
      <c r="H43" s="6" t="s">
        <v>19</v>
      </c>
      <c r="I43" s="6" t="s">
        <v>20</v>
      </c>
      <c r="J43" s="6" t="s">
        <v>48</v>
      </c>
    </row>
    <row r="44">
      <c r="A44" s="4">
        <v>46212.61788010417</v>
      </c>
      <c r="B44" s="6" t="s">
        <v>121</v>
      </c>
      <c r="C44" s="6" t="s">
        <v>66</v>
      </c>
      <c r="D44" s="6" t="s">
        <v>15</v>
      </c>
      <c r="E44" s="6" t="s">
        <v>16</v>
      </c>
      <c r="F44" s="6" t="s">
        <v>17</v>
      </c>
      <c r="G44" s="6" t="s">
        <v>18</v>
      </c>
      <c r="H44" s="6" t="s">
        <v>19</v>
      </c>
      <c r="I44" s="6" t="s">
        <v>20</v>
      </c>
      <c r="J44" s="6" t="s">
        <v>21</v>
      </c>
    </row>
    <row r="45">
      <c r="A45" s="4">
        <v>46212.6179091088</v>
      </c>
      <c r="B45" s="6" t="s">
        <v>123</v>
      </c>
      <c r="C45" s="6" t="s">
        <v>72</v>
      </c>
      <c r="D45" s="6" t="s">
        <v>15</v>
      </c>
      <c r="E45" s="6" t="s">
        <v>16</v>
      </c>
      <c r="F45" s="6" t="s">
        <v>17</v>
      </c>
      <c r="G45" s="6" t="s">
        <v>18</v>
      </c>
      <c r="H45" s="6" t="s">
        <v>19</v>
      </c>
      <c r="I45" s="6" t="s">
        <v>20</v>
      </c>
      <c r="J45" s="6" t="s">
        <v>21</v>
      </c>
    </row>
    <row r="46">
      <c r="A46" s="4">
        <v>46212.61796773148</v>
      </c>
      <c r="B46" s="6" t="s">
        <v>124</v>
      </c>
      <c r="C46" s="6" t="s">
        <v>52</v>
      </c>
      <c r="D46" s="6" t="s">
        <v>15</v>
      </c>
      <c r="E46" s="6" t="s">
        <v>16</v>
      </c>
      <c r="F46" s="6" t="s">
        <v>17</v>
      </c>
      <c r="G46" s="6" t="s">
        <v>18</v>
      </c>
      <c r="H46" s="6" t="s">
        <v>19</v>
      </c>
      <c r="I46" s="6" t="s">
        <v>20</v>
      </c>
      <c r="J46" s="6" t="s">
        <v>21</v>
      </c>
    </row>
    <row r="47">
      <c r="A47" s="4">
        <v>46212.6179752662</v>
      </c>
      <c r="B47" s="6" t="s">
        <v>125</v>
      </c>
      <c r="C47" s="6" t="s">
        <v>52</v>
      </c>
      <c r="D47" s="6" t="s">
        <v>15</v>
      </c>
      <c r="E47" s="6" t="s">
        <v>16</v>
      </c>
      <c r="F47" s="6" t="s">
        <v>17</v>
      </c>
      <c r="G47" s="6" t="s">
        <v>18</v>
      </c>
      <c r="H47" s="6" t="s">
        <v>19</v>
      </c>
      <c r="I47" s="6" t="s">
        <v>20</v>
      </c>
      <c r="J47" s="6" t="s">
        <v>21</v>
      </c>
    </row>
    <row r="48">
      <c r="A48" s="4">
        <v>46212.61798800926</v>
      </c>
      <c r="B48" s="6" t="s">
        <v>101</v>
      </c>
      <c r="C48" s="6" t="s">
        <v>56</v>
      </c>
      <c r="D48" s="6" t="s">
        <v>15</v>
      </c>
      <c r="E48" s="6" t="s">
        <v>16</v>
      </c>
      <c r="F48" s="6" t="s">
        <v>17</v>
      </c>
      <c r="G48" s="6" t="s">
        <v>18</v>
      </c>
      <c r="H48" s="6" t="s">
        <v>19</v>
      </c>
      <c r="I48" s="6" t="s">
        <v>20</v>
      </c>
      <c r="J48" s="6" t="s">
        <v>21</v>
      </c>
    </row>
    <row r="49">
      <c r="A49" s="4">
        <v>46212.618001400464</v>
      </c>
      <c r="B49" s="6" t="s">
        <v>128</v>
      </c>
      <c r="C49" s="6" t="s">
        <v>52</v>
      </c>
      <c r="D49" s="6" t="s">
        <v>15</v>
      </c>
      <c r="E49" s="6" t="s">
        <v>16</v>
      </c>
      <c r="F49" s="6" t="s">
        <v>17</v>
      </c>
      <c r="G49" s="6" t="s">
        <v>18</v>
      </c>
      <c r="H49" s="6" t="s">
        <v>19</v>
      </c>
      <c r="I49" s="6" t="s">
        <v>20</v>
      </c>
      <c r="J49" s="6" t="s">
        <v>21</v>
      </c>
      <c r="K49" s="6" t="s">
        <v>29</v>
      </c>
    </row>
    <row r="50">
      <c r="A50" s="4">
        <v>46212.61800393519</v>
      </c>
      <c r="B50" s="6" t="s">
        <v>42</v>
      </c>
      <c r="C50" s="6" t="s">
        <v>52</v>
      </c>
      <c r="D50" s="6" t="s">
        <v>15</v>
      </c>
      <c r="E50" s="6" t="s">
        <v>16</v>
      </c>
      <c r="F50" s="6" t="s">
        <v>17</v>
      </c>
      <c r="G50" s="6" t="s">
        <v>18</v>
      </c>
      <c r="H50" s="6" t="s">
        <v>19</v>
      </c>
      <c r="I50" s="6" t="s">
        <v>20</v>
      </c>
      <c r="J50" s="6" t="s">
        <v>21</v>
      </c>
    </row>
    <row r="51">
      <c r="A51" s="4">
        <v>46212.618048749995</v>
      </c>
      <c r="B51" s="6" t="s">
        <v>118</v>
      </c>
      <c r="C51" s="6" t="s">
        <v>52</v>
      </c>
      <c r="D51" s="6" t="s">
        <v>15</v>
      </c>
      <c r="E51" s="6" t="s">
        <v>16</v>
      </c>
      <c r="F51" s="6" t="s">
        <v>17</v>
      </c>
      <c r="G51" s="6" t="s">
        <v>18</v>
      </c>
      <c r="H51" s="6" t="s">
        <v>19</v>
      </c>
      <c r="I51" s="6" t="s">
        <v>20</v>
      </c>
      <c r="J51" s="6" t="s">
        <v>21</v>
      </c>
    </row>
    <row r="52">
      <c r="A52" s="4">
        <v>46212.61809570601</v>
      </c>
      <c r="B52" s="6" t="s">
        <v>63</v>
      </c>
      <c r="C52" s="6" t="s">
        <v>52</v>
      </c>
      <c r="D52" s="6" t="s">
        <v>41</v>
      </c>
      <c r="E52" s="6" t="s">
        <v>33</v>
      </c>
      <c r="F52" s="6" t="s">
        <v>132</v>
      </c>
      <c r="G52" s="6" t="s">
        <v>18</v>
      </c>
      <c r="H52" s="6" t="s">
        <v>19</v>
      </c>
      <c r="I52" s="6" t="s">
        <v>20</v>
      </c>
      <c r="J52" s="6" t="s">
        <v>21</v>
      </c>
    </row>
    <row r="53">
      <c r="A53" s="4">
        <v>46212.61812018519</v>
      </c>
      <c r="B53" s="6" t="s">
        <v>61</v>
      </c>
      <c r="C53" s="6" t="s">
        <v>56</v>
      </c>
      <c r="D53" s="6" t="s">
        <v>15</v>
      </c>
      <c r="E53" s="6" t="s">
        <v>16</v>
      </c>
      <c r="F53" s="6" t="s">
        <v>17</v>
      </c>
      <c r="G53" s="6" t="s">
        <v>18</v>
      </c>
      <c r="H53" s="6" t="s">
        <v>19</v>
      </c>
      <c r="I53" s="6" t="s">
        <v>20</v>
      </c>
      <c r="J53" s="6" t="s">
        <v>21</v>
      </c>
    </row>
    <row r="54">
      <c r="A54" s="4">
        <v>46212.618191319445</v>
      </c>
      <c r="B54" s="6" t="s">
        <v>133</v>
      </c>
      <c r="C54" s="6" t="s">
        <v>52</v>
      </c>
      <c r="D54" s="6" t="s">
        <v>15</v>
      </c>
      <c r="E54" s="6" t="s">
        <v>16</v>
      </c>
      <c r="F54" s="6" t="s">
        <v>17</v>
      </c>
      <c r="G54" s="6" t="s">
        <v>18</v>
      </c>
      <c r="H54" s="6" t="s">
        <v>19</v>
      </c>
      <c r="I54" s="6" t="s">
        <v>20</v>
      </c>
      <c r="J54" s="6" t="s">
        <v>21</v>
      </c>
    </row>
    <row r="55">
      <c r="A55" s="4">
        <v>46212.618279849536</v>
      </c>
      <c r="B55" s="6" t="s">
        <v>134</v>
      </c>
      <c r="C55" s="6" t="s">
        <v>52</v>
      </c>
      <c r="D55" s="6" t="s">
        <v>15</v>
      </c>
      <c r="E55" s="6" t="s">
        <v>16</v>
      </c>
      <c r="F55" s="6" t="s">
        <v>17</v>
      </c>
      <c r="G55" s="6" t="s">
        <v>18</v>
      </c>
      <c r="H55" s="6" t="s">
        <v>19</v>
      </c>
      <c r="I55" s="6" t="s">
        <v>20</v>
      </c>
      <c r="J55" s="6" t="s">
        <v>21</v>
      </c>
    </row>
    <row r="56">
      <c r="A56" s="4">
        <v>46212.61829008102</v>
      </c>
      <c r="B56" s="6" t="s">
        <v>135</v>
      </c>
      <c r="C56" s="6" t="s">
        <v>136</v>
      </c>
      <c r="D56" s="6" t="s">
        <v>15</v>
      </c>
      <c r="E56" s="6" t="s">
        <v>16</v>
      </c>
      <c r="F56" s="6" t="s">
        <v>17</v>
      </c>
      <c r="G56" s="6" t="s">
        <v>18</v>
      </c>
      <c r="H56" s="6" t="s">
        <v>19</v>
      </c>
      <c r="I56" s="6" t="s">
        <v>20</v>
      </c>
      <c r="J56" s="6" t="s">
        <v>21</v>
      </c>
    </row>
    <row r="57">
      <c r="A57" s="4">
        <v>46212.61841848379</v>
      </c>
      <c r="B57" s="6" t="s">
        <v>138</v>
      </c>
      <c r="C57" s="6" t="s">
        <v>139</v>
      </c>
      <c r="D57" s="6" t="s">
        <v>15</v>
      </c>
      <c r="E57" s="6" t="s">
        <v>16</v>
      </c>
      <c r="F57" s="6" t="s">
        <v>17</v>
      </c>
      <c r="G57" s="6" t="s">
        <v>18</v>
      </c>
      <c r="H57" s="6" t="s">
        <v>19</v>
      </c>
      <c r="I57" s="6" t="s">
        <v>20</v>
      </c>
      <c r="J57" s="6" t="s">
        <v>21</v>
      </c>
    </row>
    <row r="58">
      <c r="A58" s="4">
        <v>46212.61848049768</v>
      </c>
      <c r="B58" s="6" t="s">
        <v>142</v>
      </c>
      <c r="C58" s="6" t="s">
        <v>143</v>
      </c>
      <c r="D58" s="6" t="s">
        <v>15</v>
      </c>
      <c r="E58" s="6" t="s">
        <v>16</v>
      </c>
      <c r="F58" s="6" t="s">
        <v>17</v>
      </c>
      <c r="G58" s="6" t="s">
        <v>18</v>
      </c>
      <c r="H58" s="6" t="s">
        <v>19</v>
      </c>
      <c r="I58" s="6" t="s">
        <v>20</v>
      </c>
      <c r="J58" s="6" t="s">
        <v>21</v>
      </c>
    </row>
    <row r="59">
      <c r="A59" s="4">
        <v>46212.618491574074</v>
      </c>
      <c r="B59" s="6" t="s">
        <v>98</v>
      </c>
      <c r="C59" s="6" t="s">
        <v>52</v>
      </c>
      <c r="D59" s="6" t="s">
        <v>15</v>
      </c>
      <c r="E59" s="6" t="s">
        <v>16</v>
      </c>
      <c r="F59" s="6" t="s">
        <v>17</v>
      </c>
      <c r="G59" s="6" t="s">
        <v>18</v>
      </c>
      <c r="H59" s="6" t="s">
        <v>19</v>
      </c>
      <c r="I59" s="6" t="s">
        <v>20</v>
      </c>
      <c r="J59" s="6" t="s">
        <v>21</v>
      </c>
      <c r="K59" s="6" t="s">
        <v>34</v>
      </c>
    </row>
    <row r="60">
      <c r="A60" s="4">
        <v>46212.618556319445</v>
      </c>
      <c r="B60" s="6" t="s">
        <v>144</v>
      </c>
      <c r="C60" s="6" t="s">
        <v>52</v>
      </c>
      <c r="D60" s="6" t="s">
        <v>15</v>
      </c>
      <c r="E60" s="6" t="s">
        <v>16</v>
      </c>
      <c r="F60" s="6" t="s">
        <v>17</v>
      </c>
      <c r="G60" s="6" t="s">
        <v>18</v>
      </c>
      <c r="H60" s="6" t="s">
        <v>19</v>
      </c>
      <c r="I60" s="6" t="s">
        <v>20</v>
      </c>
      <c r="J60" s="6" t="s">
        <v>21</v>
      </c>
    </row>
    <row r="61">
      <c r="A61" s="4">
        <v>46212.6186831713</v>
      </c>
      <c r="B61" s="6" t="s">
        <v>137</v>
      </c>
      <c r="C61" s="6" t="s">
        <v>145</v>
      </c>
      <c r="D61" s="6" t="s">
        <v>146</v>
      </c>
      <c r="E61" s="6" t="s">
        <v>16</v>
      </c>
      <c r="F61" s="6" t="s">
        <v>17</v>
      </c>
      <c r="G61" s="6" t="s">
        <v>44</v>
      </c>
      <c r="H61" s="6" t="s">
        <v>19</v>
      </c>
      <c r="I61" s="6" t="s">
        <v>20</v>
      </c>
      <c r="J61" s="6" t="s">
        <v>21</v>
      </c>
    </row>
    <row r="62">
      <c r="A62" s="4">
        <v>46212.61892840278</v>
      </c>
      <c r="B62" s="6" t="s">
        <v>147</v>
      </c>
      <c r="C62" s="6" t="s">
        <v>72</v>
      </c>
      <c r="D62" s="6" t="s">
        <v>15</v>
      </c>
      <c r="E62" s="6" t="s">
        <v>16</v>
      </c>
      <c r="F62" s="6" t="s">
        <v>17</v>
      </c>
      <c r="G62" s="6" t="s">
        <v>18</v>
      </c>
      <c r="H62" s="6" t="s">
        <v>19</v>
      </c>
      <c r="I62" s="6" t="s">
        <v>20</v>
      </c>
      <c r="J62" s="6" t="s">
        <v>21</v>
      </c>
    </row>
    <row r="63">
      <c r="A63" s="4">
        <v>46212.61897351852</v>
      </c>
      <c r="B63" s="6" t="s">
        <v>91</v>
      </c>
      <c r="C63" s="6" t="s">
        <v>52</v>
      </c>
      <c r="D63" s="6" t="s">
        <v>15</v>
      </c>
      <c r="E63" s="6" t="s">
        <v>16</v>
      </c>
      <c r="F63" s="6" t="s">
        <v>17</v>
      </c>
      <c r="G63" s="6" t="s">
        <v>18</v>
      </c>
      <c r="H63" s="6" t="s">
        <v>19</v>
      </c>
      <c r="I63" s="6" t="s">
        <v>20</v>
      </c>
      <c r="J63" s="6" t="s">
        <v>21</v>
      </c>
    </row>
    <row r="64">
      <c r="A64" s="4">
        <v>46212.61899314815</v>
      </c>
      <c r="B64" s="6" t="s">
        <v>95</v>
      </c>
      <c r="C64" s="6" t="s">
        <v>149</v>
      </c>
      <c r="D64" s="6" t="s">
        <v>15</v>
      </c>
      <c r="E64" s="6" t="s">
        <v>16</v>
      </c>
      <c r="F64" s="6" t="s">
        <v>17</v>
      </c>
      <c r="G64" s="6" t="s">
        <v>18</v>
      </c>
      <c r="H64" s="6" t="s">
        <v>19</v>
      </c>
      <c r="I64" s="6" t="s">
        <v>20</v>
      </c>
      <c r="J64" s="6" t="s">
        <v>21</v>
      </c>
    </row>
    <row r="65">
      <c r="A65" s="4">
        <v>46212.6191734375</v>
      </c>
      <c r="B65" s="6" t="s">
        <v>81</v>
      </c>
      <c r="C65" s="6" t="s">
        <v>139</v>
      </c>
      <c r="D65" s="6" t="s">
        <v>15</v>
      </c>
      <c r="E65" s="6" t="s">
        <v>16</v>
      </c>
      <c r="F65" s="6" t="s">
        <v>17</v>
      </c>
      <c r="G65" s="6" t="s">
        <v>18</v>
      </c>
      <c r="H65" s="6" t="s">
        <v>19</v>
      </c>
      <c r="I65" s="6" t="s">
        <v>20</v>
      </c>
      <c r="J65" s="6" t="s">
        <v>21</v>
      </c>
    </row>
    <row r="66">
      <c r="A66" s="4">
        <v>46212.61921152778</v>
      </c>
      <c r="B66" s="6" t="s">
        <v>150</v>
      </c>
      <c r="C66" s="6" t="s">
        <v>52</v>
      </c>
      <c r="D66" s="6" t="s">
        <v>15</v>
      </c>
      <c r="E66" s="6" t="s">
        <v>16</v>
      </c>
      <c r="F66" s="6" t="s">
        <v>17</v>
      </c>
      <c r="G66" s="6" t="s">
        <v>18</v>
      </c>
      <c r="H66" s="6" t="s">
        <v>19</v>
      </c>
      <c r="I66" s="6" t="s">
        <v>20</v>
      </c>
      <c r="J66" s="6" t="s">
        <v>21</v>
      </c>
    </row>
    <row r="67">
      <c r="A67" s="4">
        <v>46212.619344074075</v>
      </c>
      <c r="B67" s="6" t="s">
        <v>151</v>
      </c>
      <c r="C67" s="6" t="s">
        <v>152</v>
      </c>
      <c r="D67" s="6" t="s">
        <v>15</v>
      </c>
      <c r="E67" s="6" t="s">
        <v>16</v>
      </c>
      <c r="F67" s="6" t="s">
        <v>17</v>
      </c>
      <c r="G67" s="6" t="s">
        <v>18</v>
      </c>
      <c r="H67" s="6" t="s">
        <v>19</v>
      </c>
      <c r="I67" s="6" t="s">
        <v>20</v>
      </c>
      <c r="J67" s="6" t="s">
        <v>21</v>
      </c>
    </row>
    <row r="68">
      <c r="A68" s="4">
        <v>46212.61943733796</v>
      </c>
      <c r="B68" s="6" t="s">
        <v>148</v>
      </c>
      <c r="C68" s="6" t="s">
        <v>154</v>
      </c>
      <c r="D68" s="6" t="s">
        <v>15</v>
      </c>
      <c r="E68" s="6" t="s">
        <v>16</v>
      </c>
      <c r="F68" s="6" t="s">
        <v>17</v>
      </c>
      <c r="G68" s="6" t="s">
        <v>18</v>
      </c>
      <c r="H68" s="6" t="s">
        <v>19</v>
      </c>
      <c r="I68" s="6" t="s">
        <v>20</v>
      </c>
      <c r="J68" s="6" t="s">
        <v>21</v>
      </c>
    </row>
    <row r="69">
      <c r="A69" s="4">
        <v>46212.61943821759</v>
      </c>
      <c r="B69" s="6" t="s">
        <v>158</v>
      </c>
      <c r="C69" s="6" t="s">
        <v>136</v>
      </c>
      <c r="D69" s="6" t="s">
        <v>15</v>
      </c>
      <c r="E69" s="6" t="s">
        <v>16</v>
      </c>
      <c r="F69" s="6" t="s">
        <v>17</v>
      </c>
      <c r="G69" s="6" t="s">
        <v>18</v>
      </c>
      <c r="H69" s="6" t="s">
        <v>19</v>
      </c>
      <c r="I69" s="6" t="s">
        <v>20</v>
      </c>
      <c r="J69" s="6" t="s">
        <v>21</v>
      </c>
    </row>
    <row r="70">
      <c r="A70" s="4">
        <v>46212.619514687496</v>
      </c>
      <c r="B70" s="6" t="s">
        <v>53</v>
      </c>
      <c r="C70" s="6" t="s">
        <v>52</v>
      </c>
      <c r="D70" s="6" t="s">
        <v>15</v>
      </c>
      <c r="E70" s="6" t="s">
        <v>16</v>
      </c>
      <c r="F70" s="6" t="s">
        <v>17</v>
      </c>
      <c r="G70" s="6" t="s">
        <v>18</v>
      </c>
      <c r="H70" s="6" t="s">
        <v>19</v>
      </c>
      <c r="I70" s="6" t="s">
        <v>20</v>
      </c>
      <c r="J70" s="6" t="s">
        <v>21</v>
      </c>
    </row>
    <row r="71">
      <c r="A71" s="4">
        <v>46212.61972971065</v>
      </c>
      <c r="B71" s="6" t="s">
        <v>161</v>
      </c>
      <c r="C71" s="6" t="s">
        <v>52</v>
      </c>
      <c r="D71" s="6" t="s">
        <v>15</v>
      </c>
      <c r="E71" s="6" t="s">
        <v>16</v>
      </c>
      <c r="F71" s="6" t="s">
        <v>17</v>
      </c>
      <c r="G71" s="6" t="s">
        <v>18</v>
      </c>
      <c r="H71" s="6" t="s">
        <v>19</v>
      </c>
      <c r="I71" s="6" t="s">
        <v>20</v>
      </c>
      <c r="J71" s="6" t="s">
        <v>21</v>
      </c>
    </row>
    <row r="72">
      <c r="A72" s="4">
        <v>46212.6197828588</v>
      </c>
      <c r="B72" s="6" t="s">
        <v>162</v>
      </c>
      <c r="C72" s="6" t="s">
        <v>163</v>
      </c>
      <c r="D72" s="6" t="s">
        <v>146</v>
      </c>
      <c r="E72" s="6" t="s">
        <v>16</v>
      </c>
      <c r="F72" s="6" t="s">
        <v>132</v>
      </c>
      <c r="G72" s="6" t="s">
        <v>44</v>
      </c>
      <c r="H72" s="6" t="s">
        <v>46</v>
      </c>
      <c r="I72" s="6" t="s">
        <v>47</v>
      </c>
      <c r="J72" s="6" t="s">
        <v>48</v>
      </c>
    </row>
    <row r="73">
      <c r="A73" s="4">
        <v>46212.62054462963</v>
      </c>
      <c r="B73" s="6" t="s">
        <v>126</v>
      </c>
      <c r="C73" s="6" t="s">
        <v>165</v>
      </c>
      <c r="D73" s="6" t="s">
        <v>15</v>
      </c>
      <c r="E73" s="6" t="s">
        <v>16</v>
      </c>
      <c r="F73" s="6" t="s">
        <v>17</v>
      </c>
      <c r="G73" s="6" t="s">
        <v>18</v>
      </c>
      <c r="H73" s="6" t="s">
        <v>19</v>
      </c>
      <c r="I73" s="6" t="s">
        <v>20</v>
      </c>
      <c r="J73" s="6" t="s">
        <v>21</v>
      </c>
    </row>
    <row r="74">
      <c r="A74" s="4">
        <v>46212.620822488425</v>
      </c>
      <c r="B74" s="6" t="s">
        <v>104</v>
      </c>
      <c r="C74" s="6" t="s">
        <v>52</v>
      </c>
      <c r="D74" s="6" t="s">
        <v>15</v>
      </c>
      <c r="E74" s="6" t="s">
        <v>16</v>
      </c>
      <c r="F74" s="6" t="s">
        <v>17</v>
      </c>
      <c r="G74" s="6" t="s">
        <v>18</v>
      </c>
      <c r="H74" s="6" t="s">
        <v>19</v>
      </c>
      <c r="I74" s="6" t="s">
        <v>20</v>
      </c>
      <c r="J74" s="6" t="s">
        <v>21</v>
      </c>
    </row>
    <row r="75">
      <c r="A75" s="4">
        <v>46212.621908217596</v>
      </c>
      <c r="B75" s="6" t="s">
        <v>166</v>
      </c>
      <c r="C75" s="6" t="s">
        <v>167</v>
      </c>
      <c r="D75" s="6" t="s">
        <v>15</v>
      </c>
      <c r="E75" s="6" t="s">
        <v>16</v>
      </c>
      <c r="F75" s="6" t="s">
        <v>17</v>
      </c>
      <c r="G75" s="6" t="s">
        <v>18</v>
      </c>
      <c r="H75" s="6" t="s">
        <v>19</v>
      </c>
      <c r="I75" s="6" t="s">
        <v>20</v>
      </c>
      <c r="J75" s="6" t="s">
        <v>48</v>
      </c>
    </row>
    <row r="76">
      <c r="A76" s="4">
        <v>46212.622396886574</v>
      </c>
      <c r="B76" s="6" t="s">
        <v>130</v>
      </c>
      <c r="C76" s="6" t="s">
        <v>52</v>
      </c>
      <c r="D76" s="6" t="s">
        <v>15</v>
      </c>
      <c r="E76" s="6" t="s">
        <v>16</v>
      </c>
      <c r="F76" s="6" t="s">
        <v>17</v>
      </c>
      <c r="G76" s="6" t="s">
        <v>18</v>
      </c>
      <c r="H76" s="6" t="s">
        <v>19</v>
      </c>
      <c r="I76" s="6" t="s">
        <v>20</v>
      </c>
      <c r="J76" s="6" t="s">
        <v>21</v>
      </c>
      <c r="K76" s="6" t="s">
        <v>29</v>
      </c>
    </row>
    <row r="77">
      <c r="A77" s="4">
        <v>46212.62361616898</v>
      </c>
      <c r="B77" s="6" t="s">
        <v>169</v>
      </c>
      <c r="C77" s="6" t="s">
        <v>52</v>
      </c>
      <c r="D77" s="6" t="s">
        <v>15</v>
      </c>
      <c r="E77" s="6" t="s">
        <v>16</v>
      </c>
      <c r="F77" s="6" t="s">
        <v>17</v>
      </c>
      <c r="G77" s="6" t="s">
        <v>18</v>
      </c>
      <c r="H77" s="6" t="s">
        <v>19</v>
      </c>
      <c r="I77" s="6" t="s">
        <v>20</v>
      </c>
      <c r="J77" s="6" t="s">
        <v>21</v>
      </c>
    </row>
    <row r="78">
      <c r="A78" s="4">
        <v>46212.630016400464</v>
      </c>
      <c r="B78" s="6" t="s">
        <v>70</v>
      </c>
      <c r="C78" s="6" t="s">
        <v>52</v>
      </c>
      <c r="D78" s="6" t="s">
        <v>41</v>
      </c>
      <c r="E78" s="6" t="s">
        <v>33</v>
      </c>
      <c r="F78" s="6" t="s">
        <v>43</v>
      </c>
      <c r="G78" s="6" t="s">
        <v>44</v>
      </c>
      <c r="H78" s="6" t="s">
        <v>46</v>
      </c>
      <c r="I78" s="6" t="s">
        <v>47</v>
      </c>
      <c r="J78" s="6" t="s">
        <v>48</v>
      </c>
    </row>
    <row r="79">
      <c r="A79" s="4">
        <v>46212.83373287037</v>
      </c>
      <c r="B79" s="6" t="s">
        <v>155</v>
      </c>
      <c r="C79" s="6" t="s">
        <v>52</v>
      </c>
      <c r="D79" s="6" t="s">
        <v>15</v>
      </c>
      <c r="E79" s="6" t="s">
        <v>16</v>
      </c>
      <c r="F79" s="6" t="s">
        <v>17</v>
      </c>
      <c r="G79" s="6" t="s">
        <v>18</v>
      </c>
      <c r="H79" s="6" t="s">
        <v>19</v>
      </c>
      <c r="I79" s="6" t="s">
        <v>20</v>
      </c>
      <c r="J79" s="6" t="s">
        <v>21</v>
      </c>
    </row>
    <row r="80">
      <c r="A80" s="4">
        <v>46213.40417616898</v>
      </c>
      <c r="B80" s="6" t="s">
        <v>171</v>
      </c>
      <c r="C80" s="6" t="s">
        <v>72</v>
      </c>
      <c r="D80" s="6" t="s">
        <v>15</v>
      </c>
      <c r="E80" s="6" t="s">
        <v>16</v>
      </c>
      <c r="F80" s="6" t="s">
        <v>17</v>
      </c>
      <c r="G80" s="6" t="s">
        <v>18</v>
      </c>
      <c r="H80" s="6" t="s">
        <v>19</v>
      </c>
      <c r="I80" s="6" t="s">
        <v>20</v>
      </c>
      <c r="J80" s="6" t="s">
        <v>21</v>
      </c>
    </row>
    <row r="81">
      <c r="A81" s="4">
        <v>46213.45344783565</v>
      </c>
      <c r="B81" s="6" t="s">
        <v>172</v>
      </c>
      <c r="C81" s="6" t="s">
        <v>52</v>
      </c>
      <c r="D81" s="6" t="s">
        <v>15</v>
      </c>
      <c r="E81" s="6" t="s">
        <v>16</v>
      </c>
      <c r="F81" s="6" t="s">
        <v>43</v>
      </c>
      <c r="G81" s="6" t="s">
        <v>18</v>
      </c>
      <c r="H81" s="6" t="s">
        <v>46</v>
      </c>
      <c r="I81" s="6" t="s">
        <v>20</v>
      </c>
      <c r="J81" s="6" t="s">
        <v>21</v>
      </c>
      <c r="K81" s="6" t="s">
        <v>115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4" max="4" width="2.13"/>
    <col customWidth="1" min="14" max="14" width="24.5"/>
  </cols>
  <sheetData>
    <row r="1">
      <c r="A1" s="2" t="s">
        <v>0</v>
      </c>
      <c r="B1" s="2" t="s">
        <v>1</v>
      </c>
      <c r="C1" s="3" t="s">
        <v>2</v>
      </c>
      <c r="D1" s="5"/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3" t="s">
        <v>9</v>
      </c>
      <c r="L1" s="2"/>
      <c r="M1" s="7" t="s">
        <v>24</v>
      </c>
    </row>
    <row r="2">
      <c r="A2" s="8">
        <f>'1.1'!A:A</f>
        <v>46181.52152</v>
      </c>
      <c r="B2" s="2" t="str">
        <f>'1.1'!B:B</f>
        <v>bnco0910@signalschool.ac.th</v>
      </c>
      <c r="C2" s="2" t="str">
        <f>'1.1'!C:C</f>
        <v>ส.อ.ไชยพร รัก รักษากุล</v>
      </c>
      <c r="D2" s="9">
        <v>1.0</v>
      </c>
      <c r="E2" s="10">
        <f>IFERROR(vlookup('1.1'!D:D,lookup!$A$2:$B$4,2,false),0)</f>
        <v>5</v>
      </c>
      <c r="F2" s="10">
        <f>IFERROR(vlookup('1.1'!E:E,lookup!$A$6:$B$8,2,false),0)</f>
        <v>5</v>
      </c>
      <c r="G2" s="10">
        <f>IFERROR(vlookup('1.1'!F:F,lookup!$A$10:$B$12,2,false),0)</f>
        <v>5</v>
      </c>
      <c r="H2" s="10">
        <f>IFERROR(vlookup('1.1'!G:G,lookup!$A$14:$B$16,2,false),0)</f>
        <v>5</v>
      </c>
      <c r="I2" s="10">
        <f>IFERROR(vlookup('1.1'!H:H,lookup!$A$18:$B$20,2,false),0)</f>
        <v>5</v>
      </c>
      <c r="J2" s="10">
        <f>IFERROR(vlookup('1.1'!I:I,lookup!$A$22:$B$24,2,false),0)</f>
        <v>5</v>
      </c>
      <c r="K2" s="10">
        <f>IFERROR(vlookup('1.1'!J:J,lookup!$A$26:$B$28,2,false),0)</f>
        <v>5</v>
      </c>
      <c r="L2" s="2"/>
      <c r="M2" s="10">
        <v>1.0</v>
      </c>
      <c r="N2" s="11" t="str">
        <f t="shared" ref="N2:N81" si="1">CONCAT(R2,"@signalschool.ac.th")</f>
        <v>bnco0901@signalschool.ac.th</v>
      </c>
      <c r="O2" s="12">
        <f t="shared" ref="O2:O81" si="2">IFERROR(VLOOKUP(N2,B$2:D$81,3,FALSE),0)</f>
        <v>1</v>
      </c>
      <c r="R2" s="6" t="s">
        <v>116</v>
      </c>
    </row>
    <row r="3">
      <c r="A3" s="8">
        <f>'1.1'!A:A</f>
        <v>46189.42882</v>
      </c>
      <c r="B3" s="2" t="str">
        <f>'1.1'!B:B</f>
        <v>bnco0936@signalschool.ac.th</v>
      </c>
      <c r="C3" s="2" t="str">
        <f>'1.1'!C:C</f>
        <v>จ.ส.ต.ภานุพงษ์  ใจเฉื่อย</v>
      </c>
      <c r="D3" s="9">
        <v>1.0</v>
      </c>
      <c r="E3" s="10">
        <f>IFERROR(vlookup('1.1'!D:D,lookup!$A$2:$B$4,2,false),0)</f>
        <v>5</v>
      </c>
      <c r="F3" s="10">
        <f>IFERROR(vlookup('1.1'!E:E,lookup!$A$6:$B$8,2,false),0)</f>
        <v>5</v>
      </c>
      <c r="G3" s="10">
        <f>IFERROR(vlookup('1.1'!F:F,lookup!$A$10:$B$12,2,false),0)</f>
        <v>5</v>
      </c>
      <c r="H3" s="10">
        <f>IFERROR(vlookup('1.1'!G:G,lookup!$A$14:$B$16,2,false),0)</f>
        <v>5</v>
      </c>
      <c r="I3" s="10">
        <f>IFERROR(vlookup('1.1'!H:H,lookup!$A$18:$B$20,2,false),0)</f>
        <v>5</v>
      </c>
      <c r="J3" s="10">
        <f>IFERROR(vlookup('1.1'!I:I,lookup!$A$22:$B$24,2,false),0)</f>
        <v>5</v>
      </c>
      <c r="K3" s="10">
        <f>IFERROR(vlookup('1.1'!J:J,lookup!$A$26:$B$28,2,false),0)</f>
        <v>5</v>
      </c>
      <c r="L3" s="2"/>
      <c r="M3" s="10">
        <v>2.0</v>
      </c>
      <c r="N3" s="11" t="str">
        <f t="shared" si="1"/>
        <v>bnco0902@signalschool.ac.th</v>
      </c>
      <c r="O3" s="12">
        <f t="shared" si="2"/>
        <v>1</v>
      </c>
      <c r="R3" s="6" t="s">
        <v>157</v>
      </c>
    </row>
    <row r="4">
      <c r="A4" s="8">
        <f>'1.1'!A:A</f>
        <v>46189.43453</v>
      </c>
      <c r="B4" s="2" t="str">
        <f>'1.1'!B:B</f>
        <v>bnco0940@signalschool.ac.th</v>
      </c>
      <c r="C4" s="2" t="str">
        <f>'1.1'!C:C</f>
        <v>ส.อ.ไชยพร รักษากุล</v>
      </c>
      <c r="D4" s="9">
        <v>1.0</v>
      </c>
      <c r="E4" s="10">
        <f>IFERROR(vlookup('1.1'!D:D,lookup!$A$2:$B$4,2,false),0)</f>
        <v>5</v>
      </c>
      <c r="F4" s="10">
        <f>IFERROR(vlookup('1.1'!E:E,lookup!$A$6:$B$8,2,false),0)</f>
        <v>5</v>
      </c>
      <c r="G4" s="10">
        <f>IFERROR(vlookup('1.1'!F:F,lookup!$A$10:$B$12,2,false),0)</f>
        <v>5</v>
      </c>
      <c r="H4" s="10">
        <f>IFERROR(vlookup('1.1'!G:G,lookup!$A$14:$B$16,2,false),0)</f>
        <v>5</v>
      </c>
      <c r="I4" s="10">
        <f>IFERROR(vlookup('1.1'!H:H,lookup!$A$18:$B$20,2,false),0)</f>
        <v>5</v>
      </c>
      <c r="J4" s="10">
        <f>IFERROR(vlookup('1.1'!I:I,lookup!$A$22:$B$24,2,false),0)</f>
        <v>5</v>
      </c>
      <c r="K4" s="10">
        <f>IFERROR(vlookup('1.1'!J:J,lookup!$A$26:$B$28,2,false),0)</f>
        <v>5</v>
      </c>
      <c r="L4" s="2"/>
      <c r="M4" s="10">
        <v>3.0</v>
      </c>
      <c r="N4" s="11" t="str">
        <f t="shared" si="1"/>
        <v>bnco0903@signalschool.ac.th</v>
      </c>
      <c r="O4" s="12">
        <f t="shared" si="2"/>
        <v>1</v>
      </c>
      <c r="R4" s="6" t="s">
        <v>182</v>
      </c>
    </row>
    <row r="5">
      <c r="A5" s="8">
        <f>'1.1'!A:A</f>
        <v>46204.34642</v>
      </c>
      <c r="B5" s="2" t="str">
        <f>'1.1'!B:B</f>
        <v>bnco0950@signalschool.ac.th</v>
      </c>
      <c r="C5" s="2" t="str">
        <f>'1.1'!C:C</f>
        <v>ส.อ.ไชยพร รักษากุล</v>
      </c>
      <c r="D5" s="9">
        <v>1.0</v>
      </c>
      <c r="E5" s="10">
        <f>IFERROR(vlookup('1.1'!D:D,lookup!$A$2:$B$4,2,false),0)</f>
        <v>5</v>
      </c>
      <c r="F5" s="10">
        <f>IFERROR(vlookup('1.1'!E:E,lookup!$A$6:$B$8,2,false),0)</f>
        <v>5</v>
      </c>
      <c r="G5" s="10">
        <f>IFERROR(vlookup('1.1'!F:F,lookup!$A$10:$B$12,2,false),0)</f>
        <v>5</v>
      </c>
      <c r="H5" s="10">
        <f>IFERROR(vlookup('1.1'!G:G,lookup!$A$14:$B$16,2,false),0)</f>
        <v>5</v>
      </c>
      <c r="I5" s="10">
        <f>IFERROR(vlookup('1.1'!H:H,lookup!$A$18:$B$20,2,false),0)</f>
        <v>5</v>
      </c>
      <c r="J5" s="10">
        <f>IFERROR(vlookup('1.1'!I:I,lookup!$A$22:$B$24,2,false),0)</f>
        <v>5</v>
      </c>
      <c r="K5" s="10">
        <f>IFERROR(vlookup('1.1'!J:J,lookup!$A$26:$B$28,2,false),0)</f>
        <v>5</v>
      </c>
      <c r="L5" s="2"/>
      <c r="M5" s="10">
        <v>4.0</v>
      </c>
      <c r="N5" s="11" t="str">
        <f t="shared" si="1"/>
        <v>bnco0904@signalschool.ac.th</v>
      </c>
      <c r="O5" s="12">
        <f t="shared" si="2"/>
        <v>1</v>
      </c>
      <c r="R5" s="6" t="s">
        <v>193</v>
      </c>
    </row>
    <row r="6">
      <c r="A6" s="8">
        <f>'1.1'!A:A</f>
        <v>46204.46658</v>
      </c>
      <c r="B6" s="2" t="str">
        <f>'1.1'!B:B</f>
        <v>bnco0951@signalschool.ac.th</v>
      </c>
      <c r="C6" s="2" t="str">
        <f>'1.1'!C:C</f>
        <v>ส.อ.ไชยพร รักษากุล</v>
      </c>
      <c r="D6" s="9">
        <v>1.0</v>
      </c>
      <c r="E6" s="10">
        <f>IFERROR(vlookup('1.1'!D:D,lookup!$A$2:$B$4,2,false),0)</f>
        <v>5</v>
      </c>
      <c r="F6" s="10">
        <f>IFERROR(vlookup('1.1'!E:E,lookup!$A$6:$B$8,2,false),0)</f>
        <v>5</v>
      </c>
      <c r="G6" s="10">
        <f>IFERROR(vlookup('1.1'!F:F,lookup!$A$10:$B$12,2,false),0)</f>
        <v>5</v>
      </c>
      <c r="H6" s="10">
        <f>IFERROR(vlookup('1.1'!G:G,lookup!$A$14:$B$16,2,false),0)</f>
        <v>5</v>
      </c>
      <c r="I6" s="10">
        <f>IFERROR(vlookup('1.1'!H:H,lookup!$A$18:$B$20,2,false),0)</f>
        <v>5</v>
      </c>
      <c r="J6" s="10">
        <f>IFERROR(vlookup('1.1'!I:I,lookup!$A$22:$B$24,2,false),0)</f>
        <v>5</v>
      </c>
      <c r="K6" s="10">
        <f>IFERROR(vlookup('1.1'!J:J,lookup!$A$26:$B$28,2,false),0)</f>
        <v>5</v>
      </c>
      <c r="L6" s="2"/>
      <c r="M6" s="10">
        <v>5.0</v>
      </c>
      <c r="N6" s="11" t="str">
        <f t="shared" si="1"/>
        <v>bnco0905@signalschool.ac.th</v>
      </c>
      <c r="O6" s="12">
        <f t="shared" si="2"/>
        <v>1</v>
      </c>
      <c r="R6" s="6" t="s">
        <v>197</v>
      </c>
    </row>
    <row r="7">
      <c r="A7" s="8">
        <f>'1.1'!A:A</f>
        <v>46206.59417</v>
      </c>
      <c r="B7" s="2" t="str">
        <f>'1.1'!B:B</f>
        <v>bnco0920@signalschool.ac.th</v>
      </c>
      <c r="C7" s="2" t="str">
        <f>'1.1'!C:C</f>
        <v>จ.ส.ท.ณัฐพงษ์ / จ.ส.ต.ภาณุพงษ์</v>
      </c>
      <c r="D7" s="9">
        <v>1.0</v>
      </c>
      <c r="E7" s="10">
        <f>IFERROR(vlookup('1.1'!D:D,lookup!$A$2:$B$4,2,false),0)</f>
        <v>5</v>
      </c>
      <c r="F7" s="10">
        <f>IFERROR(vlookup('1.1'!E:E,lookup!$A$6:$B$8,2,false),0)</f>
        <v>5</v>
      </c>
      <c r="G7" s="10">
        <f>IFERROR(vlookup('1.1'!F:F,lookup!$A$10:$B$12,2,false),0)</f>
        <v>5</v>
      </c>
      <c r="H7" s="10">
        <f>IFERROR(vlookup('1.1'!G:G,lookup!$A$14:$B$16,2,false),0)</f>
        <v>5</v>
      </c>
      <c r="I7" s="10">
        <f>IFERROR(vlookup('1.1'!H:H,lookup!$A$18:$B$20,2,false),0)</f>
        <v>5</v>
      </c>
      <c r="J7" s="10">
        <f>IFERROR(vlookup('1.1'!I:I,lookup!$A$22:$B$24,2,false),0)</f>
        <v>5</v>
      </c>
      <c r="K7" s="10">
        <f>IFERROR(vlookup('1.1'!J:J,lookup!$A$26:$B$28,2,false),0)</f>
        <v>5</v>
      </c>
      <c r="L7" s="2"/>
      <c r="M7" s="10">
        <v>6.0</v>
      </c>
      <c r="N7" s="11" t="str">
        <f t="shared" si="1"/>
        <v>bnco0906@signalschool.ac.th</v>
      </c>
      <c r="O7" s="12">
        <f t="shared" si="2"/>
        <v>1</v>
      </c>
      <c r="R7" s="6" t="s">
        <v>203</v>
      </c>
    </row>
    <row r="8">
      <c r="A8" s="8">
        <f>'1.1'!A:A</f>
        <v>46212.57564</v>
      </c>
      <c r="B8" s="2" t="str">
        <f>'1.1'!B:B</f>
        <v>bnco0906@signalschool.ac.th</v>
      </c>
      <c r="C8" s="2" t="str">
        <f>'1.1'!C:C</f>
        <v>ส.อ.ไชยพร รักษากุล</v>
      </c>
      <c r="D8" s="9">
        <v>1.0</v>
      </c>
      <c r="E8" s="10">
        <f>IFERROR(vlookup('1.1'!D:D,lookup!$A$2:$B$4,2,false),0)</f>
        <v>3</v>
      </c>
      <c r="F8" s="10">
        <f>IFERROR(vlookup('1.1'!E:E,lookup!$A$6:$B$8,2,false),0)</f>
        <v>3</v>
      </c>
      <c r="G8" s="10">
        <f>IFERROR(vlookup('1.1'!F:F,lookup!$A$10:$B$12,2,false),0)</f>
        <v>3</v>
      </c>
      <c r="H8" s="10">
        <f>IFERROR(vlookup('1.1'!G:G,lookup!$A$14:$B$16,2,false),0)</f>
        <v>3</v>
      </c>
      <c r="I8" s="10">
        <f>IFERROR(vlookup('1.1'!H:H,lookup!$A$18:$B$20,2,false),0)</f>
        <v>3</v>
      </c>
      <c r="J8" s="10">
        <f>IFERROR(vlookup('1.1'!I:I,lookup!$A$22:$B$24,2,false),0)</f>
        <v>3</v>
      </c>
      <c r="K8" s="10">
        <f>IFERROR(vlookup('1.1'!J:J,lookup!$A$26:$B$28,2,false),0)</f>
        <v>3</v>
      </c>
      <c r="L8" s="2"/>
      <c r="M8" s="10">
        <v>7.0</v>
      </c>
      <c r="N8" s="11" t="str">
        <f t="shared" si="1"/>
        <v>bnco0907@signalschool.ac.th</v>
      </c>
      <c r="O8" s="12">
        <f t="shared" si="2"/>
        <v>1</v>
      </c>
      <c r="R8" s="6" t="s">
        <v>206</v>
      </c>
    </row>
    <row r="9">
      <c r="A9" s="8">
        <f>'1.1'!A:A</f>
        <v>46212.61359</v>
      </c>
      <c r="B9" s="2" t="str">
        <f>'1.1'!B:B</f>
        <v>bnco0955@signalschool.ac.th</v>
      </c>
      <c r="C9" s="2" t="str">
        <f>'1.1'!C:C</f>
        <v>อาจารย์ประจำวิชาการจัดหน่วยทหารสื่อสาร</v>
      </c>
      <c r="D9" s="9">
        <v>1.0</v>
      </c>
      <c r="E9" s="10">
        <f>IFERROR(vlookup('1.1'!D:D,lookup!$A$2:$B$4,2,false),0)</f>
        <v>5</v>
      </c>
      <c r="F9" s="10">
        <f>IFERROR(vlookup('1.1'!E:E,lookup!$A$6:$B$8,2,false),0)</f>
        <v>5</v>
      </c>
      <c r="G9" s="10">
        <f>IFERROR(vlookup('1.1'!F:F,lookup!$A$10:$B$12,2,false),0)</f>
        <v>5</v>
      </c>
      <c r="H9" s="10">
        <f>IFERROR(vlookup('1.1'!G:G,lookup!$A$14:$B$16,2,false),0)</f>
        <v>5</v>
      </c>
      <c r="I9" s="10">
        <f>IFERROR(vlookup('1.1'!H:H,lookup!$A$18:$B$20,2,false),0)</f>
        <v>5</v>
      </c>
      <c r="J9" s="10">
        <f>IFERROR(vlookup('1.1'!I:I,lookup!$A$22:$B$24,2,false),0)</f>
        <v>5</v>
      </c>
      <c r="K9" s="10">
        <f>IFERROR(vlookup('1.1'!J:J,lookup!$A$26:$B$28,2,false),0)</f>
        <v>5</v>
      </c>
      <c r="L9" s="2"/>
      <c r="M9" s="10">
        <v>8.0</v>
      </c>
      <c r="N9" s="11" t="str">
        <f t="shared" si="1"/>
        <v>bnco0908@signalschool.ac.th</v>
      </c>
      <c r="O9" s="12">
        <f t="shared" si="2"/>
        <v>1</v>
      </c>
      <c r="R9" s="6" t="s">
        <v>211</v>
      </c>
    </row>
    <row r="10">
      <c r="A10" s="8">
        <f>'1.1'!A:A</f>
        <v>46212.61643</v>
      </c>
      <c r="B10" s="2" t="str">
        <f>'1.1'!B:B</f>
        <v>bnco0974@signalschool.ac.th</v>
      </c>
      <c r="C10" s="2" t="str">
        <f>'1.1'!C:C</f>
        <v>ร.ท.ศุภรัชฎ หมอกสุข</v>
      </c>
      <c r="D10" s="9">
        <v>1.0</v>
      </c>
      <c r="E10" s="10">
        <f>IFERROR(vlookup('1.1'!D:D,lookup!$A$2:$B$4,2,false),0)</f>
        <v>3</v>
      </c>
      <c r="F10" s="10">
        <f>IFERROR(vlookup('1.1'!E:E,lookup!$A$6:$B$8,2,false),0)</f>
        <v>5</v>
      </c>
      <c r="G10" s="10">
        <f>IFERROR(vlookup('1.1'!F:F,lookup!$A$10:$B$12,2,false),0)</f>
        <v>5</v>
      </c>
      <c r="H10" s="10">
        <f>IFERROR(vlookup('1.1'!G:G,lookup!$A$14:$B$16,2,false),0)</f>
        <v>5</v>
      </c>
      <c r="I10" s="10">
        <f>IFERROR(vlookup('1.1'!H:H,lookup!$A$18:$B$20,2,false),0)</f>
        <v>5</v>
      </c>
      <c r="J10" s="10">
        <f>IFERROR(vlookup('1.1'!I:I,lookup!$A$22:$B$24,2,false),0)</f>
        <v>5</v>
      </c>
      <c r="K10" s="10">
        <f>IFERROR(vlookup('1.1'!J:J,lookup!$A$26:$B$28,2,false),0)</f>
        <v>5</v>
      </c>
      <c r="L10" s="2"/>
      <c r="M10" s="10">
        <v>9.0</v>
      </c>
      <c r="N10" s="11" t="str">
        <f t="shared" si="1"/>
        <v>bnco0909@signalschool.ac.th</v>
      </c>
      <c r="O10" s="12">
        <f t="shared" si="2"/>
        <v>1</v>
      </c>
      <c r="R10" s="6" t="s">
        <v>212</v>
      </c>
    </row>
    <row r="11">
      <c r="A11" s="8">
        <f>'1.1'!A:A</f>
        <v>46212.61674</v>
      </c>
      <c r="B11" s="2" t="str">
        <f>'1.1'!B:B</f>
        <v>bnco0919@signalschool.ac.th</v>
      </c>
      <c r="C11" s="2" t="str">
        <f>'1.1'!C:C</f>
        <v>ร.ท.ศุภรัชฎ หมอกสุข</v>
      </c>
      <c r="D11" s="9">
        <v>1.0</v>
      </c>
      <c r="E11" s="10">
        <f>IFERROR(vlookup('1.1'!D:D,lookup!$A$2:$B$4,2,false),0)</f>
        <v>5</v>
      </c>
      <c r="F11" s="10">
        <f>IFERROR(vlookup('1.1'!E:E,lookup!$A$6:$B$8,2,false),0)</f>
        <v>5</v>
      </c>
      <c r="G11" s="10">
        <f>IFERROR(vlookup('1.1'!F:F,lookup!$A$10:$B$12,2,false),0)</f>
        <v>5</v>
      </c>
      <c r="H11" s="10">
        <f>IFERROR(vlookup('1.1'!G:G,lookup!$A$14:$B$16,2,false),0)</f>
        <v>5</v>
      </c>
      <c r="I11" s="10">
        <f>IFERROR(vlookup('1.1'!H:H,lookup!$A$18:$B$20,2,false),0)</f>
        <v>5</v>
      </c>
      <c r="J11" s="10">
        <f>IFERROR(vlookup('1.1'!I:I,lookup!$A$22:$B$24,2,false),0)</f>
        <v>5</v>
      </c>
      <c r="K11" s="10">
        <f>IFERROR(vlookup('1.1'!J:J,lookup!$A$26:$B$28,2,false),0)</f>
        <v>5</v>
      </c>
      <c r="L11" s="2"/>
      <c r="M11" s="10">
        <v>10.0</v>
      </c>
      <c r="N11" s="11" t="str">
        <f t="shared" si="1"/>
        <v>bnco0910@signalschool.ac.th</v>
      </c>
      <c r="O11" s="12">
        <f t="shared" si="2"/>
        <v>1</v>
      </c>
      <c r="R11" s="6" t="s">
        <v>213</v>
      </c>
    </row>
    <row r="12">
      <c r="A12" s="8">
        <f>'1.1'!A:A</f>
        <v>46212.61674</v>
      </c>
      <c r="B12" s="2" t="str">
        <f>'1.1'!B:B</f>
        <v>bnco0937@signalschool.ac.th</v>
      </c>
      <c r="C12" s="2" t="str">
        <f>'1.1'!C:C</f>
        <v>ร.ท.ศุภรัชฎ  หมอกสุข</v>
      </c>
      <c r="D12" s="9">
        <v>1.0</v>
      </c>
      <c r="E12" s="10">
        <f>IFERROR(vlookup('1.1'!D:D,lookup!$A$2:$B$4,2,false),0)</f>
        <v>5</v>
      </c>
      <c r="F12" s="10">
        <f>IFERROR(vlookup('1.1'!E:E,lookup!$A$6:$B$8,2,false),0)</f>
        <v>5</v>
      </c>
      <c r="G12" s="10">
        <f>IFERROR(vlookup('1.1'!F:F,lookup!$A$10:$B$12,2,false),0)</f>
        <v>5</v>
      </c>
      <c r="H12" s="10">
        <f>IFERROR(vlookup('1.1'!G:G,lookup!$A$14:$B$16,2,false),0)</f>
        <v>5</v>
      </c>
      <c r="I12" s="10">
        <f>IFERROR(vlookup('1.1'!H:H,lookup!$A$18:$B$20,2,false),0)</f>
        <v>5</v>
      </c>
      <c r="J12" s="10">
        <f>IFERROR(vlookup('1.1'!I:I,lookup!$A$22:$B$24,2,false),0)</f>
        <v>5</v>
      </c>
      <c r="K12" s="10">
        <f>IFERROR(vlookup('1.1'!J:J,lookup!$A$26:$B$28,2,false),0)</f>
        <v>5</v>
      </c>
      <c r="L12" s="2"/>
      <c r="M12" s="10">
        <v>11.0</v>
      </c>
      <c r="N12" s="11" t="str">
        <f t="shared" si="1"/>
        <v>bnco0911@signalschool.ac.th</v>
      </c>
      <c r="O12" s="12">
        <f t="shared" si="2"/>
        <v>1</v>
      </c>
      <c r="R12" s="6" t="s">
        <v>214</v>
      </c>
    </row>
    <row r="13">
      <c r="A13" s="8">
        <f>'1.1'!A:A</f>
        <v>46212.61686</v>
      </c>
      <c r="B13" s="2" t="str">
        <f>'1.1'!B:B</f>
        <v>bnco0970@signalschool.ac.th</v>
      </c>
      <c r="C13" s="2" t="str">
        <f>'1.1'!C:C</f>
        <v>ส.อ.ภาณุพงศ์ อุทธิยา</v>
      </c>
      <c r="D13" s="9">
        <v>1.0</v>
      </c>
      <c r="E13" s="10">
        <f>IFERROR(vlookup('1.1'!D:D,lookup!$A$2:$B$4,2,false),0)</f>
        <v>5</v>
      </c>
      <c r="F13" s="10">
        <f>IFERROR(vlookup('1.1'!E:E,lookup!$A$6:$B$8,2,false),0)</f>
        <v>5</v>
      </c>
      <c r="G13" s="10">
        <f>IFERROR(vlookup('1.1'!F:F,lookup!$A$10:$B$12,2,false),0)</f>
        <v>5</v>
      </c>
      <c r="H13" s="10">
        <f>IFERROR(vlookup('1.1'!G:G,lookup!$A$14:$B$16,2,false),0)</f>
        <v>5</v>
      </c>
      <c r="I13" s="10">
        <f>IFERROR(vlookup('1.1'!H:H,lookup!$A$18:$B$20,2,false),0)</f>
        <v>5</v>
      </c>
      <c r="J13" s="10">
        <f>IFERROR(vlookup('1.1'!I:I,lookup!$A$22:$B$24,2,false),0)</f>
        <v>5</v>
      </c>
      <c r="K13" s="10">
        <f>IFERROR(vlookup('1.1'!J:J,lookup!$A$26:$B$28,2,false),0)</f>
        <v>5</v>
      </c>
      <c r="L13" s="2"/>
      <c r="M13" s="10">
        <v>12.0</v>
      </c>
      <c r="N13" s="11" t="str">
        <f t="shared" si="1"/>
        <v>bnco0912@signalschool.ac.th</v>
      </c>
      <c r="O13" s="12">
        <f t="shared" si="2"/>
        <v>1</v>
      </c>
      <c r="R13" s="6" t="s">
        <v>222</v>
      </c>
    </row>
    <row r="14">
      <c r="A14" s="8">
        <f>'1.1'!A:A</f>
        <v>46212.61714</v>
      </c>
      <c r="B14" s="2" t="str">
        <f>'1.1'!B:B</f>
        <v>bnco0973@signalschool.ac.th</v>
      </c>
      <c r="C14" s="2" t="str">
        <f>'1.1'!C:C</f>
        <v>ร.ท.ศุภรัชฎ หมอกสุข</v>
      </c>
      <c r="D14" s="9">
        <v>1.0</v>
      </c>
      <c r="E14" s="10">
        <f>IFERROR(vlookup('1.1'!D:D,lookup!$A$2:$B$4,2,false),0)</f>
        <v>5</v>
      </c>
      <c r="F14" s="10">
        <f>IFERROR(vlookup('1.1'!E:E,lookup!$A$6:$B$8,2,false),0)</f>
        <v>5</v>
      </c>
      <c r="G14" s="10">
        <f>IFERROR(vlookup('1.1'!F:F,lookup!$A$10:$B$12,2,false),0)</f>
        <v>5</v>
      </c>
      <c r="H14" s="10">
        <f>IFERROR(vlookup('1.1'!G:G,lookup!$A$14:$B$16,2,false),0)</f>
        <v>5</v>
      </c>
      <c r="I14" s="10">
        <f>IFERROR(vlookup('1.1'!H:H,lookup!$A$18:$B$20,2,false),0)</f>
        <v>5</v>
      </c>
      <c r="J14" s="10">
        <f>IFERROR(vlookup('1.1'!I:I,lookup!$A$22:$B$24,2,false),0)</f>
        <v>5</v>
      </c>
      <c r="K14" s="10">
        <f>IFERROR(vlookup('1.1'!J:J,lookup!$A$26:$B$28,2,false),0)</f>
        <v>5</v>
      </c>
      <c r="L14" s="2"/>
      <c r="M14" s="10">
        <v>13.0</v>
      </c>
      <c r="N14" s="11" t="str">
        <f t="shared" si="1"/>
        <v>bnco0913@signalschool.ac.th</v>
      </c>
      <c r="O14" s="12">
        <f t="shared" si="2"/>
        <v>1</v>
      </c>
      <c r="R14" s="6" t="s">
        <v>227</v>
      </c>
    </row>
    <row r="15">
      <c r="A15" s="8">
        <f>'1.1'!A:A</f>
        <v>46212.61718</v>
      </c>
      <c r="B15" s="2" t="str">
        <f>'1.1'!B:B</f>
        <v>bnco0938@signalschool.ac.th</v>
      </c>
      <c r="C15" s="2" t="str">
        <f>'1.1'!C:C</f>
        <v>ร.ท.ศุภรัชฏ  หมอกสุข</v>
      </c>
      <c r="D15" s="9">
        <v>1.0</v>
      </c>
      <c r="E15" s="10">
        <f>IFERROR(vlookup('1.1'!D:D,lookup!$A$2:$B$4,2,false),0)</f>
        <v>3</v>
      </c>
      <c r="F15" s="10">
        <f>IFERROR(vlookup('1.1'!E:E,lookup!$A$6:$B$8,2,false),0)</f>
        <v>3</v>
      </c>
      <c r="G15" s="10">
        <f>IFERROR(vlookup('1.1'!F:F,lookup!$A$10:$B$12,2,false),0)</f>
        <v>5</v>
      </c>
      <c r="H15" s="10">
        <f>IFERROR(vlookup('1.1'!G:G,lookup!$A$14:$B$16,2,false),0)</f>
        <v>3</v>
      </c>
      <c r="I15" s="10">
        <f>IFERROR(vlookup('1.1'!H:H,lookup!$A$18:$B$20,2,false),0)</f>
        <v>3</v>
      </c>
      <c r="J15" s="10">
        <f>IFERROR(vlookup('1.1'!I:I,lookup!$A$22:$B$24,2,false),0)</f>
        <v>5</v>
      </c>
      <c r="K15" s="10">
        <f>IFERROR(vlookup('1.1'!J:J,lookup!$A$26:$B$28,2,false),0)</f>
        <v>5</v>
      </c>
      <c r="L15" s="2"/>
      <c r="M15" s="10">
        <v>14.0</v>
      </c>
      <c r="N15" s="11" t="str">
        <f t="shared" si="1"/>
        <v>bnco0914@signalschool.ac.th</v>
      </c>
      <c r="O15" s="12">
        <f t="shared" si="2"/>
        <v>1</v>
      </c>
      <c r="R15" s="6" t="s">
        <v>230</v>
      </c>
    </row>
    <row r="16">
      <c r="A16" s="8">
        <f>'1.1'!A:A</f>
        <v>46212.61724</v>
      </c>
      <c r="B16" s="2" t="str">
        <f>'1.1'!B:B</f>
        <v>bnco0958@signalschool.ac.th</v>
      </c>
      <c r="C16" s="2" t="str">
        <f>'1.1'!C:C</f>
        <v>ร.ท.ศุภรัชฎ หมอกสุข</v>
      </c>
      <c r="D16" s="9">
        <v>1.0</v>
      </c>
      <c r="E16" s="10">
        <f>IFERROR(vlookup('1.1'!D:D,lookup!$A$2:$B$4,2,false),0)</f>
        <v>5</v>
      </c>
      <c r="F16" s="10">
        <f>IFERROR(vlookup('1.1'!E:E,lookup!$A$6:$B$8,2,false),0)</f>
        <v>5</v>
      </c>
      <c r="G16" s="10">
        <f>IFERROR(vlookup('1.1'!F:F,lookup!$A$10:$B$12,2,false),0)</f>
        <v>5</v>
      </c>
      <c r="H16" s="10">
        <f>IFERROR(vlookup('1.1'!G:G,lookup!$A$14:$B$16,2,false),0)</f>
        <v>5</v>
      </c>
      <c r="I16" s="10">
        <f>IFERROR(vlookup('1.1'!H:H,lookup!$A$18:$B$20,2,false),0)</f>
        <v>5</v>
      </c>
      <c r="J16" s="10">
        <f>IFERROR(vlookup('1.1'!I:I,lookup!$A$22:$B$24,2,false),0)</f>
        <v>5</v>
      </c>
      <c r="K16" s="10">
        <f>IFERROR(vlookup('1.1'!J:J,lookup!$A$26:$B$28,2,false),0)</f>
        <v>5</v>
      </c>
      <c r="L16" s="2"/>
      <c r="M16" s="10">
        <v>15.0</v>
      </c>
      <c r="N16" s="11" t="str">
        <f t="shared" si="1"/>
        <v>bnco0915@signalschool.ac.th</v>
      </c>
      <c r="O16" s="12">
        <f t="shared" si="2"/>
        <v>1</v>
      </c>
      <c r="R16" s="6" t="s">
        <v>232</v>
      </c>
    </row>
    <row r="17">
      <c r="A17" s="8">
        <f>'1.1'!A:A</f>
        <v>46212.61727</v>
      </c>
      <c r="B17" s="2" t="str">
        <f>'1.1'!B:B</f>
        <v>bnco0935@signalschool.ac.th</v>
      </c>
      <c r="C17" s="2" t="str">
        <f>'1.1'!C:C</f>
        <v>ร.ท.ศุภรัชฎ หมอกสุข</v>
      </c>
      <c r="D17" s="9">
        <v>1.0</v>
      </c>
      <c r="E17" s="10">
        <f>IFERROR(vlookup('1.1'!D:D,lookup!$A$2:$B$4,2,false),0)</f>
        <v>5</v>
      </c>
      <c r="F17" s="10">
        <f>IFERROR(vlookup('1.1'!E:E,lookup!$A$6:$B$8,2,false),0)</f>
        <v>5</v>
      </c>
      <c r="G17" s="10">
        <f>IFERROR(vlookup('1.1'!F:F,lookup!$A$10:$B$12,2,false),0)</f>
        <v>5</v>
      </c>
      <c r="H17" s="10">
        <f>IFERROR(vlookup('1.1'!G:G,lookup!$A$14:$B$16,2,false),0)</f>
        <v>5</v>
      </c>
      <c r="I17" s="10">
        <f>IFERROR(vlookup('1.1'!H:H,lookup!$A$18:$B$20,2,false),0)</f>
        <v>5</v>
      </c>
      <c r="J17" s="10">
        <f>IFERROR(vlookup('1.1'!I:I,lookup!$A$22:$B$24,2,false),0)</f>
        <v>5</v>
      </c>
      <c r="K17" s="10">
        <f>IFERROR(vlookup('1.1'!J:J,lookup!$A$26:$B$28,2,false),0)</f>
        <v>5</v>
      </c>
      <c r="L17" s="2"/>
      <c r="M17" s="10">
        <v>16.0</v>
      </c>
      <c r="N17" s="11" t="str">
        <f t="shared" si="1"/>
        <v>bnco0916@signalschool.ac.th</v>
      </c>
      <c r="O17" s="12">
        <f t="shared" si="2"/>
        <v>1</v>
      </c>
      <c r="R17" s="6" t="s">
        <v>233</v>
      </c>
    </row>
    <row r="18">
      <c r="A18" s="8">
        <f>'1.1'!A:A</f>
        <v>46212.6173</v>
      </c>
      <c r="B18" s="2" t="str">
        <f>'1.1'!B:B</f>
        <v>bnco0905@signalschool.ac.th</v>
      </c>
      <c r="C18" s="2" t="str">
        <f>'1.1'!C:C</f>
        <v>ร.ท. ศุภรัชฎ หมอกสุข</v>
      </c>
      <c r="D18" s="9">
        <v>1.0</v>
      </c>
      <c r="E18" s="10">
        <f>IFERROR(vlookup('1.1'!D:D,lookup!$A$2:$B$4,2,false),0)</f>
        <v>5</v>
      </c>
      <c r="F18" s="10">
        <f>IFERROR(vlookup('1.1'!E:E,lookup!$A$6:$B$8,2,false),0)</f>
        <v>5</v>
      </c>
      <c r="G18" s="10">
        <f>IFERROR(vlookup('1.1'!F:F,lookup!$A$10:$B$12,2,false),0)</f>
        <v>5</v>
      </c>
      <c r="H18" s="10">
        <f>IFERROR(vlookup('1.1'!G:G,lookup!$A$14:$B$16,2,false),0)</f>
        <v>5</v>
      </c>
      <c r="I18" s="10">
        <f>IFERROR(vlookup('1.1'!H:H,lookup!$A$18:$B$20,2,false),0)</f>
        <v>5</v>
      </c>
      <c r="J18" s="10">
        <f>IFERROR(vlookup('1.1'!I:I,lookup!$A$22:$B$24,2,false),0)</f>
        <v>5</v>
      </c>
      <c r="K18" s="10">
        <f>IFERROR(vlookup('1.1'!J:J,lookup!$A$26:$B$28,2,false),0)</f>
        <v>5</v>
      </c>
      <c r="L18" s="2"/>
      <c r="M18" s="10">
        <v>17.0</v>
      </c>
      <c r="N18" s="11" t="str">
        <f t="shared" si="1"/>
        <v>bnco0917@signalschool.ac.th</v>
      </c>
      <c r="O18" s="12">
        <f t="shared" si="2"/>
        <v>1</v>
      </c>
      <c r="R18" s="6" t="s">
        <v>234</v>
      </c>
    </row>
    <row r="19">
      <c r="A19" s="8">
        <f>'1.1'!A:A</f>
        <v>46212.6173</v>
      </c>
      <c r="B19" s="2" t="str">
        <f>'1.1'!B:B</f>
        <v>bnco0933@signalschool.ac.th</v>
      </c>
      <c r="C19" s="2" t="str">
        <f>'1.1'!C:C</f>
        <v>ร.ท.ศุภรัชฏ หมอกสุข</v>
      </c>
      <c r="D19" s="9">
        <v>1.0</v>
      </c>
      <c r="E19" s="10">
        <f>IFERROR(vlookup('1.1'!D:D,lookup!$A$2:$B$4,2,false),0)</f>
        <v>5</v>
      </c>
      <c r="F19" s="10">
        <f>IFERROR(vlookup('1.1'!E:E,lookup!$A$6:$B$8,2,false),0)</f>
        <v>5</v>
      </c>
      <c r="G19" s="10">
        <f>IFERROR(vlookup('1.1'!F:F,lookup!$A$10:$B$12,2,false),0)</f>
        <v>5</v>
      </c>
      <c r="H19" s="10">
        <f>IFERROR(vlookup('1.1'!G:G,lookup!$A$14:$B$16,2,false),0)</f>
        <v>5</v>
      </c>
      <c r="I19" s="10">
        <f>IFERROR(vlookup('1.1'!H:H,lookup!$A$18:$B$20,2,false),0)</f>
        <v>5</v>
      </c>
      <c r="J19" s="10">
        <f>IFERROR(vlookup('1.1'!I:I,lookup!$A$22:$B$24,2,false),0)</f>
        <v>5</v>
      </c>
      <c r="K19" s="10">
        <f>IFERROR(vlookup('1.1'!J:J,lookup!$A$26:$B$28,2,false),0)</f>
        <v>5</v>
      </c>
      <c r="L19" s="2"/>
      <c r="M19" s="10">
        <v>18.0</v>
      </c>
      <c r="N19" s="11" t="str">
        <f t="shared" si="1"/>
        <v>bnco0918@signalschool.ac.th</v>
      </c>
      <c r="O19" s="12">
        <f t="shared" si="2"/>
        <v>1</v>
      </c>
      <c r="R19" s="6" t="s">
        <v>235</v>
      </c>
    </row>
    <row r="20">
      <c r="A20" s="8">
        <f>'1.1'!A:A</f>
        <v>46212.6173</v>
      </c>
      <c r="B20" s="2" t="str">
        <f>'1.1'!B:B</f>
        <v>bnco0903@signalschool.ac.th</v>
      </c>
      <c r="C20" s="2" t="str">
        <f>'1.1'!C:C</f>
        <v>ร.ท.ศุภรัชฎ หมอกสุข</v>
      </c>
      <c r="D20" s="9">
        <v>1.0</v>
      </c>
      <c r="E20" s="10">
        <f>IFERROR(vlookup('1.1'!D:D,lookup!$A$2:$B$4,2,false),0)</f>
        <v>5</v>
      </c>
      <c r="F20" s="10">
        <f>IFERROR(vlookup('1.1'!E:E,lookup!$A$6:$B$8,2,false),0)</f>
        <v>5</v>
      </c>
      <c r="G20" s="10">
        <f>IFERROR(vlookup('1.1'!F:F,lookup!$A$10:$B$12,2,false),0)</f>
        <v>5</v>
      </c>
      <c r="H20" s="10">
        <f>IFERROR(vlookup('1.1'!G:G,lookup!$A$14:$B$16,2,false),0)</f>
        <v>5</v>
      </c>
      <c r="I20" s="10">
        <f>IFERROR(vlookup('1.1'!H:H,lookup!$A$18:$B$20,2,false),0)</f>
        <v>5</v>
      </c>
      <c r="J20" s="10">
        <f>IFERROR(vlookup('1.1'!I:I,lookup!$A$22:$B$24,2,false),0)</f>
        <v>5</v>
      </c>
      <c r="K20" s="10">
        <f>IFERROR(vlookup('1.1'!J:J,lookup!$A$26:$B$28,2,false),0)</f>
        <v>5</v>
      </c>
      <c r="L20" s="2"/>
      <c r="M20" s="10">
        <v>19.0</v>
      </c>
      <c r="N20" s="11" t="str">
        <f t="shared" si="1"/>
        <v>bnco0919@signalschool.ac.th</v>
      </c>
      <c r="O20" s="12">
        <f t="shared" si="2"/>
        <v>1</v>
      </c>
      <c r="R20" s="6" t="s">
        <v>236</v>
      </c>
    </row>
    <row r="21">
      <c r="A21" s="8">
        <f>'1.1'!A:A</f>
        <v>46212.61739</v>
      </c>
      <c r="B21" s="2" t="str">
        <f>'1.1'!B:B</f>
        <v>bnco0923@signalschool.ac.th</v>
      </c>
      <c r="C21" s="2" t="str">
        <f>'1.1'!C:C</f>
        <v>ร.ท.ศุภรัชฎ หมอกสุข</v>
      </c>
      <c r="D21" s="9">
        <v>1.0</v>
      </c>
      <c r="E21" s="10">
        <f>IFERROR(vlookup('1.1'!D:D,lookup!$A$2:$B$4,2,false),0)</f>
        <v>5</v>
      </c>
      <c r="F21" s="10">
        <f>IFERROR(vlookup('1.1'!E:E,lookup!$A$6:$B$8,2,false),0)</f>
        <v>5</v>
      </c>
      <c r="G21" s="10">
        <f>IFERROR(vlookup('1.1'!F:F,lookup!$A$10:$B$12,2,false),0)</f>
        <v>5</v>
      </c>
      <c r="H21" s="10">
        <f>IFERROR(vlookup('1.1'!G:G,lookup!$A$14:$B$16,2,false),0)</f>
        <v>5</v>
      </c>
      <c r="I21" s="10">
        <f>IFERROR(vlookup('1.1'!H:H,lookup!$A$18:$B$20,2,false),0)</f>
        <v>5</v>
      </c>
      <c r="J21" s="10">
        <f>IFERROR(vlookup('1.1'!I:I,lookup!$A$22:$B$24,2,false),0)</f>
        <v>5</v>
      </c>
      <c r="K21" s="10">
        <f>IFERROR(vlookup('1.1'!J:J,lookup!$A$26:$B$28,2,false),0)</f>
        <v>5</v>
      </c>
      <c r="L21" s="2"/>
      <c r="M21" s="10">
        <v>20.0</v>
      </c>
      <c r="N21" s="11" t="str">
        <f t="shared" si="1"/>
        <v>bnco0920@signalschool.ac.th</v>
      </c>
      <c r="O21" s="12">
        <f t="shared" si="2"/>
        <v>1</v>
      </c>
      <c r="R21" s="6" t="s">
        <v>237</v>
      </c>
    </row>
    <row r="22">
      <c r="A22" s="8">
        <f>'1.1'!A:A</f>
        <v>46212.6174</v>
      </c>
      <c r="B22" s="2" t="str">
        <f>'1.1'!B:B</f>
        <v>bnco0962@signalschool.ac.th</v>
      </c>
      <c r="C22" s="2" t="str">
        <f>'1.1'!C:C</f>
        <v>ร.ท.ศุภรัชฎ   หมอกสุข</v>
      </c>
      <c r="D22" s="9">
        <v>1.0</v>
      </c>
      <c r="E22" s="10">
        <f>IFERROR(vlookup('1.1'!D:D,lookup!$A$2:$B$4,2,false),0)</f>
        <v>5</v>
      </c>
      <c r="F22" s="10">
        <f>IFERROR(vlookup('1.1'!E:E,lookup!$A$6:$B$8,2,false),0)</f>
        <v>5</v>
      </c>
      <c r="G22" s="10">
        <f>IFERROR(vlookup('1.1'!F:F,lookup!$A$10:$B$12,2,false),0)</f>
        <v>5</v>
      </c>
      <c r="H22" s="10">
        <f>IFERROR(vlookup('1.1'!G:G,lookup!$A$14:$B$16,2,false),0)</f>
        <v>5</v>
      </c>
      <c r="I22" s="10">
        <f>IFERROR(vlookup('1.1'!H:H,lookup!$A$18:$B$20,2,false),0)</f>
        <v>5</v>
      </c>
      <c r="J22" s="10">
        <f>IFERROR(vlookup('1.1'!I:I,lookup!$A$22:$B$24,2,false),0)</f>
        <v>5</v>
      </c>
      <c r="K22" s="10">
        <f>IFERROR(vlookup('1.1'!J:J,lookup!$A$26:$B$28,2,false),0)</f>
        <v>5</v>
      </c>
      <c r="L22" s="2"/>
      <c r="M22" s="10">
        <v>21.0</v>
      </c>
      <c r="N22" s="11" t="str">
        <f t="shared" si="1"/>
        <v>bnco0921@signalschool.ac.th</v>
      </c>
      <c r="O22" s="12">
        <f t="shared" si="2"/>
        <v>1</v>
      </c>
      <c r="R22" s="6" t="s">
        <v>238</v>
      </c>
    </row>
    <row r="23">
      <c r="A23" s="8">
        <f>'1.1'!A:A</f>
        <v>46212.61743</v>
      </c>
      <c r="B23" s="2" t="str">
        <f>'1.1'!B:B</f>
        <v>bnco0932@signalschool.ac.th</v>
      </c>
      <c r="C23" s="2" t="str">
        <f>'1.1'!C:C</f>
        <v>ร.ท.ศุภรัชฎ  หมอกสุข</v>
      </c>
      <c r="D23" s="9">
        <v>1.0</v>
      </c>
      <c r="E23" s="10">
        <f>IFERROR(vlookup('1.1'!D:D,lookup!$A$2:$B$4,2,false),0)</f>
        <v>5</v>
      </c>
      <c r="F23" s="10">
        <f>IFERROR(vlookup('1.1'!E:E,lookup!$A$6:$B$8,2,false),0)</f>
        <v>5</v>
      </c>
      <c r="G23" s="10">
        <f>IFERROR(vlookup('1.1'!F:F,lookup!$A$10:$B$12,2,false),0)</f>
        <v>5</v>
      </c>
      <c r="H23" s="10">
        <f>IFERROR(vlookup('1.1'!G:G,lookup!$A$14:$B$16,2,false),0)</f>
        <v>5</v>
      </c>
      <c r="I23" s="10">
        <f>IFERROR(vlookup('1.1'!H:H,lookup!$A$18:$B$20,2,false),0)</f>
        <v>5</v>
      </c>
      <c r="J23" s="10">
        <f>IFERROR(vlookup('1.1'!I:I,lookup!$A$22:$B$24,2,false),0)</f>
        <v>5</v>
      </c>
      <c r="K23" s="10">
        <f>IFERROR(vlookup('1.1'!J:J,lookup!$A$26:$B$28,2,false),0)</f>
        <v>5</v>
      </c>
      <c r="L23" s="2"/>
      <c r="M23" s="10">
        <v>22.0</v>
      </c>
      <c r="N23" s="11" t="str">
        <f t="shared" si="1"/>
        <v>bnco0922@signalschool.ac.th</v>
      </c>
      <c r="O23" s="12">
        <f t="shared" si="2"/>
        <v>1</v>
      </c>
      <c r="R23" s="6" t="s">
        <v>239</v>
      </c>
    </row>
    <row r="24">
      <c r="A24" s="8">
        <f>'1.1'!A:A</f>
        <v>46212.61747</v>
      </c>
      <c r="B24" s="2" t="str">
        <f>'1.1'!B:B</f>
        <v>bnco0941@signalschool.ac.th</v>
      </c>
      <c r="C24" s="2" t="str">
        <f>'1.1'!C:C</f>
        <v>ร.ท.ศุภรัชภ หมอกสุช</v>
      </c>
      <c r="D24" s="9">
        <v>1.0</v>
      </c>
      <c r="E24" s="10">
        <f>IFERROR(vlookup('1.1'!D:D,lookup!$A$2:$B$4,2,false),0)</f>
        <v>5</v>
      </c>
      <c r="F24" s="10">
        <f>IFERROR(vlookup('1.1'!E:E,lookup!$A$6:$B$8,2,false),0)</f>
        <v>5</v>
      </c>
      <c r="G24" s="10">
        <f>IFERROR(vlookup('1.1'!F:F,lookup!$A$10:$B$12,2,false),0)</f>
        <v>5</v>
      </c>
      <c r="H24" s="10">
        <f>IFERROR(vlookup('1.1'!G:G,lookup!$A$14:$B$16,2,false),0)</f>
        <v>5</v>
      </c>
      <c r="I24" s="10">
        <f>IFERROR(vlookup('1.1'!H:H,lookup!$A$18:$B$20,2,false),0)</f>
        <v>5</v>
      </c>
      <c r="J24" s="10">
        <f>IFERROR(vlookup('1.1'!I:I,lookup!$A$22:$B$24,2,false),0)</f>
        <v>5</v>
      </c>
      <c r="K24" s="10">
        <f>IFERROR(vlookup('1.1'!J:J,lookup!$A$26:$B$28,2,false),0)</f>
        <v>5</v>
      </c>
      <c r="L24" s="2"/>
      <c r="M24" s="10">
        <v>23.0</v>
      </c>
      <c r="N24" s="11" t="str">
        <f t="shared" si="1"/>
        <v>bnco0923@signalschool.ac.th</v>
      </c>
      <c r="O24" s="12">
        <f t="shared" si="2"/>
        <v>1</v>
      </c>
      <c r="R24" s="6" t="s">
        <v>240</v>
      </c>
    </row>
    <row r="25">
      <c r="A25" s="8">
        <f>'1.1'!A:A</f>
        <v>46212.61747</v>
      </c>
      <c r="B25" s="2" t="str">
        <f>'1.1'!B:B</f>
        <v>bnco0934@signalschool.ac.th</v>
      </c>
      <c r="C25" s="2" t="str">
        <f>'1.1'!C:C</f>
        <v>ร.ท.ศุภรัฎ หมอกสุข</v>
      </c>
      <c r="D25" s="9">
        <v>1.0</v>
      </c>
      <c r="E25" s="10">
        <f>IFERROR(vlookup('1.1'!D:D,lookup!$A$2:$B$4,2,false),0)</f>
        <v>5</v>
      </c>
      <c r="F25" s="10">
        <f>IFERROR(vlookup('1.1'!E:E,lookup!$A$6:$B$8,2,false),0)</f>
        <v>5</v>
      </c>
      <c r="G25" s="10">
        <f>IFERROR(vlookup('1.1'!F:F,lookup!$A$10:$B$12,2,false),0)</f>
        <v>5</v>
      </c>
      <c r="H25" s="10">
        <f>IFERROR(vlookup('1.1'!G:G,lookup!$A$14:$B$16,2,false),0)</f>
        <v>5</v>
      </c>
      <c r="I25" s="10">
        <f>IFERROR(vlookup('1.1'!H:H,lookup!$A$18:$B$20,2,false),0)</f>
        <v>5</v>
      </c>
      <c r="J25" s="10">
        <f>IFERROR(vlookup('1.1'!I:I,lookup!$A$22:$B$24,2,false),0)</f>
        <v>5</v>
      </c>
      <c r="K25" s="10">
        <f>IFERROR(vlookup('1.1'!J:J,lookup!$A$26:$B$28,2,false),0)</f>
        <v>5</v>
      </c>
      <c r="L25" s="2"/>
      <c r="M25" s="10">
        <v>24.0</v>
      </c>
      <c r="N25" s="11" t="str">
        <f t="shared" si="1"/>
        <v>bnco0924@signalschool.ac.th</v>
      </c>
      <c r="O25" s="12">
        <f t="shared" si="2"/>
        <v>1</v>
      </c>
      <c r="R25" s="6" t="s">
        <v>241</v>
      </c>
    </row>
    <row r="26">
      <c r="A26" s="8">
        <f>'1.1'!A:A</f>
        <v>46212.61748</v>
      </c>
      <c r="B26" s="2" t="str">
        <f>'1.1'!B:B</f>
        <v>bnco0956@signalschool.ac.th</v>
      </c>
      <c r="C26" s="2" t="str">
        <f>'1.1'!C:C</f>
        <v>ร.ท.ศุภรัชฎ หมอกสุข</v>
      </c>
      <c r="D26" s="9">
        <v>1.0</v>
      </c>
      <c r="E26" s="10">
        <f>IFERROR(vlookup('1.1'!D:D,lookup!$A$2:$B$4,2,false),0)</f>
        <v>5</v>
      </c>
      <c r="F26" s="10">
        <f>IFERROR(vlookup('1.1'!E:E,lookup!$A$6:$B$8,2,false),0)</f>
        <v>5</v>
      </c>
      <c r="G26" s="10">
        <f>IFERROR(vlookup('1.1'!F:F,lookup!$A$10:$B$12,2,false),0)</f>
        <v>5</v>
      </c>
      <c r="H26" s="10">
        <f>IFERROR(vlookup('1.1'!G:G,lookup!$A$14:$B$16,2,false),0)</f>
        <v>5</v>
      </c>
      <c r="I26" s="10">
        <f>IFERROR(vlookup('1.1'!H:H,lookup!$A$18:$B$20,2,false),0)</f>
        <v>5</v>
      </c>
      <c r="J26" s="10">
        <f>IFERROR(vlookup('1.1'!I:I,lookup!$A$22:$B$24,2,false),0)</f>
        <v>5</v>
      </c>
      <c r="K26" s="10">
        <f>IFERROR(vlookup('1.1'!J:J,lookup!$A$26:$B$28,2,false),0)</f>
        <v>5</v>
      </c>
      <c r="L26" s="2"/>
      <c r="M26" s="10">
        <v>25.0</v>
      </c>
      <c r="N26" s="11" t="str">
        <f t="shared" si="1"/>
        <v>bnco0925@signalschool.ac.th</v>
      </c>
      <c r="O26" s="12">
        <f t="shared" si="2"/>
        <v>1</v>
      </c>
      <c r="R26" s="6" t="s">
        <v>242</v>
      </c>
    </row>
    <row r="27">
      <c r="A27" s="8">
        <f>'1.1'!A:A</f>
        <v>46212.61754</v>
      </c>
      <c r="B27" s="2" t="str">
        <f>'1.1'!B:B</f>
        <v>bnco0963@signalschool.ac.th</v>
      </c>
      <c r="C27" s="2" t="str">
        <f>'1.1'!C:C</f>
        <v>ร.ท.ศุภรัชฎ หมอกสุข</v>
      </c>
      <c r="D27" s="9">
        <v>1.0</v>
      </c>
      <c r="E27" s="10">
        <f>IFERROR(vlookup('1.1'!D:D,lookup!$A$2:$B$4,2,false),0)</f>
        <v>5</v>
      </c>
      <c r="F27" s="10">
        <f>IFERROR(vlookup('1.1'!E:E,lookup!$A$6:$B$8,2,false),0)</f>
        <v>5</v>
      </c>
      <c r="G27" s="10">
        <f>IFERROR(vlookup('1.1'!F:F,lookup!$A$10:$B$12,2,false),0)</f>
        <v>5</v>
      </c>
      <c r="H27" s="10">
        <f>IFERROR(vlookup('1.1'!G:G,lookup!$A$14:$B$16,2,false),0)</f>
        <v>5</v>
      </c>
      <c r="I27" s="10">
        <f>IFERROR(vlookup('1.1'!H:H,lookup!$A$18:$B$20,2,false),0)</f>
        <v>5</v>
      </c>
      <c r="J27" s="10">
        <f>IFERROR(vlookup('1.1'!I:I,lookup!$A$22:$B$24,2,false),0)</f>
        <v>5</v>
      </c>
      <c r="K27" s="10">
        <f>IFERROR(vlookup('1.1'!J:J,lookup!$A$26:$B$28,2,false),0)</f>
        <v>5</v>
      </c>
      <c r="L27" s="2"/>
      <c r="M27" s="10">
        <v>26.0</v>
      </c>
      <c r="N27" s="11" t="str">
        <f t="shared" si="1"/>
        <v>bnco0926@signalschool.ac.th</v>
      </c>
      <c r="O27" s="12">
        <f t="shared" si="2"/>
        <v>1</v>
      </c>
      <c r="R27" s="6" t="s">
        <v>243</v>
      </c>
    </row>
    <row r="28">
      <c r="A28" s="8">
        <f>'1.1'!A:A</f>
        <v>46212.61755</v>
      </c>
      <c r="B28" s="2" t="str">
        <f>'1.1'!B:B</f>
        <v>bnco0922@signalschool.ac.th</v>
      </c>
      <c r="C28" s="2" t="str">
        <f>'1.1'!C:C</f>
        <v>ร.ท.ศุภรัชฎ หมอกสุข</v>
      </c>
      <c r="D28" s="9">
        <v>1.0</v>
      </c>
      <c r="E28" s="10">
        <f>IFERROR(vlookup('1.1'!D:D,lookup!$A$2:$B$4,2,false),0)</f>
        <v>5</v>
      </c>
      <c r="F28" s="10">
        <f>IFERROR(vlookup('1.1'!E:E,lookup!$A$6:$B$8,2,false),0)</f>
        <v>5</v>
      </c>
      <c r="G28" s="10">
        <f>IFERROR(vlookup('1.1'!F:F,lookup!$A$10:$B$12,2,false),0)</f>
        <v>5</v>
      </c>
      <c r="H28" s="10">
        <f>IFERROR(vlookup('1.1'!G:G,lookup!$A$14:$B$16,2,false),0)</f>
        <v>5</v>
      </c>
      <c r="I28" s="10">
        <f>IFERROR(vlookup('1.1'!H:H,lookup!$A$18:$B$20,2,false),0)</f>
        <v>5</v>
      </c>
      <c r="J28" s="10">
        <f>IFERROR(vlookup('1.1'!I:I,lookup!$A$22:$B$24,2,false),0)</f>
        <v>5</v>
      </c>
      <c r="K28" s="10">
        <f>IFERROR(vlookup('1.1'!J:J,lookup!$A$26:$B$28,2,false),0)</f>
        <v>5</v>
      </c>
      <c r="L28" s="2"/>
      <c r="M28" s="10">
        <v>27.0</v>
      </c>
      <c r="N28" s="11" t="str">
        <f t="shared" si="1"/>
        <v>bnco0927@signalschool.ac.th</v>
      </c>
      <c r="O28" s="12">
        <f t="shared" si="2"/>
        <v>1</v>
      </c>
      <c r="R28" s="6" t="s">
        <v>244</v>
      </c>
    </row>
    <row r="29">
      <c r="A29" s="8">
        <f>'1.1'!A:A</f>
        <v>46212.61756</v>
      </c>
      <c r="B29" s="2" t="str">
        <f>'1.1'!B:B</f>
        <v>bnco0924@signalschool.ac.th</v>
      </c>
      <c r="C29" s="2" t="str">
        <f>'1.1'!C:C</f>
        <v>ร.ท.ศุภรัชฎ หมอกสุข</v>
      </c>
      <c r="D29" s="9">
        <v>1.0</v>
      </c>
      <c r="E29" s="10">
        <f>IFERROR(vlookup('1.1'!D:D,lookup!$A$2:$B$4,2,false),0)</f>
        <v>5</v>
      </c>
      <c r="F29" s="10">
        <f>IFERROR(vlookup('1.1'!E:E,lookup!$A$6:$B$8,2,false),0)</f>
        <v>5</v>
      </c>
      <c r="G29" s="10">
        <f>IFERROR(vlookup('1.1'!F:F,lookup!$A$10:$B$12,2,false),0)</f>
        <v>5</v>
      </c>
      <c r="H29" s="10">
        <f>IFERROR(vlookup('1.1'!G:G,lookup!$A$14:$B$16,2,false),0)</f>
        <v>5</v>
      </c>
      <c r="I29" s="10">
        <f>IFERROR(vlookup('1.1'!H:H,lookup!$A$18:$B$20,2,false),0)</f>
        <v>5</v>
      </c>
      <c r="J29" s="10">
        <f>IFERROR(vlookup('1.1'!I:I,lookup!$A$22:$B$24,2,false),0)</f>
        <v>5</v>
      </c>
      <c r="K29" s="10">
        <f>IFERROR(vlookup('1.1'!J:J,lookup!$A$26:$B$28,2,false),0)</f>
        <v>5</v>
      </c>
      <c r="L29" s="2"/>
      <c r="M29" s="10">
        <v>28.0</v>
      </c>
      <c r="N29" s="11" t="str">
        <f t="shared" si="1"/>
        <v>bnco0928@signalschool.ac.th</v>
      </c>
      <c r="O29" s="12">
        <f t="shared" si="2"/>
        <v>1</v>
      </c>
      <c r="R29" s="6" t="s">
        <v>245</v>
      </c>
    </row>
    <row r="30">
      <c r="A30" s="8">
        <f>'1.1'!A:A</f>
        <v>46212.61757</v>
      </c>
      <c r="B30" s="2" t="str">
        <f>'1.1'!B:B</f>
        <v>bnco0952@signalschool.ac.th</v>
      </c>
      <c r="C30" s="2" t="str">
        <f>'1.1'!C:C</f>
        <v>ร.ท.ศุภรัชฎ  หมอกสุข</v>
      </c>
      <c r="D30" s="9">
        <v>1.0</v>
      </c>
      <c r="E30" s="10">
        <f>IFERROR(vlookup('1.1'!D:D,lookup!$A$2:$B$4,2,false),0)</f>
        <v>5</v>
      </c>
      <c r="F30" s="10">
        <f>IFERROR(vlookup('1.1'!E:E,lookup!$A$6:$B$8,2,false),0)</f>
        <v>5</v>
      </c>
      <c r="G30" s="10">
        <f>IFERROR(vlookup('1.1'!F:F,lookup!$A$10:$B$12,2,false),0)</f>
        <v>5</v>
      </c>
      <c r="H30" s="10">
        <f>IFERROR(vlookup('1.1'!G:G,lookup!$A$14:$B$16,2,false),0)</f>
        <v>5</v>
      </c>
      <c r="I30" s="10">
        <f>IFERROR(vlookup('1.1'!H:H,lookup!$A$18:$B$20,2,false),0)</f>
        <v>5</v>
      </c>
      <c r="J30" s="10">
        <f>IFERROR(vlookup('1.1'!I:I,lookup!$A$22:$B$24,2,false),0)</f>
        <v>5</v>
      </c>
      <c r="K30" s="10">
        <f>IFERROR(vlookup('1.1'!J:J,lookup!$A$26:$B$28,2,false),0)</f>
        <v>5</v>
      </c>
      <c r="L30" s="2"/>
      <c r="M30" s="10">
        <v>29.0</v>
      </c>
      <c r="N30" s="11" t="str">
        <f t="shared" si="1"/>
        <v>bnco0929@signalschool.ac.th</v>
      </c>
      <c r="O30" s="12">
        <f t="shared" si="2"/>
        <v>1</v>
      </c>
      <c r="R30" s="6" t="s">
        <v>246</v>
      </c>
    </row>
    <row r="31">
      <c r="A31" s="8">
        <f>'1.1'!A:A</f>
        <v>46212.6176</v>
      </c>
      <c r="B31" s="2" t="str">
        <f>'1.1'!B:B</f>
        <v>bnco0904@signalschool.ac.th</v>
      </c>
      <c r="C31" s="2" t="str">
        <f>'1.1'!C:C</f>
        <v>ร.ท.ศุภรัชฎ  หมอกสุข</v>
      </c>
      <c r="D31" s="9">
        <v>1.0</v>
      </c>
      <c r="E31" s="10">
        <f>IFERROR(vlookup('1.1'!D:D,lookup!$A$2:$B$4,2,false),0)</f>
        <v>5</v>
      </c>
      <c r="F31" s="10">
        <f>IFERROR(vlookup('1.1'!E:E,lookup!$A$6:$B$8,2,false),0)</f>
        <v>5</v>
      </c>
      <c r="G31" s="10">
        <f>IFERROR(vlookup('1.1'!F:F,lookup!$A$10:$B$12,2,false),0)</f>
        <v>5</v>
      </c>
      <c r="H31" s="10">
        <f>IFERROR(vlookup('1.1'!G:G,lookup!$A$14:$B$16,2,false),0)</f>
        <v>5</v>
      </c>
      <c r="I31" s="10">
        <f>IFERROR(vlookup('1.1'!H:H,lookup!$A$18:$B$20,2,false),0)</f>
        <v>5</v>
      </c>
      <c r="J31" s="10">
        <f>IFERROR(vlookup('1.1'!I:I,lookup!$A$22:$B$24,2,false),0)</f>
        <v>5</v>
      </c>
      <c r="K31" s="10">
        <f>IFERROR(vlookup('1.1'!J:J,lookup!$A$26:$B$28,2,false),0)</f>
        <v>5</v>
      </c>
      <c r="L31" s="2"/>
      <c r="M31" s="10">
        <v>30.0</v>
      </c>
      <c r="N31" s="11" t="str">
        <f t="shared" si="1"/>
        <v>bnco0930@signalschool.ac.th</v>
      </c>
      <c r="O31" s="12">
        <f t="shared" si="2"/>
        <v>1</v>
      </c>
      <c r="R31" s="6" t="s">
        <v>247</v>
      </c>
    </row>
    <row r="32">
      <c r="A32" s="8">
        <f>'1.1'!A:A</f>
        <v>46212.6176</v>
      </c>
      <c r="B32" s="2" t="str">
        <f>'1.1'!B:B</f>
        <v>bnco0978@signalschool.ac.th</v>
      </c>
      <c r="C32" s="2" t="str">
        <f>'1.1'!C:C</f>
        <v>ร.ท.ศุภรัชฎ  หมอกสุข</v>
      </c>
      <c r="D32" s="9">
        <v>1.0</v>
      </c>
      <c r="E32" s="10">
        <f>IFERROR(vlookup('1.1'!D:D,lookup!$A$2:$B$4,2,false),0)</f>
        <v>5</v>
      </c>
      <c r="F32" s="10">
        <f>IFERROR(vlookup('1.1'!E:E,lookup!$A$6:$B$8,2,false),0)</f>
        <v>5</v>
      </c>
      <c r="G32" s="10">
        <f>IFERROR(vlookup('1.1'!F:F,lookup!$A$10:$B$12,2,false),0)</f>
        <v>5</v>
      </c>
      <c r="H32" s="10">
        <f>IFERROR(vlookup('1.1'!G:G,lookup!$A$14:$B$16,2,false),0)</f>
        <v>5</v>
      </c>
      <c r="I32" s="10">
        <f>IFERROR(vlookup('1.1'!H:H,lookup!$A$18:$B$20,2,false),0)</f>
        <v>5</v>
      </c>
      <c r="J32" s="10">
        <f>IFERROR(vlookup('1.1'!I:I,lookup!$A$22:$B$24,2,false),0)</f>
        <v>5</v>
      </c>
      <c r="K32" s="10">
        <f>IFERROR(vlookup('1.1'!J:J,lookup!$A$26:$B$28,2,false),0)</f>
        <v>5</v>
      </c>
      <c r="L32" s="2"/>
      <c r="M32" s="10">
        <v>31.0</v>
      </c>
      <c r="N32" s="11" t="str">
        <f t="shared" si="1"/>
        <v>bnco0931@signalschool.ac.th</v>
      </c>
      <c r="O32" s="12">
        <f t="shared" si="2"/>
        <v>1</v>
      </c>
      <c r="R32" s="6" t="s">
        <v>248</v>
      </c>
    </row>
    <row r="33">
      <c r="A33" s="8">
        <f>'1.1'!A:A</f>
        <v>46212.61767</v>
      </c>
      <c r="B33" s="2" t="str">
        <f>'1.1'!B:B</f>
        <v>bnco0916@signalschool.ac.th</v>
      </c>
      <c r="C33" s="2" t="str">
        <f>'1.1'!C:C</f>
        <v>ร.ท.ศุภรัชฎ หมอกสุข</v>
      </c>
      <c r="D33" s="9">
        <v>1.0</v>
      </c>
      <c r="E33" s="10">
        <f>IFERROR(vlookup('1.1'!D:D,lookup!$A$2:$B$4,2,false),0)</f>
        <v>5</v>
      </c>
      <c r="F33" s="10">
        <f>IFERROR(vlookup('1.1'!E:E,lookup!$A$6:$B$8,2,false),0)</f>
        <v>5</v>
      </c>
      <c r="G33" s="10">
        <f>IFERROR(vlookup('1.1'!F:F,lookup!$A$10:$B$12,2,false),0)</f>
        <v>5</v>
      </c>
      <c r="H33" s="10">
        <f>IFERROR(vlookup('1.1'!G:G,lookup!$A$14:$B$16,2,false),0)</f>
        <v>5</v>
      </c>
      <c r="I33" s="10">
        <f>IFERROR(vlookup('1.1'!H:H,lookup!$A$18:$B$20,2,false),0)</f>
        <v>5</v>
      </c>
      <c r="J33" s="10">
        <f>IFERROR(vlookup('1.1'!I:I,lookup!$A$22:$B$24,2,false),0)</f>
        <v>5</v>
      </c>
      <c r="K33" s="10">
        <f>IFERROR(vlookup('1.1'!J:J,lookup!$A$26:$B$28,2,false),0)</f>
        <v>5</v>
      </c>
      <c r="L33" s="2"/>
      <c r="M33" s="10">
        <v>32.0</v>
      </c>
      <c r="N33" s="11" t="str">
        <f t="shared" si="1"/>
        <v>bnco0932@signalschool.ac.th</v>
      </c>
      <c r="O33" s="12">
        <f t="shared" si="2"/>
        <v>1</v>
      </c>
      <c r="R33" s="6" t="s">
        <v>249</v>
      </c>
    </row>
    <row r="34">
      <c r="A34" s="8">
        <f>'1.1'!A:A</f>
        <v>46212.61769</v>
      </c>
      <c r="B34" s="2" t="str">
        <f>'1.1'!B:B</f>
        <v>bnco0914@signalschool.ac.th</v>
      </c>
      <c r="C34" s="2" t="str">
        <f>'1.1'!C:C</f>
        <v>ร.ท.ศุภรัชฏ หมอกสุข</v>
      </c>
      <c r="D34" s="9">
        <v>1.0</v>
      </c>
      <c r="E34" s="10">
        <f>IFERROR(vlookup('1.1'!D:D,lookup!$A$2:$B$4,2,false),0)</f>
        <v>5</v>
      </c>
      <c r="F34" s="10">
        <f>IFERROR(vlookup('1.1'!E:E,lookup!$A$6:$B$8,2,false),0)</f>
        <v>5</v>
      </c>
      <c r="G34" s="10">
        <f>IFERROR(vlookup('1.1'!F:F,lookup!$A$10:$B$12,2,false),0)</f>
        <v>5</v>
      </c>
      <c r="H34" s="10">
        <f>IFERROR(vlookup('1.1'!G:G,lookup!$A$14:$B$16,2,false),0)</f>
        <v>5</v>
      </c>
      <c r="I34" s="10">
        <f>IFERROR(vlookup('1.1'!H:H,lookup!$A$18:$B$20,2,false),0)</f>
        <v>5</v>
      </c>
      <c r="J34" s="10">
        <f>IFERROR(vlookup('1.1'!I:I,lookup!$A$22:$B$24,2,false),0)</f>
        <v>5</v>
      </c>
      <c r="K34" s="10">
        <f>IFERROR(vlookup('1.1'!J:J,lookup!$A$26:$B$28,2,false),0)</f>
        <v>5</v>
      </c>
      <c r="L34" s="2"/>
      <c r="M34" s="10">
        <v>33.0</v>
      </c>
      <c r="N34" s="11" t="str">
        <f t="shared" si="1"/>
        <v>bnco0933@signalschool.ac.th</v>
      </c>
      <c r="O34" s="12">
        <f t="shared" si="2"/>
        <v>1</v>
      </c>
      <c r="R34" s="6" t="s">
        <v>250</v>
      </c>
    </row>
    <row r="35">
      <c r="A35" s="8">
        <f>'1.1'!A:A</f>
        <v>46212.61774</v>
      </c>
      <c r="B35" s="2" t="str">
        <f>'1.1'!B:B</f>
        <v>bnco0911@signalschool.ac.th</v>
      </c>
      <c r="C35" s="2" t="str">
        <f>'1.1'!C:C</f>
        <v>ร.ท.ศุภรัชฎ หมอกสุข</v>
      </c>
      <c r="D35" s="9">
        <v>1.0</v>
      </c>
      <c r="E35" s="10">
        <f>IFERROR(vlookup('1.1'!D:D,lookup!$A$2:$B$4,2,false),0)</f>
        <v>5</v>
      </c>
      <c r="F35" s="10">
        <f>IFERROR(vlookup('1.1'!E:E,lookup!$A$6:$B$8,2,false),0)</f>
        <v>5</v>
      </c>
      <c r="G35" s="10">
        <f>IFERROR(vlookup('1.1'!F:F,lookup!$A$10:$B$12,2,false),0)</f>
        <v>5</v>
      </c>
      <c r="H35" s="10">
        <f>IFERROR(vlookup('1.1'!G:G,lookup!$A$14:$B$16,2,false),0)</f>
        <v>5</v>
      </c>
      <c r="I35" s="10">
        <f>IFERROR(vlookup('1.1'!H:H,lookup!$A$18:$B$20,2,false),0)</f>
        <v>5</v>
      </c>
      <c r="J35" s="10">
        <f>IFERROR(vlookup('1.1'!I:I,lookup!$A$22:$B$24,2,false),0)</f>
        <v>5</v>
      </c>
      <c r="K35" s="10">
        <f>IFERROR(vlookup('1.1'!J:J,lookup!$A$26:$B$28,2,false),0)</f>
        <v>5</v>
      </c>
      <c r="L35" s="2"/>
      <c r="M35" s="10">
        <v>34.0</v>
      </c>
      <c r="N35" s="11" t="str">
        <f t="shared" si="1"/>
        <v>bnco0934@signalschool.ac.th</v>
      </c>
      <c r="O35" s="12">
        <f t="shared" si="2"/>
        <v>1</v>
      </c>
      <c r="R35" s="6" t="s">
        <v>251</v>
      </c>
    </row>
    <row r="36">
      <c r="A36" s="8">
        <f>'1.1'!A:A</f>
        <v>46212.61775</v>
      </c>
      <c r="B36" s="2" t="str">
        <f>'1.1'!B:B</f>
        <v>bnco0971@signalschool.ac.th</v>
      </c>
      <c r="C36" s="2" t="str">
        <f>'1.1'!C:C</f>
        <v>ร.ท.ศุภรัชฎ หมอกสุข</v>
      </c>
      <c r="D36" s="9">
        <v>1.0</v>
      </c>
      <c r="E36" s="10">
        <f>IFERROR(vlookup('1.1'!D:D,lookup!$A$2:$B$4,2,false),0)</f>
        <v>5</v>
      </c>
      <c r="F36" s="10">
        <f>IFERROR(vlookup('1.1'!E:E,lookup!$A$6:$B$8,2,false),0)</f>
        <v>5</v>
      </c>
      <c r="G36" s="10">
        <f>IFERROR(vlookup('1.1'!F:F,lookup!$A$10:$B$12,2,false),0)</f>
        <v>5</v>
      </c>
      <c r="H36" s="10">
        <f>IFERROR(vlookup('1.1'!G:G,lookup!$A$14:$B$16,2,false),0)</f>
        <v>5</v>
      </c>
      <c r="I36" s="10">
        <f>IFERROR(vlookup('1.1'!H:H,lookup!$A$18:$B$20,2,false),0)</f>
        <v>5</v>
      </c>
      <c r="J36" s="10">
        <f>IFERROR(vlookup('1.1'!I:I,lookup!$A$22:$B$24,2,false),0)</f>
        <v>5</v>
      </c>
      <c r="K36" s="10">
        <f>IFERROR(vlookup('1.1'!J:J,lookup!$A$26:$B$28,2,false),0)</f>
        <v>5</v>
      </c>
      <c r="L36" s="2"/>
      <c r="M36" s="10">
        <v>35.0</v>
      </c>
      <c r="N36" s="11" t="str">
        <f t="shared" si="1"/>
        <v>bnco0935@signalschool.ac.th</v>
      </c>
      <c r="O36" s="12">
        <f t="shared" si="2"/>
        <v>1</v>
      </c>
      <c r="R36" s="6" t="s">
        <v>252</v>
      </c>
    </row>
    <row r="37">
      <c r="A37" s="8">
        <f>'1.1'!A:A</f>
        <v>46212.61775</v>
      </c>
      <c r="B37" s="2" t="str">
        <f>'1.1'!B:B</f>
        <v>bnco0972@signalschool.ac.th</v>
      </c>
      <c r="C37" s="2" t="str">
        <f>'1.1'!C:C</f>
        <v>ร.ท.ศุภรัชฎ  หมอกสุข</v>
      </c>
      <c r="D37" s="9">
        <v>1.0</v>
      </c>
      <c r="E37" s="10">
        <f>IFERROR(vlookup('1.1'!D:D,lookup!$A$2:$B$4,2,false),0)</f>
        <v>5</v>
      </c>
      <c r="F37" s="10">
        <f>IFERROR(vlookup('1.1'!E:E,lookup!$A$6:$B$8,2,false),0)</f>
        <v>5</v>
      </c>
      <c r="G37" s="10">
        <f>IFERROR(vlookup('1.1'!F:F,lookup!$A$10:$B$12,2,false),0)</f>
        <v>5</v>
      </c>
      <c r="H37" s="10">
        <f>IFERROR(vlookup('1.1'!G:G,lookup!$A$14:$B$16,2,false),0)</f>
        <v>5</v>
      </c>
      <c r="I37" s="10">
        <f>IFERROR(vlookup('1.1'!H:H,lookup!$A$18:$B$20,2,false),0)</f>
        <v>5</v>
      </c>
      <c r="J37" s="10">
        <f>IFERROR(vlookup('1.1'!I:I,lookup!$A$22:$B$24,2,false),0)</f>
        <v>5</v>
      </c>
      <c r="K37" s="10">
        <f>IFERROR(vlookup('1.1'!J:J,lookup!$A$26:$B$28,2,false),0)</f>
        <v>5</v>
      </c>
      <c r="L37" s="2"/>
      <c r="M37" s="10">
        <v>36.0</v>
      </c>
      <c r="N37" s="11" t="str">
        <f t="shared" si="1"/>
        <v>bnco0936@signalschool.ac.th</v>
      </c>
      <c r="O37" s="12">
        <f t="shared" si="2"/>
        <v>1</v>
      </c>
      <c r="R37" s="6" t="s">
        <v>253</v>
      </c>
    </row>
    <row r="38">
      <c r="A38" s="8">
        <f>'1.1'!A:A</f>
        <v>46212.61776</v>
      </c>
      <c r="B38" s="2" t="str">
        <f>'1.1'!B:B</f>
        <v>bnco0926@signalschool.ac.th</v>
      </c>
      <c r="C38" s="2" t="str">
        <f>'1.1'!C:C</f>
        <v>ร.ท.ศุภรัชฎ หมอกสุข</v>
      </c>
      <c r="D38" s="9">
        <v>1.0</v>
      </c>
      <c r="E38" s="10">
        <f>IFERROR(vlookup('1.1'!D:D,lookup!$A$2:$B$4,2,false),0)</f>
        <v>5</v>
      </c>
      <c r="F38" s="10">
        <f>IFERROR(vlookup('1.1'!E:E,lookup!$A$6:$B$8,2,false),0)</f>
        <v>5</v>
      </c>
      <c r="G38" s="10">
        <f>IFERROR(vlookup('1.1'!F:F,lookup!$A$10:$B$12,2,false),0)</f>
        <v>5</v>
      </c>
      <c r="H38" s="10">
        <f>IFERROR(vlookup('1.1'!G:G,lookup!$A$14:$B$16,2,false),0)</f>
        <v>5</v>
      </c>
      <c r="I38" s="10">
        <f>IFERROR(vlookup('1.1'!H:H,lookup!$A$18:$B$20,2,false),0)</f>
        <v>5</v>
      </c>
      <c r="J38" s="10">
        <f>IFERROR(vlookup('1.1'!I:I,lookup!$A$22:$B$24,2,false),0)</f>
        <v>5</v>
      </c>
      <c r="K38" s="10">
        <f>IFERROR(vlookup('1.1'!J:J,lookup!$A$26:$B$28,2,false),0)</f>
        <v>5</v>
      </c>
      <c r="L38" s="2"/>
      <c r="M38" s="10">
        <v>37.0</v>
      </c>
      <c r="N38" s="11" t="str">
        <f t="shared" si="1"/>
        <v>bnco0937@signalschool.ac.th</v>
      </c>
      <c r="O38" s="12">
        <f t="shared" si="2"/>
        <v>1</v>
      </c>
      <c r="R38" s="6" t="s">
        <v>254</v>
      </c>
    </row>
    <row r="39">
      <c r="A39" s="8">
        <f>'1.1'!A:A</f>
        <v>46212.61776</v>
      </c>
      <c r="B39" s="2" t="str">
        <f>'1.1'!B:B</f>
        <v>bnco0918@signalschool.ac.th</v>
      </c>
      <c r="C39" s="2" t="str">
        <f>'1.1'!C:C</f>
        <v> ร.ท.ศุภรัชฎ หมอกสุข</v>
      </c>
      <c r="D39" s="9">
        <v>1.0</v>
      </c>
      <c r="E39" s="10">
        <f>IFERROR(vlookup('1.1'!D:D,lookup!$A$2:$B$4,2,false),0)</f>
        <v>5</v>
      </c>
      <c r="F39" s="10">
        <f>IFERROR(vlookup('1.1'!E:E,lookup!$A$6:$B$8,2,false),0)</f>
        <v>5</v>
      </c>
      <c r="G39" s="10">
        <f>IFERROR(vlookup('1.1'!F:F,lookup!$A$10:$B$12,2,false),0)</f>
        <v>5</v>
      </c>
      <c r="H39" s="10">
        <f>IFERROR(vlookup('1.1'!G:G,lookup!$A$14:$B$16,2,false),0)</f>
        <v>5</v>
      </c>
      <c r="I39" s="10">
        <f>IFERROR(vlookup('1.1'!H:H,lookup!$A$18:$B$20,2,false),0)</f>
        <v>5</v>
      </c>
      <c r="J39" s="10">
        <f>IFERROR(vlookup('1.1'!I:I,lookup!$A$22:$B$24,2,false),0)</f>
        <v>5</v>
      </c>
      <c r="K39" s="10">
        <f>IFERROR(vlookup('1.1'!J:J,lookup!$A$26:$B$28,2,false),0)</f>
        <v>5</v>
      </c>
      <c r="L39" s="2"/>
      <c r="M39" s="10">
        <v>38.0</v>
      </c>
      <c r="N39" s="11" t="str">
        <f t="shared" si="1"/>
        <v>bnco0938@signalschool.ac.th</v>
      </c>
      <c r="O39" s="12">
        <f t="shared" si="2"/>
        <v>1</v>
      </c>
      <c r="R39" s="6" t="s">
        <v>255</v>
      </c>
    </row>
    <row r="40">
      <c r="A40" s="8">
        <f>'1.1'!A:A</f>
        <v>46212.61784</v>
      </c>
      <c r="B40" s="2" t="str">
        <f>'1.1'!B:B</f>
        <v>bnco0953@signalschool.ac.th</v>
      </c>
      <c r="C40" s="2" t="str">
        <f>'1.1'!C:C</f>
        <v>ร.ท.ศุภรัชฎ หมอกสุข</v>
      </c>
      <c r="D40" s="9">
        <v>1.0</v>
      </c>
      <c r="E40" s="10">
        <f>IFERROR(vlookup('1.1'!D:D,lookup!$A$2:$B$4,2,false),0)</f>
        <v>5</v>
      </c>
      <c r="F40" s="10">
        <f>IFERROR(vlookup('1.1'!E:E,lookup!$A$6:$B$8,2,false),0)</f>
        <v>5</v>
      </c>
      <c r="G40" s="10">
        <f>IFERROR(vlookup('1.1'!F:F,lookup!$A$10:$B$12,2,false),0)</f>
        <v>5</v>
      </c>
      <c r="H40" s="10">
        <f>IFERROR(vlookup('1.1'!G:G,lookup!$A$14:$B$16,2,false),0)</f>
        <v>5</v>
      </c>
      <c r="I40" s="10">
        <f>IFERROR(vlookup('1.1'!H:H,lookup!$A$18:$B$20,2,false),0)</f>
        <v>5</v>
      </c>
      <c r="J40" s="10">
        <f>IFERROR(vlookup('1.1'!I:I,lookup!$A$22:$B$24,2,false),0)</f>
        <v>5</v>
      </c>
      <c r="K40" s="10">
        <f>IFERROR(vlookup('1.1'!J:J,lookup!$A$26:$B$28,2,false),0)</f>
        <v>5</v>
      </c>
      <c r="L40" s="2"/>
      <c r="M40" s="10">
        <v>39.0</v>
      </c>
      <c r="N40" s="11" t="str">
        <f t="shared" si="1"/>
        <v>bnco0939@signalschool.ac.th</v>
      </c>
      <c r="O40" s="12">
        <f t="shared" si="2"/>
        <v>1</v>
      </c>
      <c r="R40" s="6" t="s">
        <v>256</v>
      </c>
    </row>
    <row r="41">
      <c r="A41" s="8">
        <f>'1.1'!A:A</f>
        <v>46212.61786</v>
      </c>
      <c r="B41" s="2" t="str">
        <f>'1.1'!B:B</f>
        <v>bnco0968@signalschool.ac.th</v>
      </c>
      <c r="C41" s="2" t="str">
        <f>'1.1'!C:C</f>
        <v>ร.ท.ศุภรัชฎ หมอกสุข</v>
      </c>
      <c r="D41" s="9">
        <v>1.0</v>
      </c>
      <c r="E41" s="10">
        <f>IFERROR(vlookup('1.1'!D:D,lookup!$A$2:$B$4,2,false),0)</f>
        <v>5</v>
      </c>
      <c r="F41" s="10">
        <f>IFERROR(vlookup('1.1'!E:E,lookup!$A$6:$B$8,2,false),0)</f>
        <v>5</v>
      </c>
      <c r="G41" s="10">
        <f>IFERROR(vlookup('1.1'!F:F,lookup!$A$10:$B$12,2,false),0)</f>
        <v>5</v>
      </c>
      <c r="H41" s="10">
        <f>IFERROR(vlookup('1.1'!G:G,lookup!$A$14:$B$16,2,false),0)</f>
        <v>5</v>
      </c>
      <c r="I41" s="10">
        <f>IFERROR(vlookup('1.1'!H:H,lookup!$A$18:$B$20,2,false),0)</f>
        <v>5</v>
      </c>
      <c r="J41" s="10">
        <f>IFERROR(vlookup('1.1'!I:I,lookup!$A$22:$B$24,2,false),0)</f>
        <v>5</v>
      </c>
      <c r="K41" s="10">
        <f>IFERROR(vlookup('1.1'!J:J,lookup!$A$26:$B$28,2,false),0)</f>
        <v>5</v>
      </c>
      <c r="L41" s="2"/>
      <c r="M41" s="10">
        <v>40.0</v>
      </c>
      <c r="N41" s="11" t="str">
        <f t="shared" si="1"/>
        <v>bnco0940@signalschool.ac.th</v>
      </c>
      <c r="O41" s="12">
        <f t="shared" si="2"/>
        <v>1</v>
      </c>
      <c r="R41" s="6" t="s">
        <v>257</v>
      </c>
    </row>
    <row r="42">
      <c r="A42" s="8">
        <f>'1.1'!A:A</f>
        <v>46212.61787</v>
      </c>
      <c r="B42" s="2" t="str">
        <f>'1.1'!B:B</f>
        <v>bnco0959@signalschool.ac.th</v>
      </c>
      <c r="C42" s="2" t="str">
        <f>'1.1'!C:C</f>
        <v>ร.ท.ศุภรัชฎ  หมอกสุข</v>
      </c>
      <c r="D42" s="9">
        <v>1.0</v>
      </c>
      <c r="E42" s="10">
        <f>IFERROR(vlookup('1.1'!D:D,lookup!$A$2:$B$4,2,false),0)</f>
        <v>5</v>
      </c>
      <c r="F42" s="10">
        <f>IFERROR(vlookup('1.1'!E:E,lookup!$A$6:$B$8,2,false),0)</f>
        <v>5</v>
      </c>
      <c r="G42" s="10">
        <f>IFERROR(vlookup('1.1'!F:F,lookup!$A$10:$B$12,2,false),0)</f>
        <v>5</v>
      </c>
      <c r="H42" s="10">
        <f>IFERROR(vlookup('1.1'!G:G,lookup!$A$14:$B$16,2,false),0)</f>
        <v>5</v>
      </c>
      <c r="I42" s="10">
        <f>IFERROR(vlookup('1.1'!H:H,lookup!$A$18:$B$20,2,false),0)</f>
        <v>5</v>
      </c>
      <c r="J42" s="10">
        <f>IFERROR(vlookup('1.1'!I:I,lookup!$A$22:$B$24,2,false),0)</f>
        <v>5</v>
      </c>
      <c r="K42" s="10">
        <f>IFERROR(vlookup('1.1'!J:J,lookup!$A$26:$B$28,2,false),0)</f>
        <v>5</v>
      </c>
      <c r="L42" s="2"/>
      <c r="M42" s="10">
        <v>41.0</v>
      </c>
      <c r="N42" s="11" t="str">
        <f t="shared" si="1"/>
        <v>bnco0941@signalschool.ac.th</v>
      </c>
      <c r="O42" s="12">
        <f t="shared" si="2"/>
        <v>1</v>
      </c>
      <c r="R42" s="6" t="s">
        <v>258</v>
      </c>
    </row>
    <row r="43">
      <c r="A43" s="8">
        <f>'1.1'!A:A</f>
        <v>46212.61788</v>
      </c>
      <c r="B43" s="2" t="str">
        <f>'1.1'!B:B</f>
        <v>bnco0928@signalschool.ac.th</v>
      </c>
      <c r="C43" s="2" t="str">
        <f>'1.1'!C:C</f>
        <v>ร.ท.ศุภรัช  หมอกสุข</v>
      </c>
      <c r="D43" s="9">
        <v>1.0</v>
      </c>
      <c r="E43" s="10">
        <f>IFERROR(vlookup('1.1'!D:D,lookup!$A$2:$B$4,2,false),0)</f>
        <v>5</v>
      </c>
      <c r="F43" s="10">
        <f>IFERROR(vlookup('1.1'!E:E,lookup!$A$6:$B$8,2,false),0)</f>
        <v>3</v>
      </c>
      <c r="G43" s="10">
        <f>IFERROR(vlookup('1.1'!F:F,lookup!$A$10:$B$12,2,false),0)</f>
        <v>5</v>
      </c>
      <c r="H43" s="10">
        <f>IFERROR(vlookup('1.1'!G:G,lookup!$A$14:$B$16,2,false),0)</f>
        <v>5</v>
      </c>
      <c r="I43" s="10">
        <f>IFERROR(vlookup('1.1'!H:H,lookup!$A$18:$B$20,2,false),0)</f>
        <v>5</v>
      </c>
      <c r="J43" s="10">
        <f>IFERROR(vlookup('1.1'!I:I,lookup!$A$22:$B$24,2,false),0)</f>
        <v>5</v>
      </c>
      <c r="K43" s="10">
        <f>IFERROR(vlookup('1.1'!J:J,lookup!$A$26:$B$28,2,false),0)</f>
        <v>3</v>
      </c>
      <c r="L43" s="2"/>
      <c r="M43" s="10">
        <v>42.0</v>
      </c>
      <c r="N43" s="11" t="str">
        <f t="shared" si="1"/>
        <v>bnco0942@signalschool.ac.th</v>
      </c>
      <c r="O43" s="12">
        <f t="shared" si="2"/>
        <v>1</v>
      </c>
      <c r="R43" s="6" t="s">
        <v>259</v>
      </c>
    </row>
    <row r="44">
      <c r="A44" s="8">
        <f>'1.1'!A:A</f>
        <v>46212.61788</v>
      </c>
      <c r="B44" s="2" t="str">
        <f>'1.1'!B:B</f>
        <v>bnco0915@signalschool.ac.th</v>
      </c>
      <c r="C44" s="2" t="str">
        <f>'1.1'!C:C</f>
        <v>ร.ท.ศุภรัชฏ  หมอกสุข</v>
      </c>
      <c r="D44" s="9">
        <v>1.0</v>
      </c>
      <c r="E44" s="10">
        <f>IFERROR(vlookup('1.1'!D:D,lookup!$A$2:$B$4,2,false),0)</f>
        <v>5</v>
      </c>
      <c r="F44" s="10">
        <f>IFERROR(vlookup('1.1'!E:E,lookup!$A$6:$B$8,2,false),0)</f>
        <v>5</v>
      </c>
      <c r="G44" s="10">
        <f>IFERROR(vlookup('1.1'!F:F,lookup!$A$10:$B$12,2,false),0)</f>
        <v>5</v>
      </c>
      <c r="H44" s="10">
        <f>IFERROR(vlookup('1.1'!G:G,lookup!$A$14:$B$16,2,false),0)</f>
        <v>5</v>
      </c>
      <c r="I44" s="10">
        <f>IFERROR(vlookup('1.1'!H:H,lookup!$A$18:$B$20,2,false),0)</f>
        <v>5</v>
      </c>
      <c r="J44" s="10">
        <f>IFERROR(vlookup('1.1'!I:I,lookup!$A$22:$B$24,2,false),0)</f>
        <v>5</v>
      </c>
      <c r="K44" s="10">
        <f>IFERROR(vlookup('1.1'!J:J,lookup!$A$26:$B$28,2,false),0)</f>
        <v>5</v>
      </c>
      <c r="L44" s="2"/>
      <c r="M44" s="10">
        <v>43.0</v>
      </c>
      <c r="N44" s="11" t="str">
        <f t="shared" si="1"/>
        <v>bnco0943@signalschool.ac.th</v>
      </c>
      <c r="O44" s="12">
        <f t="shared" si="2"/>
        <v>1</v>
      </c>
      <c r="R44" s="6" t="s">
        <v>260</v>
      </c>
    </row>
    <row r="45">
      <c r="A45" s="8">
        <f>'1.1'!A:A</f>
        <v>46212.61791</v>
      </c>
      <c r="B45" s="2" t="str">
        <f>'1.1'!B:B</f>
        <v>bnco0964@signalschool.ac.th</v>
      </c>
      <c r="C45" s="2" t="str">
        <f>'1.1'!C:C</f>
        <v>ร.ท.ศุภรัชฏ หมอกสุข</v>
      </c>
      <c r="D45" s="9">
        <v>1.0</v>
      </c>
      <c r="E45" s="10">
        <f>IFERROR(vlookup('1.1'!D:D,lookup!$A$2:$B$4,2,false),0)</f>
        <v>5</v>
      </c>
      <c r="F45" s="10">
        <f>IFERROR(vlookup('1.1'!E:E,lookup!$A$6:$B$8,2,false),0)</f>
        <v>5</v>
      </c>
      <c r="G45" s="10">
        <f>IFERROR(vlookup('1.1'!F:F,lookup!$A$10:$B$12,2,false),0)</f>
        <v>5</v>
      </c>
      <c r="H45" s="10">
        <f>IFERROR(vlookup('1.1'!G:G,lookup!$A$14:$B$16,2,false),0)</f>
        <v>5</v>
      </c>
      <c r="I45" s="10">
        <f>IFERROR(vlookup('1.1'!H:H,lookup!$A$18:$B$20,2,false),0)</f>
        <v>5</v>
      </c>
      <c r="J45" s="10">
        <f>IFERROR(vlookup('1.1'!I:I,lookup!$A$22:$B$24,2,false),0)</f>
        <v>5</v>
      </c>
      <c r="K45" s="10">
        <f>IFERROR(vlookup('1.1'!J:J,lookup!$A$26:$B$28,2,false),0)</f>
        <v>5</v>
      </c>
      <c r="L45" s="2"/>
      <c r="M45" s="10">
        <v>44.0</v>
      </c>
      <c r="N45" s="11" t="str">
        <f t="shared" si="1"/>
        <v>bnco0944@signalschool.ac.th</v>
      </c>
      <c r="O45" s="12">
        <f t="shared" si="2"/>
        <v>1</v>
      </c>
      <c r="R45" s="6" t="s">
        <v>261</v>
      </c>
    </row>
    <row r="46">
      <c r="A46" s="8">
        <f>'1.1'!A:A</f>
        <v>46212.61797</v>
      </c>
      <c r="B46" s="2" t="str">
        <f>'1.1'!B:B</f>
        <v>bnco0908@signalschool.ac.th</v>
      </c>
      <c r="C46" s="2" t="str">
        <f>'1.1'!C:C</f>
        <v>ร.ท.ศุภรัชฎ หมอกสุข</v>
      </c>
      <c r="D46" s="9">
        <v>1.0</v>
      </c>
      <c r="E46" s="10">
        <f>IFERROR(vlookup('1.1'!D:D,lookup!$A$2:$B$4,2,false),0)</f>
        <v>5</v>
      </c>
      <c r="F46" s="10">
        <f>IFERROR(vlookup('1.1'!E:E,lookup!$A$6:$B$8,2,false),0)</f>
        <v>5</v>
      </c>
      <c r="G46" s="10">
        <f>IFERROR(vlookup('1.1'!F:F,lookup!$A$10:$B$12,2,false),0)</f>
        <v>5</v>
      </c>
      <c r="H46" s="10">
        <f>IFERROR(vlookup('1.1'!G:G,lookup!$A$14:$B$16,2,false),0)</f>
        <v>5</v>
      </c>
      <c r="I46" s="10">
        <f>IFERROR(vlookup('1.1'!H:H,lookup!$A$18:$B$20,2,false),0)</f>
        <v>5</v>
      </c>
      <c r="J46" s="10">
        <f>IFERROR(vlookup('1.1'!I:I,lookup!$A$22:$B$24,2,false),0)</f>
        <v>5</v>
      </c>
      <c r="K46" s="10">
        <f>IFERROR(vlookup('1.1'!J:J,lookup!$A$26:$B$28,2,false),0)</f>
        <v>5</v>
      </c>
      <c r="L46" s="2"/>
      <c r="M46" s="10">
        <v>45.0</v>
      </c>
      <c r="N46" s="11" t="str">
        <f t="shared" si="1"/>
        <v>bnco0945@signalschool.ac.th</v>
      </c>
      <c r="O46" s="12">
        <f t="shared" si="2"/>
        <v>1</v>
      </c>
      <c r="R46" s="6" t="s">
        <v>262</v>
      </c>
    </row>
    <row r="47">
      <c r="A47" s="8">
        <f>'1.1'!A:A</f>
        <v>46212.61798</v>
      </c>
      <c r="B47" s="2" t="str">
        <f>'1.1'!B:B</f>
        <v>bnco0930@signalschool.ac.th</v>
      </c>
      <c r="C47" s="2" t="str">
        <f>'1.1'!C:C</f>
        <v>ร.ท.ศุภรัชฎ หมอกสุข</v>
      </c>
      <c r="D47" s="9">
        <v>1.0</v>
      </c>
      <c r="E47" s="10">
        <f>IFERROR(vlookup('1.1'!D:D,lookup!$A$2:$B$4,2,false),0)</f>
        <v>5</v>
      </c>
      <c r="F47" s="10">
        <f>IFERROR(vlookup('1.1'!E:E,lookup!$A$6:$B$8,2,false),0)</f>
        <v>5</v>
      </c>
      <c r="G47" s="10">
        <f>IFERROR(vlookup('1.1'!F:F,lookup!$A$10:$B$12,2,false),0)</f>
        <v>5</v>
      </c>
      <c r="H47" s="10">
        <f>IFERROR(vlookup('1.1'!G:G,lookup!$A$14:$B$16,2,false),0)</f>
        <v>5</v>
      </c>
      <c r="I47" s="10">
        <f>IFERROR(vlookup('1.1'!H:H,lookup!$A$18:$B$20,2,false),0)</f>
        <v>5</v>
      </c>
      <c r="J47" s="10">
        <f>IFERROR(vlookup('1.1'!I:I,lookup!$A$22:$B$24,2,false),0)</f>
        <v>5</v>
      </c>
      <c r="K47" s="10">
        <f>IFERROR(vlookup('1.1'!J:J,lookup!$A$26:$B$28,2,false),0)</f>
        <v>5</v>
      </c>
      <c r="L47" s="2"/>
      <c r="M47" s="10">
        <v>46.0</v>
      </c>
      <c r="N47" s="11" t="str">
        <f t="shared" si="1"/>
        <v>bnco0946@signalschool.ac.th</v>
      </c>
      <c r="O47" s="12">
        <f t="shared" si="2"/>
        <v>1</v>
      </c>
      <c r="R47" s="6" t="s">
        <v>263</v>
      </c>
    </row>
    <row r="48">
      <c r="A48" s="8">
        <f>'1.1'!A:A</f>
        <v>46212.61799</v>
      </c>
      <c r="B48" s="2" t="str">
        <f>'1.1'!B:B</f>
        <v>bnco0977@signalschool.ac.th</v>
      </c>
      <c r="C48" s="2" t="str">
        <f>'1.1'!C:C</f>
        <v>ร.ท.ศุภรัชฎ  หมอกสุข</v>
      </c>
      <c r="D48" s="9">
        <v>1.0</v>
      </c>
      <c r="E48" s="10">
        <f>IFERROR(vlookup('1.1'!D:D,lookup!$A$2:$B$4,2,false),0)</f>
        <v>5</v>
      </c>
      <c r="F48" s="10">
        <f>IFERROR(vlookup('1.1'!E:E,lookup!$A$6:$B$8,2,false),0)</f>
        <v>5</v>
      </c>
      <c r="G48" s="10">
        <f>IFERROR(vlookup('1.1'!F:F,lookup!$A$10:$B$12,2,false),0)</f>
        <v>5</v>
      </c>
      <c r="H48" s="10">
        <f>IFERROR(vlookup('1.1'!G:G,lookup!$A$14:$B$16,2,false),0)</f>
        <v>5</v>
      </c>
      <c r="I48" s="10">
        <f>IFERROR(vlookup('1.1'!H:H,lookup!$A$18:$B$20,2,false),0)</f>
        <v>5</v>
      </c>
      <c r="J48" s="10">
        <f>IFERROR(vlookup('1.1'!I:I,lookup!$A$22:$B$24,2,false),0)</f>
        <v>5</v>
      </c>
      <c r="K48" s="10">
        <f>IFERROR(vlookup('1.1'!J:J,lookup!$A$26:$B$28,2,false),0)</f>
        <v>5</v>
      </c>
      <c r="L48" s="2"/>
      <c r="M48" s="10">
        <v>47.0</v>
      </c>
      <c r="N48" s="11" t="str">
        <f t="shared" si="1"/>
        <v>bnco0947@signalschool.ac.th</v>
      </c>
      <c r="O48" s="12">
        <f t="shared" si="2"/>
        <v>1</v>
      </c>
      <c r="R48" s="6" t="s">
        <v>264</v>
      </c>
    </row>
    <row r="49">
      <c r="A49" s="8">
        <f>'1.1'!A:A</f>
        <v>46212.618</v>
      </c>
      <c r="B49" s="2" t="str">
        <f>'1.1'!B:B</f>
        <v>bnco0957@signalschool.ac.th</v>
      </c>
      <c r="C49" s="2" t="str">
        <f>'1.1'!C:C</f>
        <v>ร.ท.ศุภรัชฎ หมอกสุข</v>
      </c>
      <c r="D49" s="9">
        <v>1.0</v>
      </c>
      <c r="E49" s="10">
        <f>IFERROR(vlookup('1.1'!D:D,lookup!$A$2:$B$4,2,false),0)</f>
        <v>5</v>
      </c>
      <c r="F49" s="10">
        <f>IFERROR(vlookup('1.1'!E:E,lookup!$A$6:$B$8,2,false),0)</f>
        <v>5</v>
      </c>
      <c r="G49" s="10">
        <f>IFERROR(vlookup('1.1'!F:F,lookup!$A$10:$B$12,2,false),0)</f>
        <v>5</v>
      </c>
      <c r="H49" s="10">
        <f>IFERROR(vlookup('1.1'!G:G,lookup!$A$14:$B$16,2,false),0)</f>
        <v>5</v>
      </c>
      <c r="I49" s="10">
        <f>IFERROR(vlookup('1.1'!H:H,lookup!$A$18:$B$20,2,false),0)</f>
        <v>5</v>
      </c>
      <c r="J49" s="10">
        <f>IFERROR(vlookup('1.1'!I:I,lookup!$A$22:$B$24,2,false),0)</f>
        <v>5</v>
      </c>
      <c r="K49" s="10">
        <f>IFERROR(vlookup('1.1'!J:J,lookup!$A$26:$B$28,2,false),0)</f>
        <v>5</v>
      </c>
      <c r="L49" s="2"/>
      <c r="M49" s="10">
        <v>48.0</v>
      </c>
      <c r="N49" s="11" t="str">
        <f t="shared" si="1"/>
        <v>bnco0948@signalschool.ac.th</v>
      </c>
      <c r="O49" s="12">
        <f t="shared" si="2"/>
        <v>1</v>
      </c>
      <c r="R49" s="6" t="s">
        <v>265</v>
      </c>
    </row>
    <row r="50">
      <c r="A50" s="8">
        <f>'1.1'!A:A</f>
        <v>46212.618</v>
      </c>
      <c r="B50" s="2" t="str">
        <f>'1.1'!B:B</f>
        <v>bnco0967@signalschool.ac.th</v>
      </c>
      <c r="C50" s="2" t="str">
        <f>'1.1'!C:C</f>
        <v>ร.ท.ศุภรัชฎ หมอกสุข</v>
      </c>
      <c r="D50" s="9">
        <v>1.0</v>
      </c>
      <c r="E50" s="10">
        <f>IFERROR(vlookup('1.1'!D:D,lookup!$A$2:$B$4,2,false),0)</f>
        <v>5</v>
      </c>
      <c r="F50" s="10">
        <f>IFERROR(vlookup('1.1'!E:E,lookup!$A$6:$B$8,2,false),0)</f>
        <v>5</v>
      </c>
      <c r="G50" s="10">
        <f>IFERROR(vlookup('1.1'!F:F,lookup!$A$10:$B$12,2,false),0)</f>
        <v>5</v>
      </c>
      <c r="H50" s="10">
        <f>IFERROR(vlookup('1.1'!G:G,lookup!$A$14:$B$16,2,false),0)</f>
        <v>5</v>
      </c>
      <c r="I50" s="10">
        <f>IFERROR(vlookup('1.1'!H:H,lookup!$A$18:$B$20,2,false),0)</f>
        <v>5</v>
      </c>
      <c r="J50" s="10">
        <f>IFERROR(vlookup('1.1'!I:I,lookup!$A$22:$B$24,2,false),0)</f>
        <v>5</v>
      </c>
      <c r="K50" s="10">
        <f>IFERROR(vlookup('1.1'!J:J,lookup!$A$26:$B$28,2,false),0)</f>
        <v>5</v>
      </c>
      <c r="L50" s="2"/>
      <c r="M50" s="10">
        <v>49.0</v>
      </c>
      <c r="N50" s="11" t="str">
        <f t="shared" si="1"/>
        <v>bnco0949@signalschool.ac.th</v>
      </c>
      <c r="O50" s="12">
        <f t="shared" si="2"/>
        <v>1</v>
      </c>
      <c r="R50" s="6" t="s">
        <v>266</v>
      </c>
    </row>
    <row r="51">
      <c r="A51" s="8">
        <f>'1.1'!A:A</f>
        <v>46212.61805</v>
      </c>
      <c r="B51" s="2" t="str">
        <f>'1.1'!B:B</f>
        <v>bnco0921@signalschool.ac.th</v>
      </c>
      <c r="C51" s="2" t="str">
        <f>'1.1'!C:C</f>
        <v>ร.ท.ศุภรัชฎ หมอกสุข</v>
      </c>
      <c r="D51" s="9">
        <v>1.0</v>
      </c>
      <c r="E51" s="10">
        <f>IFERROR(vlookup('1.1'!D:D,lookup!$A$2:$B$4,2,false),0)</f>
        <v>5</v>
      </c>
      <c r="F51" s="10">
        <f>IFERROR(vlookup('1.1'!E:E,lookup!$A$6:$B$8,2,false),0)</f>
        <v>5</v>
      </c>
      <c r="G51" s="10">
        <f>IFERROR(vlookup('1.1'!F:F,lookup!$A$10:$B$12,2,false),0)</f>
        <v>5</v>
      </c>
      <c r="H51" s="10">
        <f>IFERROR(vlookup('1.1'!G:G,lookup!$A$14:$B$16,2,false),0)</f>
        <v>5</v>
      </c>
      <c r="I51" s="10">
        <f>IFERROR(vlookup('1.1'!H:H,lookup!$A$18:$B$20,2,false),0)</f>
        <v>5</v>
      </c>
      <c r="J51" s="10">
        <f>IFERROR(vlookup('1.1'!I:I,lookup!$A$22:$B$24,2,false),0)</f>
        <v>5</v>
      </c>
      <c r="K51" s="10">
        <f>IFERROR(vlookup('1.1'!J:J,lookup!$A$26:$B$28,2,false),0)</f>
        <v>5</v>
      </c>
      <c r="L51" s="2"/>
      <c r="M51" s="10">
        <v>50.0</v>
      </c>
      <c r="N51" s="11" t="str">
        <f t="shared" si="1"/>
        <v>bnco0950@signalschool.ac.th</v>
      </c>
      <c r="O51" s="12">
        <f t="shared" si="2"/>
        <v>1</v>
      </c>
      <c r="R51" s="6" t="s">
        <v>267</v>
      </c>
    </row>
    <row r="52">
      <c r="A52" s="8">
        <f>'1.1'!A:A</f>
        <v>46212.6181</v>
      </c>
      <c r="B52" s="2" t="str">
        <f>'1.1'!B:B</f>
        <v>bnco0925@signalschool.ac.th</v>
      </c>
      <c r="C52" s="2" t="str">
        <f>'1.1'!C:C</f>
        <v>ร.ท.ศุภรัชฎ หมอกสุข</v>
      </c>
      <c r="D52" s="9">
        <v>1.0</v>
      </c>
      <c r="E52" s="10">
        <f>IFERROR(vlookup('1.1'!D:D,lookup!$A$2:$B$4,2,false),0)</f>
        <v>3</v>
      </c>
      <c r="F52" s="10">
        <f>IFERROR(vlookup('1.1'!E:E,lookup!$A$6:$B$8,2,false),0)</f>
        <v>3</v>
      </c>
      <c r="G52" s="10">
        <f>IFERROR(vlookup('1.1'!F:F,lookup!$A$10:$B$12,2,false),0)</f>
        <v>1</v>
      </c>
      <c r="H52" s="10">
        <f>IFERROR(vlookup('1.1'!G:G,lookup!$A$14:$B$16,2,false),0)</f>
        <v>5</v>
      </c>
      <c r="I52" s="10">
        <f>IFERROR(vlookup('1.1'!H:H,lookup!$A$18:$B$20,2,false),0)</f>
        <v>5</v>
      </c>
      <c r="J52" s="10">
        <f>IFERROR(vlookup('1.1'!I:I,lookup!$A$22:$B$24,2,false),0)</f>
        <v>5</v>
      </c>
      <c r="K52" s="10">
        <f>IFERROR(vlookup('1.1'!J:J,lookup!$A$26:$B$28,2,false),0)</f>
        <v>5</v>
      </c>
      <c r="L52" s="2"/>
      <c r="M52" s="10">
        <v>51.0</v>
      </c>
      <c r="N52" s="11" t="str">
        <f t="shared" si="1"/>
        <v>bnco0951@signalschool.ac.th</v>
      </c>
      <c r="O52" s="12">
        <f t="shared" si="2"/>
        <v>1</v>
      </c>
      <c r="R52" s="6" t="s">
        <v>268</v>
      </c>
    </row>
    <row r="53">
      <c r="A53" s="8">
        <f>'1.1'!A:A</f>
        <v>46212.61812</v>
      </c>
      <c r="B53" s="2" t="str">
        <f>'1.1'!B:B</f>
        <v>bnco0939@signalschool.ac.th</v>
      </c>
      <c r="C53" s="2" t="str">
        <f>'1.1'!C:C</f>
        <v>ร.ท.ศุภรัชฎ  หมอกสุข</v>
      </c>
      <c r="D53" s="9">
        <v>1.0</v>
      </c>
      <c r="E53" s="10">
        <f>IFERROR(vlookup('1.1'!D:D,lookup!$A$2:$B$4,2,false),0)</f>
        <v>5</v>
      </c>
      <c r="F53" s="10">
        <f>IFERROR(vlookup('1.1'!E:E,lookup!$A$6:$B$8,2,false),0)</f>
        <v>5</v>
      </c>
      <c r="G53" s="10">
        <f>IFERROR(vlookup('1.1'!F:F,lookup!$A$10:$B$12,2,false),0)</f>
        <v>5</v>
      </c>
      <c r="H53" s="10">
        <f>IFERROR(vlookup('1.1'!G:G,lookup!$A$14:$B$16,2,false),0)</f>
        <v>5</v>
      </c>
      <c r="I53" s="10">
        <f>IFERROR(vlookup('1.1'!H:H,lookup!$A$18:$B$20,2,false),0)</f>
        <v>5</v>
      </c>
      <c r="J53" s="10">
        <f>IFERROR(vlookup('1.1'!I:I,lookup!$A$22:$B$24,2,false),0)</f>
        <v>5</v>
      </c>
      <c r="K53" s="10">
        <f>IFERROR(vlookup('1.1'!J:J,lookup!$A$26:$B$28,2,false),0)</f>
        <v>5</v>
      </c>
      <c r="L53" s="2"/>
      <c r="M53" s="10">
        <v>52.0</v>
      </c>
      <c r="N53" s="11" t="str">
        <f t="shared" si="1"/>
        <v>bnco0952@signalschool.ac.th</v>
      </c>
      <c r="O53" s="12">
        <f t="shared" si="2"/>
        <v>1</v>
      </c>
      <c r="R53" s="6" t="s">
        <v>269</v>
      </c>
    </row>
    <row r="54">
      <c r="A54" s="8">
        <f>'1.1'!A:A</f>
        <v>46212.61819</v>
      </c>
      <c r="B54" s="2" t="str">
        <f>'1.1'!B:B</f>
        <v>bnco0944@signalschool.ac.th</v>
      </c>
      <c r="C54" s="2" t="str">
        <f>'1.1'!C:C</f>
        <v>ร.ท.ศุภรัชฎ หมอกสุข</v>
      </c>
      <c r="D54" s="9">
        <v>1.0</v>
      </c>
      <c r="E54" s="10">
        <f>IFERROR(vlookup('1.1'!D:D,lookup!$A$2:$B$4,2,false),0)</f>
        <v>5</v>
      </c>
      <c r="F54" s="10">
        <f>IFERROR(vlookup('1.1'!E:E,lookup!$A$6:$B$8,2,false),0)</f>
        <v>5</v>
      </c>
      <c r="G54" s="10">
        <f>IFERROR(vlookup('1.1'!F:F,lookup!$A$10:$B$12,2,false),0)</f>
        <v>5</v>
      </c>
      <c r="H54" s="10">
        <f>IFERROR(vlookup('1.1'!G:G,lookup!$A$14:$B$16,2,false),0)</f>
        <v>5</v>
      </c>
      <c r="I54" s="10">
        <f>IFERROR(vlookup('1.1'!H:H,lookup!$A$18:$B$20,2,false),0)</f>
        <v>5</v>
      </c>
      <c r="J54" s="10">
        <f>IFERROR(vlookup('1.1'!I:I,lookup!$A$22:$B$24,2,false),0)</f>
        <v>5</v>
      </c>
      <c r="K54" s="10">
        <f>IFERROR(vlookup('1.1'!J:J,lookup!$A$26:$B$28,2,false),0)</f>
        <v>5</v>
      </c>
      <c r="L54" s="2"/>
      <c r="M54" s="10">
        <v>53.0</v>
      </c>
      <c r="N54" s="11" t="str">
        <f t="shared" si="1"/>
        <v>bnco0953@signalschool.ac.th</v>
      </c>
      <c r="O54" s="12">
        <f t="shared" si="2"/>
        <v>1</v>
      </c>
      <c r="R54" s="6" t="s">
        <v>270</v>
      </c>
    </row>
    <row r="55">
      <c r="A55" s="8">
        <f>'1.1'!A:A</f>
        <v>46212.61828</v>
      </c>
      <c r="B55" s="2" t="str">
        <f>'1.1'!B:B</f>
        <v>bnco0927@signalschool.ac.th</v>
      </c>
      <c r="C55" s="2" t="str">
        <f>'1.1'!C:C</f>
        <v>ร.ท.ศุภรัชฎ หมอกสุข</v>
      </c>
      <c r="D55" s="9">
        <v>1.0</v>
      </c>
      <c r="E55" s="10">
        <f>IFERROR(vlookup('1.1'!D:D,lookup!$A$2:$B$4,2,false),0)</f>
        <v>5</v>
      </c>
      <c r="F55" s="10">
        <f>IFERROR(vlookup('1.1'!E:E,lookup!$A$6:$B$8,2,false),0)</f>
        <v>5</v>
      </c>
      <c r="G55" s="10">
        <f>IFERROR(vlookup('1.1'!F:F,lookup!$A$10:$B$12,2,false),0)</f>
        <v>5</v>
      </c>
      <c r="H55" s="10">
        <f>IFERROR(vlookup('1.1'!G:G,lookup!$A$14:$B$16,2,false),0)</f>
        <v>5</v>
      </c>
      <c r="I55" s="10">
        <f>IFERROR(vlookup('1.1'!H:H,lookup!$A$18:$B$20,2,false),0)</f>
        <v>5</v>
      </c>
      <c r="J55" s="10">
        <f>IFERROR(vlookup('1.1'!I:I,lookup!$A$22:$B$24,2,false),0)</f>
        <v>5</v>
      </c>
      <c r="K55" s="10">
        <f>IFERROR(vlookup('1.1'!J:J,lookup!$A$26:$B$28,2,false),0)</f>
        <v>5</v>
      </c>
      <c r="L55" s="2"/>
      <c r="M55" s="10">
        <v>54.0</v>
      </c>
      <c r="N55" s="11" t="str">
        <f t="shared" si="1"/>
        <v>bnco0954@signalschool.ac.th</v>
      </c>
      <c r="O55" s="12">
        <f t="shared" si="2"/>
        <v>1</v>
      </c>
      <c r="R55" s="6" t="s">
        <v>271</v>
      </c>
    </row>
    <row r="56">
      <c r="A56" s="8">
        <f>'1.1'!A:A</f>
        <v>46212.61829</v>
      </c>
      <c r="B56" s="2" t="str">
        <f>'1.1'!B:B</f>
        <v>bnco0969@signalschool.ac.th</v>
      </c>
      <c r="C56" s="2" t="str">
        <f>'1.1'!C:C</f>
        <v>ร.ท. ศุภรัชฎ  หมอกสุข</v>
      </c>
      <c r="D56" s="9">
        <v>1.0</v>
      </c>
      <c r="E56" s="10">
        <f>IFERROR(vlookup('1.1'!D:D,lookup!$A$2:$B$4,2,false),0)</f>
        <v>5</v>
      </c>
      <c r="F56" s="10">
        <f>IFERROR(vlookup('1.1'!E:E,lookup!$A$6:$B$8,2,false),0)</f>
        <v>5</v>
      </c>
      <c r="G56" s="10">
        <f>IFERROR(vlookup('1.1'!F:F,lookup!$A$10:$B$12,2,false),0)</f>
        <v>5</v>
      </c>
      <c r="H56" s="10">
        <f>IFERROR(vlookup('1.1'!G:G,lookup!$A$14:$B$16,2,false),0)</f>
        <v>5</v>
      </c>
      <c r="I56" s="10">
        <f>IFERROR(vlookup('1.1'!H:H,lookup!$A$18:$B$20,2,false),0)</f>
        <v>5</v>
      </c>
      <c r="J56" s="10">
        <f>IFERROR(vlookup('1.1'!I:I,lookup!$A$22:$B$24,2,false),0)</f>
        <v>5</v>
      </c>
      <c r="K56" s="10">
        <f>IFERROR(vlookup('1.1'!J:J,lookup!$A$26:$B$28,2,false),0)</f>
        <v>5</v>
      </c>
      <c r="L56" s="13"/>
      <c r="M56" s="10">
        <v>55.0</v>
      </c>
      <c r="N56" s="11" t="str">
        <f t="shared" si="1"/>
        <v>bnco0955@signalschool.ac.th</v>
      </c>
      <c r="O56" s="12">
        <f t="shared" si="2"/>
        <v>1</v>
      </c>
      <c r="R56" s="6" t="s">
        <v>272</v>
      </c>
    </row>
    <row r="57">
      <c r="A57" s="8">
        <f>'1.1'!A:A</f>
        <v>46212.61842</v>
      </c>
      <c r="B57" s="2" t="str">
        <f>'1.1'!B:B</f>
        <v>bnco0909@signalschool.ac.th</v>
      </c>
      <c r="C57" s="2" t="str">
        <f>'1.1'!C:C</f>
        <v>ร.ท.ศุภรัช หมอกสุข</v>
      </c>
      <c r="D57" s="9">
        <v>1.0</v>
      </c>
      <c r="E57" s="10">
        <f>IFERROR(vlookup('1.1'!D:D,lookup!$A$2:$B$4,2,false),0)</f>
        <v>5</v>
      </c>
      <c r="F57" s="10">
        <f>IFERROR(vlookup('1.1'!E:E,lookup!$A$6:$B$8,2,false),0)</f>
        <v>5</v>
      </c>
      <c r="G57" s="10">
        <f>IFERROR(vlookup('1.1'!F:F,lookup!$A$10:$B$12,2,false),0)</f>
        <v>5</v>
      </c>
      <c r="H57" s="10">
        <f>IFERROR(vlookup('1.1'!G:G,lookup!$A$14:$B$16,2,false),0)</f>
        <v>5</v>
      </c>
      <c r="I57" s="10">
        <f>IFERROR(vlookup('1.1'!H:H,lookup!$A$18:$B$20,2,false),0)</f>
        <v>5</v>
      </c>
      <c r="J57" s="10">
        <f>IFERROR(vlookup('1.1'!I:I,lookup!$A$22:$B$24,2,false),0)</f>
        <v>5</v>
      </c>
      <c r="K57" s="10">
        <f>IFERROR(vlookup('1.1'!J:J,lookup!$A$26:$B$28,2,false),0)</f>
        <v>5</v>
      </c>
      <c r="L57" s="13"/>
      <c r="M57" s="10">
        <v>56.0</v>
      </c>
      <c r="N57" s="11" t="str">
        <f t="shared" si="1"/>
        <v>bnco0956@signalschool.ac.th</v>
      </c>
      <c r="O57" s="12">
        <f t="shared" si="2"/>
        <v>1</v>
      </c>
      <c r="R57" s="6" t="s">
        <v>273</v>
      </c>
    </row>
    <row r="58">
      <c r="A58" s="8">
        <f>'1.1'!A:A</f>
        <v>46212.61848</v>
      </c>
      <c r="B58" s="2" t="str">
        <f>'1.1'!B:B</f>
        <v>bnco0942@signalschool.ac.th</v>
      </c>
      <c r="C58" s="2" t="str">
        <f>'1.1'!C:C</f>
        <v>ร.ท. ศุภณัฐ  หมอกสุข</v>
      </c>
      <c r="D58" s="9">
        <v>1.0</v>
      </c>
      <c r="E58" s="10">
        <f>IFERROR(vlookup('1.1'!D:D,lookup!$A$2:$B$4,2,false),0)</f>
        <v>5</v>
      </c>
      <c r="F58" s="10">
        <f>IFERROR(vlookup('1.1'!E:E,lookup!$A$6:$B$8,2,false),0)</f>
        <v>5</v>
      </c>
      <c r="G58" s="10">
        <f>IFERROR(vlookup('1.1'!F:F,lookup!$A$10:$B$12,2,false),0)</f>
        <v>5</v>
      </c>
      <c r="H58" s="10">
        <f>IFERROR(vlookup('1.1'!G:G,lookup!$A$14:$B$16,2,false),0)</f>
        <v>5</v>
      </c>
      <c r="I58" s="10">
        <f>IFERROR(vlookup('1.1'!H:H,lookup!$A$18:$B$20,2,false),0)</f>
        <v>5</v>
      </c>
      <c r="J58" s="10">
        <f>IFERROR(vlookup('1.1'!I:I,lookup!$A$22:$B$24,2,false),0)</f>
        <v>5</v>
      </c>
      <c r="K58" s="10">
        <f>IFERROR(vlookup('1.1'!J:J,lookup!$A$26:$B$28,2,false),0)</f>
        <v>5</v>
      </c>
      <c r="L58" s="13"/>
      <c r="M58" s="10">
        <v>57.0</v>
      </c>
      <c r="N58" s="11" t="str">
        <f t="shared" si="1"/>
        <v>bnco0957@signalschool.ac.th</v>
      </c>
      <c r="O58" s="12">
        <f t="shared" si="2"/>
        <v>1</v>
      </c>
      <c r="R58" s="6" t="s">
        <v>274</v>
      </c>
    </row>
    <row r="59">
      <c r="A59" s="8">
        <f>'1.1'!A:A</f>
        <v>46212.61849</v>
      </c>
      <c r="B59" s="2" t="str">
        <f>'1.1'!B:B</f>
        <v>bnco0948@signalschool.ac.th</v>
      </c>
      <c r="C59" s="2" t="str">
        <f>'1.1'!C:C</f>
        <v>ร.ท.ศุภรัชฎ หมอกสุข</v>
      </c>
      <c r="D59" s="9">
        <v>1.0</v>
      </c>
      <c r="E59" s="10">
        <f>IFERROR(vlookup('1.1'!D:D,lookup!$A$2:$B$4,2,false),0)</f>
        <v>5</v>
      </c>
      <c r="F59" s="10">
        <f>IFERROR(vlookup('1.1'!E:E,lookup!$A$6:$B$8,2,false),0)</f>
        <v>5</v>
      </c>
      <c r="G59" s="10">
        <f>IFERROR(vlookup('1.1'!F:F,lookup!$A$10:$B$12,2,false),0)</f>
        <v>5</v>
      </c>
      <c r="H59" s="10">
        <f>IFERROR(vlookup('1.1'!G:G,lookup!$A$14:$B$16,2,false),0)</f>
        <v>5</v>
      </c>
      <c r="I59" s="10">
        <f>IFERROR(vlookup('1.1'!H:H,lookup!$A$18:$B$20,2,false),0)</f>
        <v>5</v>
      </c>
      <c r="J59" s="10">
        <f>IFERROR(vlookup('1.1'!I:I,lookup!$A$22:$B$24,2,false),0)</f>
        <v>5</v>
      </c>
      <c r="K59" s="10">
        <f>IFERROR(vlookup('1.1'!J:J,lookup!$A$26:$B$28,2,false),0)</f>
        <v>5</v>
      </c>
      <c r="L59" s="14"/>
      <c r="M59" s="10">
        <v>58.0</v>
      </c>
      <c r="N59" s="11" t="str">
        <f t="shared" si="1"/>
        <v>bnco0958@signalschool.ac.th</v>
      </c>
      <c r="O59" s="12">
        <f t="shared" si="2"/>
        <v>1</v>
      </c>
      <c r="R59" s="6" t="s">
        <v>275</v>
      </c>
    </row>
    <row r="60">
      <c r="A60" s="8">
        <f>'1.1'!A:A</f>
        <v>46212.61856</v>
      </c>
      <c r="B60" s="2" t="str">
        <f>'1.1'!B:B</f>
        <v>bnco0913@signalschool.ac.th</v>
      </c>
      <c r="C60" s="2" t="str">
        <f>'1.1'!C:C</f>
        <v>ร.ท.ศุภรัชฎ หมอกสุข</v>
      </c>
      <c r="D60" s="9">
        <v>1.0</v>
      </c>
      <c r="E60" s="10">
        <f>IFERROR(vlookup('1.1'!D:D,lookup!$A$2:$B$4,2,false),0)</f>
        <v>5</v>
      </c>
      <c r="F60" s="10">
        <f>IFERROR(vlookup('1.1'!E:E,lookup!$A$6:$B$8,2,false),0)</f>
        <v>5</v>
      </c>
      <c r="G60" s="10">
        <f>IFERROR(vlookup('1.1'!F:F,lookup!$A$10:$B$12,2,false),0)</f>
        <v>5</v>
      </c>
      <c r="H60" s="10">
        <f>IFERROR(vlookup('1.1'!G:G,lookup!$A$14:$B$16,2,false),0)</f>
        <v>5</v>
      </c>
      <c r="I60" s="10">
        <f>IFERROR(vlookup('1.1'!H:H,lookup!$A$18:$B$20,2,false),0)</f>
        <v>5</v>
      </c>
      <c r="J60" s="10">
        <f>IFERROR(vlookup('1.1'!I:I,lookup!$A$22:$B$24,2,false),0)</f>
        <v>5</v>
      </c>
      <c r="K60" s="10">
        <f>IFERROR(vlookup('1.1'!J:J,lookup!$A$26:$B$28,2,false),0)</f>
        <v>5</v>
      </c>
      <c r="L60" s="10"/>
      <c r="M60" s="10">
        <v>59.0</v>
      </c>
      <c r="N60" s="11" t="str">
        <f t="shared" si="1"/>
        <v>bnco0959@signalschool.ac.th</v>
      </c>
      <c r="O60" s="12">
        <f t="shared" si="2"/>
        <v>1</v>
      </c>
      <c r="R60" s="6" t="s">
        <v>276</v>
      </c>
    </row>
    <row r="61">
      <c r="A61" s="8">
        <f>'1.1'!A:A</f>
        <v>46212.61868</v>
      </c>
      <c r="B61" s="2" t="str">
        <f>'1.1'!B:B</f>
        <v>bnco0945@signalschool.ac.th</v>
      </c>
      <c r="C61" s="2" t="str">
        <f>'1.1'!C:C</f>
        <v>ร.ท.ศุภรัชฏ หมอกสุก</v>
      </c>
      <c r="D61" s="9">
        <v>1.0</v>
      </c>
      <c r="E61" s="10">
        <f>IFERROR(vlookup('1.1'!D:D,lookup!$A$2:$B$4,2,false),0)</f>
        <v>1</v>
      </c>
      <c r="F61" s="10">
        <f>IFERROR(vlookup('1.1'!E:E,lookup!$A$6:$B$8,2,false),0)</f>
        <v>5</v>
      </c>
      <c r="G61" s="10">
        <f>IFERROR(vlookup('1.1'!F:F,lookup!$A$10:$B$12,2,false),0)</f>
        <v>5</v>
      </c>
      <c r="H61" s="10">
        <f>IFERROR(vlookup('1.1'!G:G,lookup!$A$14:$B$16,2,false),0)</f>
        <v>3</v>
      </c>
      <c r="I61" s="10">
        <f>IFERROR(vlookup('1.1'!H:H,lookup!$A$18:$B$20,2,false),0)</f>
        <v>5</v>
      </c>
      <c r="J61" s="10">
        <f>IFERROR(vlookup('1.1'!I:I,lookup!$A$22:$B$24,2,false),0)</f>
        <v>5</v>
      </c>
      <c r="K61" s="10">
        <f>IFERROR(vlookup('1.1'!J:J,lookup!$A$26:$B$28,2,false),0)</f>
        <v>5</v>
      </c>
      <c r="M61" s="10">
        <v>60.0</v>
      </c>
      <c r="N61" s="11" t="str">
        <f t="shared" si="1"/>
        <v>bnco0960@signalschool.ac.th</v>
      </c>
      <c r="O61" s="12">
        <f t="shared" si="2"/>
        <v>1</v>
      </c>
      <c r="R61" s="6" t="s">
        <v>277</v>
      </c>
    </row>
    <row r="62">
      <c r="A62" s="8">
        <f>'1.1'!A:A</f>
        <v>46212.61893</v>
      </c>
      <c r="B62" s="2" t="str">
        <f>'1.1'!B:B</f>
        <v>bnco0902@signalschool.ac.th</v>
      </c>
      <c r="C62" s="2" t="str">
        <f>'1.1'!C:C</f>
        <v>ร.ท.ศุภรัชฏ หมอกสุข</v>
      </c>
      <c r="D62" s="9">
        <v>1.0</v>
      </c>
      <c r="E62" s="10">
        <f>IFERROR(vlookup('1.1'!D:D,lookup!$A$2:$B$4,2,false),0)</f>
        <v>5</v>
      </c>
      <c r="F62" s="10">
        <f>IFERROR(vlookup('1.1'!E:E,lookup!$A$6:$B$8,2,false),0)</f>
        <v>5</v>
      </c>
      <c r="G62" s="10">
        <f>IFERROR(vlookup('1.1'!F:F,lookup!$A$10:$B$12,2,false),0)</f>
        <v>5</v>
      </c>
      <c r="H62" s="10">
        <f>IFERROR(vlookup('1.1'!G:G,lookup!$A$14:$B$16,2,false),0)</f>
        <v>5</v>
      </c>
      <c r="I62" s="10">
        <f>IFERROR(vlookup('1.1'!H:H,lookup!$A$18:$B$20,2,false),0)</f>
        <v>5</v>
      </c>
      <c r="J62" s="10">
        <f>IFERROR(vlookup('1.1'!I:I,lookup!$A$22:$B$24,2,false),0)</f>
        <v>5</v>
      </c>
      <c r="K62" s="10">
        <f>IFERROR(vlookup('1.1'!J:J,lookup!$A$26:$B$28,2,false),0)</f>
        <v>5</v>
      </c>
      <c r="M62" s="10">
        <v>61.0</v>
      </c>
      <c r="N62" s="11" t="str">
        <f t="shared" si="1"/>
        <v>bnco0961@signalschool.ac.th</v>
      </c>
      <c r="O62" s="12">
        <f t="shared" si="2"/>
        <v>1</v>
      </c>
      <c r="R62" s="6" t="s">
        <v>278</v>
      </c>
    </row>
    <row r="63">
      <c r="A63" s="8">
        <f>'1.1'!A:A</f>
        <v>46212.61897</v>
      </c>
      <c r="B63" s="2" t="str">
        <f>'1.1'!B:B</f>
        <v>bnco0949@signalschool.ac.th</v>
      </c>
      <c r="C63" s="2" t="str">
        <f>'1.1'!C:C</f>
        <v>ร.ท.ศุภรัชฎ หมอกสุข</v>
      </c>
      <c r="D63" s="9">
        <v>1.0</v>
      </c>
      <c r="E63" s="10">
        <f>IFERROR(vlookup('1.1'!D:D,lookup!$A$2:$B$4,2,false),0)</f>
        <v>5</v>
      </c>
      <c r="F63" s="10">
        <f>IFERROR(vlookup('1.1'!E:E,lookup!$A$6:$B$8,2,false),0)</f>
        <v>5</v>
      </c>
      <c r="G63" s="10">
        <f>IFERROR(vlookup('1.1'!F:F,lookup!$A$10:$B$12,2,false),0)</f>
        <v>5</v>
      </c>
      <c r="H63" s="10">
        <f>IFERROR(vlookup('1.1'!G:G,lookup!$A$14:$B$16,2,false),0)</f>
        <v>5</v>
      </c>
      <c r="I63" s="10">
        <f>IFERROR(vlookup('1.1'!H:H,lookup!$A$18:$B$20,2,false),0)</f>
        <v>5</v>
      </c>
      <c r="J63" s="10">
        <f>IFERROR(vlookup('1.1'!I:I,lookup!$A$22:$B$24,2,false),0)</f>
        <v>5</v>
      </c>
      <c r="K63" s="10">
        <f>IFERROR(vlookup('1.1'!J:J,lookup!$A$26:$B$28,2,false),0)</f>
        <v>5</v>
      </c>
      <c r="M63" s="10">
        <v>62.0</v>
      </c>
      <c r="N63" s="11" t="str">
        <f t="shared" si="1"/>
        <v>bnco0962@signalschool.ac.th</v>
      </c>
      <c r="O63" s="12">
        <f t="shared" si="2"/>
        <v>1</v>
      </c>
      <c r="R63" s="6" t="s">
        <v>279</v>
      </c>
    </row>
    <row r="64">
      <c r="A64" s="8">
        <f>'1.1'!A:A</f>
        <v>46212.61899</v>
      </c>
      <c r="B64" s="2" t="str">
        <f>'1.1'!B:B</f>
        <v>bnco0965@signalschool.ac.th</v>
      </c>
      <c r="C64" s="2" t="str">
        <f>'1.1'!C:C</f>
        <v>อาจารย์ ศุภรัตน์  หมอกสุข</v>
      </c>
      <c r="D64" s="9">
        <v>1.0</v>
      </c>
      <c r="E64" s="10">
        <f>IFERROR(vlookup('1.1'!D:D,lookup!$A$2:$B$4,2,false),0)</f>
        <v>5</v>
      </c>
      <c r="F64" s="10">
        <f>IFERROR(vlookup('1.1'!E:E,lookup!$A$6:$B$8,2,false),0)</f>
        <v>5</v>
      </c>
      <c r="G64" s="10">
        <f>IFERROR(vlookup('1.1'!F:F,lookup!$A$10:$B$12,2,false),0)</f>
        <v>5</v>
      </c>
      <c r="H64" s="10">
        <f>IFERROR(vlookup('1.1'!G:G,lookup!$A$14:$B$16,2,false),0)</f>
        <v>5</v>
      </c>
      <c r="I64" s="10">
        <f>IFERROR(vlookup('1.1'!H:H,lookup!$A$18:$B$20,2,false),0)</f>
        <v>5</v>
      </c>
      <c r="J64" s="10">
        <f>IFERROR(vlookup('1.1'!I:I,lookup!$A$22:$B$24,2,false),0)</f>
        <v>5</v>
      </c>
      <c r="K64" s="10">
        <f>IFERROR(vlookup('1.1'!J:J,lookup!$A$26:$B$28,2,false),0)</f>
        <v>5</v>
      </c>
      <c r="M64" s="10">
        <v>63.0</v>
      </c>
      <c r="N64" s="11" t="str">
        <f t="shared" si="1"/>
        <v>bnco0963@signalschool.ac.th</v>
      </c>
      <c r="O64" s="12">
        <f t="shared" si="2"/>
        <v>1</v>
      </c>
      <c r="R64" s="6" t="s">
        <v>280</v>
      </c>
    </row>
    <row r="65">
      <c r="A65" s="8">
        <f>'1.1'!A:A</f>
        <v>46212.61917</v>
      </c>
      <c r="B65" s="2" t="str">
        <f>'1.1'!B:B</f>
        <v>bnco0901@signalschool.ac.th</v>
      </c>
      <c r="C65" s="2" t="str">
        <f>'1.1'!C:C</f>
        <v>ร.ท.ศุภรัช หมอกสุข</v>
      </c>
      <c r="D65" s="9">
        <v>1.0</v>
      </c>
      <c r="E65" s="10">
        <f>IFERROR(vlookup('1.1'!D:D,lookup!$A$2:$B$4,2,false),0)</f>
        <v>5</v>
      </c>
      <c r="F65" s="10">
        <f>IFERROR(vlookup('1.1'!E:E,lookup!$A$6:$B$8,2,false),0)</f>
        <v>5</v>
      </c>
      <c r="G65" s="10">
        <f>IFERROR(vlookup('1.1'!F:F,lookup!$A$10:$B$12,2,false),0)</f>
        <v>5</v>
      </c>
      <c r="H65" s="10">
        <f>IFERROR(vlookup('1.1'!G:G,lookup!$A$14:$B$16,2,false),0)</f>
        <v>5</v>
      </c>
      <c r="I65" s="10">
        <f>IFERROR(vlookup('1.1'!H:H,lookup!$A$18:$B$20,2,false),0)</f>
        <v>5</v>
      </c>
      <c r="J65" s="10">
        <f>IFERROR(vlookup('1.1'!I:I,lookup!$A$22:$B$24,2,false),0)</f>
        <v>5</v>
      </c>
      <c r="K65" s="10">
        <f>IFERROR(vlookup('1.1'!J:J,lookup!$A$26:$B$28,2,false),0)</f>
        <v>5</v>
      </c>
      <c r="M65" s="10">
        <v>64.0</v>
      </c>
      <c r="N65" s="11" t="str">
        <f t="shared" si="1"/>
        <v>bnco0964@signalschool.ac.th</v>
      </c>
      <c r="O65" s="12">
        <f t="shared" si="2"/>
        <v>1</v>
      </c>
      <c r="R65" s="6" t="s">
        <v>281</v>
      </c>
    </row>
    <row r="66">
      <c r="A66" s="8">
        <f>'1.1'!A:A</f>
        <v>46212.61921</v>
      </c>
      <c r="B66" s="2" t="str">
        <f>'1.1'!B:B</f>
        <v>bnco0946@signalschool.ac.th</v>
      </c>
      <c r="C66" s="2" t="str">
        <f>'1.1'!C:C</f>
        <v>ร.ท.ศุภรัชฎ หมอกสุข</v>
      </c>
      <c r="D66" s="9">
        <v>1.0</v>
      </c>
      <c r="E66" s="10">
        <f>IFERROR(vlookup('1.1'!D:D,lookup!$A$2:$B$4,2,false),0)</f>
        <v>5</v>
      </c>
      <c r="F66" s="10">
        <f>IFERROR(vlookup('1.1'!E:E,lookup!$A$6:$B$8,2,false),0)</f>
        <v>5</v>
      </c>
      <c r="G66" s="10">
        <f>IFERROR(vlookup('1.1'!F:F,lookup!$A$10:$B$12,2,false),0)</f>
        <v>5</v>
      </c>
      <c r="H66" s="10">
        <f>IFERROR(vlookup('1.1'!G:G,lookup!$A$14:$B$16,2,false),0)</f>
        <v>5</v>
      </c>
      <c r="I66" s="10">
        <f>IFERROR(vlookup('1.1'!H:H,lookup!$A$18:$B$20,2,false),0)</f>
        <v>5</v>
      </c>
      <c r="J66" s="10">
        <f>IFERROR(vlookup('1.1'!I:I,lookup!$A$22:$B$24,2,false),0)</f>
        <v>5</v>
      </c>
      <c r="K66" s="10">
        <f>IFERROR(vlookup('1.1'!J:J,lookup!$A$26:$B$28,2,false),0)</f>
        <v>5</v>
      </c>
      <c r="M66" s="10">
        <v>65.0</v>
      </c>
      <c r="N66" s="11" t="str">
        <f t="shared" si="1"/>
        <v>bnco0965@signalschool.ac.th</v>
      </c>
      <c r="O66" s="12">
        <f t="shared" si="2"/>
        <v>1</v>
      </c>
      <c r="R66" s="6" t="s">
        <v>282</v>
      </c>
    </row>
    <row r="67">
      <c r="A67" s="8">
        <f>'1.1'!A:A</f>
        <v>46212.61934</v>
      </c>
      <c r="B67" s="2" t="str">
        <f>'1.1'!B:B</f>
        <v>bnco0979@signalschool.ac.th</v>
      </c>
      <c r="C67" s="2" t="str">
        <f>'1.1'!C:C</f>
        <v>ร.ท.สุภรัชฎ หมอกสุข</v>
      </c>
      <c r="D67" s="9">
        <v>1.0</v>
      </c>
      <c r="E67" s="10">
        <f>IFERROR(vlookup('1.1'!D:D,lookup!$A$2:$B$4,2,false),0)</f>
        <v>5</v>
      </c>
      <c r="F67" s="10">
        <f>IFERROR(vlookup('1.1'!E:E,lookup!$A$6:$B$8,2,false),0)</f>
        <v>5</v>
      </c>
      <c r="G67" s="10">
        <f>IFERROR(vlookup('1.1'!F:F,lookup!$A$10:$B$12,2,false),0)</f>
        <v>5</v>
      </c>
      <c r="H67" s="10">
        <f>IFERROR(vlookup('1.1'!G:G,lookup!$A$14:$B$16,2,false),0)</f>
        <v>5</v>
      </c>
      <c r="I67" s="10">
        <f>IFERROR(vlookup('1.1'!H:H,lookup!$A$18:$B$20,2,false),0)</f>
        <v>5</v>
      </c>
      <c r="J67" s="10">
        <f>IFERROR(vlookup('1.1'!I:I,lookup!$A$22:$B$24,2,false),0)</f>
        <v>5</v>
      </c>
      <c r="K67" s="10">
        <f>IFERROR(vlookup('1.1'!J:J,lookup!$A$26:$B$28,2,false),0)</f>
        <v>5</v>
      </c>
      <c r="M67" s="10">
        <v>66.0</v>
      </c>
      <c r="N67" s="11" t="str">
        <f t="shared" si="1"/>
        <v>bnco0966@signalschool.ac.th</v>
      </c>
      <c r="O67" s="12">
        <f t="shared" si="2"/>
        <v>1</v>
      </c>
      <c r="R67" s="6" t="s">
        <v>283</v>
      </c>
    </row>
    <row r="68">
      <c r="A68" s="8">
        <f>'1.1'!A:A</f>
        <v>46212.61944</v>
      </c>
      <c r="B68" s="2" t="str">
        <f>'1.1'!B:B</f>
        <v>bnco0912@signalschool.ac.th</v>
      </c>
      <c r="C68" s="2" t="str">
        <f>'1.1'!C:C</f>
        <v>ร.ท. ศุภรัชฏ  หมอกสุข</v>
      </c>
      <c r="D68" s="9">
        <v>1.0</v>
      </c>
      <c r="E68" s="10">
        <f>IFERROR(vlookup('1.1'!D:D,lookup!$A$2:$B$4,2,false),0)</f>
        <v>5</v>
      </c>
      <c r="F68" s="10">
        <f>IFERROR(vlookup('1.1'!E:E,lookup!$A$6:$B$8,2,false),0)</f>
        <v>5</v>
      </c>
      <c r="G68" s="10">
        <f>IFERROR(vlookup('1.1'!F:F,lookup!$A$10:$B$12,2,false),0)</f>
        <v>5</v>
      </c>
      <c r="H68" s="10">
        <f>IFERROR(vlookup('1.1'!G:G,lookup!$A$14:$B$16,2,false),0)</f>
        <v>5</v>
      </c>
      <c r="I68" s="10">
        <f>IFERROR(vlookup('1.1'!H:H,lookup!$A$18:$B$20,2,false),0)</f>
        <v>5</v>
      </c>
      <c r="J68" s="10">
        <f>IFERROR(vlookup('1.1'!I:I,lookup!$A$22:$B$24,2,false),0)</f>
        <v>5</v>
      </c>
      <c r="K68" s="10">
        <f>IFERROR(vlookup('1.1'!J:J,lookup!$A$26:$B$28,2,false),0)</f>
        <v>5</v>
      </c>
      <c r="M68" s="10">
        <v>67.0</v>
      </c>
      <c r="N68" s="11" t="str">
        <f t="shared" si="1"/>
        <v>bnco0967@signalschool.ac.th</v>
      </c>
      <c r="O68" s="12">
        <f t="shared" si="2"/>
        <v>1</v>
      </c>
      <c r="R68" s="6" t="s">
        <v>284</v>
      </c>
    </row>
    <row r="69">
      <c r="A69" s="8">
        <f>'1.1'!A:A</f>
        <v>46212.61944</v>
      </c>
      <c r="B69" s="2" t="str">
        <f>'1.1'!B:B</f>
        <v>bnco0947@signalschool.ac.th</v>
      </c>
      <c r="C69" s="2" t="str">
        <f>'1.1'!C:C</f>
        <v>ร.ท. ศุภรัชฎ  หมอกสุข</v>
      </c>
      <c r="D69" s="9">
        <v>1.0</v>
      </c>
      <c r="E69" s="10">
        <f>IFERROR(vlookup('1.1'!D:D,lookup!$A$2:$B$4,2,false),0)</f>
        <v>5</v>
      </c>
      <c r="F69" s="10">
        <f>IFERROR(vlookup('1.1'!E:E,lookup!$A$6:$B$8,2,false),0)</f>
        <v>5</v>
      </c>
      <c r="G69" s="10">
        <f>IFERROR(vlookup('1.1'!F:F,lookup!$A$10:$B$12,2,false),0)</f>
        <v>5</v>
      </c>
      <c r="H69" s="10">
        <f>IFERROR(vlookup('1.1'!G:G,lookup!$A$14:$B$16,2,false),0)</f>
        <v>5</v>
      </c>
      <c r="I69" s="10">
        <f>IFERROR(vlookup('1.1'!H:H,lookup!$A$18:$B$20,2,false),0)</f>
        <v>5</v>
      </c>
      <c r="J69" s="10">
        <f>IFERROR(vlookup('1.1'!I:I,lookup!$A$22:$B$24,2,false),0)</f>
        <v>5</v>
      </c>
      <c r="K69" s="10">
        <f>IFERROR(vlookup('1.1'!J:J,lookup!$A$26:$B$28,2,false),0)</f>
        <v>5</v>
      </c>
      <c r="M69" s="10">
        <v>68.0</v>
      </c>
      <c r="N69" s="11" t="str">
        <f t="shared" si="1"/>
        <v>bnco0968@signalschool.ac.th</v>
      </c>
      <c r="O69" s="12">
        <f t="shared" si="2"/>
        <v>1</v>
      </c>
      <c r="R69" s="6" t="s">
        <v>285</v>
      </c>
    </row>
    <row r="70">
      <c r="A70" s="8">
        <f>'1.1'!A:A</f>
        <v>46212.61951</v>
      </c>
      <c r="B70" s="2" t="str">
        <f>'1.1'!B:B</f>
        <v>bnco0943@signalschool.ac.th</v>
      </c>
      <c r="C70" s="2" t="str">
        <f>'1.1'!C:C</f>
        <v>ร.ท.ศุภรัชฎ หมอกสุข</v>
      </c>
      <c r="D70" s="9">
        <v>1.0</v>
      </c>
      <c r="E70" s="10">
        <f>IFERROR(vlookup('1.1'!D:D,lookup!$A$2:$B$4,2,false),0)</f>
        <v>5</v>
      </c>
      <c r="F70" s="10">
        <f>IFERROR(vlookup('1.1'!E:E,lookup!$A$6:$B$8,2,false),0)</f>
        <v>5</v>
      </c>
      <c r="G70" s="10">
        <f>IFERROR(vlookup('1.1'!F:F,lookup!$A$10:$B$12,2,false),0)</f>
        <v>5</v>
      </c>
      <c r="H70" s="10">
        <f>IFERROR(vlookup('1.1'!G:G,lookup!$A$14:$B$16,2,false),0)</f>
        <v>5</v>
      </c>
      <c r="I70" s="10">
        <f>IFERROR(vlookup('1.1'!H:H,lookup!$A$18:$B$20,2,false),0)</f>
        <v>5</v>
      </c>
      <c r="J70" s="10">
        <f>IFERROR(vlookup('1.1'!I:I,lookup!$A$22:$B$24,2,false),0)</f>
        <v>5</v>
      </c>
      <c r="K70" s="10">
        <f>IFERROR(vlookup('1.1'!J:J,lookup!$A$26:$B$28,2,false),0)</f>
        <v>5</v>
      </c>
      <c r="M70" s="10">
        <v>69.0</v>
      </c>
      <c r="N70" s="11" t="str">
        <f t="shared" si="1"/>
        <v>bnco0969@signalschool.ac.th</v>
      </c>
      <c r="O70" s="12">
        <f t="shared" si="2"/>
        <v>1</v>
      </c>
      <c r="R70" s="6" t="s">
        <v>286</v>
      </c>
    </row>
    <row r="71">
      <c r="A71" s="8">
        <f>'1.1'!A:A</f>
        <v>46212.61973</v>
      </c>
      <c r="B71" s="2" t="str">
        <f>'1.1'!B:B</f>
        <v>bnco0929@signalschool.ac.th</v>
      </c>
      <c r="C71" s="2" t="str">
        <f>'1.1'!C:C</f>
        <v>ร.ท.ศุภรัชฎ หมอกสุข</v>
      </c>
      <c r="D71" s="9">
        <v>1.0</v>
      </c>
      <c r="E71" s="10">
        <f>IFERROR(vlookup('1.1'!D:D,lookup!$A$2:$B$4,2,false),0)</f>
        <v>5</v>
      </c>
      <c r="F71" s="10">
        <f>IFERROR(vlookup('1.1'!E:E,lookup!$A$6:$B$8,2,false),0)</f>
        <v>5</v>
      </c>
      <c r="G71" s="10">
        <f>IFERROR(vlookup('1.1'!F:F,lookup!$A$10:$B$12,2,false),0)</f>
        <v>5</v>
      </c>
      <c r="H71" s="10">
        <f>IFERROR(vlookup('1.1'!G:G,lookup!$A$14:$B$16,2,false),0)</f>
        <v>5</v>
      </c>
      <c r="I71" s="10">
        <f>IFERROR(vlookup('1.1'!H:H,lookup!$A$18:$B$20,2,false),0)</f>
        <v>5</v>
      </c>
      <c r="J71" s="10">
        <f>IFERROR(vlookup('1.1'!I:I,lookup!$A$22:$B$24,2,false),0)</f>
        <v>5</v>
      </c>
      <c r="K71" s="10">
        <f>IFERROR(vlookup('1.1'!J:J,lookup!$A$26:$B$28,2,false),0)</f>
        <v>5</v>
      </c>
      <c r="M71" s="10">
        <v>70.0</v>
      </c>
      <c r="N71" s="11" t="str">
        <f t="shared" si="1"/>
        <v>bnco0970@signalschool.ac.th</v>
      </c>
      <c r="O71" s="12">
        <f t="shared" si="2"/>
        <v>1</v>
      </c>
      <c r="R71" s="6" t="s">
        <v>287</v>
      </c>
    </row>
    <row r="72">
      <c r="A72" s="8">
        <f>'1.1'!A:A</f>
        <v>46212.61978</v>
      </c>
      <c r="B72" s="2" t="str">
        <f>'1.1'!B:B</f>
        <v>bnco0961@signalschool.ac.th</v>
      </c>
      <c r="C72" s="2" t="str">
        <f>'1.1'!C:C</f>
        <v>ร.ท ศุรัฎ สุขหมอก</v>
      </c>
      <c r="D72" s="9">
        <v>1.0</v>
      </c>
      <c r="E72" s="10">
        <f>IFERROR(vlookup('1.1'!D:D,lookup!$A$2:$B$4,2,false),0)</f>
        <v>1</v>
      </c>
      <c r="F72" s="10">
        <f>IFERROR(vlookup('1.1'!E:E,lookup!$A$6:$B$8,2,false),0)</f>
        <v>5</v>
      </c>
      <c r="G72" s="10">
        <f>IFERROR(vlookup('1.1'!F:F,lookup!$A$10:$B$12,2,false),0)</f>
        <v>1</v>
      </c>
      <c r="H72" s="10">
        <f>IFERROR(vlookup('1.1'!G:G,lookup!$A$14:$B$16,2,false),0)</f>
        <v>3</v>
      </c>
      <c r="I72" s="10">
        <f>IFERROR(vlookup('1.1'!H:H,lookup!$A$18:$B$20,2,false),0)</f>
        <v>3</v>
      </c>
      <c r="J72" s="10">
        <f>IFERROR(vlookup('1.1'!I:I,lookup!$A$22:$B$24,2,false),0)</f>
        <v>3</v>
      </c>
      <c r="K72" s="10">
        <f>IFERROR(vlookup('1.1'!J:J,lookup!$A$26:$B$28,2,false),0)</f>
        <v>3</v>
      </c>
      <c r="M72" s="10">
        <v>71.0</v>
      </c>
      <c r="N72" s="11" t="str">
        <f t="shared" si="1"/>
        <v>bnco0971@signalschool.ac.th</v>
      </c>
      <c r="O72" s="12">
        <f t="shared" si="2"/>
        <v>1</v>
      </c>
      <c r="R72" s="6" t="s">
        <v>288</v>
      </c>
    </row>
    <row r="73">
      <c r="A73" s="8">
        <f>'1.1'!A:A</f>
        <v>46212.62054</v>
      </c>
      <c r="B73" s="2" t="str">
        <f>'1.1'!B:B</f>
        <v>bnco0966@signalschool.ac.th</v>
      </c>
      <c r="C73" s="2" t="str">
        <f>'1.1'!C:C</f>
        <v>ร.ท.ศุภนัชฎ หมอกสุข</v>
      </c>
      <c r="D73" s="9">
        <v>1.0</v>
      </c>
      <c r="E73" s="10">
        <f>IFERROR(vlookup('1.1'!D:D,lookup!$A$2:$B$4,2,false),0)</f>
        <v>5</v>
      </c>
      <c r="F73" s="10">
        <f>IFERROR(vlookup('1.1'!E:E,lookup!$A$6:$B$8,2,false),0)</f>
        <v>5</v>
      </c>
      <c r="G73" s="10">
        <f>IFERROR(vlookup('1.1'!F:F,lookup!$A$10:$B$12,2,false),0)</f>
        <v>5</v>
      </c>
      <c r="H73" s="10">
        <f>IFERROR(vlookup('1.1'!G:G,lookup!$A$14:$B$16,2,false),0)</f>
        <v>5</v>
      </c>
      <c r="I73" s="10">
        <f>IFERROR(vlookup('1.1'!H:H,lookup!$A$18:$B$20,2,false),0)</f>
        <v>5</v>
      </c>
      <c r="J73" s="10">
        <f>IFERROR(vlookup('1.1'!I:I,lookup!$A$22:$B$24,2,false),0)</f>
        <v>5</v>
      </c>
      <c r="K73" s="10">
        <f>IFERROR(vlookup('1.1'!J:J,lookup!$A$26:$B$28,2,false),0)</f>
        <v>5</v>
      </c>
      <c r="M73" s="10">
        <v>72.0</v>
      </c>
      <c r="N73" s="11" t="str">
        <f t="shared" si="1"/>
        <v>bnco0972@signalschool.ac.th</v>
      </c>
      <c r="O73" s="12">
        <f t="shared" si="2"/>
        <v>1</v>
      </c>
      <c r="R73" s="6" t="s">
        <v>289</v>
      </c>
    </row>
    <row r="74">
      <c r="A74" s="8">
        <f>'1.1'!A:A</f>
        <v>46212.62082</v>
      </c>
      <c r="B74" s="2" t="str">
        <f>'1.1'!B:B</f>
        <v>bnco0960@signalschool.ac.th</v>
      </c>
      <c r="C74" s="2" t="str">
        <f>'1.1'!C:C</f>
        <v>ร.ท.ศุภรัชฎ หมอกสุข</v>
      </c>
      <c r="D74" s="9">
        <v>1.0</v>
      </c>
      <c r="E74" s="10">
        <f>IFERROR(vlookup('1.1'!D:D,lookup!$A$2:$B$4,2,false),0)</f>
        <v>5</v>
      </c>
      <c r="F74" s="10">
        <f>IFERROR(vlookup('1.1'!E:E,lookup!$A$6:$B$8,2,false),0)</f>
        <v>5</v>
      </c>
      <c r="G74" s="10">
        <f>IFERROR(vlookup('1.1'!F:F,lookup!$A$10:$B$12,2,false),0)</f>
        <v>5</v>
      </c>
      <c r="H74" s="10">
        <f>IFERROR(vlookup('1.1'!G:G,lookup!$A$14:$B$16,2,false),0)</f>
        <v>5</v>
      </c>
      <c r="I74" s="10">
        <f>IFERROR(vlookup('1.1'!H:H,lookup!$A$18:$B$20,2,false),0)</f>
        <v>5</v>
      </c>
      <c r="J74" s="10">
        <f>IFERROR(vlookup('1.1'!I:I,lookup!$A$22:$B$24,2,false),0)</f>
        <v>5</v>
      </c>
      <c r="K74" s="10">
        <f>IFERROR(vlookup('1.1'!J:J,lookup!$A$26:$B$28,2,false),0)</f>
        <v>5</v>
      </c>
      <c r="M74" s="10">
        <v>73.0</v>
      </c>
      <c r="N74" s="11" t="str">
        <f t="shared" si="1"/>
        <v>bnco0973@signalschool.ac.th</v>
      </c>
      <c r="O74" s="12">
        <f t="shared" si="2"/>
        <v>1</v>
      </c>
      <c r="R74" s="6" t="s">
        <v>290</v>
      </c>
    </row>
    <row r="75">
      <c r="A75" s="8">
        <f>'1.1'!A:A</f>
        <v>46212.62191</v>
      </c>
      <c r="B75" s="2" t="str">
        <f>'1.1'!B:B</f>
        <v>bnco0980@signalschool.ac.th</v>
      </c>
      <c r="C75" s="2" t="str">
        <f>'1.1'!C:C</f>
        <v>ร.ท.ศุภรักฏ หมอกสุข</v>
      </c>
      <c r="D75" s="9">
        <v>1.0</v>
      </c>
      <c r="E75" s="10">
        <f>IFERROR(vlookup('1.1'!D:D,lookup!$A$2:$B$4,2,false),0)</f>
        <v>5</v>
      </c>
      <c r="F75" s="10">
        <f>IFERROR(vlookup('1.1'!E:E,lookup!$A$6:$B$8,2,false),0)</f>
        <v>5</v>
      </c>
      <c r="G75" s="10">
        <f>IFERROR(vlookup('1.1'!F:F,lookup!$A$10:$B$12,2,false),0)</f>
        <v>5</v>
      </c>
      <c r="H75" s="10">
        <f>IFERROR(vlookup('1.1'!G:G,lookup!$A$14:$B$16,2,false),0)</f>
        <v>5</v>
      </c>
      <c r="I75" s="10">
        <f>IFERROR(vlookup('1.1'!H:H,lookup!$A$18:$B$20,2,false),0)</f>
        <v>5</v>
      </c>
      <c r="J75" s="10">
        <f>IFERROR(vlookup('1.1'!I:I,lookup!$A$22:$B$24,2,false),0)</f>
        <v>5</v>
      </c>
      <c r="K75" s="10">
        <f>IFERROR(vlookup('1.1'!J:J,lookup!$A$26:$B$28,2,false),0)</f>
        <v>3</v>
      </c>
      <c r="M75" s="10">
        <v>74.0</v>
      </c>
      <c r="N75" s="11" t="str">
        <f t="shared" si="1"/>
        <v>bnco0974@signalschool.ac.th</v>
      </c>
      <c r="O75" s="12">
        <f t="shared" si="2"/>
        <v>1</v>
      </c>
      <c r="R75" s="6" t="s">
        <v>291</v>
      </c>
    </row>
    <row r="76">
      <c r="A76" s="8">
        <f>'1.1'!A:A</f>
        <v>46212.6224</v>
      </c>
      <c r="B76" s="2" t="str">
        <f>'1.1'!B:B</f>
        <v>bnco0976@signalschool.ac.th</v>
      </c>
      <c r="C76" s="2" t="str">
        <f>'1.1'!C:C</f>
        <v>ร.ท.ศุภรัชฎ หมอกสุข</v>
      </c>
      <c r="D76" s="9">
        <v>1.0</v>
      </c>
      <c r="E76" s="10">
        <f>IFERROR(vlookup('1.1'!D:D,lookup!$A$2:$B$4,2,false),0)</f>
        <v>5</v>
      </c>
      <c r="F76" s="10">
        <f>IFERROR(vlookup('1.1'!E:E,lookup!$A$6:$B$8,2,false),0)</f>
        <v>5</v>
      </c>
      <c r="G76" s="10">
        <f>IFERROR(vlookup('1.1'!F:F,lookup!$A$10:$B$12,2,false),0)</f>
        <v>5</v>
      </c>
      <c r="H76" s="10">
        <f>IFERROR(vlookup('1.1'!G:G,lookup!$A$14:$B$16,2,false),0)</f>
        <v>5</v>
      </c>
      <c r="I76" s="10">
        <f>IFERROR(vlookup('1.1'!H:H,lookup!$A$18:$B$20,2,false),0)</f>
        <v>5</v>
      </c>
      <c r="J76" s="10">
        <f>IFERROR(vlookup('1.1'!I:I,lookup!$A$22:$B$24,2,false),0)</f>
        <v>5</v>
      </c>
      <c r="K76" s="10">
        <f>IFERROR(vlookup('1.1'!J:J,lookup!$A$26:$B$28,2,false),0)</f>
        <v>5</v>
      </c>
      <c r="M76" s="10">
        <v>75.0</v>
      </c>
      <c r="N76" s="11" t="str">
        <f t="shared" si="1"/>
        <v>bnco0975@signalschool.ac.th</v>
      </c>
      <c r="O76" s="12">
        <f t="shared" si="2"/>
        <v>1</v>
      </c>
      <c r="R76" s="6" t="s">
        <v>292</v>
      </c>
    </row>
    <row r="77">
      <c r="A77" s="8">
        <f>'1.1'!A:A</f>
        <v>46212.62362</v>
      </c>
      <c r="B77" s="2" t="str">
        <f>'1.1'!B:B</f>
        <v>bnco0917@signalschool.ac.th</v>
      </c>
      <c r="C77" s="2" t="str">
        <f>'1.1'!C:C</f>
        <v>ร.ท.ศุภรัชฎ หมอกสุข</v>
      </c>
      <c r="D77" s="9">
        <v>1.0</v>
      </c>
      <c r="E77" s="10">
        <f>IFERROR(vlookup('1.1'!D:D,lookup!$A$2:$B$4,2,false),0)</f>
        <v>5</v>
      </c>
      <c r="F77" s="10">
        <f>IFERROR(vlookup('1.1'!E:E,lookup!$A$6:$B$8,2,false),0)</f>
        <v>5</v>
      </c>
      <c r="G77" s="10">
        <f>IFERROR(vlookup('1.1'!F:F,lookup!$A$10:$B$12,2,false),0)</f>
        <v>5</v>
      </c>
      <c r="H77" s="10">
        <f>IFERROR(vlookup('1.1'!G:G,lookup!$A$14:$B$16,2,false),0)</f>
        <v>5</v>
      </c>
      <c r="I77" s="10">
        <f>IFERROR(vlookup('1.1'!H:H,lookup!$A$18:$B$20,2,false),0)</f>
        <v>5</v>
      </c>
      <c r="J77" s="10">
        <f>IFERROR(vlookup('1.1'!I:I,lookup!$A$22:$B$24,2,false),0)</f>
        <v>5</v>
      </c>
      <c r="K77" s="10">
        <f>IFERROR(vlookup('1.1'!J:J,lookup!$A$26:$B$28,2,false),0)</f>
        <v>5</v>
      </c>
      <c r="M77" s="10">
        <v>76.0</v>
      </c>
      <c r="N77" s="11" t="str">
        <f t="shared" si="1"/>
        <v>bnco0976@signalschool.ac.th</v>
      </c>
      <c r="O77" s="12">
        <f t="shared" si="2"/>
        <v>1</v>
      </c>
      <c r="R77" s="6" t="s">
        <v>293</v>
      </c>
    </row>
    <row r="78">
      <c r="A78" s="8">
        <f>'1.1'!A:A</f>
        <v>46212.63002</v>
      </c>
      <c r="B78" s="2" t="str">
        <f>'1.1'!B:B</f>
        <v>bnco0954@signalschool.ac.th</v>
      </c>
      <c r="C78" s="2" t="str">
        <f>'1.1'!C:C</f>
        <v>ร.ท.ศุภรัชฎ หมอกสุข</v>
      </c>
      <c r="D78" s="9">
        <v>1.0</v>
      </c>
      <c r="E78" s="10">
        <f>IFERROR(vlookup('1.1'!D:D,lookup!$A$2:$B$4,2,false),0)</f>
        <v>3</v>
      </c>
      <c r="F78" s="10">
        <f>IFERROR(vlookup('1.1'!E:E,lookup!$A$6:$B$8,2,false),0)</f>
        <v>3</v>
      </c>
      <c r="G78" s="10">
        <f>IFERROR(vlookup('1.1'!F:F,lookup!$A$10:$B$12,2,false),0)</f>
        <v>3</v>
      </c>
      <c r="H78" s="10">
        <f>IFERROR(vlookup('1.1'!G:G,lookup!$A$14:$B$16,2,false),0)</f>
        <v>3</v>
      </c>
      <c r="I78" s="10">
        <f>IFERROR(vlookup('1.1'!H:H,lookup!$A$18:$B$20,2,false),0)</f>
        <v>3</v>
      </c>
      <c r="J78" s="10">
        <f>IFERROR(vlookup('1.1'!I:I,lookup!$A$22:$B$24,2,false),0)</f>
        <v>3</v>
      </c>
      <c r="K78" s="10">
        <f>IFERROR(vlookup('1.1'!J:J,lookup!$A$26:$B$28,2,false),0)</f>
        <v>3</v>
      </c>
      <c r="M78" s="10">
        <v>77.0</v>
      </c>
      <c r="N78" s="11" t="str">
        <f t="shared" si="1"/>
        <v>bnco0977@signalschool.ac.th</v>
      </c>
      <c r="O78" s="12">
        <f t="shared" si="2"/>
        <v>1</v>
      </c>
      <c r="R78" s="6" t="s">
        <v>294</v>
      </c>
    </row>
    <row r="79">
      <c r="A79" s="8">
        <f>'1.1'!A:A</f>
        <v>46212.83373</v>
      </c>
      <c r="B79" s="2" t="str">
        <f>'1.1'!B:B</f>
        <v>bnco0907@signalschool.ac.th</v>
      </c>
      <c r="C79" s="2" t="str">
        <f>'1.1'!C:C</f>
        <v>ร.ท.ศุภรัชฎ หมอกสุข</v>
      </c>
      <c r="D79" s="9">
        <v>1.0</v>
      </c>
      <c r="E79" s="10">
        <f>IFERROR(vlookup('1.1'!D:D,lookup!$A$2:$B$4,2,false),0)</f>
        <v>5</v>
      </c>
      <c r="F79" s="10">
        <f>IFERROR(vlookup('1.1'!E:E,lookup!$A$6:$B$8,2,false),0)</f>
        <v>5</v>
      </c>
      <c r="G79" s="10">
        <f>IFERROR(vlookup('1.1'!F:F,lookup!$A$10:$B$12,2,false),0)</f>
        <v>5</v>
      </c>
      <c r="H79" s="10">
        <f>IFERROR(vlookup('1.1'!G:G,lookup!$A$14:$B$16,2,false),0)</f>
        <v>5</v>
      </c>
      <c r="I79" s="10">
        <f>IFERROR(vlookup('1.1'!H:H,lookup!$A$18:$B$20,2,false),0)</f>
        <v>5</v>
      </c>
      <c r="J79" s="10">
        <f>IFERROR(vlookup('1.1'!I:I,lookup!$A$22:$B$24,2,false),0)</f>
        <v>5</v>
      </c>
      <c r="K79" s="10">
        <f>IFERROR(vlookup('1.1'!J:J,lookup!$A$26:$B$28,2,false),0)</f>
        <v>5</v>
      </c>
      <c r="M79" s="10">
        <v>78.0</v>
      </c>
      <c r="N79" s="11" t="str">
        <f t="shared" si="1"/>
        <v>bnco0978@signalschool.ac.th</v>
      </c>
      <c r="O79" s="12">
        <f t="shared" si="2"/>
        <v>1</v>
      </c>
      <c r="R79" s="6" t="s">
        <v>295</v>
      </c>
    </row>
    <row r="80">
      <c r="A80" s="8">
        <f>'1.1'!A:A</f>
        <v>46213.40418</v>
      </c>
      <c r="B80" s="2" t="str">
        <f>'1.1'!B:B</f>
        <v>bnco0931@signalschool.ac.th</v>
      </c>
      <c r="C80" s="2" t="str">
        <f>'1.1'!C:C</f>
        <v>ร.ท.ศุภรัชฏ หมอกสุข</v>
      </c>
      <c r="D80" s="9">
        <v>1.0</v>
      </c>
      <c r="E80" s="10">
        <f>IFERROR(vlookup('1.1'!D:D,lookup!$A$2:$B$4,2,false),0)</f>
        <v>5</v>
      </c>
      <c r="F80" s="10">
        <f>IFERROR(vlookup('1.1'!E:E,lookup!$A$6:$B$8,2,false),0)</f>
        <v>5</v>
      </c>
      <c r="G80" s="10">
        <f>IFERROR(vlookup('1.1'!F:F,lookup!$A$10:$B$12,2,false),0)</f>
        <v>5</v>
      </c>
      <c r="H80" s="10">
        <f>IFERROR(vlookup('1.1'!G:G,lookup!$A$14:$B$16,2,false),0)</f>
        <v>5</v>
      </c>
      <c r="I80" s="10">
        <f>IFERROR(vlookup('1.1'!H:H,lookup!$A$18:$B$20,2,false),0)</f>
        <v>5</v>
      </c>
      <c r="J80" s="10">
        <f>IFERROR(vlookup('1.1'!I:I,lookup!$A$22:$B$24,2,false),0)</f>
        <v>5</v>
      </c>
      <c r="K80" s="10">
        <f>IFERROR(vlookup('1.1'!J:J,lookup!$A$26:$B$28,2,false),0)</f>
        <v>5</v>
      </c>
      <c r="M80" s="10">
        <v>79.0</v>
      </c>
      <c r="N80" s="11" t="str">
        <f t="shared" si="1"/>
        <v>bnco0979@signalschool.ac.th</v>
      </c>
      <c r="O80" s="12">
        <f t="shared" si="2"/>
        <v>1</v>
      </c>
      <c r="R80" s="6" t="s">
        <v>296</v>
      </c>
    </row>
    <row r="81">
      <c r="A81" s="8">
        <f>'1.1'!A:A</f>
        <v>46213.45345</v>
      </c>
      <c r="B81" s="2" t="str">
        <f>'1.1'!B:B</f>
        <v>bnco0975@signalschool.ac.th</v>
      </c>
      <c r="C81" s="2" t="str">
        <f>'1.1'!C:C</f>
        <v>ร.ท.ศุภรัชฎ หมอกสุข</v>
      </c>
      <c r="D81" s="9">
        <v>1.0</v>
      </c>
      <c r="E81" s="10">
        <f>IFERROR(vlookup('1.1'!D:D,lookup!$A$2:$B$4,2,false),0)</f>
        <v>5</v>
      </c>
      <c r="F81" s="10">
        <f>IFERROR(vlookup('1.1'!E:E,lookup!$A$6:$B$8,2,false),0)</f>
        <v>5</v>
      </c>
      <c r="G81" s="10">
        <f>IFERROR(vlookup('1.1'!F:F,lookup!$A$10:$B$12,2,false),0)</f>
        <v>3</v>
      </c>
      <c r="H81" s="10">
        <f>IFERROR(vlookup('1.1'!G:G,lookup!$A$14:$B$16,2,false),0)</f>
        <v>5</v>
      </c>
      <c r="I81" s="10">
        <f>IFERROR(vlookup('1.1'!H:H,lookup!$A$18:$B$20,2,false),0)</f>
        <v>3</v>
      </c>
      <c r="J81" s="10">
        <f>IFERROR(vlookup('1.1'!I:I,lookup!$A$22:$B$24,2,false),0)</f>
        <v>5</v>
      </c>
      <c r="K81" s="10">
        <f>IFERROR(vlookup('1.1'!J:J,lookup!$A$26:$B$28,2,false),0)</f>
        <v>5</v>
      </c>
      <c r="M81" s="10">
        <v>80.0</v>
      </c>
      <c r="N81" s="11" t="str">
        <f t="shared" si="1"/>
        <v>bnco0980@signalschool.ac.th</v>
      </c>
      <c r="O81" s="12">
        <f t="shared" si="2"/>
        <v>1</v>
      </c>
      <c r="R81" s="6" t="s">
        <v>297</v>
      </c>
    </row>
    <row r="82">
      <c r="A82" s="8"/>
      <c r="B82" s="2"/>
      <c r="C82" s="2"/>
      <c r="E82" s="14">
        <f t="shared" ref="E82:K82" si="3">AVERAGE(E2:E81)</f>
        <v>4.775</v>
      </c>
      <c r="F82" s="14">
        <f t="shared" si="3"/>
        <v>4.875</v>
      </c>
      <c r="G82" s="14">
        <f t="shared" si="3"/>
        <v>4.825</v>
      </c>
      <c r="H82" s="14">
        <f t="shared" si="3"/>
        <v>4.875</v>
      </c>
      <c r="I82" s="14">
        <f t="shared" si="3"/>
        <v>4.875</v>
      </c>
      <c r="J82" s="14">
        <f t="shared" si="3"/>
        <v>4.925</v>
      </c>
      <c r="K82" s="14">
        <f t="shared" si="3"/>
        <v>4.875</v>
      </c>
      <c r="L82" s="15">
        <f>AVERAGE(E82:K82)</f>
        <v>4.860714286</v>
      </c>
      <c r="N82" s="2" t="s">
        <v>298</v>
      </c>
      <c r="O82" s="12">
        <f>SUM(O2:O81)</f>
        <v>80</v>
      </c>
    </row>
    <row r="83">
      <c r="A83" s="8"/>
      <c r="B83" s="2"/>
      <c r="C83" s="2"/>
      <c r="E83" s="10"/>
      <c r="F83" s="10"/>
      <c r="G83" s="10"/>
      <c r="H83" s="10"/>
      <c r="I83" s="10"/>
      <c r="J83" s="10"/>
      <c r="K83" s="10"/>
      <c r="N83" s="2" t="s">
        <v>299</v>
      </c>
      <c r="O83" s="12">
        <f>(O82*100)/80</f>
        <v>100</v>
      </c>
    </row>
    <row r="84">
      <c r="A84" s="8"/>
      <c r="B84" s="2"/>
      <c r="C84" s="2"/>
      <c r="E84" s="10"/>
      <c r="K84" s="10"/>
    </row>
    <row r="85">
      <c r="A85" s="8"/>
      <c r="B85" s="2"/>
      <c r="C85" s="2"/>
      <c r="E85" s="10"/>
    </row>
    <row r="86">
      <c r="A86" s="8"/>
      <c r="B86" s="2"/>
      <c r="C86" s="2"/>
      <c r="E86" s="10"/>
    </row>
    <row r="87">
      <c r="A87" s="8"/>
      <c r="B87" s="2"/>
      <c r="C87" s="2"/>
      <c r="E87" s="10"/>
    </row>
    <row r="88">
      <c r="A88" s="8"/>
      <c r="C88" s="2"/>
      <c r="E88" s="10"/>
    </row>
    <row r="89">
      <c r="A89" s="8"/>
      <c r="C89" s="2"/>
      <c r="E89" s="10"/>
    </row>
    <row r="90">
      <c r="A90" s="8"/>
      <c r="C90" s="2"/>
      <c r="E90" s="10"/>
    </row>
    <row r="91">
      <c r="A91" s="8"/>
      <c r="C91" s="2"/>
      <c r="E91" s="10"/>
    </row>
    <row r="92">
      <c r="A92" s="8"/>
      <c r="C92" s="2"/>
      <c r="E92" s="10"/>
    </row>
    <row r="93">
      <c r="A93" s="8"/>
      <c r="C93" s="2"/>
      <c r="E93" s="10"/>
    </row>
    <row r="94">
      <c r="A94" s="8"/>
      <c r="C94" s="2"/>
      <c r="E94" s="10"/>
    </row>
    <row r="95">
      <c r="A95" s="8"/>
      <c r="C95" s="2"/>
      <c r="E95" s="10"/>
    </row>
    <row r="96">
      <c r="A96" s="8"/>
      <c r="C96" s="2"/>
      <c r="E96" s="10"/>
    </row>
    <row r="97">
      <c r="A97" s="8"/>
      <c r="C97" s="2"/>
      <c r="E97" s="10"/>
    </row>
    <row r="98">
      <c r="A98" s="8"/>
      <c r="C98" s="2"/>
      <c r="E98" s="10"/>
    </row>
    <row r="99">
      <c r="A99" s="8"/>
      <c r="C99" s="2"/>
      <c r="E99" s="10"/>
    </row>
    <row r="100">
      <c r="A100" s="8"/>
      <c r="C100" s="2"/>
    </row>
    <row r="101">
      <c r="A101" s="8"/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</sheetData>
  <mergeCells count="1">
    <mergeCell ref="M1:O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7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4">
        <v>46153.361070150466</v>
      </c>
      <c r="B2" s="6" t="s">
        <v>12</v>
      </c>
      <c r="C2" s="6" t="s">
        <v>14</v>
      </c>
      <c r="D2" s="6" t="s">
        <v>15</v>
      </c>
      <c r="E2" s="6" t="s">
        <v>16</v>
      </c>
      <c r="F2" s="6" t="s">
        <v>17</v>
      </c>
      <c r="G2" s="6" t="s">
        <v>18</v>
      </c>
      <c r="H2" s="6" t="s">
        <v>19</v>
      </c>
      <c r="I2" s="6" t="s">
        <v>20</v>
      </c>
      <c r="J2" s="6" t="s">
        <v>21</v>
      </c>
    </row>
    <row r="3">
      <c r="A3" s="4">
        <v>46153.361272002316</v>
      </c>
      <c r="B3" s="6" t="s">
        <v>25</v>
      </c>
      <c r="C3" s="6" t="s">
        <v>26</v>
      </c>
      <c r="D3" s="6" t="s">
        <v>15</v>
      </c>
      <c r="E3" s="6" t="s">
        <v>16</v>
      </c>
      <c r="F3" s="6" t="s">
        <v>17</v>
      </c>
      <c r="G3" s="6" t="s">
        <v>18</v>
      </c>
      <c r="H3" s="6" t="s">
        <v>19</v>
      </c>
      <c r="I3" s="6" t="s">
        <v>20</v>
      </c>
      <c r="J3" s="6" t="s">
        <v>21</v>
      </c>
    </row>
    <row r="4">
      <c r="A4" s="4">
        <v>46153.36246952546</v>
      </c>
      <c r="B4" s="6" t="s">
        <v>31</v>
      </c>
      <c r="C4" s="6" t="s">
        <v>32</v>
      </c>
      <c r="D4" s="6" t="s">
        <v>15</v>
      </c>
      <c r="E4" s="6" t="s">
        <v>33</v>
      </c>
      <c r="F4" s="6" t="s">
        <v>17</v>
      </c>
      <c r="G4" s="6" t="s">
        <v>18</v>
      </c>
      <c r="H4" s="6" t="s">
        <v>19</v>
      </c>
      <c r="I4" s="6" t="s">
        <v>20</v>
      </c>
      <c r="J4" s="6" t="s">
        <v>21</v>
      </c>
    </row>
    <row r="5">
      <c r="A5" s="4">
        <v>46153.36257388889</v>
      </c>
      <c r="B5" s="6" t="s">
        <v>27</v>
      </c>
      <c r="C5" s="6" t="s">
        <v>36</v>
      </c>
      <c r="D5" s="6" t="s">
        <v>15</v>
      </c>
      <c r="E5" s="6" t="s">
        <v>16</v>
      </c>
      <c r="F5" s="6" t="s">
        <v>17</v>
      </c>
      <c r="G5" s="6" t="s">
        <v>18</v>
      </c>
      <c r="H5" s="6" t="s">
        <v>19</v>
      </c>
      <c r="I5" s="6" t="s">
        <v>20</v>
      </c>
      <c r="J5" s="6" t="s">
        <v>21</v>
      </c>
    </row>
    <row r="6">
      <c r="A6" s="4">
        <v>46153.36308440972</v>
      </c>
      <c r="B6" s="6" t="s">
        <v>42</v>
      </c>
      <c r="C6" s="6" t="s">
        <v>45</v>
      </c>
      <c r="D6" s="6" t="s">
        <v>15</v>
      </c>
      <c r="E6" s="6" t="s">
        <v>16</v>
      </c>
      <c r="F6" s="6" t="s">
        <v>17</v>
      </c>
      <c r="G6" s="6" t="s">
        <v>18</v>
      </c>
      <c r="H6" s="6" t="s">
        <v>19</v>
      </c>
      <c r="I6" s="6" t="s">
        <v>20</v>
      </c>
      <c r="J6" s="6" t="s">
        <v>21</v>
      </c>
    </row>
    <row r="7">
      <c r="A7" s="4">
        <v>46153.363724201394</v>
      </c>
      <c r="B7" s="6" t="s">
        <v>40</v>
      </c>
      <c r="C7" s="6" t="s">
        <v>36</v>
      </c>
      <c r="D7" s="6" t="s">
        <v>41</v>
      </c>
      <c r="E7" s="6" t="s">
        <v>16</v>
      </c>
      <c r="F7" s="6" t="s">
        <v>17</v>
      </c>
      <c r="G7" s="6" t="s">
        <v>18</v>
      </c>
      <c r="H7" s="6" t="s">
        <v>46</v>
      </c>
      <c r="I7" s="6" t="s">
        <v>47</v>
      </c>
      <c r="J7" s="6" t="s">
        <v>48</v>
      </c>
    </row>
    <row r="8">
      <c r="A8" s="4">
        <v>46153.36390519676</v>
      </c>
      <c r="B8" s="6" t="s">
        <v>53</v>
      </c>
      <c r="C8" s="6" t="s">
        <v>36</v>
      </c>
      <c r="D8" s="6" t="s">
        <v>15</v>
      </c>
      <c r="E8" s="6" t="s">
        <v>16</v>
      </c>
      <c r="F8" s="6" t="s">
        <v>17</v>
      </c>
      <c r="G8" s="6" t="s">
        <v>18</v>
      </c>
      <c r="H8" s="6" t="s">
        <v>19</v>
      </c>
      <c r="I8" s="6" t="s">
        <v>20</v>
      </c>
      <c r="J8" s="6" t="s">
        <v>21</v>
      </c>
    </row>
    <row r="9">
      <c r="A9" s="4">
        <v>46153.36391950231</v>
      </c>
      <c r="B9" s="6" t="s">
        <v>57</v>
      </c>
      <c r="C9" s="6" t="s">
        <v>58</v>
      </c>
      <c r="D9" s="6" t="s">
        <v>15</v>
      </c>
      <c r="E9" s="6" t="s">
        <v>16</v>
      </c>
      <c r="F9" s="6" t="s">
        <v>17</v>
      </c>
      <c r="G9" s="6" t="s">
        <v>18</v>
      </c>
      <c r="H9" s="6" t="s">
        <v>19</v>
      </c>
      <c r="I9" s="6" t="s">
        <v>20</v>
      </c>
      <c r="J9" s="6" t="s">
        <v>21</v>
      </c>
    </row>
    <row r="10">
      <c r="A10" s="4">
        <v>46153.36401471065</v>
      </c>
      <c r="B10" s="6" t="s">
        <v>61</v>
      </c>
      <c r="C10" s="6" t="s">
        <v>36</v>
      </c>
      <c r="D10" s="6" t="s">
        <v>15</v>
      </c>
      <c r="E10" s="6" t="s">
        <v>16</v>
      </c>
      <c r="F10" s="6" t="s">
        <v>17</v>
      </c>
      <c r="G10" s="6" t="s">
        <v>18</v>
      </c>
      <c r="H10" s="6" t="s">
        <v>19</v>
      </c>
      <c r="I10" s="6" t="s">
        <v>20</v>
      </c>
      <c r="J10" s="6" t="s">
        <v>21</v>
      </c>
    </row>
    <row r="11">
      <c r="A11" s="4">
        <v>46153.364354097226</v>
      </c>
      <c r="B11" s="6" t="s">
        <v>63</v>
      </c>
      <c r="C11" s="6" t="s">
        <v>64</v>
      </c>
      <c r="D11" s="6" t="s">
        <v>15</v>
      </c>
      <c r="E11" s="6" t="s">
        <v>16</v>
      </c>
      <c r="F11" s="6" t="s">
        <v>17</v>
      </c>
      <c r="G11" s="6" t="s">
        <v>18</v>
      </c>
      <c r="H11" s="6" t="s">
        <v>19</v>
      </c>
      <c r="I11" s="6" t="s">
        <v>47</v>
      </c>
      <c r="J11" s="6" t="s">
        <v>48</v>
      </c>
    </row>
    <row r="12">
      <c r="A12" s="4">
        <v>46153.36439539352</v>
      </c>
      <c r="B12" s="6" t="s">
        <v>11</v>
      </c>
      <c r="C12" s="6" t="s">
        <v>36</v>
      </c>
      <c r="D12" s="6" t="s">
        <v>15</v>
      </c>
      <c r="E12" s="6" t="s">
        <v>16</v>
      </c>
      <c r="F12" s="6" t="s">
        <v>17</v>
      </c>
      <c r="G12" s="6" t="s">
        <v>18</v>
      </c>
      <c r="H12" s="6" t="s">
        <v>19</v>
      </c>
      <c r="I12" s="6" t="s">
        <v>20</v>
      </c>
      <c r="J12" s="6" t="s">
        <v>21</v>
      </c>
    </row>
    <row r="13">
      <c r="A13" s="4">
        <v>46153.36461684028</v>
      </c>
      <c r="B13" s="6" t="s">
        <v>22</v>
      </c>
      <c r="C13" s="6" t="s">
        <v>36</v>
      </c>
      <c r="D13" s="6" t="s">
        <v>15</v>
      </c>
      <c r="E13" s="6" t="s">
        <v>16</v>
      </c>
      <c r="F13" s="6" t="s">
        <v>17</v>
      </c>
      <c r="G13" s="6" t="s">
        <v>18</v>
      </c>
      <c r="H13" s="6" t="s">
        <v>19</v>
      </c>
      <c r="I13" s="6" t="s">
        <v>47</v>
      </c>
      <c r="J13" s="6" t="s">
        <v>21</v>
      </c>
    </row>
    <row r="14">
      <c r="A14" s="4">
        <v>46153.364704155094</v>
      </c>
      <c r="B14" s="6" t="s">
        <v>70</v>
      </c>
      <c r="C14" s="6" t="s">
        <v>36</v>
      </c>
      <c r="D14" s="6" t="s">
        <v>15</v>
      </c>
      <c r="E14" s="6" t="s">
        <v>16</v>
      </c>
      <c r="F14" s="6" t="s">
        <v>17</v>
      </c>
      <c r="G14" s="6" t="s">
        <v>18</v>
      </c>
      <c r="H14" s="6" t="s">
        <v>19</v>
      </c>
      <c r="I14" s="6" t="s">
        <v>20</v>
      </c>
      <c r="J14" s="6" t="s">
        <v>48</v>
      </c>
    </row>
    <row r="15">
      <c r="A15" s="4">
        <v>46153.364854432875</v>
      </c>
      <c r="B15" s="6" t="s">
        <v>73</v>
      </c>
      <c r="C15" s="6" t="s">
        <v>45</v>
      </c>
      <c r="D15" s="6" t="s">
        <v>15</v>
      </c>
      <c r="E15" s="6" t="s">
        <v>16</v>
      </c>
      <c r="F15" s="6" t="s">
        <v>17</v>
      </c>
      <c r="G15" s="6" t="s">
        <v>18</v>
      </c>
      <c r="H15" s="6" t="s">
        <v>19</v>
      </c>
      <c r="I15" s="6" t="s">
        <v>20</v>
      </c>
      <c r="J15" s="6" t="s">
        <v>21</v>
      </c>
    </row>
    <row r="16">
      <c r="A16" s="4">
        <v>46153.36511513889</v>
      </c>
      <c r="B16" s="6" t="s">
        <v>49</v>
      </c>
      <c r="C16" s="6" t="s">
        <v>36</v>
      </c>
      <c r="D16" s="6" t="s">
        <v>15</v>
      </c>
      <c r="E16" s="6" t="s">
        <v>16</v>
      </c>
      <c r="F16" s="6" t="s">
        <v>17</v>
      </c>
      <c r="G16" s="6" t="s">
        <v>18</v>
      </c>
      <c r="H16" s="6" t="s">
        <v>19</v>
      </c>
      <c r="I16" s="6" t="s">
        <v>20</v>
      </c>
      <c r="J16" s="6" t="s">
        <v>21</v>
      </c>
      <c r="K16" s="6" t="s">
        <v>77</v>
      </c>
    </row>
    <row r="17">
      <c r="A17" s="4">
        <v>46153.365430590275</v>
      </c>
      <c r="B17" s="6" t="s">
        <v>35</v>
      </c>
      <c r="C17" s="6" t="s">
        <v>36</v>
      </c>
      <c r="D17" s="6" t="s">
        <v>15</v>
      </c>
      <c r="E17" s="6" t="s">
        <v>16</v>
      </c>
      <c r="F17" s="6" t="s">
        <v>17</v>
      </c>
      <c r="G17" s="6" t="s">
        <v>18</v>
      </c>
      <c r="H17" s="6" t="s">
        <v>19</v>
      </c>
      <c r="I17" s="6" t="s">
        <v>20</v>
      </c>
      <c r="J17" s="6" t="s">
        <v>21</v>
      </c>
      <c r="K17" s="6" t="s">
        <v>80</v>
      </c>
    </row>
    <row r="18">
      <c r="A18" s="4">
        <v>46153.366590879625</v>
      </c>
      <c r="B18" s="6" t="s">
        <v>81</v>
      </c>
      <c r="C18" s="6" t="s">
        <v>36</v>
      </c>
      <c r="D18" s="6" t="s">
        <v>15</v>
      </c>
      <c r="E18" s="6" t="s">
        <v>16</v>
      </c>
      <c r="F18" s="6" t="s">
        <v>17</v>
      </c>
      <c r="G18" s="6" t="s">
        <v>18</v>
      </c>
      <c r="H18" s="6" t="s">
        <v>19</v>
      </c>
      <c r="I18" s="6" t="s">
        <v>20</v>
      </c>
      <c r="J18" s="6" t="s">
        <v>48</v>
      </c>
    </row>
    <row r="19">
      <c r="A19" s="4">
        <v>46153.36659416667</v>
      </c>
      <c r="B19" s="6" t="s">
        <v>79</v>
      </c>
      <c r="C19" s="6" t="s">
        <v>85</v>
      </c>
      <c r="D19" s="6" t="s">
        <v>15</v>
      </c>
      <c r="E19" s="6" t="s">
        <v>16</v>
      </c>
      <c r="F19" s="6" t="s">
        <v>17</v>
      </c>
      <c r="G19" s="6" t="s">
        <v>18</v>
      </c>
      <c r="H19" s="6" t="s">
        <v>19</v>
      </c>
      <c r="I19" s="6" t="s">
        <v>20</v>
      </c>
      <c r="J19" s="6" t="s">
        <v>21</v>
      </c>
      <c r="K19" s="6" t="s">
        <v>87</v>
      </c>
    </row>
    <row r="20">
      <c r="A20" s="4">
        <v>46153.36663608796</v>
      </c>
      <c r="B20" s="6" t="s">
        <v>54</v>
      </c>
      <c r="C20" s="6" t="s">
        <v>36</v>
      </c>
      <c r="D20" s="6" t="s">
        <v>15</v>
      </c>
      <c r="E20" s="6" t="s">
        <v>16</v>
      </c>
      <c r="F20" s="6" t="s">
        <v>17</v>
      </c>
      <c r="G20" s="6" t="s">
        <v>18</v>
      </c>
      <c r="H20" s="6" t="s">
        <v>19</v>
      </c>
      <c r="I20" s="6" t="s">
        <v>47</v>
      </c>
      <c r="J20" s="6" t="s">
        <v>48</v>
      </c>
    </row>
    <row r="21">
      <c r="A21" s="4">
        <v>46153.366987719906</v>
      </c>
      <c r="B21" s="6" t="s">
        <v>51</v>
      </c>
      <c r="C21" s="6" t="s">
        <v>36</v>
      </c>
      <c r="D21" s="6" t="s">
        <v>15</v>
      </c>
      <c r="E21" s="6" t="s">
        <v>16</v>
      </c>
      <c r="F21" s="6" t="s">
        <v>17</v>
      </c>
      <c r="G21" s="6" t="s">
        <v>18</v>
      </c>
      <c r="H21" s="6" t="s">
        <v>19</v>
      </c>
      <c r="I21" s="6" t="s">
        <v>47</v>
      </c>
      <c r="J21" s="6" t="s">
        <v>48</v>
      </c>
      <c r="K21" s="6" t="s">
        <v>90</v>
      </c>
    </row>
    <row r="22">
      <c r="A22" s="4">
        <v>46153.367133761574</v>
      </c>
      <c r="B22" s="6" t="s">
        <v>91</v>
      </c>
      <c r="C22" s="6" t="s">
        <v>36</v>
      </c>
      <c r="D22" s="6" t="s">
        <v>15</v>
      </c>
      <c r="E22" s="6" t="s">
        <v>16</v>
      </c>
      <c r="F22" s="6" t="s">
        <v>17</v>
      </c>
      <c r="G22" s="6" t="s">
        <v>18</v>
      </c>
      <c r="H22" s="6" t="s">
        <v>19</v>
      </c>
      <c r="I22" s="6" t="s">
        <v>20</v>
      </c>
      <c r="J22" s="6" t="s">
        <v>21</v>
      </c>
    </row>
    <row r="23">
      <c r="A23" s="4">
        <v>46153.367206967596</v>
      </c>
      <c r="B23" s="6" t="s">
        <v>92</v>
      </c>
      <c r="C23" s="6" t="s">
        <v>36</v>
      </c>
      <c r="D23" s="6" t="s">
        <v>15</v>
      </c>
      <c r="E23" s="6" t="s">
        <v>16</v>
      </c>
      <c r="F23" s="6" t="s">
        <v>17</v>
      </c>
      <c r="G23" s="6" t="s">
        <v>18</v>
      </c>
      <c r="H23" s="6" t="s">
        <v>19</v>
      </c>
      <c r="I23" s="6" t="s">
        <v>20</v>
      </c>
      <c r="J23" s="6" t="s">
        <v>21</v>
      </c>
    </row>
    <row r="24">
      <c r="A24" s="4">
        <v>46153.36721503473</v>
      </c>
      <c r="B24" s="6" t="s">
        <v>95</v>
      </c>
      <c r="C24" s="6" t="s">
        <v>96</v>
      </c>
      <c r="D24" s="6" t="s">
        <v>15</v>
      </c>
      <c r="E24" s="6" t="s">
        <v>16</v>
      </c>
      <c r="F24" s="6" t="s">
        <v>17</v>
      </c>
      <c r="G24" s="6" t="s">
        <v>18</v>
      </c>
      <c r="H24" s="6" t="s">
        <v>19</v>
      </c>
      <c r="I24" s="6" t="s">
        <v>20</v>
      </c>
      <c r="J24" s="6" t="s">
        <v>21</v>
      </c>
      <c r="K24" s="6" t="s">
        <v>97</v>
      </c>
    </row>
    <row r="25">
      <c r="A25" s="4">
        <v>46153.36736899306</v>
      </c>
      <c r="B25" s="6" t="s">
        <v>98</v>
      </c>
      <c r="C25" s="6" t="s">
        <v>99</v>
      </c>
      <c r="D25" s="6" t="s">
        <v>15</v>
      </c>
      <c r="E25" s="6" t="s">
        <v>16</v>
      </c>
      <c r="F25" s="6" t="s">
        <v>17</v>
      </c>
      <c r="G25" s="6" t="s">
        <v>18</v>
      </c>
      <c r="H25" s="6" t="s">
        <v>19</v>
      </c>
      <c r="I25" s="6" t="s">
        <v>20</v>
      </c>
      <c r="J25" s="6" t="s">
        <v>21</v>
      </c>
    </row>
    <row r="26">
      <c r="A26" s="4">
        <v>46153.36737253472</v>
      </c>
      <c r="B26" s="6" t="s">
        <v>101</v>
      </c>
      <c r="C26" s="6" t="s">
        <v>103</v>
      </c>
      <c r="D26" s="6" t="s">
        <v>15</v>
      </c>
      <c r="E26" s="6" t="s">
        <v>16</v>
      </c>
      <c r="F26" s="6" t="s">
        <v>17</v>
      </c>
      <c r="G26" s="6" t="s">
        <v>18</v>
      </c>
      <c r="H26" s="6" t="s">
        <v>19</v>
      </c>
      <c r="I26" s="6" t="s">
        <v>20</v>
      </c>
      <c r="J26" s="6" t="s">
        <v>21</v>
      </c>
    </row>
    <row r="27">
      <c r="A27" s="4">
        <v>46153.36739542824</v>
      </c>
      <c r="B27" s="6" t="s">
        <v>104</v>
      </c>
      <c r="C27" s="6" t="s">
        <v>96</v>
      </c>
      <c r="D27" s="6" t="s">
        <v>15</v>
      </c>
      <c r="E27" s="6" t="s">
        <v>16</v>
      </c>
      <c r="F27" s="6" t="s">
        <v>17</v>
      </c>
      <c r="G27" s="6" t="s">
        <v>18</v>
      </c>
      <c r="H27" s="6" t="s">
        <v>19</v>
      </c>
      <c r="I27" s="6" t="s">
        <v>20</v>
      </c>
      <c r="J27" s="6" t="s">
        <v>21</v>
      </c>
    </row>
    <row r="28">
      <c r="A28" s="4">
        <v>46153.367427708334</v>
      </c>
      <c r="B28" s="6" t="s">
        <v>105</v>
      </c>
      <c r="C28" s="6" t="s">
        <v>36</v>
      </c>
      <c r="D28" s="6" t="s">
        <v>15</v>
      </c>
      <c r="E28" s="6" t="s">
        <v>16</v>
      </c>
      <c r="F28" s="6" t="s">
        <v>17</v>
      </c>
      <c r="G28" s="6" t="s">
        <v>18</v>
      </c>
      <c r="H28" s="6" t="s">
        <v>19</v>
      </c>
      <c r="I28" s="6" t="s">
        <v>20</v>
      </c>
      <c r="J28" s="6" t="s">
        <v>21</v>
      </c>
    </row>
    <row r="29">
      <c r="A29" s="4">
        <v>46153.36761498843</v>
      </c>
      <c r="B29" s="6" t="s">
        <v>100</v>
      </c>
      <c r="C29" s="6" t="s">
        <v>107</v>
      </c>
      <c r="D29" s="6" t="s">
        <v>15</v>
      </c>
      <c r="E29" s="6" t="s">
        <v>16</v>
      </c>
      <c r="F29" s="6" t="s">
        <v>17</v>
      </c>
      <c r="G29" s="6" t="s">
        <v>18</v>
      </c>
      <c r="H29" s="6" t="s">
        <v>19</v>
      </c>
      <c r="I29" s="6" t="s">
        <v>20</v>
      </c>
      <c r="J29" s="6" t="s">
        <v>21</v>
      </c>
    </row>
    <row r="30">
      <c r="A30" s="4">
        <v>46153.36769151621</v>
      </c>
      <c r="B30" s="6" t="s">
        <v>74</v>
      </c>
      <c r="C30" s="6" t="s">
        <v>109</v>
      </c>
      <c r="D30" s="6" t="s">
        <v>15</v>
      </c>
      <c r="E30" s="6" t="s">
        <v>16</v>
      </c>
      <c r="F30" s="6" t="s">
        <v>17</v>
      </c>
      <c r="G30" s="6" t="s">
        <v>18</v>
      </c>
      <c r="H30" s="6" t="s">
        <v>19</v>
      </c>
      <c r="I30" s="6" t="s">
        <v>20</v>
      </c>
      <c r="J30" s="6" t="s">
        <v>21</v>
      </c>
      <c r="K30" s="6" t="s">
        <v>112</v>
      </c>
    </row>
    <row r="31">
      <c r="A31" s="4">
        <v>46153.367710833336</v>
      </c>
      <c r="B31" s="6" t="s">
        <v>71</v>
      </c>
      <c r="C31" s="6" t="s">
        <v>36</v>
      </c>
      <c r="D31" s="6" t="s">
        <v>15</v>
      </c>
      <c r="E31" s="6" t="s">
        <v>16</v>
      </c>
      <c r="F31" s="6" t="s">
        <v>17</v>
      </c>
      <c r="G31" s="6" t="s">
        <v>18</v>
      </c>
      <c r="H31" s="6" t="s">
        <v>19</v>
      </c>
      <c r="I31" s="6" t="s">
        <v>20</v>
      </c>
      <c r="J31" s="6" t="s">
        <v>21</v>
      </c>
    </row>
    <row r="32">
      <c r="A32" s="4">
        <v>46153.367712638894</v>
      </c>
      <c r="B32" s="6" t="s">
        <v>114</v>
      </c>
      <c r="C32" s="6" t="s">
        <v>36</v>
      </c>
      <c r="D32" s="6" t="s">
        <v>15</v>
      </c>
      <c r="E32" s="6" t="s">
        <v>16</v>
      </c>
      <c r="F32" s="6" t="s">
        <v>17</v>
      </c>
      <c r="G32" s="6" t="s">
        <v>18</v>
      </c>
      <c r="H32" s="6" t="s">
        <v>19</v>
      </c>
      <c r="I32" s="6" t="s">
        <v>20</v>
      </c>
      <c r="J32" s="6" t="s">
        <v>21</v>
      </c>
      <c r="K32" s="6" t="s">
        <v>117</v>
      </c>
    </row>
    <row r="33">
      <c r="A33" s="4">
        <v>46153.367716215274</v>
      </c>
      <c r="B33" s="6" t="s">
        <v>118</v>
      </c>
      <c r="C33" s="6" t="s">
        <v>103</v>
      </c>
      <c r="D33" s="6" t="s">
        <v>15</v>
      </c>
      <c r="E33" s="6" t="s">
        <v>16</v>
      </c>
      <c r="F33" s="6" t="s">
        <v>17</v>
      </c>
      <c r="G33" s="6" t="s">
        <v>18</v>
      </c>
      <c r="H33" s="6" t="s">
        <v>19</v>
      </c>
      <c r="I33" s="6" t="s">
        <v>20</v>
      </c>
      <c r="J33" s="6" t="s">
        <v>21</v>
      </c>
    </row>
    <row r="34">
      <c r="A34" s="4">
        <v>46153.36771873843</v>
      </c>
      <c r="B34" s="6" t="s">
        <v>37</v>
      </c>
      <c r="C34" s="6" t="s">
        <v>109</v>
      </c>
      <c r="D34" s="6" t="s">
        <v>15</v>
      </c>
      <c r="E34" s="6" t="s">
        <v>16</v>
      </c>
      <c r="F34" s="6" t="s">
        <v>17</v>
      </c>
      <c r="G34" s="6" t="s">
        <v>18</v>
      </c>
      <c r="H34" s="6" t="s">
        <v>19</v>
      </c>
      <c r="I34" s="6" t="s">
        <v>20</v>
      </c>
      <c r="J34" s="6" t="s">
        <v>21</v>
      </c>
      <c r="K34" s="6" t="s">
        <v>122</v>
      </c>
    </row>
    <row r="35">
      <c r="A35" s="4">
        <v>46153.3677944213</v>
      </c>
      <c r="B35" s="6" t="s">
        <v>108</v>
      </c>
      <c r="C35" s="6" t="s">
        <v>36</v>
      </c>
      <c r="D35" s="6" t="s">
        <v>15</v>
      </c>
      <c r="E35" s="6" t="s">
        <v>16</v>
      </c>
      <c r="F35" s="6" t="s">
        <v>17</v>
      </c>
      <c r="G35" s="6" t="s">
        <v>18</v>
      </c>
      <c r="H35" s="6" t="s">
        <v>19</v>
      </c>
      <c r="I35" s="6" t="s">
        <v>20</v>
      </c>
      <c r="J35" s="6" t="s">
        <v>21</v>
      </c>
    </row>
    <row r="36">
      <c r="A36" s="4">
        <v>46153.36801972223</v>
      </c>
      <c r="B36" s="6" t="s">
        <v>62</v>
      </c>
      <c r="C36" s="6" t="s">
        <v>36</v>
      </c>
      <c r="D36" s="6" t="s">
        <v>15</v>
      </c>
      <c r="E36" s="6" t="s">
        <v>16</v>
      </c>
      <c r="F36" s="6" t="s">
        <v>17</v>
      </c>
      <c r="G36" s="6" t="s">
        <v>18</v>
      </c>
      <c r="H36" s="6" t="s">
        <v>19</v>
      </c>
      <c r="I36" s="6" t="s">
        <v>20</v>
      </c>
      <c r="J36" s="6" t="s">
        <v>21</v>
      </c>
    </row>
    <row r="37">
      <c r="A37" s="4">
        <v>46153.368027372686</v>
      </c>
      <c r="B37" s="6" t="s">
        <v>126</v>
      </c>
      <c r="C37" s="6" t="s">
        <v>127</v>
      </c>
      <c r="D37" s="6" t="s">
        <v>15</v>
      </c>
      <c r="E37" s="6" t="s">
        <v>16</v>
      </c>
      <c r="F37" s="6" t="s">
        <v>17</v>
      </c>
      <c r="G37" s="6" t="s">
        <v>18</v>
      </c>
      <c r="H37" s="6" t="s">
        <v>19</v>
      </c>
      <c r="I37" s="6" t="s">
        <v>20</v>
      </c>
      <c r="J37" s="6" t="s">
        <v>21</v>
      </c>
    </row>
    <row r="38">
      <c r="A38" s="4">
        <v>46153.368038368055</v>
      </c>
      <c r="B38" s="6" t="s">
        <v>113</v>
      </c>
      <c r="C38" s="6" t="s">
        <v>129</v>
      </c>
      <c r="D38" s="6" t="s">
        <v>15</v>
      </c>
      <c r="E38" s="6" t="s">
        <v>16</v>
      </c>
      <c r="F38" s="6" t="s">
        <v>17</v>
      </c>
      <c r="G38" s="6" t="s">
        <v>18</v>
      </c>
      <c r="H38" s="6" t="s">
        <v>19</v>
      </c>
      <c r="I38" s="6" t="s">
        <v>20</v>
      </c>
      <c r="J38" s="6" t="s">
        <v>48</v>
      </c>
    </row>
    <row r="39">
      <c r="A39" s="4">
        <v>46153.368058148146</v>
      </c>
      <c r="B39" s="6" t="s">
        <v>130</v>
      </c>
      <c r="C39" s="6" t="s">
        <v>131</v>
      </c>
      <c r="D39" s="6" t="s">
        <v>15</v>
      </c>
      <c r="E39" s="6" t="s">
        <v>16</v>
      </c>
      <c r="F39" s="6" t="s">
        <v>17</v>
      </c>
      <c r="G39" s="6" t="s">
        <v>18</v>
      </c>
      <c r="H39" s="6" t="s">
        <v>19</v>
      </c>
      <c r="I39" s="6" t="s">
        <v>20</v>
      </c>
      <c r="J39" s="6" t="s">
        <v>21</v>
      </c>
    </row>
    <row r="40">
      <c r="A40" s="4">
        <v>46153.368228692125</v>
      </c>
      <c r="B40" s="6" t="s">
        <v>133</v>
      </c>
      <c r="C40" s="6" t="s">
        <v>36</v>
      </c>
      <c r="D40" s="6" t="s">
        <v>15</v>
      </c>
      <c r="E40" s="6" t="s">
        <v>16</v>
      </c>
      <c r="F40" s="6" t="s">
        <v>17</v>
      </c>
      <c r="G40" s="6" t="s">
        <v>18</v>
      </c>
      <c r="H40" s="6" t="s">
        <v>19</v>
      </c>
      <c r="I40" s="6" t="s">
        <v>20</v>
      </c>
      <c r="J40" s="6" t="s">
        <v>21</v>
      </c>
    </row>
    <row r="41">
      <c r="A41" s="4">
        <v>46153.36825166667</v>
      </c>
      <c r="B41" s="6" t="s">
        <v>89</v>
      </c>
      <c r="C41" s="6" t="s">
        <v>36</v>
      </c>
      <c r="D41" s="6" t="s">
        <v>15</v>
      </c>
      <c r="E41" s="6" t="s">
        <v>16</v>
      </c>
      <c r="F41" s="6" t="s">
        <v>17</v>
      </c>
      <c r="G41" s="6" t="s">
        <v>18</v>
      </c>
      <c r="H41" s="6" t="s">
        <v>19</v>
      </c>
      <c r="I41" s="6" t="s">
        <v>20</v>
      </c>
      <c r="J41" s="6" t="s">
        <v>21</v>
      </c>
      <c r="K41" s="6" t="s">
        <v>29</v>
      </c>
    </row>
    <row r="42">
      <c r="A42" s="4">
        <v>46153.368257615744</v>
      </c>
      <c r="B42" s="6" t="s">
        <v>137</v>
      </c>
      <c r="C42" s="6" t="s">
        <v>58</v>
      </c>
      <c r="D42" s="6" t="s">
        <v>15</v>
      </c>
      <c r="E42" s="6" t="s">
        <v>16</v>
      </c>
      <c r="F42" s="6" t="s">
        <v>17</v>
      </c>
      <c r="G42" s="6" t="s">
        <v>18</v>
      </c>
      <c r="H42" s="6" t="s">
        <v>19</v>
      </c>
      <c r="I42" s="6" t="s">
        <v>20</v>
      </c>
      <c r="J42" s="6" t="s">
        <v>21</v>
      </c>
      <c r="K42" s="6" t="s">
        <v>140</v>
      </c>
    </row>
    <row r="43">
      <c r="A43" s="4">
        <v>46153.36833856482</v>
      </c>
      <c r="B43" s="6" t="s">
        <v>67</v>
      </c>
      <c r="C43" s="6" t="s">
        <v>141</v>
      </c>
      <c r="D43" s="6" t="s">
        <v>15</v>
      </c>
      <c r="E43" s="6" t="s">
        <v>16</v>
      </c>
      <c r="F43" s="6" t="s">
        <v>17</v>
      </c>
      <c r="G43" s="6" t="s">
        <v>18</v>
      </c>
      <c r="H43" s="6" t="s">
        <v>19</v>
      </c>
      <c r="I43" s="6" t="s">
        <v>20</v>
      </c>
      <c r="J43" s="6" t="s">
        <v>21</v>
      </c>
      <c r="K43" s="6" t="s">
        <v>29</v>
      </c>
    </row>
    <row r="44">
      <c r="A44" s="4">
        <v>46153.368339849534</v>
      </c>
      <c r="B44" s="6" t="s">
        <v>75</v>
      </c>
      <c r="C44" s="6" t="s">
        <v>103</v>
      </c>
      <c r="D44" s="6" t="s">
        <v>15</v>
      </c>
      <c r="E44" s="6" t="s">
        <v>16</v>
      </c>
      <c r="F44" s="6" t="s">
        <v>17</v>
      </c>
      <c r="G44" s="6" t="s">
        <v>18</v>
      </c>
      <c r="H44" s="6" t="s">
        <v>19</v>
      </c>
      <c r="I44" s="6" t="s">
        <v>47</v>
      </c>
      <c r="J44" s="6" t="s">
        <v>21</v>
      </c>
    </row>
    <row r="45">
      <c r="A45" s="4">
        <v>46153.3685169213</v>
      </c>
      <c r="B45" s="6" t="s">
        <v>76</v>
      </c>
      <c r="C45" s="6" t="s">
        <v>45</v>
      </c>
      <c r="D45" s="6" t="s">
        <v>15</v>
      </c>
      <c r="E45" s="6" t="s">
        <v>16</v>
      </c>
      <c r="F45" s="6" t="s">
        <v>17</v>
      </c>
      <c r="G45" s="6" t="s">
        <v>18</v>
      </c>
      <c r="H45" s="6" t="s">
        <v>19</v>
      </c>
      <c r="I45" s="6" t="s">
        <v>20</v>
      </c>
      <c r="J45" s="6" t="s">
        <v>21</v>
      </c>
    </row>
    <row r="46">
      <c r="A46" s="4">
        <v>46153.36913980324</v>
      </c>
      <c r="B46" s="6" t="s">
        <v>124</v>
      </c>
      <c r="C46" s="6" t="s">
        <v>103</v>
      </c>
      <c r="D46" s="6" t="s">
        <v>15</v>
      </c>
      <c r="E46" s="6" t="s">
        <v>16</v>
      </c>
      <c r="F46" s="6" t="s">
        <v>17</v>
      </c>
      <c r="G46" s="6" t="s">
        <v>18</v>
      </c>
      <c r="H46" s="6" t="s">
        <v>19</v>
      </c>
      <c r="I46" s="6" t="s">
        <v>20</v>
      </c>
      <c r="J46" s="6" t="s">
        <v>21</v>
      </c>
    </row>
    <row r="47">
      <c r="A47" s="4">
        <v>46153.369819907406</v>
      </c>
      <c r="B47" s="6" t="s">
        <v>148</v>
      </c>
      <c r="C47" s="6" t="s">
        <v>45</v>
      </c>
      <c r="D47" s="6" t="s">
        <v>15</v>
      </c>
      <c r="E47" s="6" t="s">
        <v>16</v>
      </c>
      <c r="F47" s="6" t="s">
        <v>17</v>
      </c>
      <c r="G47" s="6" t="s">
        <v>18</v>
      </c>
      <c r="H47" s="6" t="s">
        <v>19</v>
      </c>
      <c r="I47" s="6" t="s">
        <v>47</v>
      </c>
      <c r="J47" s="6" t="s">
        <v>21</v>
      </c>
    </row>
    <row r="48">
      <c r="A48" s="4">
        <v>46153.36987201389</v>
      </c>
      <c r="B48" s="6" t="s">
        <v>150</v>
      </c>
      <c r="C48" s="6" t="s">
        <v>127</v>
      </c>
      <c r="D48" s="6" t="s">
        <v>15</v>
      </c>
      <c r="E48" s="6" t="s">
        <v>16</v>
      </c>
      <c r="F48" s="6" t="s">
        <v>17</v>
      </c>
      <c r="G48" s="6" t="s">
        <v>18</v>
      </c>
      <c r="H48" s="6" t="s">
        <v>19</v>
      </c>
      <c r="I48" s="6" t="s">
        <v>20</v>
      </c>
      <c r="J48" s="6" t="s">
        <v>21</v>
      </c>
    </row>
    <row r="49">
      <c r="A49" s="4">
        <v>46153.3699418287</v>
      </c>
      <c r="B49" s="6" t="s">
        <v>128</v>
      </c>
      <c r="C49" s="6" t="s">
        <v>103</v>
      </c>
      <c r="D49" s="6" t="s">
        <v>15</v>
      </c>
      <c r="E49" s="6" t="s">
        <v>16</v>
      </c>
      <c r="F49" s="6" t="s">
        <v>17</v>
      </c>
      <c r="G49" s="6" t="s">
        <v>18</v>
      </c>
      <c r="H49" s="6" t="s">
        <v>19</v>
      </c>
      <c r="I49" s="6" t="s">
        <v>47</v>
      </c>
      <c r="J49" s="6" t="s">
        <v>48</v>
      </c>
      <c r="K49" s="6" t="s">
        <v>153</v>
      </c>
    </row>
    <row r="50">
      <c r="A50" s="4">
        <v>46153.370309907405</v>
      </c>
      <c r="B50" s="6" t="s">
        <v>155</v>
      </c>
      <c r="C50" s="6" t="s">
        <v>156</v>
      </c>
      <c r="D50" s="6" t="s">
        <v>15</v>
      </c>
      <c r="E50" s="6" t="s">
        <v>16</v>
      </c>
      <c r="F50" s="6" t="s">
        <v>17</v>
      </c>
      <c r="G50" s="6" t="s">
        <v>18</v>
      </c>
      <c r="H50" s="6" t="s">
        <v>19</v>
      </c>
      <c r="I50" s="6" t="s">
        <v>20</v>
      </c>
      <c r="J50" s="6" t="s">
        <v>21</v>
      </c>
    </row>
    <row r="51">
      <c r="A51" s="4">
        <v>46153.37052703704</v>
      </c>
      <c r="B51" s="6" t="s">
        <v>86</v>
      </c>
      <c r="C51" s="6" t="s">
        <v>103</v>
      </c>
      <c r="D51" s="6" t="s">
        <v>15</v>
      </c>
      <c r="E51" s="6" t="s">
        <v>16</v>
      </c>
      <c r="F51" s="6" t="s">
        <v>17</v>
      </c>
      <c r="G51" s="6" t="s">
        <v>18</v>
      </c>
      <c r="H51" s="6" t="s">
        <v>19</v>
      </c>
      <c r="I51" s="6" t="s">
        <v>20</v>
      </c>
      <c r="J51" s="6" t="s">
        <v>21</v>
      </c>
      <c r="K51" s="6" t="s">
        <v>159</v>
      </c>
    </row>
    <row r="52">
      <c r="A52" s="4">
        <v>46153.37061802083</v>
      </c>
      <c r="B52" s="6" t="s">
        <v>55</v>
      </c>
      <c r="C52" s="6" t="s">
        <v>160</v>
      </c>
      <c r="D52" s="6" t="s">
        <v>15</v>
      </c>
      <c r="E52" s="6" t="s">
        <v>16</v>
      </c>
      <c r="F52" s="6" t="s">
        <v>17</v>
      </c>
      <c r="G52" s="6" t="s">
        <v>18</v>
      </c>
      <c r="H52" s="6" t="s">
        <v>19</v>
      </c>
      <c r="I52" s="6" t="s">
        <v>20</v>
      </c>
      <c r="J52" s="6" t="s">
        <v>21</v>
      </c>
    </row>
    <row r="53">
      <c r="A53" s="4">
        <v>46153.370822592595</v>
      </c>
      <c r="B53" s="6" t="s">
        <v>161</v>
      </c>
      <c r="C53" s="6" t="s">
        <v>164</v>
      </c>
      <c r="D53" s="6" t="s">
        <v>15</v>
      </c>
      <c r="E53" s="6" t="s">
        <v>16</v>
      </c>
      <c r="F53" s="6" t="s">
        <v>17</v>
      </c>
      <c r="G53" s="6" t="s">
        <v>18</v>
      </c>
      <c r="H53" s="6" t="s">
        <v>19</v>
      </c>
      <c r="I53" s="6" t="s">
        <v>20</v>
      </c>
      <c r="J53" s="6" t="s">
        <v>21</v>
      </c>
    </row>
    <row r="54">
      <c r="A54" s="4">
        <v>46153.37089939815</v>
      </c>
      <c r="B54" s="6" t="s">
        <v>65</v>
      </c>
      <c r="C54" s="6" t="s">
        <v>156</v>
      </c>
      <c r="D54" s="6" t="s">
        <v>15</v>
      </c>
      <c r="E54" s="6" t="s">
        <v>33</v>
      </c>
      <c r="F54" s="6" t="s">
        <v>17</v>
      </c>
      <c r="G54" s="6" t="s">
        <v>18</v>
      </c>
      <c r="H54" s="6" t="s">
        <v>46</v>
      </c>
      <c r="I54" s="6" t="s">
        <v>20</v>
      </c>
      <c r="J54" s="6" t="s">
        <v>21</v>
      </c>
    </row>
    <row r="55">
      <c r="A55" s="4">
        <v>46153.371037997684</v>
      </c>
      <c r="B55" s="6" t="s">
        <v>135</v>
      </c>
      <c r="C55" s="6" t="s">
        <v>103</v>
      </c>
      <c r="D55" s="6" t="s">
        <v>15</v>
      </c>
      <c r="E55" s="6" t="s">
        <v>16</v>
      </c>
      <c r="F55" s="6" t="s">
        <v>17</v>
      </c>
      <c r="G55" s="6" t="s">
        <v>18</v>
      </c>
      <c r="H55" s="6" t="s">
        <v>19</v>
      </c>
      <c r="I55" s="6" t="s">
        <v>20</v>
      </c>
      <c r="J55" s="6" t="s">
        <v>21</v>
      </c>
    </row>
    <row r="56">
      <c r="A56" s="4">
        <v>46153.37125974537</v>
      </c>
      <c r="B56" s="6" t="s">
        <v>138</v>
      </c>
      <c r="C56" s="6" t="s">
        <v>168</v>
      </c>
      <c r="D56" s="6" t="s">
        <v>15</v>
      </c>
      <c r="E56" s="6" t="s">
        <v>16</v>
      </c>
      <c r="F56" s="6" t="s">
        <v>17</v>
      </c>
      <c r="G56" s="6" t="s">
        <v>18</v>
      </c>
      <c r="H56" s="6" t="s">
        <v>19</v>
      </c>
      <c r="I56" s="6" t="s">
        <v>20</v>
      </c>
      <c r="J56" s="6" t="s">
        <v>21</v>
      </c>
    </row>
    <row r="57">
      <c r="A57" s="4">
        <v>46153.37149497685</v>
      </c>
      <c r="B57" s="6" t="s">
        <v>82</v>
      </c>
      <c r="C57" s="6" t="s">
        <v>170</v>
      </c>
      <c r="D57" s="6" t="s">
        <v>15</v>
      </c>
      <c r="E57" s="6" t="s">
        <v>16</v>
      </c>
      <c r="F57" s="6" t="s">
        <v>17</v>
      </c>
      <c r="G57" s="6" t="s">
        <v>18</v>
      </c>
      <c r="H57" s="6" t="s">
        <v>19</v>
      </c>
      <c r="I57" s="6" t="s">
        <v>20</v>
      </c>
      <c r="J57" s="6" t="s">
        <v>21</v>
      </c>
    </row>
    <row r="58">
      <c r="A58" s="4">
        <v>46153.37154353009</v>
      </c>
      <c r="B58" s="6" t="s">
        <v>134</v>
      </c>
      <c r="C58" s="6" t="s">
        <v>36</v>
      </c>
      <c r="D58" s="6" t="s">
        <v>15</v>
      </c>
      <c r="E58" s="6" t="s">
        <v>16</v>
      </c>
      <c r="F58" s="6" t="s">
        <v>17</v>
      </c>
      <c r="G58" s="6" t="s">
        <v>18</v>
      </c>
      <c r="H58" s="6" t="s">
        <v>19</v>
      </c>
      <c r="I58" s="6" t="s">
        <v>20</v>
      </c>
      <c r="J58" s="6" t="s">
        <v>21</v>
      </c>
    </row>
    <row r="59">
      <c r="A59" s="4">
        <v>46153.371602812505</v>
      </c>
      <c r="B59" s="6" t="s">
        <v>94</v>
      </c>
      <c r="C59" s="6" t="s">
        <v>103</v>
      </c>
      <c r="D59" s="6" t="s">
        <v>15</v>
      </c>
      <c r="E59" s="6" t="s">
        <v>16</v>
      </c>
      <c r="F59" s="6" t="s">
        <v>17</v>
      </c>
      <c r="G59" s="6" t="s">
        <v>18</v>
      </c>
      <c r="H59" s="6" t="s">
        <v>19</v>
      </c>
      <c r="I59" s="6" t="s">
        <v>20</v>
      </c>
      <c r="J59" s="6" t="s">
        <v>21</v>
      </c>
    </row>
    <row r="60">
      <c r="A60" s="4">
        <v>46153.372137453705</v>
      </c>
      <c r="B60" s="6" t="s">
        <v>102</v>
      </c>
      <c r="C60" s="6" t="s">
        <v>109</v>
      </c>
      <c r="D60" s="6" t="s">
        <v>15</v>
      </c>
      <c r="E60" s="6" t="s">
        <v>16</v>
      </c>
      <c r="F60" s="6" t="s">
        <v>17</v>
      </c>
      <c r="G60" s="6" t="s">
        <v>18</v>
      </c>
      <c r="H60" s="6" t="s">
        <v>19</v>
      </c>
      <c r="I60" s="6" t="s">
        <v>20</v>
      </c>
      <c r="J60" s="6" t="s">
        <v>21</v>
      </c>
      <c r="K60" s="6" t="s">
        <v>173</v>
      </c>
    </row>
    <row r="61">
      <c r="A61" s="4">
        <v>46153.372331307866</v>
      </c>
      <c r="B61" s="6" t="s">
        <v>68</v>
      </c>
      <c r="C61" s="6" t="s">
        <v>164</v>
      </c>
      <c r="D61" s="6" t="s">
        <v>15</v>
      </c>
      <c r="E61" s="6" t="s">
        <v>16</v>
      </c>
      <c r="F61" s="6" t="s">
        <v>17</v>
      </c>
      <c r="G61" s="6" t="s">
        <v>18</v>
      </c>
      <c r="H61" s="6" t="s">
        <v>19</v>
      </c>
      <c r="I61" s="6" t="s">
        <v>20</v>
      </c>
      <c r="J61" s="6" t="s">
        <v>21</v>
      </c>
    </row>
    <row r="62">
      <c r="A62" s="4">
        <v>46153.37279371527</v>
      </c>
      <c r="B62" s="6" t="s">
        <v>93</v>
      </c>
      <c r="C62" s="6" t="s">
        <v>127</v>
      </c>
      <c r="D62" s="6" t="s">
        <v>15</v>
      </c>
      <c r="E62" s="6" t="s">
        <v>16</v>
      </c>
      <c r="F62" s="6" t="s">
        <v>17</v>
      </c>
      <c r="G62" s="6" t="s">
        <v>18</v>
      </c>
      <c r="H62" s="6" t="s">
        <v>19</v>
      </c>
      <c r="I62" s="6" t="s">
        <v>20</v>
      </c>
      <c r="J62" s="6" t="s">
        <v>21</v>
      </c>
      <c r="K62" s="6" t="s">
        <v>174</v>
      </c>
    </row>
    <row r="63">
      <c r="A63" s="4">
        <v>46153.37302185185</v>
      </c>
      <c r="B63" s="6" t="s">
        <v>158</v>
      </c>
      <c r="C63" s="6" t="s">
        <v>103</v>
      </c>
      <c r="D63" s="6" t="s">
        <v>15</v>
      </c>
      <c r="E63" s="6" t="s">
        <v>16</v>
      </c>
      <c r="F63" s="6" t="s">
        <v>17</v>
      </c>
      <c r="G63" s="6" t="s">
        <v>18</v>
      </c>
      <c r="H63" s="6" t="s">
        <v>19</v>
      </c>
      <c r="I63" s="6" t="s">
        <v>20</v>
      </c>
      <c r="J63" s="6" t="s">
        <v>21</v>
      </c>
    </row>
    <row r="64">
      <c r="A64" s="4">
        <v>46153.37311435185</v>
      </c>
      <c r="B64" s="6" t="s">
        <v>121</v>
      </c>
      <c r="C64" s="6" t="s">
        <v>45</v>
      </c>
      <c r="D64" s="6" t="s">
        <v>15</v>
      </c>
      <c r="E64" s="6" t="s">
        <v>16</v>
      </c>
      <c r="F64" s="6" t="s">
        <v>17</v>
      </c>
      <c r="G64" s="6" t="s">
        <v>18</v>
      </c>
      <c r="H64" s="6" t="s">
        <v>19</v>
      </c>
      <c r="I64" s="6" t="s">
        <v>47</v>
      </c>
      <c r="J64" s="6" t="s">
        <v>48</v>
      </c>
    </row>
    <row r="65">
      <c r="A65" s="4">
        <v>46153.37316640046</v>
      </c>
      <c r="B65" s="6" t="s">
        <v>125</v>
      </c>
      <c r="C65" s="6" t="s">
        <v>103</v>
      </c>
      <c r="D65" s="6" t="s">
        <v>15</v>
      </c>
      <c r="E65" s="6" t="s">
        <v>16</v>
      </c>
      <c r="F65" s="6" t="s">
        <v>17</v>
      </c>
      <c r="G65" s="6" t="s">
        <v>18</v>
      </c>
      <c r="H65" s="6" t="s">
        <v>19</v>
      </c>
      <c r="I65" s="6" t="s">
        <v>20</v>
      </c>
      <c r="J65" s="6" t="s">
        <v>21</v>
      </c>
    </row>
    <row r="66">
      <c r="A66" s="4">
        <v>46153.37396561343</v>
      </c>
      <c r="B66" s="6" t="s">
        <v>151</v>
      </c>
      <c r="C66" s="6" t="s">
        <v>36</v>
      </c>
      <c r="D66" s="6" t="s">
        <v>15</v>
      </c>
      <c r="E66" s="6" t="s">
        <v>16</v>
      </c>
      <c r="F66" s="6" t="s">
        <v>17</v>
      </c>
      <c r="G66" s="6" t="s">
        <v>18</v>
      </c>
      <c r="H66" s="6" t="s">
        <v>19</v>
      </c>
      <c r="I66" s="6" t="s">
        <v>20</v>
      </c>
      <c r="J66" s="6" t="s">
        <v>21</v>
      </c>
      <c r="K66" s="6" t="s">
        <v>175</v>
      </c>
    </row>
    <row r="67">
      <c r="A67" s="4">
        <v>46153.37401134259</v>
      </c>
      <c r="B67" s="6" t="s">
        <v>30</v>
      </c>
      <c r="C67" s="6" t="s">
        <v>176</v>
      </c>
      <c r="D67" s="6" t="s">
        <v>15</v>
      </c>
      <c r="E67" s="6" t="s">
        <v>16</v>
      </c>
      <c r="F67" s="6" t="s">
        <v>17</v>
      </c>
      <c r="G67" s="6" t="s">
        <v>18</v>
      </c>
      <c r="H67" s="6" t="s">
        <v>19</v>
      </c>
      <c r="I67" s="6" t="s">
        <v>20</v>
      </c>
      <c r="J67" s="6" t="s">
        <v>48</v>
      </c>
      <c r="K67" s="6" t="s">
        <v>177</v>
      </c>
    </row>
    <row r="68">
      <c r="A68" s="4">
        <v>46153.374120636574</v>
      </c>
      <c r="B68" s="6" t="s">
        <v>142</v>
      </c>
      <c r="C68" s="6" t="s">
        <v>178</v>
      </c>
      <c r="D68" s="6" t="s">
        <v>15</v>
      </c>
      <c r="E68" s="6" t="s">
        <v>16</v>
      </c>
      <c r="F68" s="6" t="s">
        <v>17</v>
      </c>
      <c r="G68" s="6" t="s">
        <v>18</v>
      </c>
      <c r="H68" s="6" t="s">
        <v>19</v>
      </c>
      <c r="I68" s="6" t="s">
        <v>20</v>
      </c>
      <c r="J68" s="6" t="s">
        <v>21</v>
      </c>
    </row>
    <row r="69">
      <c r="A69" s="4">
        <v>46153.37492798611</v>
      </c>
      <c r="B69" s="6" t="s">
        <v>119</v>
      </c>
      <c r="C69" s="6" t="s">
        <v>103</v>
      </c>
      <c r="D69" s="6" t="s">
        <v>15</v>
      </c>
      <c r="E69" s="6" t="s">
        <v>16</v>
      </c>
      <c r="F69" s="6" t="s">
        <v>17</v>
      </c>
      <c r="G69" s="6" t="s">
        <v>18</v>
      </c>
      <c r="H69" s="6" t="s">
        <v>19</v>
      </c>
      <c r="I69" s="6" t="s">
        <v>20</v>
      </c>
      <c r="J69" s="6" t="s">
        <v>21</v>
      </c>
    </row>
    <row r="70">
      <c r="A70" s="4">
        <v>46153.37530859954</v>
      </c>
      <c r="B70" s="6" t="s">
        <v>123</v>
      </c>
      <c r="C70" s="6" t="s">
        <v>36</v>
      </c>
      <c r="D70" s="6" t="s">
        <v>15</v>
      </c>
      <c r="E70" s="6" t="s">
        <v>16</v>
      </c>
      <c r="F70" s="6" t="s">
        <v>17</v>
      </c>
      <c r="G70" s="6" t="s">
        <v>18</v>
      </c>
      <c r="H70" s="6" t="s">
        <v>19</v>
      </c>
      <c r="I70" s="6" t="s">
        <v>20</v>
      </c>
      <c r="J70" s="6" t="s">
        <v>21</v>
      </c>
    </row>
    <row r="71">
      <c r="A71" s="4">
        <v>46153.375614247685</v>
      </c>
      <c r="B71" s="6" t="s">
        <v>88</v>
      </c>
      <c r="C71" s="6" t="s">
        <v>36</v>
      </c>
      <c r="D71" s="6" t="s">
        <v>15</v>
      </c>
      <c r="E71" s="6" t="s">
        <v>16</v>
      </c>
      <c r="F71" s="6" t="s">
        <v>17</v>
      </c>
      <c r="G71" s="6" t="s">
        <v>18</v>
      </c>
      <c r="H71" s="6" t="s">
        <v>19</v>
      </c>
      <c r="I71" s="6" t="s">
        <v>47</v>
      </c>
      <c r="J71" s="6" t="s">
        <v>48</v>
      </c>
    </row>
    <row r="72">
      <c r="A72" s="4">
        <v>46153.37595350694</v>
      </c>
      <c r="B72" s="6" t="s">
        <v>147</v>
      </c>
      <c r="C72" s="6" t="s">
        <v>179</v>
      </c>
      <c r="D72" s="6" t="s">
        <v>15</v>
      </c>
      <c r="E72" s="6" t="s">
        <v>16</v>
      </c>
      <c r="F72" s="6" t="s">
        <v>17</v>
      </c>
      <c r="G72" s="6" t="s">
        <v>18</v>
      </c>
      <c r="H72" s="6" t="s">
        <v>46</v>
      </c>
      <c r="I72" s="6" t="s">
        <v>20</v>
      </c>
      <c r="J72" s="6" t="s">
        <v>21</v>
      </c>
    </row>
    <row r="73">
      <c r="A73" s="4">
        <v>46153.37744452547</v>
      </c>
      <c r="B73" s="6" t="s">
        <v>172</v>
      </c>
      <c r="C73" s="6" t="s">
        <v>180</v>
      </c>
      <c r="D73" s="6" t="s">
        <v>15</v>
      </c>
      <c r="E73" s="6" t="s">
        <v>16</v>
      </c>
      <c r="F73" s="6" t="s">
        <v>17</v>
      </c>
      <c r="G73" s="6" t="s">
        <v>18</v>
      </c>
      <c r="H73" s="6" t="s">
        <v>46</v>
      </c>
      <c r="I73" s="6" t="s">
        <v>20</v>
      </c>
      <c r="J73" s="6" t="s">
        <v>21</v>
      </c>
      <c r="K73" s="6" t="s">
        <v>181</v>
      </c>
    </row>
    <row r="74">
      <c r="A74" s="4">
        <v>46153.377473761575</v>
      </c>
      <c r="B74" s="6" t="s">
        <v>106</v>
      </c>
      <c r="C74" s="6" t="s">
        <v>183</v>
      </c>
      <c r="D74" s="6" t="s">
        <v>15</v>
      </c>
      <c r="E74" s="6" t="s">
        <v>16</v>
      </c>
      <c r="F74" s="6" t="s">
        <v>17</v>
      </c>
      <c r="G74" s="6" t="s">
        <v>18</v>
      </c>
      <c r="H74" s="6" t="s">
        <v>19</v>
      </c>
      <c r="I74" s="6" t="s">
        <v>20</v>
      </c>
      <c r="J74" s="6" t="s">
        <v>21</v>
      </c>
      <c r="K74" s="6" t="s">
        <v>184</v>
      </c>
    </row>
    <row r="75">
      <c r="A75" s="4">
        <v>46153.379107685185</v>
      </c>
      <c r="B75" s="6" t="s">
        <v>110</v>
      </c>
      <c r="C75" s="6" t="s">
        <v>185</v>
      </c>
      <c r="D75" s="6" t="s">
        <v>15</v>
      </c>
      <c r="E75" s="6" t="s">
        <v>16</v>
      </c>
      <c r="F75" s="6" t="s">
        <v>17</v>
      </c>
      <c r="G75" s="6" t="s">
        <v>18</v>
      </c>
      <c r="H75" s="6" t="s">
        <v>19</v>
      </c>
      <c r="I75" s="6" t="s">
        <v>20</v>
      </c>
      <c r="J75" s="6" t="s">
        <v>21</v>
      </c>
    </row>
    <row r="76">
      <c r="A76" s="4">
        <v>46153.37947289352</v>
      </c>
      <c r="B76" s="6" t="s">
        <v>144</v>
      </c>
      <c r="C76" s="6" t="s">
        <v>96</v>
      </c>
      <c r="D76" s="6" t="s">
        <v>15</v>
      </c>
      <c r="E76" s="6" t="s">
        <v>16</v>
      </c>
      <c r="F76" s="6" t="s">
        <v>17</v>
      </c>
      <c r="G76" s="6" t="s">
        <v>18</v>
      </c>
      <c r="H76" s="6" t="s">
        <v>19</v>
      </c>
      <c r="I76" s="6" t="s">
        <v>47</v>
      </c>
      <c r="J76" s="6" t="s">
        <v>48</v>
      </c>
    </row>
    <row r="77">
      <c r="A77" s="4">
        <v>46153.38095564814</v>
      </c>
      <c r="B77" s="6" t="s">
        <v>171</v>
      </c>
      <c r="C77" s="6" t="s">
        <v>36</v>
      </c>
      <c r="D77" s="6" t="s">
        <v>41</v>
      </c>
      <c r="E77" s="6" t="s">
        <v>16</v>
      </c>
      <c r="F77" s="6" t="s">
        <v>17</v>
      </c>
      <c r="G77" s="6" t="s">
        <v>18</v>
      </c>
      <c r="H77" s="6" t="s">
        <v>186</v>
      </c>
      <c r="I77" s="6" t="s">
        <v>47</v>
      </c>
      <c r="J77" s="6" t="s">
        <v>48</v>
      </c>
      <c r="K77" s="6" t="s">
        <v>187</v>
      </c>
    </row>
    <row r="78">
      <c r="A78" s="4">
        <v>46153.38192650463</v>
      </c>
      <c r="B78" s="6" t="s">
        <v>166</v>
      </c>
      <c r="C78" s="6" t="s">
        <v>188</v>
      </c>
      <c r="D78" s="6" t="s">
        <v>15</v>
      </c>
      <c r="E78" s="6" t="s">
        <v>16</v>
      </c>
      <c r="F78" s="6" t="s">
        <v>17</v>
      </c>
      <c r="G78" s="6" t="s">
        <v>18</v>
      </c>
      <c r="H78" s="6" t="s">
        <v>19</v>
      </c>
      <c r="I78" s="6" t="s">
        <v>47</v>
      </c>
      <c r="J78" s="6" t="s">
        <v>21</v>
      </c>
    </row>
    <row r="79">
      <c r="A79" s="4">
        <v>46153.38533924769</v>
      </c>
      <c r="B79" s="6" t="s">
        <v>162</v>
      </c>
      <c r="C79" s="6" t="s">
        <v>189</v>
      </c>
      <c r="D79" s="6" t="s">
        <v>15</v>
      </c>
      <c r="E79" s="6" t="s">
        <v>16</v>
      </c>
      <c r="F79" s="6" t="s">
        <v>17</v>
      </c>
      <c r="G79" s="6" t="s">
        <v>18</v>
      </c>
      <c r="H79" s="6" t="s">
        <v>19</v>
      </c>
      <c r="I79" s="6" t="s">
        <v>47</v>
      </c>
      <c r="J79" s="6" t="s">
        <v>21</v>
      </c>
    </row>
    <row r="80">
      <c r="A80" s="4">
        <v>46153.38594741898</v>
      </c>
      <c r="B80" s="6" t="s">
        <v>169</v>
      </c>
      <c r="C80" s="6" t="s">
        <v>190</v>
      </c>
      <c r="D80" s="6" t="s">
        <v>15</v>
      </c>
      <c r="E80" s="6" t="s">
        <v>16</v>
      </c>
      <c r="F80" s="6" t="s">
        <v>17</v>
      </c>
      <c r="G80" s="6" t="s">
        <v>18</v>
      </c>
      <c r="H80" s="6" t="s">
        <v>19</v>
      </c>
      <c r="I80" s="6" t="s">
        <v>20</v>
      </c>
      <c r="J80" s="6" t="s">
        <v>21</v>
      </c>
    </row>
    <row r="81">
      <c r="A81" s="4">
        <v>46153.38610466435</v>
      </c>
      <c r="B81" s="6" t="s">
        <v>59</v>
      </c>
      <c r="C81" s="6" t="s">
        <v>60</v>
      </c>
      <c r="D81" s="6" t="s">
        <v>15</v>
      </c>
      <c r="E81" s="6" t="s">
        <v>16</v>
      </c>
      <c r="F81" s="6" t="s">
        <v>17</v>
      </c>
      <c r="G81" s="6" t="s">
        <v>18</v>
      </c>
      <c r="H81" s="6" t="s">
        <v>19</v>
      </c>
      <c r="I81" s="6" t="s">
        <v>47</v>
      </c>
      <c r="J81" s="6" t="s">
        <v>21</v>
      </c>
    </row>
    <row r="82">
      <c r="A82" s="4">
        <v>46212.6228625</v>
      </c>
      <c r="B82" s="6" t="s">
        <v>191</v>
      </c>
      <c r="C82" s="6" t="s">
        <v>192</v>
      </c>
      <c r="D82" s="6" t="s">
        <v>15</v>
      </c>
      <c r="E82" s="6" t="s">
        <v>16</v>
      </c>
      <c r="F82" s="6" t="s">
        <v>17</v>
      </c>
      <c r="G82" s="6" t="s">
        <v>18</v>
      </c>
      <c r="H82" s="6" t="s">
        <v>19</v>
      </c>
      <c r="I82" s="6" t="s">
        <v>47</v>
      </c>
      <c r="J82" s="6" t="s">
        <v>21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4" max="4" width="2.13"/>
    <col customWidth="1" min="14" max="14" width="24.5"/>
  </cols>
  <sheetData>
    <row r="1">
      <c r="A1" s="2" t="s">
        <v>0</v>
      </c>
      <c r="B1" s="2" t="s">
        <v>1</v>
      </c>
      <c r="C1" s="3" t="s">
        <v>2</v>
      </c>
      <c r="D1" s="5"/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3" t="s">
        <v>9</v>
      </c>
      <c r="L1" s="2"/>
      <c r="M1" s="7" t="s">
        <v>24</v>
      </c>
    </row>
    <row r="2">
      <c r="A2" s="8">
        <f>'1.2'!A:A</f>
        <v>46153.36107</v>
      </c>
      <c r="B2" s="2" t="str">
        <f>'1.2'!B:B</f>
        <v>bnco0958@signalschool.ac.th</v>
      </c>
      <c r="C2" s="2" t="str">
        <f>'1.2'!C:C</f>
        <v>ส.อ.พิจักษณ์ คงแสง</v>
      </c>
      <c r="D2" s="9">
        <v>1.0</v>
      </c>
      <c r="E2" s="10">
        <f>IFERROR(vlookup('1.2'!D:D,lookup!$A$2:$B$4,2,false),0)</f>
        <v>5</v>
      </c>
      <c r="F2" s="10">
        <f>IFERROR(vlookup('1.2'!E:E,lookup!$A$6:$B$8,2,false),0)</f>
        <v>5</v>
      </c>
      <c r="G2" s="10">
        <f>IFERROR(vlookup('1.2'!F:F,lookup!$A$10:$B$12,2,false),0)</f>
        <v>5</v>
      </c>
      <c r="H2" s="10">
        <f>IFERROR(vlookup('1.2'!G:G,lookup!$A$14:$B$16,2,false),0)</f>
        <v>5</v>
      </c>
      <c r="I2" s="10">
        <f>IFERROR(vlookup('1.2'!H:H,lookup!$A$18:$B$20,2,false),0)</f>
        <v>5</v>
      </c>
      <c r="J2" s="10">
        <f>IFERROR(vlookup('1.2'!I:I,lookup!$A$22:$B$24,2,false),0)</f>
        <v>5</v>
      </c>
      <c r="K2" s="10">
        <f>IFERROR(vlookup('1.2'!J:J,lookup!$A$26:$B$28,2,false),0)</f>
        <v>5</v>
      </c>
      <c r="L2" s="2"/>
      <c r="M2" s="10">
        <v>1.0</v>
      </c>
      <c r="N2" s="11" t="str">
        <f t="shared" ref="N2:N81" si="1">CONCAT(R2,"@signalschool.ac.th")</f>
        <v>bnco0901@signalschool.ac.th</v>
      </c>
      <c r="O2" s="12">
        <f t="shared" ref="O2:O81" si="2">IFERROR(VLOOKUP(N2,B$2:D$81,3,FALSE),0)</f>
        <v>1</v>
      </c>
      <c r="R2" s="6" t="s">
        <v>116</v>
      </c>
    </row>
    <row r="3">
      <c r="A3" s="8">
        <f>'1.2'!A:A</f>
        <v>46153.36127</v>
      </c>
      <c r="B3" s="2" t="str">
        <f>'1.2'!B:B</f>
        <v>bnco0934@signalschool.ac.th</v>
      </c>
      <c r="C3" s="2" t="str">
        <f>'1.2'!C:C</f>
        <v>ส.อ.สุขเกษม พิบูลสุขสิน</v>
      </c>
      <c r="D3" s="9">
        <v>1.0</v>
      </c>
      <c r="E3" s="10">
        <f>IFERROR(vlookup('1.2'!D:D,lookup!$A$2:$B$4,2,false),0)</f>
        <v>5</v>
      </c>
      <c r="F3" s="10">
        <f>IFERROR(vlookup('1.2'!E:E,lookup!$A$6:$B$8,2,false),0)</f>
        <v>5</v>
      </c>
      <c r="G3" s="10">
        <f>IFERROR(vlookup('1.2'!F:F,lookup!$A$10:$B$12,2,false),0)</f>
        <v>5</v>
      </c>
      <c r="H3" s="10">
        <f>IFERROR(vlookup('1.2'!G:G,lookup!$A$14:$B$16,2,false),0)</f>
        <v>5</v>
      </c>
      <c r="I3" s="10">
        <f>IFERROR(vlookup('1.2'!H:H,lookup!$A$18:$B$20,2,false),0)</f>
        <v>5</v>
      </c>
      <c r="J3" s="10">
        <f>IFERROR(vlookup('1.2'!I:I,lookup!$A$22:$B$24,2,false),0)</f>
        <v>5</v>
      </c>
      <c r="K3" s="10">
        <f>IFERROR(vlookup('1.2'!J:J,lookup!$A$26:$B$28,2,false),0)</f>
        <v>5</v>
      </c>
      <c r="L3" s="2"/>
      <c r="M3" s="10">
        <v>2.0</v>
      </c>
      <c r="N3" s="11" t="str">
        <f t="shared" si="1"/>
        <v>bnco0902@signalschool.ac.th</v>
      </c>
      <c r="O3" s="12">
        <f t="shared" si="2"/>
        <v>1</v>
      </c>
      <c r="R3" s="6" t="s">
        <v>157</v>
      </c>
    </row>
    <row r="4">
      <c r="A4" s="8">
        <f>'1.2'!A:A</f>
        <v>46153.36247</v>
      </c>
      <c r="B4" s="2" t="str">
        <f>'1.2'!B:B</f>
        <v>bnco0971@signalschool.ac.th</v>
      </c>
      <c r="C4" s="2" t="str">
        <f>'1.2'!C:C</f>
        <v>ส.อ.วิศวะ กิจสุวรรณ์</v>
      </c>
      <c r="D4" s="9">
        <v>1.0</v>
      </c>
      <c r="E4" s="10">
        <f>IFERROR(vlookup('1.2'!D:D,lookup!$A$2:$B$4,2,false),0)</f>
        <v>5</v>
      </c>
      <c r="F4" s="10">
        <f>IFERROR(vlookup('1.2'!E:E,lookup!$A$6:$B$8,2,false),0)</f>
        <v>3</v>
      </c>
      <c r="G4" s="10">
        <f>IFERROR(vlookup('1.2'!F:F,lookup!$A$10:$B$12,2,false),0)</f>
        <v>5</v>
      </c>
      <c r="H4" s="10">
        <f>IFERROR(vlookup('1.2'!G:G,lookup!$A$14:$B$16,2,false),0)</f>
        <v>5</v>
      </c>
      <c r="I4" s="10">
        <f>IFERROR(vlookup('1.2'!H:H,lookup!$A$18:$B$20,2,false),0)</f>
        <v>5</v>
      </c>
      <c r="J4" s="10">
        <f>IFERROR(vlookup('1.2'!I:I,lookup!$A$22:$B$24,2,false),0)</f>
        <v>5</v>
      </c>
      <c r="K4" s="10">
        <f>IFERROR(vlookup('1.2'!J:J,lookup!$A$26:$B$28,2,false),0)</f>
        <v>5</v>
      </c>
      <c r="L4" s="2"/>
      <c r="M4" s="10">
        <v>3.0</v>
      </c>
      <c r="N4" s="11" t="str">
        <f t="shared" si="1"/>
        <v>bnco0903@signalschool.ac.th</v>
      </c>
      <c r="O4" s="12">
        <f t="shared" si="2"/>
        <v>1</v>
      </c>
      <c r="R4" s="6" t="s">
        <v>182</v>
      </c>
    </row>
    <row r="5">
      <c r="A5" s="8">
        <f>'1.2'!A:A</f>
        <v>46153.36257</v>
      </c>
      <c r="B5" s="2" t="str">
        <f>'1.2'!B:B</f>
        <v>bnco0940@signalschool.ac.th</v>
      </c>
      <c r="C5" s="2" t="str">
        <f>'1.2'!C:C</f>
        <v>จ.ส.อ.พัลลภ ดวงเดือน</v>
      </c>
      <c r="D5" s="9">
        <v>1.0</v>
      </c>
      <c r="E5" s="10">
        <f>IFERROR(vlookup('1.2'!D:D,lookup!$A$2:$B$4,2,false),0)</f>
        <v>5</v>
      </c>
      <c r="F5" s="10">
        <f>IFERROR(vlookup('1.2'!E:E,lookup!$A$6:$B$8,2,false),0)</f>
        <v>5</v>
      </c>
      <c r="G5" s="10">
        <f>IFERROR(vlookup('1.2'!F:F,lookup!$A$10:$B$12,2,false),0)</f>
        <v>5</v>
      </c>
      <c r="H5" s="10">
        <f>IFERROR(vlookup('1.2'!G:G,lookup!$A$14:$B$16,2,false),0)</f>
        <v>5</v>
      </c>
      <c r="I5" s="10">
        <f>IFERROR(vlookup('1.2'!H:H,lookup!$A$18:$B$20,2,false),0)</f>
        <v>5</v>
      </c>
      <c r="J5" s="10">
        <f>IFERROR(vlookup('1.2'!I:I,lookup!$A$22:$B$24,2,false),0)</f>
        <v>5</v>
      </c>
      <c r="K5" s="10">
        <f>IFERROR(vlookup('1.2'!J:J,lookup!$A$26:$B$28,2,false),0)</f>
        <v>5</v>
      </c>
      <c r="L5" s="2"/>
      <c r="M5" s="10">
        <v>4.0</v>
      </c>
      <c r="N5" s="11" t="str">
        <f t="shared" si="1"/>
        <v>bnco0904@signalschool.ac.th</v>
      </c>
      <c r="O5" s="12">
        <f t="shared" si="2"/>
        <v>1</v>
      </c>
      <c r="R5" s="6" t="s">
        <v>193</v>
      </c>
    </row>
    <row r="6">
      <c r="A6" s="8">
        <f>'1.2'!A:A</f>
        <v>46153.36308</v>
      </c>
      <c r="B6" s="2" t="str">
        <f>'1.2'!B:B</f>
        <v>bnco0967@signalschool.ac.th</v>
      </c>
      <c r="C6" s="2" t="str">
        <f>'1.2'!C:C</f>
        <v>จ.ส.อ.พัลลภ  ดวงเดือน</v>
      </c>
      <c r="D6" s="9">
        <v>1.0</v>
      </c>
      <c r="E6" s="10">
        <f>IFERROR(vlookup('1.2'!D:D,lookup!$A$2:$B$4,2,false),0)</f>
        <v>5</v>
      </c>
      <c r="F6" s="10">
        <f>IFERROR(vlookup('1.2'!E:E,lookup!$A$6:$B$8,2,false),0)</f>
        <v>5</v>
      </c>
      <c r="G6" s="10">
        <f>IFERROR(vlookup('1.2'!F:F,lookup!$A$10:$B$12,2,false),0)</f>
        <v>5</v>
      </c>
      <c r="H6" s="10">
        <f>IFERROR(vlookup('1.2'!G:G,lookup!$A$14:$B$16,2,false),0)</f>
        <v>5</v>
      </c>
      <c r="I6" s="10">
        <f>IFERROR(vlookup('1.2'!H:H,lookup!$A$18:$B$20,2,false),0)</f>
        <v>5</v>
      </c>
      <c r="J6" s="10">
        <f>IFERROR(vlookup('1.2'!I:I,lookup!$A$22:$B$24,2,false),0)</f>
        <v>5</v>
      </c>
      <c r="K6" s="10">
        <f>IFERROR(vlookup('1.2'!J:J,lookup!$A$26:$B$28,2,false),0)</f>
        <v>5</v>
      </c>
      <c r="L6" s="2"/>
      <c r="M6" s="10">
        <v>5.0</v>
      </c>
      <c r="N6" s="11" t="str">
        <f t="shared" si="1"/>
        <v>bnco0905@signalschool.ac.th</v>
      </c>
      <c r="O6" s="12">
        <f t="shared" si="2"/>
        <v>1</v>
      </c>
      <c r="R6" s="6" t="s">
        <v>197</v>
      </c>
    </row>
    <row r="7">
      <c r="A7" s="8">
        <f>'1.2'!A:A</f>
        <v>46153.36372</v>
      </c>
      <c r="B7" s="2" t="str">
        <f>'1.2'!B:B</f>
        <v>bnco0906@signalschool.ac.th</v>
      </c>
      <c r="C7" s="2" t="str">
        <f>'1.2'!C:C</f>
        <v>จ.ส.อ.พัลลภ ดวงเดือน</v>
      </c>
      <c r="D7" s="9">
        <v>1.0</v>
      </c>
      <c r="E7" s="10">
        <f>IFERROR(vlookup('1.2'!D:D,lookup!$A$2:$B$4,2,false),0)</f>
        <v>3</v>
      </c>
      <c r="F7" s="10">
        <f>IFERROR(vlookup('1.2'!E:E,lookup!$A$6:$B$8,2,false),0)</f>
        <v>5</v>
      </c>
      <c r="G7" s="10">
        <f>IFERROR(vlookup('1.2'!F:F,lookup!$A$10:$B$12,2,false),0)</f>
        <v>5</v>
      </c>
      <c r="H7" s="10">
        <f>IFERROR(vlookup('1.2'!G:G,lookup!$A$14:$B$16,2,false),0)</f>
        <v>5</v>
      </c>
      <c r="I7" s="10">
        <f>IFERROR(vlookup('1.2'!H:H,lookup!$A$18:$B$20,2,false),0)</f>
        <v>3</v>
      </c>
      <c r="J7" s="10">
        <f>IFERROR(vlookup('1.2'!I:I,lookup!$A$22:$B$24,2,false),0)</f>
        <v>3</v>
      </c>
      <c r="K7" s="10">
        <f>IFERROR(vlookup('1.2'!J:J,lookup!$A$26:$B$28,2,false),0)</f>
        <v>3</v>
      </c>
      <c r="L7" s="2"/>
      <c r="M7" s="10">
        <v>6.0</v>
      </c>
      <c r="N7" s="11" t="str">
        <f t="shared" si="1"/>
        <v>bnco0906@signalschool.ac.th</v>
      </c>
      <c r="O7" s="12">
        <f t="shared" si="2"/>
        <v>1</v>
      </c>
      <c r="R7" s="6" t="s">
        <v>203</v>
      </c>
    </row>
    <row r="8">
      <c r="A8" s="8">
        <f>'1.2'!A:A</f>
        <v>46153.36391</v>
      </c>
      <c r="B8" s="2" t="str">
        <f>'1.2'!B:B</f>
        <v>bnco0943@signalschool.ac.th</v>
      </c>
      <c r="C8" s="2" t="str">
        <f>'1.2'!C:C</f>
        <v>จ.ส.อ.พัลลภ ดวงเดือน</v>
      </c>
      <c r="D8" s="9">
        <v>1.0</v>
      </c>
      <c r="E8" s="10">
        <f>IFERROR(vlookup('1.2'!D:D,lookup!$A$2:$B$4,2,false),0)</f>
        <v>5</v>
      </c>
      <c r="F8" s="10">
        <f>IFERROR(vlookup('1.2'!E:E,lookup!$A$6:$B$8,2,false),0)</f>
        <v>5</v>
      </c>
      <c r="G8" s="10">
        <f>IFERROR(vlookup('1.2'!F:F,lookup!$A$10:$B$12,2,false),0)</f>
        <v>5</v>
      </c>
      <c r="H8" s="10">
        <f>IFERROR(vlookup('1.2'!G:G,lookup!$A$14:$B$16,2,false),0)</f>
        <v>5</v>
      </c>
      <c r="I8" s="10">
        <f>IFERROR(vlookup('1.2'!H:H,lookup!$A$18:$B$20,2,false),0)</f>
        <v>5</v>
      </c>
      <c r="J8" s="10">
        <f>IFERROR(vlookup('1.2'!I:I,lookup!$A$22:$B$24,2,false),0)</f>
        <v>5</v>
      </c>
      <c r="K8" s="10">
        <f>IFERROR(vlookup('1.2'!J:J,lookup!$A$26:$B$28,2,false),0)</f>
        <v>5</v>
      </c>
      <c r="L8" s="2"/>
      <c r="M8" s="10">
        <v>7.0</v>
      </c>
      <c r="N8" s="11" t="str">
        <f t="shared" si="1"/>
        <v>bnco0907@signalschool.ac.th</v>
      </c>
      <c r="O8" s="12">
        <f t="shared" si="2"/>
        <v>1</v>
      </c>
      <c r="R8" s="6" t="s">
        <v>206</v>
      </c>
    </row>
    <row r="9">
      <c r="A9" s="8">
        <f>'1.2'!A:A</f>
        <v>46153.36392</v>
      </c>
      <c r="B9" s="2" t="str">
        <f>'1.2'!B:B</f>
        <v>bnco0924@signalschool.ac.th</v>
      </c>
      <c r="C9" s="2" t="str">
        <f>'1.2'!C:C</f>
        <v>จ.ส.อ. พัลลภ ดวงเดือน</v>
      </c>
      <c r="D9" s="9">
        <v>1.0</v>
      </c>
      <c r="E9" s="10">
        <f>IFERROR(vlookup('1.2'!D:D,lookup!$A$2:$B$4,2,false),0)</f>
        <v>5</v>
      </c>
      <c r="F9" s="10">
        <f>IFERROR(vlookup('1.2'!E:E,lookup!$A$6:$B$8,2,false),0)</f>
        <v>5</v>
      </c>
      <c r="G9" s="10">
        <f>IFERROR(vlookup('1.2'!F:F,lookup!$A$10:$B$12,2,false),0)</f>
        <v>5</v>
      </c>
      <c r="H9" s="10">
        <f>IFERROR(vlookup('1.2'!G:G,lookup!$A$14:$B$16,2,false),0)</f>
        <v>5</v>
      </c>
      <c r="I9" s="10">
        <f>IFERROR(vlookup('1.2'!H:H,lookup!$A$18:$B$20,2,false),0)</f>
        <v>5</v>
      </c>
      <c r="J9" s="10">
        <f>IFERROR(vlookup('1.2'!I:I,lookup!$A$22:$B$24,2,false),0)</f>
        <v>5</v>
      </c>
      <c r="K9" s="10">
        <f>IFERROR(vlookup('1.2'!J:J,lookup!$A$26:$B$28,2,false),0)</f>
        <v>5</v>
      </c>
      <c r="L9" s="2"/>
      <c r="M9" s="10">
        <v>8.0</v>
      </c>
      <c r="N9" s="11" t="str">
        <f t="shared" si="1"/>
        <v>bnco0908@signalschool.ac.th</v>
      </c>
      <c r="O9" s="12">
        <f t="shared" si="2"/>
        <v>1</v>
      </c>
      <c r="R9" s="6" t="s">
        <v>211</v>
      </c>
    </row>
    <row r="10">
      <c r="A10" s="8">
        <f>'1.2'!A:A</f>
        <v>46153.36401</v>
      </c>
      <c r="B10" s="2" t="str">
        <f>'1.2'!B:B</f>
        <v>bnco0939@signalschool.ac.th</v>
      </c>
      <c r="C10" s="2" t="str">
        <f>'1.2'!C:C</f>
        <v>จ.ส.อ.พัลลภ ดวงเดือน</v>
      </c>
      <c r="D10" s="9">
        <v>1.0</v>
      </c>
      <c r="E10" s="10">
        <f>IFERROR(vlookup('1.2'!D:D,lookup!$A$2:$B$4,2,false),0)</f>
        <v>5</v>
      </c>
      <c r="F10" s="10">
        <f>IFERROR(vlookup('1.2'!E:E,lookup!$A$6:$B$8,2,false),0)</f>
        <v>5</v>
      </c>
      <c r="G10" s="10">
        <f>IFERROR(vlookup('1.2'!F:F,lookup!$A$10:$B$12,2,false),0)</f>
        <v>5</v>
      </c>
      <c r="H10" s="10">
        <f>IFERROR(vlookup('1.2'!G:G,lookup!$A$14:$B$16,2,false),0)</f>
        <v>5</v>
      </c>
      <c r="I10" s="10">
        <f>IFERROR(vlookup('1.2'!H:H,lookup!$A$18:$B$20,2,false),0)</f>
        <v>5</v>
      </c>
      <c r="J10" s="10">
        <f>IFERROR(vlookup('1.2'!I:I,lookup!$A$22:$B$24,2,false),0)</f>
        <v>5</v>
      </c>
      <c r="K10" s="10">
        <f>IFERROR(vlookup('1.2'!J:J,lookup!$A$26:$B$28,2,false),0)</f>
        <v>5</v>
      </c>
      <c r="L10" s="2"/>
      <c r="M10" s="10">
        <v>9.0</v>
      </c>
      <c r="N10" s="11" t="str">
        <f t="shared" si="1"/>
        <v>bnco0909@signalschool.ac.th</v>
      </c>
      <c r="O10" s="12">
        <f t="shared" si="2"/>
        <v>1</v>
      </c>
      <c r="R10" s="6" t="s">
        <v>212</v>
      </c>
    </row>
    <row r="11">
      <c r="A11" s="8">
        <f>'1.2'!A:A</f>
        <v>46153.36435</v>
      </c>
      <c r="B11" s="2" t="str">
        <f>'1.2'!B:B</f>
        <v>bnco0925@signalschool.ac.th</v>
      </c>
      <c r="C11" s="2" t="str">
        <f>'1.2'!C:C</f>
        <v>ส.อ. กานต์ เรณู ณ อยุธยา</v>
      </c>
      <c r="D11" s="9">
        <v>1.0</v>
      </c>
      <c r="E11" s="10">
        <f>IFERROR(vlookup('1.2'!D:D,lookup!$A$2:$B$4,2,false),0)</f>
        <v>5</v>
      </c>
      <c r="F11" s="10">
        <f>IFERROR(vlookup('1.2'!E:E,lookup!$A$6:$B$8,2,false),0)</f>
        <v>5</v>
      </c>
      <c r="G11" s="10">
        <f>IFERROR(vlookup('1.2'!F:F,lookup!$A$10:$B$12,2,false),0)</f>
        <v>5</v>
      </c>
      <c r="H11" s="10">
        <f>IFERROR(vlookup('1.2'!G:G,lookup!$A$14:$B$16,2,false),0)</f>
        <v>5</v>
      </c>
      <c r="I11" s="10">
        <f>IFERROR(vlookup('1.2'!H:H,lookup!$A$18:$B$20,2,false),0)</f>
        <v>5</v>
      </c>
      <c r="J11" s="10">
        <f>IFERROR(vlookup('1.2'!I:I,lookup!$A$22:$B$24,2,false),0)</f>
        <v>3</v>
      </c>
      <c r="K11" s="10">
        <f>IFERROR(vlookup('1.2'!J:J,lookup!$A$26:$B$28,2,false),0)</f>
        <v>3</v>
      </c>
      <c r="L11" s="2"/>
      <c r="M11" s="10">
        <v>10.0</v>
      </c>
      <c r="N11" s="11" t="str">
        <f t="shared" si="1"/>
        <v>bnco0910@signalschool.ac.th</v>
      </c>
      <c r="O11" s="12">
        <f t="shared" si="2"/>
        <v>1</v>
      </c>
      <c r="R11" s="6" t="s">
        <v>213</v>
      </c>
    </row>
    <row r="12">
      <c r="A12" s="8">
        <f>'1.2'!A:A</f>
        <v>46153.3644</v>
      </c>
      <c r="B12" s="2" t="str">
        <f>'1.2'!B:B</f>
        <v>bnco0910@signalschool.ac.th</v>
      </c>
      <c r="C12" s="2" t="str">
        <f>'1.2'!C:C</f>
        <v>จ.ส.อ.พัลลภ ดวงเดือน</v>
      </c>
      <c r="D12" s="9">
        <v>1.0</v>
      </c>
      <c r="E12" s="10">
        <f>IFERROR(vlookup('1.2'!D:D,lookup!$A$2:$B$4,2,false),0)</f>
        <v>5</v>
      </c>
      <c r="F12" s="10">
        <f>IFERROR(vlookup('1.2'!E:E,lookup!$A$6:$B$8,2,false),0)</f>
        <v>5</v>
      </c>
      <c r="G12" s="10">
        <f>IFERROR(vlookup('1.2'!F:F,lookup!$A$10:$B$12,2,false),0)</f>
        <v>5</v>
      </c>
      <c r="H12" s="10">
        <f>IFERROR(vlookup('1.2'!G:G,lookup!$A$14:$B$16,2,false),0)</f>
        <v>5</v>
      </c>
      <c r="I12" s="10">
        <f>IFERROR(vlookup('1.2'!H:H,lookup!$A$18:$B$20,2,false),0)</f>
        <v>5</v>
      </c>
      <c r="J12" s="10">
        <f>IFERROR(vlookup('1.2'!I:I,lookup!$A$22:$B$24,2,false),0)</f>
        <v>5</v>
      </c>
      <c r="K12" s="10">
        <f>IFERROR(vlookup('1.2'!J:J,lookup!$A$26:$B$28,2,false),0)</f>
        <v>5</v>
      </c>
      <c r="L12" s="2"/>
      <c r="M12" s="10">
        <v>11.0</v>
      </c>
      <c r="N12" s="11" t="str">
        <f t="shared" si="1"/>
        <v>bnco0911@signalschool.ac.th</v>
      </c>
      <c r="O12" s="12">
        <f t="shared" si="2"/>
        <v>1</v>
      </c>
      <c r="R12" s="6" t="s">
        <v>214</v>
      </c>
    </row>
    <row r="13">
      <c r="A13" s="8">
        <f>'1.2'!A:A</f>
        <v>46153.36462</v>
      </c>
      <c r="B13" s="2" t="str">
        <f>'1.2'!B:B</f>
        <v>bnco0936@signalschool.ac.th</v>
      </c>
      <c r="C13" s="2" t="str">
        <f>'1.2'!C:C</f>
        <v>จ.ส.อ.พัลลภ ดวงเดือน</v>
      </c>
      <c r="D13" s="9">
        <v>1.0</v>
      </c>
      <c r="E13" s="10">
        <f>IFERROR(vlookup('1.2'!D:D,lookup!$A$2:$B$4,2,false),0)</f>
        <v>5</v>
      </c>
      <c r="F13" s="10">
        <f>IFERROR(vlookup('1.2'!E:E,lookup!$A$6:$B$8,2,false),0)</f>
        <v>5</v>
      </c>
      <c r="G13" s="10">
        <f>IFERROR(vlookup('1.2'!F:F,lookup!$A$10:$B$12,2,false),0)</f>
        <v>5</v>
      </c>
      <c r="H13" s="10">
        <f>IFERROR(vlookup('1.2'!G:G,lookup!$A$14:$B$16,2,false),0)</f>
        <v>5</v>
      </c>
      <c r="I13" s="10">
        <f>IFERROR(vlookup('1.2'!H:H,lookup!$A$18:$B$20,2,false),0)</f>
        <v>5</v>
      </c>
      <c r="J13" s="10">
        <f>IFERROR(vlookup('1.2'!I:I,lookup!$A$22:$B$24,2,false),0)</f>
        <v>3</v>
      </c>
      <c r="K13" s="10">
        <f>IFERROR(vlookup('1.2'!J:J,lookup!$A$26:$B$28,2,false),0)</f>
        <v>5</v>
      </c>
      <c r="L13" s="2"/>
      <c r="M13" s="10">
        <v>12.0</v>
      </c>
      <c r="N13" s="11" t="str">
        <f t="shared" si="1"/>
        <v>bnco0912@signalschool.ac.th</v>
      </c>
      <c r="O13" s="12">
        <f t="shared" si="2"/>
        <v>1</v>
      </c>
      <c r="R13" s="6" t="s">
        <v>222</v>
      </c>
    </row>
    <row r="14">
      <c r="A14" s="8">
        <f>'1.2'!A:A</f>
        <v>46153.3647</v>
      </c>
      <c r="B14" s="2" t="str">
        <f>'1.2'!B:B</f>
        <v>bnco0954@signalschool.ac.th</v>
      </c>
      <c r="C14" s="2" t="str">
        <f>'1.2'!C:C</f>
        <v>จ.ส.อ.พัลลภ ดวงเดือน</v>
      </c>
      <c r="D14" s="9">
        <v>1.0</v>
      </c>
      <c r="E14" s="10">
        <f>IFERROR(vlookup('1.2'!D:D,lookup!$A$2:$B$4,2,false),0)</f>
        <v>5</v>
      </c>
      <c r="F14" s="10">
        <f>IFERROR(vlookup('1.2'!E:E,lookup!$A$6:$B$8,2,false),0)</f>
        <v>5</v>
      </c>
      <c r="G14" s="10">
        <f>IFERROR(vlookup('1.2'!F:F,lookup!$A$10:$B$12,2,false),0)</f>
        <v>5</v>
      </c>
      <c r="H14" s="10">
        <f>IFERROR(vlookup('1.2'!G:G,lookup!$A$14:$B$16,2,false),0)</f>
        <v>5</v>
      </c>
      <c r="I14" s="10">
        <f>IFERROR(vlookup('1.2'!H:H,lookup!$A$18:$B$20,2,false),0)</f>
        <v>5</v>
      </c>
      <c r="J14" s="10">
        <f>IFERROR(vlookup('1.2'!I:I,lookup!$A$22:$B$24,2,false),0)</f>
        <v>5</v>
      </c>
      <c r="K14" s="10">
        <f>IFERROR(vlookup('1.2'!J:J,lookup!$A$26:$B$28,2,false),0)</f>
        <v>3</v>
      </c>
      <c r="L14" s="2"/>
      <c r="M14" s="10">
        <v>13.0</v>
      </c>
      <c r="N14" s="11" t="str">
        <f t="shared" si="1"/>
        <v>bnco0913@signalschool.ac.th</v>
      </c>
      <c r="O14" s="12">
        <f t="shared" si="2"/>
        <v>1</v>
      </c>
      <c r="R14" s="6" t="s">
        <v>227</v>
      </c>
    </row>
    <row r="15">
      <c r="A15" s="8">
        <f>'1.2'!A:A</f>
        <v>46153.36485</v>
      </c>
      <c r="B15" s="2" t="str">
        <f>'1.2'!B:B</f>
        <v>bnco0952@signalschool.ac.th</v>
      </c>
      <c r="C15" s="2" t="str">
        <f>'1.2'!C:C</f>
        <v>จ.ส.อ.พัลลภ  ดวงเดือน</v>
      </c>
      <c r="D15" s="9">
        <v>1.0</v>
      </c>
      <c r="E15" s="10">
        <f>IFERROR(vlookup('1.2'!D:D,lookup!$A$2:$B$4,2,false),0)</f>
        <v>5</v>
      </c>
      <c r="F15" s="10">
        <f>IFERROR(vlookup('1.2'!E:E,lookup!$A$6:$B$8,2,false),0)</f>
        <v>5</v>
      </c>
      <c r="G15" s="10">
        <f>IFERROR(vlookup('1.2'!F:F,lookup!$A$10:$B$12,2,false),0)</f>
        <v>5</v>
      </c>
      <c r="H15" s="10">
        <f>IFERROR(vlookup('1.2'!G:G,lookup!$A$14:$B$16,2,false),0)</f>
        <v>5</v>
      </c>
      <c r="I15" s="10">
        <f>IFERROR(vlookup('1.2'!H:H,lookup!$A$18:$B$20,2,false),0)</f>
        <v>5</v>
      </c>
      <c r="J15" s="10">
        <f>IFERROR(vlookup('1.2'!I:I,lookup!$A$22:$B$24,2,false),0)</f>
        <v>5</v>
      </c>
      <c r="K15" s="10">
        <f>IFERROR(vlookup('1.2'!J:J,lookup!$A$26:$B$28,2,false),0)</f>
        <v>5</v>
      </c>
      <c r="L15" s="2"/>
      <c r="M15" s="10">
        <v>14.0</v>
      </c>
      <c r="N15" s="11" t="str">
        <f t="shared" si="1"/>
        <v>bnco0914@signalschool.ac.th</v>
      </c>
      <c r="O15" s="12">
        <f t="shared" si="2"/>
        <v>1</v>
      </c>
      <c r="R15" s="6" t="s">
        <v>230</v>
      </c>
    </row>
    <row r="16">
      <c r="A16" s="8">
        <f>'1.2'!A:A</f>
        <v>46153.36512</v>
      </c>
      <c r="B16" s="2" t="str">
        <f>'1.2'!B:B</f>
        <v>bnco0955@signalschool.ac.th</v>
      </c>
      <c r="C16" s="2" t="str">
        <f>'1.2'!C:C</f>
        <v>จ.ส.อ.พัลลภ ดวงเดือน</v>
      </c>
      <c r="D16" s="9">
        <v>1.0</v>
      </c>
      <c r="E16" s="10">
        <f>IFERROR(vlookup('1.2'!D:D,lookup!$A$2:$B$4,2,false),0)</f>
        <v>5</v>
      </c>
      <c r="F16" s="10">
        <f>IFERROR(vlookup('1.2'!E:E,lookup!$A$6:$B$8,2,false),0)</f>
        <v>5</v>
      </c>
      <c r="G16" s="10">
        <f>IFERROR(vlookup('1.2'!F:F,lookup!$A$10:$B$12,2,false),0)</f>
        <v>5</v>
      </c>
      <c r="H16" s="10">
        <f>IFERROR(vlookup('1.2'!G:G,lookup!$A$14:$B$16,2,false),0)</f>
        <v>5</v>
      </c>
      <c r="I16" s="10">
        <f>IFERROR(vlookup('1.2'!H:H,lookup!$A$18:$B$20,2,false),0)</f>
        <v>5</v>
      </c>
      <c r="J16" s="10">
        <f>IFERROR(vlookup('1.2'!I:I,lookup!$A$22:$B$24,2,false),0)</f>
        <v>5</v>
      </c>
      <c r="K16" s="10">
        <f>IFERROR(vlookup('1.2'!J:J,lookup!$A$26:$B$28,2,false),0)</f>
        <v>5</v>
      </c>
      <c r="L16" s="2"/>
      <c r="M16" s="10">
        <v>15.0</v>
      </c>
      <c r="N16" s="11" t="str">
        <f t="shared" si="1"/>
        <v>bnco0915@signalschool.ac.th</v>
      </c>
      <c r="O16" s="12">
        <f t="shared" si="2"/>
        <v>1</v>
      </c>
      <c r="R16" s="6" t="s">
        <v>232</v>
      </c>
    </row>
    <row r="17">
      <c r="A17" s="8">
        <f>'1.2'!A:A</f>
        <v>46153.36543</v>
      </c>
      <c r="B17" s="2" t="str">
        <f>'1.2'!B:B</f>
        <v>bnco0951@signalschool.ac.th</v>
      </c>
      <c r="C17" s="2" t="str">
        <f>'1.2'!C:C</f>
        <v>จ.ส.อ.พัลลภ ดวงเดือน</v>
      </c>
      <c r="D17" s="9">
        <v>1.0</v>
      </c>
      <c r="E17" s="10">
        <f>IFERROR(vlookup('1.2'!D:D,lookup!$A$2:$B$4,2,false),0)</f>
        <v>5</v>
      </c>
      <c r="F17" s="10">
        <f>IFERROR(vlookup('1.2'!E:E,lookup!$A$6:$B$8,2,false),0)</f>
        <v>5</v>
      </c>
      <c r="G17" s="10">
        <f>IFERROR(vlookup('1.2'!F:F,lookup!$A$10:$B$12,2,false),0)</f>
        <v>5</v>
      </c>
      <c r="H17" s="10">
        <f>IFERROR(vlookup('1.2'!G:G,lookup!$A$14:$B$16,2,false),0)</f>
        <v>5</v>
      </c>
      <c r="I17" s="10">
        <f>IFERROR(vlookup('1.2'!H:H,lookup!$A$18:$B$20,2,false),0)</f>
        <v>5</v>
      </c>
      <c r="J17" s="10">
        <f>IFERROR(vlookup('1.2'!I:I,lookup!$A$22:$B$24,2,false),0)</f>
        <v>5</v>
      </c>
      <c r="K17" s="10">
        <f>IFERROR(vlookup('1.2'!J:J,lookup!$A$26:$B$28,2,false),0)</f>
        <v>5</v>
      </c>
      <c r="L17" s="2"/>
      <c r="M17" s="10">
        <v>16.0</v>
      </c>
      <c r="N17" s="11" t="str">
        <f t="shared" si="1"/>
        <v>bnco0916@signalschool.ac.th</v>
      </c>
      <c r="O17" s="12">
        <f t="shared" si="2"/>
        <v>1</v>
      </c>
      <c r="R17" s="6" t="s">
        <v>233</v>
      </c>
    </row>
    <row r="18">
      <c r="A18" s="8">
        <f>'1.2'!A:A</f>
        <v>46153.36659</v>
      </c>
      <c r="B18" s="2" t="str">
        <f>'1.2'!B:B</f>
        <v>bnco0901@signalschool.ac.th</v>
      </c>
      <c r="C18" s="2" t="str">
        <f>'1.2'!C:C</f>
        <v>จ.ส.อ.พัลลภ ดวงเดือน</v>
      </c>
      <c r="D18" s="9">
        <v>1.0</v>
      </c>
      <c r="E18" s="10">
        <f>IFERROR(vlookup('1.2'!D:D,lookup!$A$2:$B$4,2,false),0)</f>
        <v>5</v>
      </c>
      <c r="F18" s="10">
        <f>IFERROR(vlookup('1.2'!E:E,lookup!$A$6:$B$8,2,false),0)</f>
        <v>5</v>
      </c>
      <c r="G18" s="10">
        <f>IFERROR(vlookup('1.2'!F:F,lookup!$A$10:$B$12,2,false),0)</f>
        <v>5</v>
      </c>
      <c r="H18" s="10">
        <f>IFERROR(vlookup('1.2'!G:G,lookup!$A$14:$B$16,2,false),0)</f>
        <v>5</v>
      </c>
      <c r="I18" s="10">
        <f>IFERROR(vlookup('1.2'!H:H,lookup!$A$18:$B$20,2,false),0)</f>
        <v>5</v>
      </c>
      <c r="J18" s="10">
        <f>IFERROR(vlookup('1.2'!I:I,lookup!$A$22:$B$24,2,false),0)</f>
        <v>5</v>
      </c>
      <c r="K18" s="10">
        <f>IFERROR(vlookup('1.2'!J:J,lookup!$A$26:$B$28,2,false),0)</f>
        <v>3</v>
      </c>
      <c r="L18" s="2"/>
      <c r="M18" s="10">
        <v>17.0</v>
      </c>
      <c r="N18" s="11" t="str">
        <f t="shared" si="1"/>
        <v>bnco0917@signalschool.ac.th</v>
      </c>
      <c r="O18" s="12">
        <f t="shared" si="2"/>
        <v>1</v>
      </c>
      <c r="R18" s="6" t="s">
        <v>234</v>
      </c>
    </row>
    <row r="19">
      <c r="A19" s="8">
        <f>'1.2'!A:A</f>
        <v>46153.36659</v>
      </c>
      <c r="B19" s="2" t="str">
        <f>'1.2'!B:B</f>
        <v>bnco0932@signalschool.ac.th</v>
      </c>
      <c r="C19" s="2" t="str">
        <f>'1.2'!C:C</f>
        <v>ส.อ. ทศพล  จุลดาลัย</v>
      </c>
      <c r="D19" s="9">
        <v>1.0</v>
      </c>
      <c r="E19" s="10">
        <f>IFERROR(vlookup('1.2'!D:D,lookup!$A$2:$B$4,2,false),0)</f>
        <v>5</v>
      </c>
      <c r="F19" s="10">
        <f>IFERROR(vlookup('1.2'!E:E,lookup!$A$6:$B$8,2,false),0)</f>
        <v>5</v>
      </c>
      <c r="G19" s="10">
        <f>IFERROR(vlookup('1.2'!F:F,lookup!$A$10:$B$12,2,false),0)</f>
        <v>5</v>
      </c>
      <c r="H19" s="10">
        <f>IFERROR(vlookup('1.2'!G:G,lookup!$A$14:$B$16,2,false),0)</f>
        <v>5</v>
      </c>
      <c r="I19" s="10">
        <f>IFERROR(vlookup('1.2'!H:H,lookup!$A$18:$B$20,2,false),0)</f>
        <v>5</v>
      </c>
      <c r="J19" s="10">
        <f>IFERROR(vlookup('1.2'!I:I,lookup!$A$22:$B$24,2,false),0)</f>
        <v>5</v>
      </c>
      <c r="K19" s="10">
        <f>IFERROR(vlookup('1.2'!J:J,lookup!$A$26:$B$28,2,false),0)</f>
        <v>5</v>
      </c>
      <c r="L19" s="2"/>
      <c r="M19" s="10">
        <v>18.0</v>
      </c>
      <c r="N19" s="11" t="str">
        <f t="shared" si="1"/>
        <v>bnco0918@signalschool.ac.th</v>
      </c>
      <c r="O19" s="12">
        <f t="shared" si="2"/>
        <v>1</v>
      </c>
      <c r="R19" s="6" t="s">
        <v>235</v>
      </c>
    </row>
    <row r="20">
      <c r="A20" s="8">
        <f>'1.2'!A:A</f>
        <v>46153.36664</v>
      </c>
      <c r="B20" s="2" t="str">
        <f>'1.2'!B:B</f>
        <v>bnco0919@signalschool.ac.th</v>
      </c>
      <c r="C20" s="2" t="str">
        <f>'1.2'!C:C</f>
        <v>จ.ส.อ.พัลลภ ดวงเดือน</v>
      </c>
      <c r="D20" s="9">
        <v>1.0</v>
      </c>
      <c r="E20" s="10">
        <f>IFERROR(vlookup('1.2'!D:D,lookup!$A$2:$B$4,2,false),0)</f>
        <v>5</v>
      </c>
      <c r="F20" s="10">
        <f>IFERROR(vlookup('1.2'!E:E,lookup!$A$6:$B$8,2,false),0)</f>
        <v>5</v>
      </c>
      <c r="G20" s="10">
        <f>IFERROR(vlookup('1.2'!F:F,lookup!$A$10:$B$12,2,false),0)</f>
        <v>5</v>
      </c>
      <c r="H20" s="10">
        <f>IFERROR(vlookup('1.2'!G:G,lookup!$A$14:$B$16,2,false),0)</f>
        <v>5</v>
      </c>
      <c r="I20" s="10">
        <f>IFERROR(vlookup('1.2'!H:H,lookup!$A$18:$B$20,2,false),0)</f>
        <v>5</v>
      </c>
      <c r="J20" s="10">
        <f>IFERROR(vlookup('1.2'!I:I,lookup!$A$22:$B$24,2,false),0)</f>
        <v>3</v>
      </c>
      <c r="K20" s="10">
        <f>IFERROR(vlookup('1.2'!J:J,lookup!$A$26:$B$28,2,false),0)</f>
        <v>3</v>
      </c>
      <c r="L20" s="2"/>
      <c r="M20" s="10">
        <v>19.0</v>
      </c>
      <c r="N20" s="11" t="str">
        <f t="shared" si="1"/>
        <v>bnco0919@signalschool.ac.th</v>
      </c>
      <c r="O20" s="12">
        <f t="shared" si="2"/>
        <v>1</v>
      </c>
      <c r="R20" s="6" t="s">
        <v>236</v>
      </c>
    </row>
    <row r="21">
      <c r="A21" s="8">
        <f>'1.2'!A:A</f>
        <v>46153.36699</v>
      </c>
      <c r="B21" s="2" t="str">
        <f>'1.2'!B:B</f>
        <v>bnco0974@signalschool.ac.th</v>
      </c>
      <c r="C21" s="2" t="str">
        <f>'1.2'!C:C</f>
        <v>จ.ส.อ.พัลลภ ดวงเดือน</v>
      </c>
      <c r="D21" s="9">
        <v>1.0</v>
      </c>
      <c r="E21" s="10">
        <f>IFERROR(vlookup('1.2'!D:D,lookup!$A$2:$B$4,2,false),0)</f>
        <v>5</v>
      </c>
      <c r="F21" s="10">
        <f>IFERROR(vlookup('1.2'!E:E,lookup!$A$6:$B$8,2,false),0)</f>
        <v>5</v>
      </c>
      <c r="G21" s="10">
        <f>IFERROR(vlookup('1.2'!F:F,lookup!$A$10:$B$12,2,false),0)</f>
        <v>5</v>
      </c>
      <c r="H21" s="10">
        <f>IFERROR(vlookup('1.2'!G:G,lookup!$A$14:$B$16,2,false),0)</f>
        <v>5</v>
      </c>
      <c r="I21" s="10">
        <f>IFERROR(vlookup('1.2'!H:H,lookup!$A$18:$B$20,2,false),0)</f>
        <v>5</v>
      </c>
      <c r="J21" s="10">
        <f>IFERROR(vlookup('1.2'!I:I,lookup!$A$22:$B$24,2,false),0)</f>
        <v>3</v>
      </c>
      <c r="K21" s="10">
        <f>IFERROR(vlookup('1.2'!J:J,lookup!$A$26:$B$28,2,false),0)</f>
        <v>3</v>
      </c>
      <c r="L21" s="2"/>
      <c r="M21" s="10">
        <v>20.0</v>
      </c>
      <c r="N21" s="11" t="str">
        <f t="shared" si="1"/>
        <v>bnco0920@signalschool.ac.th</v>
      </c>
      <c r="O21" s="12">
        <f t="shared" si="2"/>
        <v>1</v>
      </c>
      <c r="R21" s="6" t="s">
        <v>237</v>
      </c>
    </row>
    <row r="22">
      <c r="A22" s="8">
        <f>'1.2'!A:A</f>
        <v>46153.36713</v>
      </c>
      <c r="B22" s="2" t="str">
        <f>'1.2'!B:B</f>
        <v>bnco0949@signalschool.ac.th</v>
      </c>
      <c r="C22" s="2" t="str">
        <f>'1.2'!C:C</f>
        <v>จ.ส.อ.พัลลภ ดวงเดือน</v>
      </c>
      <c r="D22" s="9">
        <v>1.0</v>
      </c>
      <c r="E22" s="10">
        <f>IFERROR(vlookup('1.2'!D:D,lookup!$A$2:$B$4,2,false),0)</f>
        <v>5</v>
      </c>
      <c r="F22" s="10">
        <f>IFERROR(vlookup('1.2'!E:E,lookup!$A$6:$B$8,2,false),0)</f>
        <v>5</v>
      </c>
      <c r="G22" s="10">
        <f>IFERROR(vlookup('1.2'!F:F,lookup!$A$10:$B$12,2,false),0)</f>
        <v>5</v>
      </c>
      <c r="H22" s="10">
        <f>IFERROR(vlookup('1.2'!G:G,lookup!$A$14:$B$16,2,false),0)</f>
        <v>5</v>
      </c>
      <c r="I22" s="10">
        <f>IFERROR(vlookup('1.2'!H:H,lookup!$A$18:$B$20,2,false),0)</f>
        <v>5</v>
      </c>
      <c r="J22" s="10">
        <f>IFERROR(vlookup('1.2'!I:I,lookup!$A$22:$B$24,2,false),0)</f>
        <v>5</v>
      </c>
      <c r="K22" s="10">
        <f>IFERROR(vlookup('1.2'!J:J,lookup!$A$26:$B$28,2,false),0)</f>
        <v>5</v>
      </c>
      <c r="L22" s="2"/>
      <c r="M22" s="10">
        <v>21.0</v>
      </c>
      <c r="N22" s="11" t="str">
        <f t="shared" si="1"/>
        <v>bnco0921@signalschool.ac.th</v>
      </c>
      <c r="O22" s="12">
        <f t="shared" si="2"/>
        <v>1</v>
      </c>
      <c r="R22" s="6" t="s">
        <v>238</v>
      </c>
    </row>
    <row r="23">
      <c r="A23" s="8">
        <f>'1.2'!A:A</f>
        <v>46153.36721</v>
      </c>
      <c r="B23" s="2" t="str">
        <f>'1.2'!B:B</f>
        <v>bnco0911@signalschool.ac.th</v>
      </c>
      <c r="C23" s="2" t="str">
        <f>'1.2'!C:C</f>
        <v>จ.ส.อ.พัลลภ ดวงเดือน</v>
      </c>
      <c r="D23" s="9">
        <v>1.0</v>
      </c>
      <c r="E23" s="10">
        <f>IFERROR(vlookup('1.2'!D:D,lookup!$A$2:$B$4,2,false),0)</f>
        <v>5</v>
      </c>
      <c r="F23" s="10">
        <f>IFERROR(vlookup('1.2'!E:E,lookup!$A$6:$B$8,2,false),0)</f>
        <v>5</v>
      </c>
      <c r="G23" s="10">
        <f>IFERROR(vlookup('1.2'!F:F,lookup!$A$10:$B$12,2,false),0)</f>
        <v>5</v>
      </c>
      <c r="H23" s="10">
        <f>IFERROR(vlookup('1.2'!G:G,lookup!$A$14:$B$16,2,false),0)</f>
        <v>5</v>
      </c>
      <c r="I23" s="10">
        <f>IFERROR(vlookup('1.2'!H:H,lookup!$A$18:$B$20,2,false),0)</f>
        <v>5</v>
      </c>
      <c r="J23" s="10">
        <f>IFERROR(vlookup('1.2'!I:I,lookup!$A$22:$B$24,2,false),0)</f>
        <v>5</v>
      </c>
      <c r="K23" s="10">
        <f>IFERROR(vlookup('1.2'!J:J,lookup!$A$26:$B$28,2,false),0)</f>
        <v>5</v>
      </c>
      <c r="L23" s="2"/>
      <c r="M23" s="10">
        <v>22.0</v>
      </c>
      <c r="N23" s="11" t="str">
        <f t="shared" si="1"/>
        <v>bnco0922@signalschool.ac.th</v>
      </c>
      <c r="O23" s="12">
        <f t="shared" si="2"/>
        <v>1</v>
      </c>
      <c r="R23" s="6" t="s">
        <v>239</v>
      </c>
    </row>
    <row r="24">
      <c r="A24" s="8">
        <f>'1.2'!A:A</f>
        <v>46153.36722</v>
      </c>
      <c r="B24" s="2" t="str">
        <f>'1.2'!B:B</f>
        <v>bnco0965@signalschool.ac.th</v>
      </c>
      <c r="C24" s="2" t="str">
        <f>'1.2'!C:C</f>
        <v>จ.ส.อ. พัลลภ  ดวงเดือน</v>
      </c>
      <c r="D24" s="9">
        <v>1.0</v>
      </c>
      <c r="E24" s="10">
        <f>IFERROR(vlookup('1.2'!D:D,lookup!$A$2:$B$4,2,false),0)</f>
        <v>5</v>
      </c>
      <c r="F24" s="10">
        <f>IFERROR(vlookup('1.2'!E:E,lookup!$A$6:$B$8,2,false),0)</f>
        <v>5</v>
      </c>
      <c r="G24" s="10">
        <f>IFERROR(vlookup('1.2'!F:F,lookup!$A$10:$B$12,2,false),0)</f>
        <v>5</v>
      </c>
      <c r="H24" s="10">
        <f>IFERROR(vlookup('1.2'!G:G,lookup!$A$14:$B$16,2,false),0)</f>
        <v>5</v>
      </c>
      <c r="I24" s="10">
        <f>IFERROR(vlookup('1.2'!H:H,lookup!$A$18:$B$20,2,false),0)</f>
        <v>5</v>
      </c>
      <c r="J24" s="10">
        <f>IFERROR(vlookup('1.2'!I:I,lookup!$A$22:$B$24,2,false),0)</f>
        <v>5</v>
      </c>
      <c r="K24" s="10">
        <f>IFERROR(vlookup('1.2'!J:J,lookup!$A$26:$B$28,2,false),0)</f>
        <v>5</v>
      </c>
      <c r="L24" s="2"/>
      <c r="M24" s="10">
        <v>23.0</v>
      </c>
      <c r="N24" s="11" t="str">
        <f t="shared" si="1"/>
        <v>bnco0923@signalschool.ac.th</v>
      </c>
      <c r="O24" s="12">
        <f t="shared" si="2"/>
        <v>1</v>
      </c>
      <c r="R24" s="6" t="s">
        <v>240</v>
      </c>
    </row>
    <row r="25">
      <c r="A25" s="8">
        <f>'1.2'!A:A</f>
        <v>46153.36737</v>
      </c>
      <c r="B25" s="2" t="str">
        <f>'1.2'!B:B</f>
        <v>bnco0948@signalschool.ac.th</v>
      </c>
      <c r="C25" s="2" t="str">
        <f>'1.2'!C:C</f>
        <v>ส.อ.สุริยา  มาลาคำ</v>
      </c>
      <c r="D25" s="9">
        <v>1.0</v>
      </c>
      <c r="E25" s="10">
        <f>IFERROR(vlookup('1.2'!D:D,lookup!$A$2:$B$4,2,false),0)</f>
        <v>5</v>
      </c>
      <c r="F25" s="10">
        <f>IFERROR(vlookup('1.2'!E:E,lookup!$A$6:$B$8,2,false),0)</f>
        <v>5</v>
      </c>
      <c r="G25" s="10">
        <f>IFERROR(vlookup('1.2'!F:F,lookup!$A$10:$B$12,2,false),0)</f>
        <v>5</v>
      </c>
      <c r="H25" s="10">
        <f>IFERROR(vlookup('1.2'!G:G,lookup!$A$14:$B$16,2,false),0)</f>
        <v>5</v>
      </c>
      <c r="I25" s="10">
        <f>IFERROR(vlookup('1.2'!H:H,lookup!$A$18:$B$20,2,false),0)</f>
        <v>5</v>
      </c>
      <c r="J25" s="10">
        <f>IFERROR(vlookup('1.2'!I:I,lookup!$A$22:$B$24,2,false),0)</f>
        <v>5</v>
      </c>
      <c r="K25" s="10">
        <f>IFERROR(vlookup('1.2'!J:J,lookup!$A$26:$B$28,2,false),0)</f>
        <v>5</v>
      </c>
      <c r="L25" s="2"/>
      <c r="M25" s="10">
        <v>24.0</v>
      </c>
      <c r="N25" s="11" t="str">
        <f t="shared" si="1"/>
        <v>bnco0924@signalschool.ac.th</v>
      </c>
      <c r="O25" s="12">
        <f t="shared" si="2"/>
        <v>1</v>
      </c>
      <c r="R25" s="6" t="s">
        <v>241</v>
      </c>
    </row>
    <row r="26">
      <c r="A26" s="8">
        <f>'1.2'!A:A</f>
        <v>46153.36737</v>
      </c>
      <c r="B26" s="2" t="str">
        <f>'1.2'!B:B</f>
        <v>bnco0977@signalschool.ac.th</v>
      </c>
      <c r="C26" s="2" t="str">
        <f>'1.2'!C:C</f>
        <v>จ.ส.อ. พัลลภ  ดวงเดือน, ส.อ. สิทธิศักดิ์  รินไธสง</v>
      </c>
      <c r="D26" s="9">
        <v>1.0</v>
      </c>
      <c r="E26" s="10">
        <f>IFERROR(vlookup('1.2'!D:D,lookup!$A$2:$B$4,2,false),0)</f>
        <v>5</v>
      </c>
      <c r="F26" s="10">
        <f>IFERROR(vlookup('1.2'!E:E,lookup!$A$6:$B$8,2,false),0)</f>
        <v>5</v>
      </c>
      <c r="G26" s="10">
        <f>IFERROR(vlookup('1.2'!F:F,lookup!$A$10:$B$12,2,false),0)</f>
        <v>5</v>
      </c>
      <c r="H26" s="10">
        <f>IFERROR(vlookup('1.2'!G:G,lookup!$A$14:$B$16,2,false),0)</f>
        <v>5</v>
      </c>
      <c r="I26" s="10">
        <f>IFERROR(vlookup('1.2'!H:H,lookup!$A$18:$B$20,2,false),0)</f>
        <v>5</v>
      </c>
      <c r="J26" s="10">
        <f>IFERROR(vlookup('1.2'!I:I,lookup!$A$22:$B$24,2,false),0)</f>
        <v>5</v>
      </c>
      <c r="K26" s="10">
        <f>IFERROR(vlookup('1.2'!J:J,lookup!$A$26:$B$28,2,false),0)</f>
        <v>5</v>
      </c>
      <c r="L26" s="2"/>
      <c r="M26" s="10">
        <v>25.0</v>
      </c>
      <c r="N26" s="11" t="str">
        <f t="shared" si="1"/>
        <v>bnco0925@signalschool.ac.th</v>
      </c>
      <c r="O26" s="12">
        <f t="shared" si="2"/>
        <v>1</v>
      </c>
      <c r="R26" s="6" t="s">
        <v>242</v>
      </c>
    </row>
    <row r="27">
      <c r="A27" s="8">
        <f>'1.2'!A:A</f>
        <v>46153.3674</v>
      </c>
      <c r="B27" s="2" t="str">
        <f>'1.2'!B:B</f>
        <v>bnco0960@signalschool.ac.th</v>
      </c>
      <c r="C27" s="2" t="str">
        <f>'1.2'!C:C</f>
        <v>จ.ส.อ. พัลลภ  ดวงเดือน</v>
      </c>
      <c r="D27" s="9">
        <v>1.0</v>
      </c>
      <c r="E27" s="10">
        <f>IFERROR(vlookup('1.2'!D:D,lookup!$A$2:$B$4,2,false),0)</f>
        <v>5</v>
      </c>
      <c r="F27" s="10">
        <f>IFERROR(vlookup('1.2'!E:E,lookup!$A$6:$B$8,2,false),0)</f>
        <v>5</v>
      </c>
      <c r="G27" s="10">
        <f>IFERROR(vlookup('1.2'!F:F,lookup!$A$10:$B$12,2,false),0)</f>
        <v>5</v>
      </c>
      <c r="H27" s="10">
        <f>IFERROR(vlookup('1.2'!G:G,lookup!$A$14:$B$16,2,false),0)</f>
        <v>5</v>
      </c>
      <c r="I27" s="10">
        <f>IFERROR(vlookup('1.2'!H:H,lookup!$A$18:$B$20,2,false),0)</f>
        <v>5</v>
      </c>
      <c r="J27" s="10">
        <f>IFERROR(vlookup('1.2'!I:I,lookup!$A$22:$B$24,2,false),0)</f>
        <v>5</v>
      </c>
      <c r="K27" s="10">
        <f>IFERROR(vlookup('1.2'!J:J,lookup!$A$26:$B$28,2,false),0)</f>
        <v>5</v>
      </c>
      <c r="L27" s="2"/>
      <c r="M27" s="10">
        <v>26.0</v>
      </c>
      <c r="N27" s="11" t="str">
        <f t="shared" si="1"/>
        <v>bnco0926@signalschool.ac.th</v>
      </c>
      <c r="O27" s="12">
        <f t="shared" si="2"/>
        <v>1</v>
      </c>
      <c r="R27" s="6" t="s">
        <v>243</v>
      </c>
    </row>
    <row r="28">
      <c r="A28" s="8">
        <f>'1.2'!A:A</f>
        <v>46153.36743</v>
      </c>
      <c r="B28" s="2" t="str">
        <f>'1.2'!B:B</f>
        <v>bnco0968@signalschool.ac.th</v>
      </c>
      <c r="C28" s="2" t="str">
        <f>'1.2'!C:C</f>
        <v>จ.ส.อ.พัลลภ ดวงเดือน</v>
      </c>
      <c r="D28" s="9">
        <v>1.0</v>
      </c>
      <c r="E28" s="10">
        <f>IFERROR(vlookup('1.2'!D:D,lookup!$A$2:$B$4,2,false),0)</f>
        <v>5</v>
      </c>
      <c r="F28" s="10">
        <f>IFERROR(vlookup('1.2'!E:E,lookup!$A$6:$B$8,2,false),0)</f>
        <v>5</v>
      </c>
      <c r="G28" s="10">
        <f>IFERROR(vlookup('1.2'!F:F,lookup!$A$10:$B$12,2,false),0)</f>
        <v>5</v>
      </c>
      <c r="H28" s="10">
        <f>IFERROR(vlookup('1.2'!G:G,lookup!$A$14:$B$16,2,false),0)</f>
        <v>5</v>
      </c>
      <c r="I28" s="10">
        <f>IFERROR(vlookup('1.2'!H:H,lookup!$A$18:$B$20,2,false),0)</f>
        <v>5</v>
      </c>
      <c r="J28" s="10">
        <f>IFERROR(vlookup('1.2'!I:I,lookup!$A$22:$B$24,2,false),0)</f>
        <v>5</v>
      </c>
      <c r="K28" s="10">
        <f>IFERROR(vlookup('1.2'!J:J,lookup!$A$26:$B$28,2,false),0)</f>
        <v>5</v>
      </c>
      <c r="L28" s="2"/>
      <c r="M28" s="10">
        <v>27.0</v>
      </c>
      <c r="N28" s="11" t="str">
        <f t="shared" si="1"/>
        <v>bnco0927@signalschool.ac.th</v>
      </c>
      <c r="O28" s="12">
        <f t="shared" si="2"/>
        <v>1</v>
      </c>
      <c r="R28" s="6" t="s">
        <v>244</v>
      </c>
    </row>
    <row r="29">
      <c r="A29" s="8">
        <f>'1.2'!A:A</f>
        <v>46153.36761</v>
      </c>
      <c r="B29" s="2" t="str">
        <f>'1.2'!B:B</f>
        <v>bnco0916@signalschool.ac.th</v>
      </c>
      <c r="C29" s="2" t="str">
        <f>'1.2'!C:C</f>
        <v>จ.ส.อ.พัลลพ ดวงเดือน</v>
      </c>
      <c r="D29" s="9">
        <v>1.0</v>
      </c>
      <c r="E29" s="10">
        <f>IFERROR(vlookup('1.2'!D:D,lookup!$A$2:$B$4,2,false),0)</f>
        <v>5</v>
      </c>
      <c r="F29" s="10">
        <f>IFERROR(vlookup('1.2'!E:E,lookup!$A$6:$B$8,2,false),0)</f>
        <v>5</v>
      </c>
      <c r="G29" s="10">
        <f>IFERROR(vlookup('1.2'!F:F,lookup!$A$10:$B$12,2,false),0)</f>
        <v>5</v>
      </c>
      <c r="H29" s="10">
        <f>IFERROR(vlookup('1.2'!G:G,lookup!$A$14:$B$16,2,false),0)</f>
        <v>5</v>
      </c>
      <c r="I29" s="10">
        <f>IFERROR(vlookup('1.2'!H:H,lookup!$A$18:$B$20,2,false),0)</f>
        <v>5</v>
      </c>
      <c r="J29" s="10">
        <f>IFERROR(vlookup('1.2'!I:I,lookup!$A$22:$B$24,2,false),0)</f>
        <v>5</v>
      </c>
      <c r="K29" s="10">
        <f>IFERROR(vlookup('1.2'!J:J,lookup!$A$26:$B$28,2,false),0)</f>
        <v>5</v>
      </c>
      <c r="L29" s="2"/>
      <c r="M29" s="10">
        <v>28.0</v>
      </c>
      <c r="N29" s="11" t="str">
        <f t="shared" si="1"/>
        <v>bnco0928@signalschool.ac.th</v>
      </c>
      <c r="O29" s="12">
        <f t="shared" si="2"/>
        <v>1</v>
      </c>
      <c r="R29" s="6" t="s">
        <v>245</v>
      </c>
    </row>
    <row r="30">
      <c r="A30" s="8">
        <f>'1.2'!A:A</f>
        <v>46153.36769</v>
      </c>
      <c r="B30" s="2" t="str">
        <f>'1.2'!B:B</f>
        <v>bnco0903@signalschool.ac.th</v>
      </c>
      <c r="C30" s="2" t="str">
        <f>'1.2'!C:C</f>
        <v>จ.ส.อ. พัลลภ  ดวงเดือน, ส.อ. สิทธิศักดิ์  รินไธสง</v>
      </c>
      <c r="D30" s="9">
        <v>1.0</v>
      </c>
      <c r="E30" s="10">
        <f>IFERROR(vlookup('1.2'!D:D,lookup!$A$2:$B$4,2,false),0)</f>
        <v>5</v>
      </c>
      <c r="F30" s="10">
        <f>IFERROR(vlookup('1.2'!E:E,lookup!$A$6:$B$8,2,false),0)</f>
        <v>5</v>
      </c>
      <c r="G30" s="10">
        <f>IFERROR(vlookup('1.2'!F:F,lookup!$A$10:$B$12,2,false),0)</f>
        <v>5</v>
      </c>
      <c r="H30" s="10">
        <f>IFERROR(vlookup('1.2'!G:G,lookup!$A$14:$B$16,2,false),0)</f>
        <v>5</v>
      </c>
      <c r="I30" s="10">
        <f>IFERROR(vlookup('1.2'!H:H,lookup!$A$18:$B$20,2,false),0)</f>
        <v>5</v>
      </c>
      <c r="J30" s="10">
        <f>IFERROR(vlookup('1.2'!I:I,lookup!$A$22:$B$24,2,false),0)</f>
        <v>5</v>
      </c>
      <c r="K30" s="10">
        <f>IFERROR(vlookup('1.2'!J:J,lookup!$A$26:$B$28,2,false),0)</f>
        <v>5</v>
      </c>
      <c r="L30" s="2"/>
      <c r="M30" s="10">
        <v>29.0</v>
      </c>
      <c r="N30" s="11" t="str">
        <f t="shared" si="1"/>
        <v>bnco0929@signalschool.ac.th</v>
      </c>
      <c r="O30" s="12">
        <f t="shared" si="2"/>
        <v>1</v>
      </c>
      <c r="R30" s="6" t="s">
        <v>246</v>
      </c>
    </row>
    <row r="31">
      <c r="A31" s="8">
        <f>'1.2'!A:A</f>
        <v>46153.36771</v>
      </c>
      <c r="B31" s="2" t="str">
        <f>'1.2'!B:B</f>
        <v>bnco0933@signalschool.ac.th</v>
      </c>
      <c r="C31" s="2" t="str">
        <f>'1.2'!C:C</f>
        <v>จ.ส.อ.พัลลภ ดวงเดือน</v>
      </c>
      <c r="D31" s="9">
        <v>1.0</v>
      </c>
      <c r="E31" s="10">
        <f>IFERROR(vlookup('1.2'!D:D,lookup!$A$2:$B$4,2,false),0)</f>
        <v>5</v>
      </c>
      <c r="F31" s="10">
        <f>IFERROR(vlookup('1.2'!E:E,lookup!$A$6:$B$8,2,false),0)</f>
        <v>5</v>
      </c>
      <c r="G31" s="10">
        <f>IFERROR(vlookup('1.2'!F:F,lookup!$A$10:$B$12,2,false),0)</f>
        <v>5</v>
      </c>
      <c r="H31" s="10">
        <f>IFERROR(vlookup('1.2'!G:G,lookup!$A$14:$B$16,2,false),0)</f>
        <v>5</v>
      </c>
      <c r="I31" s="10">
        <f>IFERROR(vlookup('1.2'!H:H,lookup!$A$18:$B$20,2,false),0)</f>
        <v>5</v>
      </c>
      <c r="J31" s="10">
        <f>IFERROR(vlookup('1.2'!I:I,lookup!$A$22:$B$24,2,false),0)</f>
        <v>5</v>
      </c>
      <c r="K31" s="10">
        <f>IFERROR(vlookup('1.2'!J:J,lookup!$A$26:$B$28,2,false),0)</f>
        <v>5</v>
      </c>
      <c r="L31" s="2"/>
      <c r="M31" s="10">
        <v>30.0</v>
      </c>
      <c r="N31" s="11" t="str">
        <f t="shared" si="1"/>
        <v>bnco0930@signalschool.ac.th</v>
      </c>
      <c r="O31" s="12">
        <f t="shared" si="2"/>
        <v>1</v>
      </c>
      <c r="R31" s="6" t="s">
        <v>247</v>
      </c>
    </row>
    <row r="32">
      <c r="A32" s="8">
        <f>'1.2'!A:A</f>
        <v>46153.36771</v>
      </c>
      <c r="B32" s="2" t="str">
        <f>'1.2'!B:B</f>
        <v>bnco0959@signalschool.ac.th</v>
      </c>
      <c r="C32" s="2" t="str">
        <f>'1.2'!C:C</f>
        <v>จ.ส.อ.พัลลภ ดวงเดือน</v>
      </c>
      <c r="D32" s="9">
        <v>1.0</v>
      </c>
      <c r="E32" s="10">
        <f>IFERROR(vlookup('1.2'!D:D,lookup!$A$2:$B$4,2,false),0)</f>
        <v>5</v>
      </c>
      <c r="F32" s="10">
        <f>IFERROR(vlookup('1.2'!E:E,lookup!$A$6:$B$8,2,false),0)</f>
        <v>5</v>
      </c>
      <c r="G32" s="10">
        <f>IFERROR(vlookup('1.2'!F:F,lookup!$A$10:$B$12,2,false),0)</f>
        <v>5</v>
      </c>
      <c r="H32" s="10">
        <f>IFERROR(vlookup('1.2'!G:G,lookup!$A$14:$B$16,2,false),0)</f>
        <v>5</v>
      </c>
      <c r="I32" s="10">
        <f>IFERROR(vlookup('1.2'!H:H,lookup!$A$18:$B$20,2,false),0)</f>
        <v>5</v>
      </c>
      <c r="J32" s="10">
        <f>IFERROR(vlookup('1.2'!I:I,lookup!$A$22:$B$24,2,false),0)</f>
        <v>5</v>
      </c>
      <c r="K32" s="10">
        <f>IFERROR(vlookup('1.2'!J:J,lookup!$A$26:$B$28,2,false),0)</f>
        <v>5</v>
      </c>
      <c r="L32" s="2"/>
      <c r="M32" s="10">
        <v>31.0</v>
      </c>
      <c r="N32" s="11" t="str">
        <f t="shared" si="1"/>
        <v>bnco0931@signalschool.ac.th</v>
      </c>
      <c r="O32" s="12">
        <f t="shared" si="2"/>
        <v>1</v>
      </c>
      <c r="R32" s="6" t="s">
        <v>248</v>
      </c>
    </row>
    <row r="33">
      <c r="A33" s="8">
        <f>'1.2'!A:A</f>
        <v>46153.36772</v>
      </c>
      <c r="B33" s="2" t="str">
        <f>'1.2'!B:B</f>
        <v>bnco0921@signalschool.ac.th</v>
      </c>
      <c r="C33" s="2" t="str">
        <f>'1.2'!C:C</f>
        <v>จ.ส.อ. พัลลภ  ดวงเดือน, ส.อ. สิทธิศักดิ์  รินไธสง</v>
      </c>
      <c r="D33" s="9">
        <v>1.0</v>
      </c>
      <c r="E33" s="10">
        <f>IFERROR(vlookup('1.2'!D:D,lookup!$A$2:$B$4,2,false),0)</f>
        <v>5</v>
      </c>
      <c r="F33" s="10">
        <f>IFERROR(vlookup('1.2'!E:E,lookup!$A$6:$B$8,2,false),0)</f>
        <v>5</v>
      </c>
      <c r="G33" s="10">
        <f>IFERROR(vlookup('1.2'!F:F,lookup!$A$10:$B$12,2,false),0)</f>
        <v>5</v>
      </c>
      <c r="H33" s="10">
        <f>IFERROR(vlookup('1.2'!G:G,lookup!$A$14:$B$16,2,false),0)</f>
        <v>5</v>
      </c>
      <c r="I33" s="10">
        <f>IFERROR(vlookup('1.2'!H:H,lookup!$A$18:$B$20,2,false),0)</f>
        <v>5</v>
      </c>
      <c r="J33" s="10">
        <f>IFERROR(vlookup('1.2'!I:I,lookup!$A$22:$B$24,2,false),0)</f>
        <v>5</v>
      </c>
      <c r="K33" s="10">
        <f>IFERROR(vlookup('1.2'!J:J,lookup!$A$26:$B$28,2,false),0)</f>
        <v>5</v>
      </c>
      <c r="L33" s="2"/>
      <c r="M33" s="10">
        <v>32.0</v>
      </c>
      <c r="N33" s="11" t="str">
        <f t="shared" si="1"/>
        <v>bnco0932@signalschool.ac.th</v>
      </c>
      <c r="O33" s="12">
        <f t="shared" si="2"/>
        <v>1</v>
      </c>
      <c r="R33" s="6" t="s">
        <v>249</v>
      </c>
    </row>
    <row r="34">
      <c r="A34" s="8">
        <f>'1.2'!A:A</f>
        <v>46153.36772</v>
      </c>
      <c r="B34" s="2" t="str">
        <f>'1.2'!B:B</f>
        <v>bnco0920@signalschool.ac.th</v>
      </c>
      <c r="C34" s="2" t="str">
        <f>'1.2'!C:C</f>
        <v>จ.ส.อ. พัลลภ  ดวงเดือน, ส.อ. สิทธิศักดิ์  รินไธสง</v>
      </c>
      <c r="D34" s="9">
        <v>1.0</v>
      </c>
      <c r="E34" s="10">
        <f>IFERROR(vlookup('1.2'!D:D,lookup!$A$2:$B$4,2,false),0)</f>
        <v>5</v>
      </c>
      <c r="F34" s="10">
        <f>IFERROR(vlookup('1.2'!E:E,lookup!$A$6:$B$8,2,false),0)</f>
        <v>5</v>
      </c>
      <c r="G34" s="10">
        <f>IFERROR(vlookup('1.2'!F:F,lookup!$A$10:$B$12,2,false),0)</f>
        <v>5</v>
      </c>
      <c r="H34" s="10">
        <f>IFERROR(vlookup('1.2'!G:G,lookup!$A$14:$B$16,2,false),0)</f>
        <v>5</v>
      </c>
      <c r="I34" s="10">
        <f>IFERROR(vlookup('1.2'!H:H,lookup!$A$18:$B$20,2,false),0)</f>
        <v>5</v>
      </c>
      <c r="J34" s="10">
        <f>IFERROR(vlookup('1.2'!I:I,lookup!$A$22:$B$24,2,false),0)</f>
        <v>5</v>
      </c>
      <c r="K34" s="10">
        <f>IFERROR(vlookup('1.2'!J:J,lookup!$A$26:$B$28,2,false),0)</f>
        <v>5</v>
      </c>
      <c r="L34" s="2"/>
      <c r="M34" s="10">
        <v>33.0</v>
      </c>
      <c r="N34" s="11" t="str">
        <f t="shared" si="1"/>
        <v>bnco0933@signalschool.ac.th</v>
      </c>
      <c r="O34" s="12">
        <f t="shared" si="2"/>
        <v>1</v>
      </c>
      <c r="R34" s="6" t="s">
        <v>250</v>
      </c>
    </row>
    <row r="35">
      <c r="A35" s="8">
        <f>'1.2'!A:A</f>
        <v>46153.36779</v>
      </c>
      <c r="B35" s="2" t="str">
        <f>'1.2'!B:B</f>
        <v>bnco0926@signalschool.ac.th</v>
      </c>
      <c r="C35" s="2" t="str">
        <f>'1.2'!C:C</f>
        <v>จ.ส.อ.พัลลภ ดวงเดือน</v>
      </c>
      <c r="D35" s="9">
        <v>1.0</v>
      </c>
      <c r="E35" s="10">
        <f>IFERROR(vlookup('1.2'!D:D,lookup!$A$2:$B$4,2,false),0)</f>
        <v>5</v>
      </c>
      <c r="F35" s="10">
        <f>IFERROR(vlookup('1.2'!E:E,lookup!$A$6:$B$8,2,false),0)</f>
        <v>5</v>
      </c>
      <c r="G35" s="10">
        <f>IFERROR(vlookup('1.2'!F:F,lookup!$A$10:$B$12,2,false),0)</f>
        <v>5</v>
      </c>
      <c r="H35" s="10">
        <f>IFERROR(vlookup('1.2'!G:G,lookup!$A$14:$B$16,2,false),0)</f>
        <v>5</v>
      </c>
      <c r="I35" s="10">
        <f>IFERROR(vlookup('1.2'!H:H,lookup!$A$18:$B$20,2,false),0)</f>
        <v>5</v>
      </c>
      <c r="J35" s="10">
        <f>IFERROR(vlookup('1.2'!I:I,lookup!$A$22:$B$24,2,false),0)</f>
        <v>5</v>
      </c>
      <c r="K35" s="10">
        <f>IFERROR(vlookup('1.2'!J:J,lookup!$A$26:$B$28,2,false),0)</f>
        <v>5</v>
      </c>
      <c r="L35" s="2"/>
      <c r="M35" s="10">
        <v>34.0</v>
      </c>
      <c r="N35" s="11" t="str">
        <f t="shared" si="1"/>
        <v>bnco0934@signalschool.ac.th</v>
      </c>
      <c r="O35" s="12">
        <f t="shared" si="2"/>
        <v>1</v>
      </c>
      <c r="R35" s="6" t="s">
        <v>251</v>
      </c>
    </row>
    <row r="36">
      <c r="A36" s="8">
        <f>'1.2'!A:A</f>
        <v>46153.36802</v>
      </c>
      <c r="B36" s="2" t="str">
        <f>'1.2'!B:B</f>
        <v>bnco0973@signalschool.ac.th</v>
      </c>
      <c r="C36" s="2" t="str">
        <f>'1.2'!C:C</f>
        <v>จ.ส.อ.พัลลภ ดวงเดือน</v>
      </c>
      <c r="D36" s="9">
        <v>1.0</v>
      </c>
      <c r="E36" s="10">
        <f>IFERROR(vlookup('1.2'!D:D,lookup!$A$2:$B$4,2,false),0)</f>
        <v>5</v>
      </c>
      <c r="F36" s="10">
        <f>IFERROR(vlookup('1.2'!E:E,lookup!$A$6:$B$8,2,false),0)</f>
        <v>5</v>
      </c>
      <c r="G36" s="10">
        <f>IFERROR(vlookup('1.2'!F:F,lookup!$A$10:$B$12,2,false),0)</f>
        <v>5</v>
      </c>
      <c r="H36" s="10">
        <f>IFERROR(vlookup('1.2'!G:G,lookup!$A$14:$B$16,2,false),0)</f>
        <v>5</v>
      </c>
      <c r="I36" s="10">
        <f>IFERROR(vlookup('1.2'!H:H,lookup!$A$18:$B$20,2,false),0)</f>
        <v>5</v>
      </c>
      <c r="J36" s="10">
        <f>IFERROR(vlookup('1.2'!I:I,lookup!$A$22:$B$24,2,false),0)</f>
        <v>5</v>
      </c>
      <c r="K36" s="10">
        <f>IFERROR(vlookup('1.2'!J:J,lookup!$A$26:$B$28,2,false),0)</f>
        <v>5</v>
      </c>
      <c r="L36" s="2"/>
      <c r="M36" s="10">
        <v>35.0</v>
      </c>
      <c r="N36" s="11" t="str">
        <f t="shared" si="1"/>
        <v>bnco0935@signalschool.ac.th</v>
      </c>
      <c r="O36" s="12">
        <f t="shared" si="2"/>
        <v>1</v>
      </c>
      <c r="R36" s="6" t="s">
        <v>252</v>
      </c>
    </row>
    <row r="37">
      <c r="A37" s="8">
        <f>'1.2'!A:A</f>
        <v>46153.36803</v>
      </c>
      <c r="B37" s="2" t="str">
        <f>'1.2'!B:B</f>
        <v>bnco0966@signalschool.ac.th</v>
      </c>
      <c r="C37" s="2" t="str">
        <f>'1.2'!C:C</f>
        <v>จ.ส.อ.พัลลภ ดวงเดือน, ส.อ.สิทธิศักดิ์ รินไธสง</v>
      </c>
      <c r="D37" s="9">
        <v>1.0</v>
      </c>
      <c r="E37" s="10">
        <f>IFERROR(vlookup('1.2'!D:D,lookup!$A$2:$B$4,2,false),0)</f>
        <v>5</v>
      </c>
      <c r="F37" s="10">
        <f>IFERROR(vlookup('1.2'!E:E,lookup!$A$6:$B$8,2,false),0)</f>
        <v>5</v>
      </c>
      <c r="G37" s="10">
        <f>IFERROR(vlookup('1.2'!F:F,lookup!$A$10:$B$12,2,false),0)</f>
        <v>5</v>
      </c>
      <c r="H37" s="10">
        <f>IFERROR(vlookup('1.2'!G:G,lookup!$A$14:$B$16,2,false),0)</f>
        <v>5</v>
      </c>
      <c r="I37" s="10">
        <f>IFERROR(vlookup('1.2'!H:H,lookup!$A$18:$B$20,2,false),0)</f>
        <v>5</v>
      </c>
      <c r="J37" s="10">
        <f>IFERROR(vlookup('1.2'!I:I,lookup!$A$22:$B$24,2,false),0)</f>
        <v>5</v>
      </c>
      <c r="K37" s="10">
        <f>IFERROR(vlookup('1.2'!J:J,lookup!$A$26:$B$28,2,false),0)</f>
        <v>5</v>
      </c>
      <c r="L37" s="2"/>
      <c r="M37" s="10">
        <v>36.0</v>
      </c>
      <c r="N37" s="11" t="str">
        <f t="shared" si="1"/>
        <v>bnco0936@signalschool.ac.th</v>
      </c>
      <c r="O37" s="12">
        <f t="shared" si="2"/>
        <v>1</v>
      </c>
      <c r="R37" s="6" t="s">
        <v>253</v>
      </c>
    </row>
    <row r="38">
      <c r="A38" s="8">
        <f>'1.2'!A:A</f>
        <v>46153.36804</v>
      </c>
      <c r="B38" s="2" t="str">
        <f>'1.2'!B:B</f>
        <v>bnco0953@signalschool.ac.th</v>
      </c>
      <c r="C38" s="2" t="str">
        <f>'1.2'!C:C</f>
        <v>ส.อ.จารุเดช เปรมจิตต์</v>
      </c>
      <c r="D38" s="9">
        <v>1.0</v>
      </c>
      <c r="E38" s="10">
        <f>IFERROR(vlookup('1.2'!D:D,lookup!$A$2:$B$4,2,false),0)</f>
        <v>5</v>
      </c>
      <c r="F38" s="10">
        <f>IFERROR(vlookup('1.2'!E:E,lookup!$A$6:$B$8,2,false),0)</f>
        <v>5</v>
      </c>
      <c r="G38" s="10">
        <f>IFERROR(vlookup('1.2'!F:F,lookup!$A$10:$B$12,2,false),0)</f>
        <v>5</v>
      </c>
      <c r="H38" s="10">
        <f>IFERROR(vlookup('1.2'!G:G,lookup!$A$14:$B$16,2,false),0)</f>
        <v>5</v>
      </c>
      <c r="I38" s="10">
        <f>IFERROR(vlookup('1.2'!H:H,lookup!$A$18:$B$20,2,false),0)</f>
        <v>5</v>
      </c>
      <c r="J38" s="10">
        <f>IFERROR(vlookup('1.2'!I:I,lookup!$A$22:$B$24,2,false),0)</f>
        <v>5</v>
      </c>
      <c r="K38" s="10">
        <f>IFERROR(vlookup('1.2'!J:J,lookup!$A$26:$B$28,2,false),0)</f>
        <v>3</v>
      </c>
      <c r="L38" s="2"/>
      <c r="M38" s="10">
        <v>37.0</v>
      </c>
      <c r="N38" s="11" t="str">
        <f t="shared" si="1"/>
        <v>bnco0937@signalschool.ac.th</v>
      </c>
      <c r="O38" s="12">
        <f t="shared" si="2"/>
        <v>1</v>
      </c>
      <c r="R38" s="6" t="s">
        <v>254</v>
      </c>
    </row>
    <row r="39">
      <c r="A39" s="8">
        <f>'1.2'!A:A</f>
        <v>46153.36806</v>
      </c>
      <c r="B39" s="2" t="str">
        <f>'1.2'!B:B</f>
        <v>bnco0976@signalschool.ac.th</v>
      </c>
      <c r="C39" s="2" t="str">
        <f>'1.2'!C:C</f>
        <v>ส.อ.ธนากร ศรีน้อย</v>
      </c>
      <c r="D39" s="9">
        <v>1.0</v>
      </c>
      <c r="E39" s="10">
        <f>IFERROR(vlookup('1.2'!D:D,lookup!$A$2:$B$4,2,false),0)</f>
        <v>5</v>
      </c>
      <c r="F39" s="10">
        <f>IFERROR(vlookup('1.2'!E:E,lookup!$A$6:$B$8,2,false),0)</f>
        <v>5</v>
      </c>
      <c r="G39" s="10">
        <f>IFERROR(vlookup('1.2'!F:F,lookup!$A$10:$B$12,2,false),0)</f>
        <v>5</v>
      </c>
      <c r="H39" s="10">
        <f>IFERROR(vlookup('1.2'!G:G,lookup!$A$14:$B$16,2,false),0)</f>
        <v>5</v>
      </c>
      <c r="I39" s="10">
        <f>IFERROR(vlookup('1.2'!H:H,lookup!$A$18:$B$20,2,false),0)</f>
        <v>5</v>
      </c>
      <c r="J39" s="10">
        <f>IFERROR(vlookup('1.2'!I:I,lookup!$A$22:$B$24,2,false),0)</f>
        <v>5</v>
      </c>
      <c r="K39" s="10">
        <f>IFERROR(vlookup('1.2'!J:J,lookup!$A$26:$B$28,2,false),0)</f>
        <v>5</v>
      </c>
      <c r="L39" s="2"/>
      <c r="M39" s="10">
        <v>38.0</v>
      </c>
      <c r="N39" s="11" t="str">
        <f t="shared" si="1"/>
        <v>bnco0938@signalschool.ac.th</v>
      </c>
      <c r="O39" s="12">
        <f t="shared" si="2"/>
        <v>1</v>
      </c>
      <c r="R39" s="6" t="s">
        <v>255</v>
      </c>
    </row>
    <row r="40">
      <c r="A40" s="8">
        <f>'1.2'!A:A</f>
        <v>46153.36823</v>
      </c>
      <c r="B40" s="2" t="str">
        <f>'1.2'!B:B</f>
        <v>bnco0944@signalschool.ac.th</v>
      </c>
      <c r="C40" s="2" t="str">
        <f>'1.2'!C:C</f>
        <v>จ.ส.อ.พัลลภ ดวงเดือน</v>
      </c>
      <c r="D40" s="9">
        <v>1.0</v>
      </c>
      <c r="E40" s="10">
        <f>IFERROR(vlookup('1.2'!D:D,lookup!$A$2:$B$4,2,false),0)</f>
        <v>5</v>
      </c>
      <c r="F40" s="10">
        <f>IFERROR(vlookup('1.2'!E:E,lookup!$A$6:$B$8,2,false),0)</f>
        <v>5</v>
      </c>
      <c r="G40" s="10">
        <f>IFERROR(vlookup('1.2'!F:F,lookup!$A$10:$B$12,2,false),0)</f>
        <v>5</v>
      </c>
      <c r="H40" s="10">
        <f>IFERROR(vlookup('1.2'!G:G,lookup!$A$14:$B$16,2,false),0)</f>
        <v>5</v>
      </c>
      <c r="I40" s="10">
        <f>IFERROR(vlookup('1.2'!H:H,lookup!$A$18:$B$20,2,false),0)</f>
        <v>5</v>
      </c>
      <c r="J40" s="10">
        <f>IFERROR(vlookup('1.2'!I:I,lookup!$A$22:$B$24,2,false),0)</f>
        <v>5</v>
      </c>
      <c r="K40" s="10">
        <f>IFERROR(vlookup('1.2'!J:J,lookup!$A$26:$B$28,2,false),0)</f>
        <v>5</v>
      </c>
      <c r="L40" s="2"/>
      <c r="M40" s="10">
        <v>39.0</v>
      </c>
      <c r="N40" s="11" t="str">
        <f t="shared" si="1"/>
        <v>bnco0939@signalschool.ac.th</v>
      </c>
      <c r="O40" s="12">
        <f t="shared" si="2"/>
        <v>1</v>
      </c>
      <c r="R40" s="6" t="s">
        <v>256</v>
      </c>
    </row>
    <row r="41">
      <c r="A41" s="8">
        <f>'1.2'!A:A</f>
        <v>46153.36825</v>
      </c>
      <c r="B41" s="2" t="str">
        <f>'1.2'!B:B</f>
        <v>bnco0922@signalschool.ac.th</v>
      </c>
      <c r="C41" s="2" t="str">
        <f>'1.2'!C:C</f>
        <v>จ.ส.อ.พัลลภ ดวงเดือน</v>
      </c>
      <c r="D41" s="9">
        <v>1.0</v>
      </c>
      <c r="E41" s="10">
        <f>IFERROR(vlookup('1.2'!D:D,lookup!$A$2:$B$4,2,false),0)</f>
        <v>5</v>
      </c>
      <c r="F41" s="10">
        <f>IFERROR(vlookup('1.2'!E:E,lookup!$A$6:$B$8,2,false),0)</f>
        <v>5</v>
      </c>
      <c r="G41" s="10">
        <f>IFERROR(vlookup('1.2'!F:F,lookup!$A$10:$B$12,2,false),0)</f>
        <v>5</v>
      </c>
      <c r="H41" s="10">
        <f>IFERROR(vlookup('1.2'!G:G,lookup!$A$14:$B$16,2,false),0)</f>
        <v>5</v>
      </c>
      <c r="I41" s="10">
        <f>IFERROR(vlookup('1.2'!H:H,lookup!$A$18:$B$20,2,false),0)</f>
        <v>5</v>
      </c>
      <c r="J41" s="10">
        <f>IFERROR(vlookup('1.2'!I:I,lookup!$A$22:$B$24,2,false),0)</f>
        <v>5</v>
      </c>
      <c r="K41" s="10">
        <f>IFERROR(vlookup('1.2'!J:J,lookup!$A$26:$B$28,2,false),0)</f>
        <v>5</v>
      </c>
      <c r="L41" s="2"/>
      <c r="M41" s="10">
        <v>40.0</v>
      </c>
      <c r="N41" s="11" t="str">
        <f t="shared" si="1"/>
        <v>bnco0940@signalschool.ac.th</v>
      </c>
      <c r="O41" s="12">
        <f t="shared" si="2"/>
        <v>1</v>
      </c>
      <c r="R41" s="6" t="s">
        <v>257</v>
      </c>
    </row>
    <row r="42">
      <c r="A42" s="8">
        <f>'1.2'!A:A</f>
        <v>46153.36826</v>
      </c>
      <c r="B42" s="2" t="str">
        <f>'1.2'!B:B</f>
        <v>bnco0945@signalschool.ac.th</v>
      </c>
      <c r="C42" s="2" t="str">
        <f>'1.2'!C:C</f>
        <v>จ.ส.อ. พัลลภ ดวงเดือน</v>
      </c>
      <c r="D42" s="9">
        <v>1.0</v>
      </c>
      <c r="E42" s="10">
        <f>IFERROR(vlookup('1.2'!D:D,lookup!$A$2:$B$4,2,false),0)</f>
        <v>5</v>
      </c>
      <c r="F42" s="10">
        <f>IFERROR(vlookup('1.2'!E:E,lookup!$A$6:$B$8,2,false),0)</f>
        <v>5</v>
      </c>
      <c r="G42" s="10">
        <f>IFERROR(vlookup('1.2'!F:F,lookup!$A$10:$B$12,2,false),0)</f>
        <v>5</v>
      </c>
      <c r="H42" s="10">
        <f>IFERROR(vlookup('1.2'!G:G,lookup!$A$14:$B$16,2,false),0)</f>
        <v>5</v>
      </c>
      <c r="I42" s="10">
        <f>IFERROR(vlookup('1.2'!H:H,lookup!$A$18:$B$20,2,false),0)</f>
        <v>5</v>
      </c>
      <c r="J42" s="10">
        <f>IFERROR(vlookup('1.2'!I:I,lookup!$A$22:$B$24,2,false),0)</f>
        <v>5</v>
      </c>
      <c r="K42" s="10">
        <f>IFERROR(vlookup('1.2'!J:J,lookup!$A$26:$B$28,2,false),0)</f>
        <v>5</v>
      </c>
      <c r="L42" s="2"/>
      <c r="M42" s="10">
        <v>41.0</v>
      </c>
      <c r="N42" s="11" t="str">
        <f t="shared" si="1"/>
        <v>bnco0941@signalschool.ac.th</v>
      </c>
      <c r="O42" s="12">
        <f t="shared" si="2"/>
        <v>1</v>
      </c>
      <c r="R42" s="6" t="s">
        <v>258</v>
      </c>
    </row>
    <row r="43">
      <c r="A43" s="8">
        <f>'1.2'!A:A</f>
        <v>46153.36834</v>
      </c>
      <c r="B43" s="2" t="str">
        <f>'1.2'!B:B</f>
        <v>bnco0935@signalschool.ac.th</v>
      </c>
      <c r="C43" s="2" t="str">
        <f>'1.2'!C:C</f>
        <v>จ.ส.อ.พัลลภ ดวงเดือน, ส.อ. สิทธิศักดิ์  รินไธสง</v>
      </c>
      <c r="D43" s="9">
        <v>1.0</v>
      </c>
      <c r="E43" s="10">
        <f>IFERROR(vlookup('1.2'!D:D,lookup!$A$2:$B$4,2,false),0)</f>
        <v>5</v>
      </c>
      <c r="F43" s="10">
        <f>IFERROR(vlookup('1.2'!E:E,lookup!$A$6:$B$8,2,false),0)</f>
        <v>5</v>
      </c>
      <c r="G43" s="10">
        <f>IFERROR(vlookup('1.2'!F:F,lookup!$A$10:$B$12,2,false),0)</f>
        <v>5</v>
      </c>
      <c r="H43" s="10">
        <f>IFERROR(vlookup('1.2'!G:G,lookup!$A$14:$B$16,2,false),0)</f>
        <v>5</v>
      </c>
      <c r="I43" s="10">
        <f>IFERROR(vlookup('1.2'!H:H,lookup!$A$18:$B$20,2,false),0)</f>
        <v>5</v>
      </c>
      <c r="J43" s="10">
        <f>IFERROR(vlookup('1.2'!I:I,lookup!$A$22:$B$24,2,false),0)</f>
        <v>5</v>
      </c>
      <c r="K43" s="10">
        <f>IFERROR(vlookup('1.2'!J:J,lookup!$A$26:$B$28,2,false),0)</f>
        <v>5</v>
      </c>
      <c r="L43" s="2"/>
      <c r="M43" s="10">
        <v>42.0</v>
      </c>
      <c r="N43" s="11" t="str">
        <f t="shared" si="1"/>
        <v>bnco0942@signalschool.ac.th</v>
      </c>
      <c r="O43" s="12">
        <f t="shared" si="2"/>
        <v>1</v>
      </c>
      <c r="R43" s="6" t="s">
        <v>259</v>
      </c>
    </row>
    <row r="44">
      <c r="A44" s="8">
        <f>'1.2'!A:A</f>
        <v>46153.36834</v>
      </c>
      <c r="B44" s="2" t="str">
        <f>'1.2'!B:B</f>
        <v>bnco0923@signalschool.ac.th</v>
      </c>
      <c r="C44" s="2" t="str">
        <f>'1.2'!C:C</f>
        <v>จ.ส.อ. พัลลภ  ดวงเดือน, ส.อ. สิทธิศักดิ์  รินไธสง</v>
      </c>
      <c r="D44" s="9">
        <v>1.0</v>
      </c>
      <c r="E44" s="10">
        <f>IFERROR(vlookup('1.2'!D:D,lookup!$A$2:$B$4,2,false),0)</f>
        <v>5</v>
      </c>
      <c r="F44" s="10">
        <f>IFERROR(vlookup('1.2'!E:E,lookup!$A$6:$B$8,2,false),0)</f>
        <v>5</v>
      </c>
      <c r="G44" s="10">
        <f>IFERROR(vlookup('1.2'!F:F,lookup!$A$10:$B$12,2,false),0)</f>
        <v>5</v>
      </c>
      <c r="H44" s="10">
        <f>IFERROR(vlookup('1.2'!G:G,lookup!$A$14:$B$16,2,false),0)</f>
        <v>5</v>
      </c>
      <c r="I44" s="10">
        <f>IFERROR(vlookup('1.2'!H:H,lookup!$A$18:$B$20,2,false),0)</f>
        <v>5</v>
      </c>
      <c r="J44" s="10">
        <f>IFERROR(vlookup('1.2'!I:I,lookup!$A$22:$B$24,2,false),0)</f>
        <v>3</v>
      </c>
      <c r="K44" s="10">
        <f>IFERROR(vlookup('1.2'!J:J,lookup!$A$26:$B$28,2,false),0)</f>
        <v>5</v>
      </c>
      <c r="L44" s="2"/>
      <c r="M44" s="10">
        <v>43.0</v>
      </c>
      <c r="N44" s="11" t="str">
        <f t="shared" si="1"/>
        <v>bnco0943@signalschool.ac.th</v>
      </c>
      <c r="O44" s="12">
        <f t="shared" si="2"/>
        <v>1</v>
      </c>
      <c r="R44" s="6" t="s">
        <v>260</v>
      </c>
    </row>
    <row r="45">
      <c r="A45" s="8">
        <f>'1.2'!A:A</f>
        <v>46153.36852</v>
      </c>
      <c r="B45" s="2" t="str">
        <f>'1.2'!B:B</f>
        <v>bnco0962@signalschool.ac.th</v>
      </c>
      <c r="C45" s="2" t="str">
        <f>'1.2'!C:C</f>
        <v>จ.ส.อ.พัลลภ  ดวงเดือน</v>
      </c>
      <c r="D45" s="9">
        <v>1.0</v>
      </c>
      <c r="E45" s="10">
        <f>IFERROR(vlookup('1.2'!D:D,lookup!$A$2:$B$4,2,false),0)</f>
        <v>5</v>
      </c>
      <c r="F45" s="10">
        <f>IFERROR(vlookup('1.2'!E:E,lookup!$A$6:$B$8,2,false),0)</f>
        <v>5</v>
      </c>
      <c r="G45" s="10">
        <f>IFERROR(vlookup('1.2'!F:F,lookup!$A$10:$B$12,2,false),0)</f>
        <v>5</v>
      </c>
      <c r="H45" s="10">
        <f>IFERROR(vlookup('1.2'!G:G,lookup!$A$14:$B$16,2,false),0)</f>
        <v>5</v>
      </c>
      <c r="I45" s="10">
        <f>IFERROR(vlookup('1.2'!H:H,lookup!$A$18:$B$20,2,false),0)</f>
        <v>5</v>
      </c>
      <c r="J45" s="10">
        <f>IFERROR(vlookup('1.2'!I:I,lookup!$A$22:$B$24,2,false),0)</f>
        <v>5</v>
      </c>
      <c r="K45" s="10">
        <f>IFERROR(vlookup('1.2'!J:J,lookup!$A$26:$B$28,2,false),0)</f>
        <v>5</v>
      </c>
      <c r="L45" s="2"/>
      <c r="M45" s="10">
        <v>44.0</v>
      </c>
      <c r="N45" s="11" t="str">
        <f t="shared" si="1"/>
        <v>bnco0944@signalschool.ac.th</v>
      </c>
      <c r="O45" s="12">
        <f t="shared" si="2"/>
        <v>1</v>
      </c>
      <c r="R45" s="6" t="s">
        <v>261</v>
      </c>
    </row>
    <row r="46">
      <c r="A46" s="8">
        <f>'1.2'!A:A</f>
        <v>46153.36914</v>
      </c>
      <c r="B46" s="2" t="str">
        <f>'1.2'!B:B</f>
        <v>bnco0908@signalschool.ac.th</v>
      </c>
      <c r="C46" s="2" t="str">
        <f>'1.2'!C:C</f>
        <v>จ.ส.อ. พัลลภ  ดวงเดือน, ส.อ. สิทธิศักดิ์  รินไธสง</v>
      </c>
      <c r="D46" s="9">
        <v>1.0</v>
      </c>
      <c r="E46" s="10">
        <f>IFERROR(vlookup('1.2'!D:D,lookup!$A$2:$B$4,2,false),0)</f>
        <v>5</v>
      </c>
      <c r="F46" s="10">
        <f>IFERROR(vlookup('1.2'!E:E,lookup!$A$6:$B$8,2,false),0)</f>
        <v>5</v>
      </c>
      <c r="G46" s="10">
        <f>IFERROR(vlookup('1.2'!F:F,lookup!$A$10:$B$12,2,false),0)</f>
        <v>5</v>
      </c>
      <c r="H46" s="10">
        <f>IFERROR(vlookup('1.2'!G:G,lookup!$A$14:$B$16,2,false),0)</f>
        <v>5</v>
      </c>
      <c r="I46" s="10">
        <f>IFERROR(vlookup('1.2'!H:H,lookup!$A$18:$B$20,2,false),0)</f>
        <v>5</v>
      </c>
      <c r="J46" s="10">
        <f>IFERROR(vlookup('1.2'!I:I,lookup!$A$22:$B$24,2,false),0)</f>
        <v>5</v>
      </c>
      <c r="K46" s="10">
        <f>IFERROR(vlookup('1.2'!J:J,lookup!$A$26:$B$28,2,false),0)</f>
        <v>5</v>
      </c>
      <c r="L46" s="2"/>
      <c r="M46" s="10">
        <v>45.0</v>
      </c>
      <c r="N46" s="11" t="str">
        <f t="shared" si="1"/>
        <v>bnco0945@signalschool.ac.th</v>
      </c>
      <c r="O46" s="12">
        <f t="shared" si="2"/>
        <v>1</v>
      </c>
      <c r="R46" s="6" t="s">
        <v>262</v>
      </c>
    </row>
    <row r="47">
      <c r="A47" s="8">
        <f>'1.2'!A:A</f>
        <v>46153.36982</v>
      </c>
      <c r="B47" s="2" t="str">
        <f>'1.2'!B:B</f>
        <v>bnco0912@signalschool.ac.th</v>
      </c>
      <c r="C47" s="2" t="str">
        <f>'1.2'!C:C</f>
        <v>จ.ส.อ.พัลลภ  ดวงเดือน</v>
      </c>
      <c r="D47" s="9">
        <v>1.0</v>
      </c>
      <c r="E47" s="10">
        <f>IFERROR(vlookup('1.2'!D:D,lookup!$A$2:$B$4,2,false),0)</f>
        <v>5</v>
      </c>
      <c r="F47" s="10">
        <f>IFERROR(vlookup('1.2'!E:E,lookup!$A$6:$B$8,2,false),0)</f>
        <v>5</v>
      </c>
      <c r="G47" s="10">
        <f>IFERROR(vlookup('1.2'!F:F,lookup!$A$10:$B$12,2,false),0)</f>
        <v>5</v>
      </c>
      <c r="H47" s="10">
        <f>IFERROR(vlookup('1.2'!G:G,lookup!$A$14:$B$16,2,false),0)</f>
        <v>5</v>
      </c>
      <c r="I47" s="10">
        <f>IFERROR(vlookup('1.2'!H:H,lookup!$A$18:$B$20,2,false),0)</f>
        <v>5</v>
      </c>
      <c r="J47" s="10">
        <f>IFERROR(vlookup('1.2'!I:I,lookup!$A$22:$B$24,2,false),0)</f>
        <v>3</v>
      </c>
      <c r="K47" s="10">
        <f>IFERROR(vlookup('1.2'!J:J,lookup!$A$26:$B$28,2,false),0)</f>
        <v>5</v>
      </c>
      <c r="L47" s="2"/>
      <c r="M47" s="10">
        <v>46.0</v>
      </c>
      <c r="N47" s="11" t="str">
        <f t="shared" si="1"/>
        <v>bnco0946@signalschool.ac.th</v>
      </c>
      <c r="O47" s="12">
        <f t="shared" si="2"/>
        <v>1</v>
      </c>
      <c r="R47" s="6" t="s">
        <v>263</v>
      </c>
    </row>
    <row r="48">
      <c r="A48" s="8">
        <f>'1.2'!A:A</f>
        <v>46153.36987</v>
      </c>
      <c r="B48" s="2" t="str">
        <f>'1.2'!B:B</f>
        <v>bnco0946@signalschool.ac.th</v>
      </c>
      <c r="C48" s="2" t="str">
        <f>'1.2'!C:C</f>
        <v>จ.ส.อ.พัลลภ ดวงเดือน, ส.อ.สิทธิศักดิ์ รินไธสง</v>
      </c>
      <c r="D48" s="9">
        <v>1.0</v>
      </c>
      <c r="E48" s="10">
        <f>IFERROR(vlookup('1.2'!D:D,lookup!$A$2:$B$4,2,false),0)</f>
        <v>5</v>
      </c>
      <c r="F48" s="10">
        <f>IFERROR(vlookup('1.2'!E:E,lookup!$A$6:$B$8,2,false),0)</f>
        <v>5</v>
      </c>
      <c r="G48" s="10">
        <f>IFERROR(vlookup('1.2'!F:F,lookup!$A$10:$B$12,2,false),0)</f>
        <v>5</v>
      </c>
      <c r="H48" s="10">
        <f>IFERROR(vlookup('1.2'!G:G,lookup!$A$14:$B$16,2,false),0)</f>
        <v>5</v>
      </c>
      <c r="I48" s="10">
        <f>IFERROR(vlookup('1.2'!H:H,lookup!$A$18:$B$20,2,false),0)</f>
        <v>5</v>
      </c>
      <c r="J48" s="10">
        <f>IFERROR(vlookup('1.2'!I:I,lookup!$A$22:$B$24,2,false),0)</f>
        <v>5</v>
      </c>
      <c r="K48" s="10">
        <f>IFERROR(vlookup('1.2'!J:J,lookup!$A$26:$B$28,2,false),0)</f>
        <v>5</v>
      </c>
      <c r="L48" s="2"/>
      <c r="M48" s="10">
        <v>47.0</v>
      </c>
      <c r="N48" s="11" t="str">
        <f t="shared" si="1"/>
        <v>bnco0947@signalschool.ac.th</v>
      </c>
      <c r="O48" s="12">
        <f t="shared" si="2"/>
        <v>1</v>
      </c>
      <c r="R48" s="6" t="s">
        <v>264</v>
      </c>
    </row>
    <row r="49">
      <c r="A49" s="8">
        <f>'1.2'!A:A</f>
        <v>46153.36994</v>
      </c>
      <c r="B49" s="2" t="str">
        <f>'1.2'!B:B</f>
        <v>bnco0957@signalschool.ac.th</v>
      </c>
      <c r="C49" s="2" t="str">
        <f>'1.2'!C:C</f>
        <v>จ.ส.อ. พัลลภ  ดวงเดือน, ส.อ. สิทธิศักดิ์  รินไธสง</v>
      </c>
      <c r="D49" s="9">
        <v>1.0</v>
      </c>
      <c r="E49" s="10">
        <f>IFERROR(vlookup('1.2'!D:D,lookup!$A$2:$B$4,2,false),0)</f>
        <v>5</v>
      </c>
      <c r="F49" s="10">
        <f>IFERROR(vlookup('1.2'!E:E,lookup!$A$6:$B$8,2,false),0)</f>
        <v>5</v>
      </c>
      <c r="G49" s="10">
        <f>IFERROR(vlookup('1.2'!F:F,lookup!$A$10:$B$12,2,false),0)</f>
        <v>5</v>
      </c>
      <c r="H49" s="10">
        <f>IFERROR(vlookup('1.2'!G:G,lookup!$A$14:$B$16,2,false),0)</f>
        <v>5</v>
      </c>
      <c r="I49" s="10">
        <f>IFERROR(vlookup('1.2'!H:H,lookup!$A$18:$B$20,2,false),0)</f>
        <v>5</v>
      </c>
      <c r="J49" s="10">
        <f>IFERROR(vlookup('1.2'!I:I,lookup!$A$22:$B$24,2,false),0)</f>
        <v>3</v>
      </c>
      <c r="K49" s="10">
        <f>IFERROR(vlookup('1.2'!J:J,lookup!$A$26:$B$28,2,false),0)</f>
        <v>3</v>
      </c>
      <c r="L49" s="2"/>
      <c r="M49" s="10">
        <v>48.0</v>
      </c>
      <c r="N49" s="11" t="str">
        <f t="shared" si="1"/>
        <v>bnco0948@signalschool.ac.th</v>
      </c>
      <c r="O49" s="12">
        <f t="shared" si="2"/>
        <v>1</v>
      </c>
      <c r="R49" s="6" t="s">
        <v>265</v>
      </c>
    </row>
    <row r="50">
      <c r="A50" s="8">
        <f>'1.2'!A:A</f>
        <v>46153.37031</v>
      </c>
      <c r="B50" s="2" t="str">
        <f>'1.2'!B:B</f>
        <v>bnco0907@signalschool.ac.th</v>
      </c>
      <c r="C50" s="2" t="str">
        <f>'1.2'!C:C</f>
        <v>จ.ส.อ. พัลลภ  ดวงเดือน , ส.อ. สิทธิศักดิ์  รินไธสง</v>
      </c>
      <c r="D50" s="9">
        <v>1.0</v>
      </c>
      <c r="E50" s="10">
        <f>IFERROR(vlookup('1.2'!D:D,lookup!$A$2:$B$4,2,false),0)</f>
        <v>5</v>
      </c>
      <c r="F50" s="10">
        <f>IFERROR(vlookup('1.2'!E:E,lookup!$A$6:$B$8,2,false),0)</f>
        <v>5</v>
      </c>
      <c r="G50" s="10">
        <f>IFERROR(vlookup('1.2'!F:F,lookup!$A$10:$B$12,2,false),0)</f>
        <v>5</v>
      </c>
      <c r="H50" s="10">
        <f>IFERROR(vlookup('1.2'!G:G,lookup!$A$14:$B$16,2,false),0)</f>
        <v>5</v>
      </c>
      <c r="I50" s="10">
        <f>IFERROR(vlookup('1.2'!H:H,lookup!$A$18:$B$20,2,false),0)</f>
        <v>5</v>
      </c>
      <c r="J50" s="10">
        <f>IFERROR(vlookup('1.2'!I:I,lookup!$A$22:$B$24,2,false),0)</f>
        <v>5</v>
      </c>
      <c r="K50" s="10">
        <f>IFERROR(vlookup('1.2'!J:J,lookup!$A$26:$B$28,2,false),0)</f>
        <v>5</v>
      </c>
      <c r="L50" s="2"/>
      <c r="M50" s="10">
        <v>49.0</v>
      </c>
      <c r="N50" s="11" t="str">
        <f t="shared" si="1"/>
        <v>bnco0949@signalschool.ac.th</v>
      </c>
      <c r="O50" s="12">
        <f t="shared" si="2"/>
        <v>1</v>
      </c>
      <c r="R50" s="6" t="s">
        <v>266</v>
      </c>
    </row>
    <row r="51">
      <c r="A51" s="8">
        <f>'1.2'!A:A</f>
        <v>46153.37053</v>
      </c>
      <c r="B51" s="2" t="str">
        <f>'1.2'!B:B</f>
        <v>bnco0956@signalschool.ac.th</v>
      </c>
      <c r="C51" s="2" t="str">
        <f>'1.2'!C:C</f>
        <v>จ.ส.อ. พัลลภ  ดวงเดือน, ส.อ. สิทธิศักดิ์  รินไธสง</v>
      </c>
      <c r="D51" s="9">
        <v>1.0</v>
      </c>
      <c r="E51" s="10">
        <f>IFERROR(vlookup('1.2'!D:D,lookup!$A$2:$B$4,2,false),0)</f>
        <v>5</v>
      </c>
      <c r="F51" s="10">
        <f>IFERROR(vlookup('1.2'!E:E,lookup!$A$6:$B$8,2,false),0)</f>
        <v>5</v>
      </c>
      <c r="G51" s="10">
        <f>IFERROR(vlookup('1.2'!F:F,lookup!$A$10:$B$12,2,false),0)</f>
        <v>5</v>
      </c>
      <c r="H51" s="10">
        <f>IFERROR(vlookup('1.2'!G:G,lookup!$A$14:$B$16,2,false),0)</f>
        <v>5</v>
      </c>
      <c r="I51" s="10">
        <f>IFERROR(vlookup('1.2'!H:H,lookup!$A$18:$B$20,2,false),0)</f>
        <v>5</v>
      </c>
      <c r="J51" s="10">
        <f>IFERROR(vlookup('1.2'!I:I,lookup!$A$22:$B$24,2,false),0)</f>
        <v>5</v>
      </c>
      <c r="K51" s="10">
        <f>IFERROR(vlookup('1.2'!J:J,lookup!$A$26:$B$28,2,false),0)</f>
        <v>5</v>
      </c>
      <c r="L51" s="2"/>
      <c r="M51" s="10">
        <v>50.0</v>
      </c>
      <c r="N51" s="11" t="str">
        <f t="shared" si="1"/>
        <v>bnco0950@signalschool.ac.th</v>
      </c>
      <c r="O51" s="12">
        <f t="shared" si="2"/>
        <v>1</v>
      </c>
      <c r="R51" s="6" t="s">
        <v>267</v>
      </c>
    </row>
    <row r="52">
      <c r="A52" s="8">
        <f>'1.2'!A:A</f>
        <v>46153.37062</v>
      </c>
      <c r="B52" s="2" t="str">
        <f>'1.2'!B:B</f>
        <v>bnco0937@signalschool.ac.th</v>
      </c>
      <c r="C52" s="2" t="str">
        <f>'1.2'!C:C</f>
        <v>จ.ส.อ.พัลลภ  ดวงเดือน, ส.อ.สิทธิศักดิ์  รินไธสง</v>
      </c>
      <c r="D52" s="9">
        <v>1.0</v>
      </c>
      <c r="E52" s="10">
        <f>IFERROR(vlookup('1.2'!D:D,lookup!$A$2:$B$4,2,false),0)</f>
        <v>5</v>
      </c>
      <c r="F52" s="10">
        <f>IFERROR(vlookup('1.2'!E:E,lookup!$A$6:$B$8,2,false),0)</f>
        <v>5</v>
      </c>
      <c r="G52" s="10">
        <f>IFERROR(vlookup('1.2'!F:F,lookup!$A$10:$B$12,2,false),0)</f>
        <v>5</v>
      </c>
      <c r="H52" s="10">
        <f>IFERROR(vlookup('1.2'!G:G,lookup!$A$14:$B$16,2,false),0)</f>
        <v>5</v>
      </c>
      <c r="I52" s="10">
        <f>IFERROR(vlookup('1.2'!H:H,lookup!$A$18:$B$20,2,false),0)</f>
        <v>5</v>
      </c>
      <c r="J52" s="10">
        <f>IFERROR(vlookup('1.2'!I:I,lookup!$A$22:$B$24,2,false),0)</f>
        <v>5</v>
      </c>
      <c r="K52" s="10">
        <f>IFERROR(vlookup('1.2'!J:J,lookup!$A$26:$B$28,2,false),0)</f>
        <v>5</v>
      </c>
      <c r="L52" s="2"/>
      <c r="M52" s="10">
        <v>51.0</v>
      </c>
      <c r="N52" s="11" t="str">
        <f t="shared" si="1"/>
        <v>bnco0951@signalschool.ac.th</v>
      </c>
      <c r="O52" s="12">
        <f t="shared" si="2"/>
        <v>1</v>
      </c>
      <c r="R52" s="6" t="s">
        <v>268</v>
      </c>
    </row>
    <row r="53">
      <c r="A53" s="8">
        <f>'1.2'!A:A</f>
        <v>46153.37082</v>
      </c>
      <c r="B53" s="2" t="str">
        <f>'1.2'!B:B</f>
        <v>bnco0929@signalschool.ac.th</v>
      </c>
      <c r="C53" s="2" t="str">
        <f>'1.2'!C:C</f>
        <v>จ.ส.อ.พัลลภ ดวงเดือน/ส.อ.สิทธิศักดิ์ รินไธสง</v>
      </c>
      <c r="D53" s="9">
        <v>1.0</v>
      </c>
      <c r="E53" s="10">
        <f>IFERROR(vlookup('1.2'!D:D,lookup!$A$2:$B$4,2,false),0)</f>
        <v>5</v>
      </c>
      <c r="F53" s="10">
        <f>IFERROR(vlookup('1.2'!E:E,lookup!$A$6:$B$8,2,false),0)</f>
        <v>5</v>
      </c>
      <c r="G53" s="10">
        <f>IFERROR(vlookup('1.2'!F:F,lookup!$A$10:$B$12,2,false),0)</f>
        <v>5</v>
      </c>
      <c r="H53" s="10">
        <f>IFERROR(vlookup('1.2'!G:G,lookup!$A$14:$B$16,2,false),0)</f>
        <v>5</v>
      </c>
      <c r="I53" s="10">
        <f>IFERROR(vlookup('1.2'!H:H,lookup!$A$18:$B$20,2,false),0)</f>
        <v>5</v>
      </c>
      <c r="J53" s="10">
        <f>IFERROR(vlookup('1.2'!I:I,lookup!$A$22:$B$24,2,false),0)</f>
        <v>5</v>
      </c>
      <c r="K53" s="10">
        <f>IFERROR(vlookup('1.2'!J:J,lookup!$A$26:$B$28,2,false),0)</f>
        <v>5</v>
      </c>
      <c r="L53" s="2"/>
      <c r="M53" s="10">
        <v>52.0</v>
      </c>
      <c r="N53" s="11" t="str">
        <f t="shared" si="1"/>
        <v>bnco0952@signalschool.ac.th</v>
      </c>
      <c r="O53" s="12">
        <f t="shared" si="2"/>
        <v>1</v>
      </c>
      <c r="R53" s="6" t="s">
        <v>269</v>
      </c>
    </row>
    <row r="54">
      <c r="A54" s="8">
        <f>'1.2'!A:A</f>
        <v>46153.3709</v>
      </c>
      <c r="B54" s="2" t="str">
        <f>'1.2'!B:B</f>
        <v>bnco0938@signalschool.ac.th</v>
      </c>
      <c r="C54" s="2" t="str">
        <f>'1.2'!C:C</f>
        <v>จ.ส.อ. พัลลภ  ดวงเดือน , ส.อ. สิทธิศักดิ์  รินไธสง</v>
      </c>
      <c r="D54" s="9">
        <v>1.0</v>
      </c>
      <c r="E54" s="10">
        <f>IFERROR(vlookup('1.2'!D:D,lookup!$A$2:$B$4,2,false),0)</f>
        <v>5</v>
      </c>
      <c r="F54" s="10">
        <f>IFERROR(vlookup('1.2'!E:E,lookup!$A$6:$B$8,2,false),0)</f>
        <v>3</v>
      </c>
      <c r="G54" s="10">
        <f>IFERROR(vlookup('1.2'!F:F,lookup!$A$10:$B$12,2,false),0)</f>
        <v>5</v>
      </c>
      <c r="H54" s="10">
        <f>IFERROR(vlookup('1.2'!G:G,lookup!$A$14:$B$16,2,false),0)</f>
        <v>5</v>
      </c>
      <c r="I54" s="10">
        <f>IFERROR(vlookup('1.2'!H:H,lookup!$A$18:$B$20,2,false),0)</f>
        <v>3</v>
      </c>
      <c r="J54" s="10">
        <f>IFERROR(vlookup('1.2'!I:I,lookup!$A$22:$B$24,2,false),0)</f>
        <v>5</v>
      </c>
      <c r="K54" s="10">
        <f>IFERROR(vlookup('1.2'!J:J,lookup!$A$26:$B$28,2,false),0)</f>
        <v>5</v>
      </c>
      <c r="L54" s="2"/>
      <c r="M54" s="10">
        <v>53.0</v>
      </c>
      <c r="N54" s="11" t="str">
        <f t="shared" si="1"/>
        <v>bnco0953@signalschool.ac.th</v>
      </c>
      <c r="O54" s="12">
        <f t="shared" si="2"/>
        <v>1</v>
      </c>
      <c r="R54" s="6" t="s">
        <v>270</v>
      </c>
    </row>
    <row r="55">
      <c r="A55" s="8">
        <f>'1.2'!A:A</f>
        <v>46153.37104</v>
      </c>
      <c r="B55" s="2" t="str">
        <f>'1.2'!B:B</f>
        <v>bnco0969@signalschool.ac.th</v>
      </c>
      <c r="C55" s="2" t="str">
        <f>'1.2'!C:C</f>
        <v>จ.ส.อ. พัลลภ  ดวงเดือน, ส.อ. สิทธิศักดิ์  รินไธสง</v>
      </c>
      <c r="D55" s="9">
        <v>1.0</v>
      </c>
      <c r="E55" s="10">
        <f>IFERROR(vlookup('1.2'!D:D,lookup!$A$2:$B$4,2,false),0)</f>
        <v>5</v>
      </c>
      <c r="F55" s="10">
        <f>IFERROR(vlookup('1.2'!E:E,lookup!$A$6:$B$8,2,false),0)</f>
        <v>5</v>
      </c>
      <c r="G55" s="10">
        <f>IFERROR(vlookup('1.2'!F:F,lookup!$A$10:$B$12,2,false),0)</f>
        <v>5</v>
      </c>
      <c r="H55" s="10">
        <f>IFERROR(vlookup('1.2'!G:G,lookup!$A$14:$B$16,2,false),0)</f>
        <v>5</v>
      </c>
      <c r="I55" s="10">
        <f>IFERROR(vlookup('1.2'!H:H,lookup!$A$18:$B$20,2,false),0)</f>
        <v>5</v>
      </c>
      <c r="J55" s="10">
        <f>IFERROR(vlookup('1.2'!I:I,lookup!$A$22:$B$24,2,false),0)</f>
        <v>5</v>
      </c>
      <c r="K55" s="10">
        <f>IFERROR(vlookup('1.2'!J:J,lookup!$A$26:$B$28,2,false),0)</f>
        <v>5</v>
      </c>
      <c r="L55" s="2"/>
      <c r="M55" s="10">
        <v>54.0</v>
      </c>
      <c r="N55" s="11" t="str">
        <f t="shared" si="1"/>
        <v>bnco0954@signalschool.ac.th</v>
      </c>
      <c r="O55" s="12">
        <f t="shared" si="2"/>
        <v>1</v>
      </c>
      <c r="R55" s="6" t="s">
        <v>271</v>
      </c>
    </row>
    <row r="56">
      <c r="A56" s="8">
        <f>'1.2'!A:A</f>
        <v>46153.37126</v>
      </c>
      <c r="B56" s="2" t="str">
        <f>'1.2'!B:B</f>
        <v>bnco0909@signalschool.ac.th</v>
      </c>
      <c r="C56" s="2" t="str">
        <f>'1.2'!C:C</f>
        <v>จ.ส.อ. พัลลภ ดวงเดือน, ส.อ. สิทธิศักดิ์ รินไธสง</v>
      </c>
      <c r="D56" s="9">
        <v>1.0</v>
      </c>
      <c r="E56" s="10">
        <f>IFERROR(vlookup('1.2'!D:D,lookup!$A$2:$B$4,2,false),0)</f>
        <v>5</v>
      </c>
      <c r="F56" s="10">
        <f>IFERROR(vlookup('1.2'!E:E,lookup!$A$6:$B$8,2,false),0)</f>
        <v>5</v>
      </c>
      <c r="G56" s="10">
        <f>IFERROR(vlookup('1.2'!F:F,lookup!$A$10:$B$12,2,false),0)</f>
        <v>5</v>
      </c>
      <c r="H56" s="10">
        <f>IFERROR(vlookup('1.2'!G:G,lookup!$A$14:$B$16,2,false),0)</f>
        <v>5</v>
      </c>
      <c r="I56" s="10">
        <f>IFERROR(vlookup('1.2'!H:H,lookup!$A$18:$B$20,2,false),0)</f>
        <v>5</v>
      </c>
      <c r="J56" s="10">
        <f>IFERROR(vlookup('1.2'!I:I,lookup!$A$22:$B$24,2,false),0)</f>
        <v>5</v>
      </c>
      <c r="K56" s="10">
        <f>IFERROR(vlookup('1.2'!J:J,lookup!$A$26:$B$28,2,false),0)</f>
        <v>5</v>
      </c>
      <c r="L56" s="13"/>
      <c r="M56" s="10">
        <v>55.0</v>
      </c>
      <c r="N56" s="11" t="str">
        <f t="shared" si="1"/>
        <v>bnco0955@signalschool.ac.th</v>
      </c>
      <c r="O56" s="12">
        <f t="shared" si="2"/>
        <v>1</v>
      </c>
      <c r="R56" s="6" t="s">
        <v>272</v>
      </c>
    </row>
    <row r="57">
      <c r="A57" s="8">
        <f>'1.2'!A:A</f>
        <v>46153.37149</v>
      </c>
      <c r="B57" s="2" t="str">
        <f>'1.2'!B:B</f>
        <v>bnco0941@signalschool.ac.th</v>
      </c>
      <c r="C57" s="2" t="str">
        <f>'1.2'!C:C</f>
        <v>จ.ส.อ. พัลลภ  ดวงเดือน,ส.อ. สิทธิศักดิ์  รินไธสง</v>
      </c>
      <c r="D57" s="9">
        <v>1.0</v>
      </c>
      <c r="E57" s="10">
        <f>IFERROR(vlookup('1.2'!D:D,lookup!$A$2:$B$4,2,false),0)</f>
        <v>5</v>
      </c>
      <c r="F57" s="10">
        <f>IFERROR(vlookup('1.2'!E:E,lookup!$A$6:$B$8,2,false),0)</f>
        <v>5</v>
      </c>
      <c r="G57" s="10">
        <f>IFERROR(vlookup('1.2'!F:F,lookup!$A$10:$B$12,2,false),0)</f>
        <v>5</v>
      </c>
      <c r="H57" s="10">
        <f>IFERROR(vlookup('1.2'!G:G,lookup!$A$14:$B$16,2,false),0)</f>
        <v>5</v>
      </c>
      <c r="I57" s="10">
        <f>IFERROR(vlookup('1.2'!H:H,lookup!$A$18:$B$20,2,false),0)</f>
        <v>5</v>
      </c>
      <c r="J57" s="10">
        <f>IFERROR(vlookup('1.2'!I:I,lookup!$A$22:$B$24,2,false),0)</f>
        <v>5</v>
      </c>
      <c r="K57" s="10">
        <f>IFERROR(vlookup('1.2'!J:J,lookup!$A$26:$B$28,2,false),0)</f>
        <v>5</v>
      </c>
      <c r="L57" s="13"/>
      <c r="M57" s="10">
        <v>56.0</v>
      </c>
      <c r="N57" s="11" t="str">
        <f t="shared" si="1"/>
        <v>bnco0956@signalschool.ac.th</v>
      </c>
      <c r="O57" s="12">
        <f t="shared" si="2"/>
        <v>1</v>
      </c>
      <c r="R57" s="6" t="s">
        <v>273</v>
      </c>
    </row>
    <row r="58">
      <c r="A58" s="8">
        <f>'1.2'!A:A</f>
        <v>46153.37154</v>
      </c>
      <c r="B58" s="2" t="str">
        <f>'1.2'!B:B</f>
        <v>bnco0927@signalschool.ac.th</v>
      </c>
      <c r="C58" s="2" t="str">
        <f>'1.2'!C:C</f>
        <v>จ.ส.อ.พัลลภ ดวงเดือน</v>
      </c>
      <c r="D58" s="9">
        <v>1.0</v>
      </c>
      <c r="E58" s="10">
        <f>IFERROR(vlookup('1.2'!D:D,lookup!$A$2:$B$4,2,false),0)</f>
        <v>5</v>
      </c>
      <c r="F58" s="10">
        <f>IFERROR(vlookup('1.2'!E:E,lookup!$A$6:$B$8,2,false),0)</f>
        <v>5</v>
      </c>
      <c r="G58" s="10">
        <f>IFERROR(vlookup('1.2'!F:F,lookup!$A$10:$B$12,2,false),0)</f>
        <v>5</v>
      </c>
      <c r="H58" s="10">
        <f>IFERROR(vlookup('1.2'!G:G,lookup!$A$14:$B$16,2,false),0)</f>
        <v>5</v>
      </c>
      <c r="I58" s="10">
        <f>IFERROR(vlookup('1.2'!H:H,lookup!$A$18:$B$20,2,false),0)</f>
        <v>5</v>
      </c>
      <c r="J58" s="10">
        <f>IFERROR(vlookup('1.2'!I:I,lookup!$A$22:$B$24,2,false),0)</f>
        <v>5</v>
      </c>
      <c r="K58" s="10">
        <f>IFERROR(vlookup('1.2'!J:J,lookup!$A$26:$B$28,2,false),0)</f>
        <v>5</v>
      </c>
      <c r="L58" s="13"/>
      <c r="M58" s="10">
        <v>57.0</v>
      </c>
      <c r="N58" s="11" t="str">
        <f t="shared" si="1"/>
        <v>bnco0957@signalschool.ac.th</v>
      </c>
      <c r="O58" s="12">
        <f t="shared" si="2"/>
        <v>1</v>
      </c>
      <c r="R58" s="6" t="s">
        <v>274</v>
      </c>
    </row>
    <row r="59">
      <c r="A59" s="8">
        <f>'1.2'!A:A</f>
        <v>46153.3716</v>
      </c>
      <c r="B59" s="2" t="str">
        <f>'1.2'!B:B</f>
        <v>bnco0978@signalschool.ac.th</v>
      </c>
      <c r="C59" s="2" t="str">
        <f>'1.2'!C:C</f>
        <v>จ.ส.อ. พัลลภ  ดวงเดือน, ส.อ. สิทธิศักดิ์  รินไธสง</v>
      </c>
      <c r="D59" s="9">
        <v>1.0</v>
      </c>
      <c r="E59" s="10">
        <f>IFERROR(vlookup('1.2'!D:D,lookup!$A$2:$B$4,2,false),0)</f>
        <v>5</v>
      </c>
      <c r="F59" s="10">
        <f>IFERROR(vlookup('1.2'!E:E,lookup!$A$6:$B$8,2,false),0)</f>
        <v>5</v>
      </c>
      <c r="G59" s="10">
        <f>IFERROR(vlookup('1.2'!F:F,lookup!$A$10:$B$12,2,false),0)</f>
        <v>5</v>
      </c>
      <c r="H59" s="10">
        <f>IFERROR(vlookup('1.2'!G:G,lookup!$A$14:$B$16,2,false),0)</f>
        <v>5</v>
      </c>
      <c r="I59" s="10">
        <f>IFERROR(vlookup('1.2'!H:H,lookup!$A$18:$B$20,2,false),0)</f>
        <v>5</v>
      </c>
      <c r="J59" s="10">
        <f>IFERROR(vlookup('1.2'!I:I,lookup!$A$22:$B$24,2,false),0)</f>
        <v>5</v>
      </c>
      <c r="K59" s="10">
        <f>IFERROR(vlookup('1.2'!J:J,lookup!$A$26:$B$28,2,false),0)</f>
        <v>5</v>
      </c>
      <c r="L59" s="14"/>
      <c r="M59" s="10">
        <v>58.0</v>
      </c>
      <c r="N59" s="11" t="str">
        <f t="shared" si="1"/>
        <v>bnco0958@signalschool.ac.th</v>
      </c>
      <c r="O59" s="12">
        <f t="shared" si="2"/>
        <v>1</v>
      </c>
      <c r="R59" s="6" t="s">
        <v>275</v>
      </c>
    </row>
    <row r="60">
      <c r="A60" s="8">
        <f>'1.2'!A:A</f>
        <v>46153.37214</v>
      </c>
      <c r="B60" s="2" t="str">
        <f>'1.2'!B:B</f>
        <v>bnco0914@signalschool.ac.th</v>
      </c>
      <c r="C60" s="2" t="str">
        <f>'1.2'!C:C</f>
        <v>จ.ส.อ. พัลลภ  ดวงเดือน, ส.อ. สิทธิศักดิ์  รินไธสง</v>
      </c>
      <c r="D60" s="9">
        <v>1.0</v>
      </c>
      <c r="E60" s="10">
        <f>IFERROR(vlookup('1.2'!D:D,lookup!$A$2:$B$4,2,false),0)</f>
        <v>5</v>
      </c>
      <c r="F60" s="10">
        <f>IFERROR(vlookup('1.2'!E:E,lookup!$A$6:$B$8,2,false),0)</f>
        <v>5</v>
      </c>
      <c r="G60" s="10">
        <f>IFERROR(vlookup('1.2'!F:F,lookup!$A$10:$B$12,2,false),0)</f>
        <v>5</v>
      </c>
      <c r="H60" s="10">
        <f>IFERROR(vlookup('1.2'!G:G,lookup!$A$14:$B$16,2,false),0)</f>
        <v>5</v>
      </c>
      <c r="I60" s="10">
        <f>IFERROR(vlookup('1.2'!H:H,lookup!$A$18:$B$20,2,false),0)</f>
        <v>5</v>
      </c>
      <c r="J60" s="10">
        <f>IFERROR(vlookup('1.2'!I:I,lookup!$A$22:$B$24,2,false),0)</f>
        <v>5</v>
      </c>
      <c r="K60" s="10">
        <f>IFERROR(vlookup('1.2'!J:J,lookup!$A$26:$B$28,2,false),0)</f>
        <v>5</v>
      </c>
      <c r="L60" s="10"/>
      <c r="M60" s="10">
        <v>59.0</v>
      </c>
      <c r="N60" s="11" t="str">
        <f t="shared" si="1"/>
        <v>bnco0959@signalschool.ac.th</v>
      </c>
      <c r="O60" s="12">
        <f t="shared" si="2"/>
        <v>1</v>
      </c>
      <c r="R60" s="6" t="s">
        <v>276</v>
      </c>
    </row>
    <row r="61">
      <c r="A61" s="8">
        <f>'1.2'!A:A</f>
        <v>46153.37233</v>
      </c>
      <c r="B61" s="2" t="str">
        <f>'1.2'!B:B</f>
        <v>bnco0905@signalschool.ac.th</v>
      </c>
      <c r="C61" s="2" t="str">
        <f>'1.2'!C:C</f>
        <v>จ.ส.อ.พัลลภ ดวงเดือน/ส.อ.สิทธิศักดิ์ รินไธสง</v>
      </c>
      <c r="D61" s="9">
        <v>1.0</v>
      </c>
      <c r="E61" s="10">
        <f>IFERROR(vlookup('1.2'!D:D,lookup!$A$2:$B$4,2,false),0)</f>
        <v>5</v>
      </c>
      <c r="F61" s="10">
        <f>IFERROR(vlookup('1.2'!E:E,lookup!$A$6:$B$8,2,false),0)</f>
        <v>5</v>
      </c>
      <c r="G61" s="10">
        <f>IFERROR(vlookup('1.2'!F:F,lookup!$A$10:$B$12,2,false),0)</f>
        <v>5</v>
      </c>
      <c r="H61" s="10">
        <f>IFERROR(vlookup('1.2'!G:G,lookup!$A$14:$B$16,2,false),0)</f>
        <v>5</v>
      </c>
      <c r="I61" s="10">
        <f>IFERROR(vlookup('1.2'!H:H,lookup!$A$18:$B$20,2,false),0)</f>
        <v>5</v>
      </c>
      <c r="J61" s="10">
        <f>IFERROR(vlookup('1.2'!I:I,lookup!$A$22:$B$24,2,false),0)</f>
        <v>5</v>
      </c>
      <c r="K61" s="10">
        <f>IFERROR(vlookup('1.2'!J:J,lookup!$A$26:$B$28,2,false),0)</f>
        <v>5</v>
      </c>
      <c r="M61" s="10">
        <v>60.0</v>
      </c>
      <c r="N61" s="11" t="str">
        <f t="shared" si="1"/>
        <v>bnco0960@signalschool.ac.th</v>
      </c>
      <c r="O61" s="12">
        <f t="shared" si="2"/>
        <v>1</v>
      </c>
      <c r="R61" s="6" t="s">
        <v>277</v>
      </c>
    </row>
    <row r="62">
      <c r="A62" s="8">
        <f>'1.2'!A:A</f>
        <v>46153.37279</v>
      </c>
      <c r="B62" s="2" t="str">
        <f>'1.2'!B:B</f>
        <v>bnco0904@signalschool.ac.th</v>
      </c>
      <c r="C62" s="2" t="str">
        <f>'1.2'!C:C</f>
        <v>จ.ส.อ.พัลลภ ดวงเดือน, ส.อ.สิทธิศักดิ์ รินไธสง</v>
      </c>
      <c r="D62" s="9">
        <v>1.0</v>
      </c>
      <c r="E62" s="10">
        <f>IFERROR(vlookup('1.2'!D:D,lookup!$A$2:$B$4,2,false),0)</f>
        <v>5</v>
      </c>
      <c r="F62" s="10">
        <f>IFERROR(vlookup('1.2'!E:E,lookup!$A$6:$B$8,2,false),0)</f>
        <v>5</v>
      </c>
      <c r="G62" s="10">
        <f>IFERROR(vlookup('1.2'!F:F,lookup!$A$10:$B$12,2,false),0)</f>
        <v>5</v>
      </c>
      <c r="H62" s="10">
        <f>IFERROR(vlookup('1.2'!G:G,lookup!$A$14:$B$16,2,false),0)</f>
        <v>5</v>
      </c>
      <c r="I62" s="10">
        <f>IFERROR(vlookup('1.2'!H:H,lookup!$A$18:$B$20,2,false),0)</f>
        <v>5</v>
      </c>
      <c r="J62" s="10">
        <f>IFERROR(vlookup('1.2'!I:I,lookup!$A$22:$B$24,2,false),0)</f>
        <v>5</v>
      </c>
      <c r="K62" s="10">
        <f>IFERROR(vlookup('1.2'!J:J,lookup!$A$26:$B$28,2,false),0)</f>
        <v>5</v>
      </c>
      <c r="M62" s="10">
        <v>61.0</v>
      </c>
      <c r="N62" s="11" t="str">
        <f t="shared" si="1"/>
        <v>bnco0961@signalschool.ac.th</v>
      </c>
      <c r="O62" s="12">
        <f t="shared" si="2"/>
        <v>1</v>
      </c>
      <c r="R62" s="6" t="s">
        <v>278</v>
      </c>
    </row>
    <row r="63">
      <c r="A63" s="8">
        <f>'1.2'!A:A</f>
        <v>46153.37302</v>
      </c>
      <c r="B63" s="2" t="str">
        <f>'1.2'!B:B</f>
        <v>bnco0947@signalschool.ac.th</v>
      </c>
      <c r="C63" s="2" t="str">
        <f>'1.2'!C:C</f>
        <v>จ.ส.อ. พัลลภ  ดวงเดือน, ส.อ. สิทธิศักดิ์  รินไธสง</v>
      </c>
      <c r="D63" s="9">
        <v>1.0</v>
      </c>
      <c r="E63" s="10">
        <f>IFERROR(vlookup('1.2'!D:D,lookup!$A$2:$B$4,2,false),0)</f>
        <v>5</v>
      </c>
      <c r="F63" s="10">
        <f>IFERROR(vlookup('1.2'!E:E,lookup!$A$6:$B$8,2,false),0)</f>
        <v>5</v>
      </c>
      <c r="G63" s="10">
        <f>IFERROR(vlookup('1.2'!F:F,lookup!$A$10:$B$12,2,false),0)</f>
        <v>5</v>
      </c>
      <c r="H63" s="10">
        <f>IFERROR(vlookup('1.2'!G:G,lookup!$A$14:$B$16,2,false),0)</f>
        <v>5</v>
      </c>
      <c r="I63" s="10">
        <f>IFERROR(vlookup('1.2'!H:H,lookup!$A$18:$B$20,2,false),0)</f>
        <v>5</v>
      </c>
      <c r="J63" s="10">
        <f>IFERROR(vlookup('1.2'!I:I,lookup!$A$22:$B$24,2,false),0)</f>
        <v>5</v>
      </c>
      <c r="K63" s="10">
        <f>IFERROR(vlookup('1.2'!J:J,lookup!$A$26:$B$28,2,false),0)</f>
        <v>5</v>
      </c>
      <c r="M63" s="10">
        <v>62.0</v>
      </c>
      <c r="N63" s="11" t="str">
        <f t="shared" si="1"/>
        <v>bnco0962@signalschool.ac.th</v>
      </c>
      <c r="O63" s="12">
        <f t="shared" si="2"/>
        <v>1</v>
      </c>
      <c r="R63" s="6" t="s">
        <v>279</v>
      </c>
    </row>
    <row r="64">
      <c r="A64" s="8">
        <f>'1.2'!A:A</f>
        <v>46153.37311</v>
      </c>
      <c r="B64" s="2" t="str">
        <f>'1.2'!B:B</f>
        <v>bnco0915@signalschool.ac.th</v>
      </c>
      <c r="C64" s="2" t="str">
        <f>'1.2'!C:C</f>
        <v>จ.ส.อ.พัลลภ  ดวงเดือน</v>
      </c>
      <c r="D64" s="9">
        <v>1.0</v>
      </c>
      <c r="E64" s="10">
        <f>IFERROR(vlookup('1.2'!D:D,lookup!$A$2:$B$4,2,false),0)</f>
        <v>5</v>
      </c>
      <c r="F64" s="10">
        <f>IFERROR(vlookup('1.2'!E:E,lookup!$A$6:$B$8,2,false),0)</f>
        <v>5</v>
      </c>
      <c r="G64" s="10">
        <f>IFERROR(vlookup('1.2'!F:F,lookup!$A$10:$B$12,2,false),0)</f>
        <v>5</v>
      </c>
      <c r="H64" s="10">
        <f>IFERROR(vlookup('1.2'!G:G,lookup!$A$14:$B$16,2,false),0)</f>
        <v>5</v>
      </c>
      <c r="I64" s="10">
        <f>IFERROR(vlookup('1.2'!H:H,lookup!$A$18:$B$20,2,false),0)</f>
        <v>5</v>
      </c>
      <c r="J64" s="10">
        <f>IFERROR(vlookup('1.2'!I:I,lookup!$A$22:$B$24,2,false),0)</f>
        <v>3</v>
      </c>
      <c r="K64" s="10">
        <f>IFERROR(vlookup('1.2'!J:J,lookup!$A$26:$B$28,2,false),0)</f>
        <v>3</v>
      </c>
      <c r="M64" s="10">
        <v>63.0</v>
      </c>
      <c r="N64" s="11" t="str">
        <f t="shared" si="1"/>
        <v>bnco0963@signalschool.ac.th</v>
      </c>
      <c r="O64" s="12">
        <f t="shared" si="2"/>
        <v>1</v>
      </c>
      <c r="R64" s="6" t="s">
        <v>280</v>
      </c>
    </row>
    <row r="65">
      <c r="A65" s="8">
        <f>'1.2'!A:A</f>
        <v>46153.37317</v>
      </c>
      <c r="B65" s="2" t="str">
        <f>'1.2'!B:B</f>
        <v>bnco0930@signalschool.ac.th</v>
      </c>
      <c r="C65" s="2" t="str">
        <f>'1.2'!C:C</f>
        <v>จ.ส.อ. พัลลภ  ดวงเดือน, ส.อ. สิทธิศักดิ์  รินไธสง</v>
      </c>
      <c r="D65" s="9">
        <v>1.0</v>
      </c>
      <c r="E65" s="10">
        <f>IFERROR(vlookup('1.2'!D:D,lookup!$A$2:$B$4,2,false),0)</f>
        <v>5</v>
      </c>
      <c r="F65" s="10">
        <f>IFERROR(vlookup('1.2'!E:E,lookup!$A$6:$B$8,2,false),0)</f>
        <v>5</v>
      </c>
      <c r="G65" s="10">
        <f>IFERROR(vlookup('1.2'!F:F,lookup!$A$10:$B$12,2,false),0)</f>
        <v>5</v>
      </c>
      <c r="H65" s="10">
        <f>IFERROR(vlookup('1.2'!G:G,lookup!$A$14:$B$16,2,false),0)</f>
        <v>5</v>
      </c>
      <c r="I65" s="10">
        <f>IFERROR(vlookup('1.2'!H:H,lookup!$A$18:$B$20,2,false),0)</f>
        <v>5</v>
      </c>
      <c r="J65" s="10">
        <f>IFERROR(vlookup('1.2'!I:I,lookup!$A$22:$B$24,2,false),0)</f>
        <v>5</v>
      </c>
      <c r="K65" s="10">
        <f>IFERROR(vlookup('1.2'!J:J,lookup!$A$26:$B$28,2,false),0)</f>
        <v>5</v>
      </c>
      <c r="M65" s="10">
        <v>64.0</v>
      </c>
      <c r="N65" s="11" t="str">
        <f t="shared" si="1"/>
        <v>bnco0964@signalschool.ac.th</v>
      </c>
      <c r="O65" s="12">
        <f t="shared" si="2"/>
        <v>1</v>
      </c>
      <c r="R65" s="6" t="s">
        <v>281</v>
      </c>
    </row>
    <row r="66">
      <c r="A66" s="8">
        <f>'1.2'!A:A</f>
        <v>46153.37397</v>
      </c>
      <c r="B66" s="2" t="str">
        <f>'1.2'!B:B</f>
        <v>bnco0979@signalschool.ac.th</v>
      </c>
      <c r="C66" s="2" t="str">
        <f>'1.2'!C:C</f>
        <v>จ.ส.อ.พัลลภ ดวงเดือน</v>
      </c>
      <c r="D66" s="9">
        <v>1.0</v>
      </c>
      <c r="E66" s="10">
        <f>IFERROR(vlookup('1.2'!D:D,lookup!$A$2:$B$4,2,false),0)</f>
        <v>5</v>
      </c>
      <c r="F66" s="10">
        <f>IFERROR(vlookup('1.2'!E:E,lookup!$A$6:$B$8,2,false),0)</f>
        <v>5</v>
      </c>
      <c r="G66" s="10">
        <f>IFERROR(vlookup('1.2'!F:F,lookup!$A$10:$B$12,2,false),0)</f>
        <v>5</v>
      </c>
      <c r="H66" s="10">
        <f>IFERROR(vlookup('1.2'!G:G,lookup!$A$14:$B$16,2,false),0)</f>
        <v>5</v>
      </c>
      <c r="I66" s="10">
        <f>IFERROR(vlookup('1.2'!H:H,lookup!$A$18:$B$20,2,false),0)</f>
        <v>5</v>
      </c>
      <c r="J66" s="10">
        <f>IFERROR(vlookup('1.2'!I:I,lookup!$A$22:$B$24,2,false),0)</f>
        <v>5</v>
      </c>
      <c r="K66" s="10">
        <f>IFERROR(vlookup('1.2'!J:J,lookup!$A$26:$B$28,2,false),0)</f>
        <v>5</v>
      </c>
      <c r="M66" s="10">
        <v>65.0</v>
      </c>
      <c r="N66" s="11" t="str">
        <f t="shared" si="1"/>
        <v>bnco0965@signalschool.ac.th</v>
      </c>
      <c r="O66" s="12">
        <f t="shared" si="2"/>
        <v>1</v>
      </c>
      <c r="R66" s="6" t="s">
        <v>282</v>
      </c>
    </row>
    <row r="67">
      <c r="A67" s="8">
        <f>'1.2'!A:A</f>
        <v>46153.37401</v>
      </c>
      <c r="B67" s="2" t="str">
        <f>'1.2'!B:B</f>
        <v>bnco0950@signalschool.ac.th</v>
      </c>
      <c r="C67" s="2" t="str">
        <f>'1.2'!C:C</f>
        <v>จ.ส.อ.พัลลภ ดวงเดือน,ส.อ.สิทธิศักดิ์ รินไธสง</v>
      </c>
      <c r="D67" s="9">
        <v>1.0</v>
      </c>
      <c r="E67" s="10">
        <f>IFERROR(vlookup('1.2'!D:D,lookup!$A$2:$B$4,2,false),0)</f>
        <v>5</v>
      </c>
      <c r="F67" s="10">
        <f>IFERROR(vlookup('1.2'!E:E,lookup!$A$6:$B$8,2,false),0)</f>
        <v>5</v>
      </c>
      <c r="G67" s="10">
        <f>IFERROR(vlookup('1.2'!F:F,lookup!$A$10:$B$12,2,false),0)</f>
        <v>5</v>
      </c>
      <c r="H67" s="10">
        <f>IFERROR(vlookup('1.2'!G:G,lookup!$A$14:$B$16,2,false),0)</f>
        <v>5</v>
      </c>
      <c r="I67" s="10">
        <f>IFERROR(vlookup('1.2'!H:H,lookup!$A$18:$B$20,2,false),0)</f>
        <v>5</v>
      </c>
      <c r="J67" s="10">
        <f>IFERROR(vlookup('1.2'!I:I,lookup!$A$22:$B$24,2,false),0)</f>
        <v>5</v>
      </c>
      <c r="K67" s="10">
        <f>IFERROR(vlookup('1.2'!J:J,lookup!$A$26:$B$28,2,false),0)</f>
        <v>3</v>
      </c>
      <c r="M67" s="10">
        <v>66.0</v>
      </c>
      <c r="N67" s="11" t="str">
        <f t="shared" si="1"/>
        <v>bnco0966@signalschool.ac.th</v>
      </c>
      <c r="O67" s="12">
        <f t="shared" si="2"/>
        <v>1</v>
      </c>
      <c r="R67" s="6" t="s">
        <v>283</v>
      </c>
    </row>
    <row r="68">
      <c r="A68" s="8">
        <f>'1.2'!A:A</f>
        <v>46153.37412</v>
      </c>
      <c r="B68" s="2" t="str">
        <f>'1.2'!B:B</f>
        <v>bnco0942@signalschool.ac.th</v>
      </c>
      <c r="C68" s="2" t="str">
        <f>'1.2'!C:C</f>
        <v>ส.อ.กฤษดา เพ็งภา / จ.ส.อ.พัลลญ  ดวงเดือน </v>
      </c>
      <c r="D68" s="9">
        <v>1.0</v>
      </c>
      <c r="E68" s="10">
        <f>IFERROR(vlookup('1.2'!D:D,lookup!$A$2:$B$4,2,false),0)</f>
        <v>5</v>
      </c>
      <c r="F68" s="10">
        <f>IFERROR(vlookup('1.2'!E:E,lookup!$A$6:$B$8,2,false),0)</f>
        <v>5</v>
      </c>
      <c r="G68" s="10">
        <f>IFERROR(vlookup('1.2'!F:F,lookup!$A$10:$B$12,2,false),0)</f>
        <v>5</v>
      </c>
      <c r="H68" s="10">
        <f>IFERROR(vlookup('1.2'!G:G,lookup!$A$14:$B$16,2,false),0)</f>
        <v>5</v>
      </c>
      <c r="I68" s="10">
        <f>IFERROR(vlookup('1.2'!H:H,lookup!$A$18:$B$20,2,false),0)</f>
        <v>5</v>
      </c>
      <c r="J68" s="10">
        <f>IFERROR(vlookup('1.2'!I:I,lookup!$A$22:$B$24,2,false),0)</f>
        <v>5</v>
      </c>
      <c r="K68" s="10">
        <f>IFERROR(vlookup('1.2'!J:J,lookup!$A$26:$B$28,2,false),0)</f>
        <v>5</v>
      </c>
      <c r="M68" s="10">
        <v>67.0</v>
      </c>
      <c r="N68" s="11" t="str">
        <f t="shared" si="1"/>
        <v>bnco0967@signalschool.ac.th</v>
      </c>
      <c r="O68" s="12">
        <f t="shared" si="2"/>
        <v>1</v>
      </c>
      <c r="R68" s="6" t="s">
        <v>284</v>
      </c>
    </row>
    <row r="69">
      <c r="A69" s="8">
        <f>'1.2'!A:A</f>
        <v>46153.37493</v>
      </c>
      <c r="B69" s="2" t="str">
        <f>'1.2'!B:B</f>
        <v>bnco0928@signalschool.ac.th</v>
      </c>
      <c r="C69" s="2" t="str">
        <f>'1.2'!C:C</f>
        <v>จ.ส.อ. พัลลภ  ดวงเดือน, ส.อ. สิทธิศักดิ์  รินไธสง</v>
      </c>
      <c r="D69" s="9">
        <v>1.0</v>
      </c>
      <c r="E69" s="10">
        <f>IFERROR(vlookup('1.2'!D:D,lookup!$A$2:$B$4,2,false),0)</f>
        <v>5</v>
      </c>
      <c r="F69" s="10">
        <f>IFERROR(vlookup('1.2'!E:E,lookup!$A$6:$B$8,2,false),0)</f>
        <v>5</v>
      </c>
      <c r="G69" s="10">
        <f>IFERROR(vlookup('1.2'!F:F,lookup!$A$10:$B$12,2,false),0)</f>
        <v>5</v>
      </c>
      <c r="H69" s="10">
        <f>IFERROR(vlookup('1.2'!G:G,lookup!$A$14:$B$16,2,false),0)</f>
        <v>5</v>
      </c>
      <c r="I69" s="10">
        <f>IFERROR(vlookup('1.2'!H:H,lookup!$A$18:$B$20,2,false),0)</f>
        <v>5</v>
      </c>
      <c r="J69" s="10">
        <f>IFERROR(vlookup('1.2'!I:I,lookup!$A$22:$B$24,2,false),0)</f>
        <v>5</v>
      </c>
      <c r="K69" s="10">
        <f>IFERROR(vlookup('1.2'!J:J,lookup!$A$26:$B$28,2,false),0)</f>
        <v>5</v>
      </c>
      <c r="M69" s="10">
        <v>68.0</v>
      </c>
      <c r="N69" s="11" t="str">
        <f t="shared" si="1"/>
        <v>bnco0968@signalschool.ac.th</v>
      </c>
      <c r="O69" s="12">
        <f t="shared" si="2"/>
        <v>1</v>
      </c>
      <c r="R69" s="6" t="s">
        <v>285</v>
      </c>
    </row>
    <row r="70">
      <c r="A70" s="8">
        <f>'1.2'!A:A</f>
        <v>46153.37531</v>
      </c>
      <c r="B70" s="2" t="str">
        <f>'1.2'!B:B</f>
        <v>bnco0964@signalschool.ac.th</v>
      </c>
      <c r="C70" s="2" t="str">
        <f>'1.2'!C:C</f>
        <v>จ.ส.อ.พัลลภ ดวงเดือน</v>
      </c>
      <c r="D70" s="9">
        <v>1.0</v>
      </c>
      <c r="E70" s="10">
        <f>IFERROR(vlookup('1.2'!D:D,lookup!$A$2:$B$4,2,false),0)</f>
        <v>5</v>
      </c>
      <c r="F70" s="10">
        <f>IFERROR(vlookup('1.2'!E:E,lookup!$A$6:$B$8,2,false),0)</f>
        <v>5</v>
      </c>
      <c r="G70" s="10">
        <f>IFERROR(vlookup('1.2'!F:F,lookup!$A$10:$B$12,2,false),0)</f>
        <v>5</v>
      </c>
      <c r="H70" s="10">
        <f>IFERROR(vlookup('1.2'!G:G,lookup!$A$14:$B$16,2,false),0)</f>
        <v>5</v>
      </c>
      <c r="I70" s="10">
        <f>IFERROR(vlookup('1.2'!H:H,lookup!$A$18:$B$20,2,false),0)</f>
        <v>5</v>
      </c>
      <c r="J70" s="10">
        <f>IFERROR(vlookup('1.2'!I:I,lookup!$A$22:$B$24,2,false),0)</f>
        <v>5</v>
      </c>
      <c r="K70" s="10">
        <f>IFERROR(vlookup('1.2'!J:J,lookup!$A$26:$B$28,2,false),0)</f>
        <v>5</v>
      </c>
      <c r="M70" s="10">
        <v>69.0</v>
      </c>
      <c r="N70" s="11" t="str">
        <f t="shared" si="1"/>
        <v>bnco0969@signalschool.ac.th</v>
      </c>
      <c r="O70" s="12">
        <f t="shared" si="2"/>
        <v>1</v>
      </c>
      <c r="R70" s="6" t="s">
        <v>286</v>
      </c>
    </row>
    <row r="71">
      <c r="A71" s="8">
        <f>'1.2'!A:A</f>
        <v>46153.37561</v>
      </c>
      <c r="B71" s="2" t="str">
        <f>'1.2'!B:B</f>
        <v>bnco0963@signalschool.ac.th</v>
      </c>
      <c r="C71" s="2" t="str">
        <f>'1.2'!C:C</f>
        <v>จ.ส.อ.พัลลภ ดวงเดือน</v>
      </c>
      <c r="D71" s="9">
        <v>1.0</v>
      </c>
      <c r="E71" s="10">
        <f>IFERROR(vlookup('1.2'!D:D,lookup!$A$2:$B$4,2,false),0)</f>
        <v>5</v>
      </c>
      <c r="F71" s="10">
        <f>IFERROR(vlookup('1.2'!E:E,lookup!$A$6:$B$8,2,false),0)</f>
        <v>5</v>
      </c>
      <c r="G71" s="10">
        <f>IFERROR(vlookup('1.2'!F:F,lookup!$A$10:$B$12,2,false),0)</f>
        <v>5</v>
      </c>
      <c r="H71" s="10">
        <f>IFERROR(vlookup('1.2'!G:G,lookup!$A$14:$B$16,2,false),0)</f>
        <v>5</v>
      </c>
      <c r="I71" s="10">
        <f>IFERROR(vlookup('1.2'!H:H,lookup!$A$18:$B$20,2,false),0)</f>
        <v>5</v>
      </c>
      <c r="J71" s="10">
        <f>IFERROR(vlookup('1.2'!I:I,lookup!$A$22:$B$24,2,false),0)</f>
        <v>3</v>
      </c>
      <c r="K71" s="10">
        <f>IFERROR(vlookup('1.2'!J:J,lookup!$A$26:$B$28,2,false),0)</f>
        <v>3</v>
      </c>
      <c r="M71" s="10">
        <v>70.0</v>
      </c>
      <c r="N71" s="11" t="str">
        <f t="shared" si="1"/>
        <v>bnco0970@signalschool.ac.th</v>
      </c>
      <c r="O71" s="12">
        <f t="shared" si="2"/>
        <v>1</v>
      </c>
      <c r="R71" s="6" t="s">
        <v>287</v>
      </c>
    </row>
    <row r="72">
      <c r="A72" s="8">
        <f>'1.2'!A:A</f>
        <v>46153.37595</v>
      </c>
      <c r="B72" s="2" t="str">
        <f>'1.2'!B:B</f>
        <v>bnco0902@signalschool.ac.th</v>
      </c>
      <c r="C72" s="2" t="str">
        <f>'1.2'!C:C</f>
        <v>จ.ส.อ.พัลลภ ดวงเดือน,ส.อ.ธันวา เพิแย้ม</v>
      </c>
      <c r="D72" s="9">
        <v>1.0</v>
      </c>
      <c r="E72" s="10">
        <f>IFERROR(vlookup('1.2'!D:D,lookup!$A$2:$B$4,2,false),0)</f>
        <v>5</v>
      </c>
      <c r="F72" s="10">
        <f>IFERROR(vlookup('1.2'!E:E,lookup!$A$6:$B$8,2,false),0)</f>
        <v>5</v>
      </c>
      <c r="G72" s="10">
        <f>IFERROR(vlookup('1.2'!F:F,lookup!$A$10:$B$12,2,false),0)</f>
        <v>5</v>
      </c>
      <c r="H72" s="10">
        <f>IFERROR(vlookup('1.2'!G:G,lookup!$A$14:$B$16,2,false),0)</f>
        <v>5</v>
      </c>
      <c r="I72" s="10">
        <f>IFERROR(vlookup('1.2'!H:H,lookup!$A$18:$B$20,2,false),0)</f>
        <v>3</v>
      </c>
      <c r="J72" s="10">
        <f>IFERROR(vlookup('1.2'!I:I,lookup!$A$22:$B$24,2,false),0)</f>
        <v>5</v>
      </c>
      <c r="K72" s="10">
        <f>IFERROR(vlookup('1.2'!J:J,lookup!$A$26:$B$28,2,false),0)</f>
        <v>5</v>
      </c>
      <c r="M72" s="10">
        <v>71.0</v>
      </c>
      <c r="N72" s="11" t="str">
        <f t="shared" si="1"/>
        <v>bnco0971@signalschool.ac.th</v>
      </c>
      <c r="O72" s="12">
        <f t="shared" si="2"/>
        <v>1</v>
      </c>
      <c r="R72" s="6" t="s">
        <v>288</v>
      </c>
    </row>
    <row r="73">
      <c r="A73" s="8">
        <f>'1.2'!A:A</f>
        <v>46153.37744</v>
      </c>
      <c r="B73" s="2" t="str">
        <f>'1.2'!B:B</f>
        <v>bnco0975@signalschool.ac.th</v>
      </c>
      <c r="C73" s="2" t="str">
        <f>'1.2'!C:C</f>
        <v> จ.ส.อ. พัลลภ  ดวงเดือน  ส.อ ไพฑูรย์ พัชรภูษิตตสกุล</v>
      </c>
      <c r="D73" s="9">
        <v>1.0</v>
      </c>
      <c r="E73" s="10">
        <f>IFERROR(vlookup('1.2'!D:D,lookup!$A$2:$B$4,2,false),0)</f>
        <v>5</v>
      </c>
      <c r="F73" s="10">
        <f>IFERROR(vlookup('1.2'!E:E,lookup!$A$6:$B$8,2,false),0)</f>
        <v>5</v>
      </c>
      <c r="G73" s="10">
        <f>IFERROR(vlookup('1.2'!F:F,lookup!$A$10:$B$12,2,false),0)</f>
        <v>5</v>
      </c>
      <c r="H73" s="10">
        <f>IFERROR(vlookup('1.2'!G:G,lookup!$A$14:$B$16,2,false),0)</f>
        <v>5</v>
      </c>
      <c r="I73" s="10">
        <f>IFERROR(vlookup('1.2'!H:H,lookup!$A$18:$B$20,2,false),0)</f>
        <v>3</v>
      </c>
      <c r="J73" s="10">
        <f>IFERROR(vlookup('1.2'!I:I,lookup!$A$22:$B$24,2,false),0)</f>
        <v>5</v>
      </c>
      <c r="K73" s="10">
        <f>IFERROR(vlookup('1.2'!J:J,lookup!$A$26:$B$28,2,false),0)</f>
        <v>5</v>
      </c>
      <c r="M73" s="10">
        <v>72.0</v>
      </c>
      <c r="N73" s="11" t="str">
        <f t="shared" si="1"/>
        <v>bnco0972@signalschool.ac.th</v>
      </c>
      <c r="O73" s="12">
        <f t="shared" si="2"/>
        <v>1</v>
      </c>
      <c r="R73" s="6" t="s">
        <v>289</v>
      </c>
    </row>
    <row r="74">
      <c r="A74" s="8">
        <f>'1.2'!A:A</f>
        <v>46153.37747</v>
      </c>
      <c r="B74" s="2" t="str">
        <f>'1.2'!B:B</f>
        <v>bnco0972@signalschool.ac.th</v>
      </c>
      <c r="C74" s="2" t="str">
        <f>'1.2'!C:C</f>
        <v>จ.ส.อ.พัลลภ  ดวงเดือน ,  ส.อ. ปฐมพร  ลาป้อง</v>
      </c>
      <c r="D74" s="9">
        <v>1.0</v>
      </c>
      <c r="E74" s="10">
        <f>IFERROR(vlookup('1.2'!D:D,lookup!$A$2:$B$4,2,false),0)</f>
        <v>5</v>
      </c>
      <c r="F74" s="10">
        <f>IFERROR(vlookup('1.2'!E:E,lookup!$A$6:$B$8,2,false),0)</f>
        <v>5</v>
      </c>
      <c r="G74" s="10">
        <f>IFERROR(vlookup('1.2'!F:F,lookup!$A$10:$B$12,2,false),0)</f>
        <v>5</v>
      </c>
      <c r="H74" s="10">
        <f>IFERROR(vlookup('1.2'!G:G,lookup!$A$14:$B$16,2,false),0)</f>
        <v>5</v>
      </c>
      <c r="I74" s="10">
        <f>IFERROR(vlookup('1.2'!H:H,lookup!$A$18:$B$20,2,false),0)</f>
        <v>5</v>
      </c>
      <c r="J74" s="10">
        <f>IFERROR(vlookup('1.2'!I:I,lookup!$A$22:$B$24,2,false),0)</f>
        <v>5</v>
      </c>
      <c r="K74" s="10">
        <f>IFERROR(vlookup('1.2'!J:J,lookup!$A$26:$B$28,2,false),0)</f>
        <v>5</v>
      </c>
      <c r="M74" s="10">
        <v>73.0</v>
      </c>
      <c r="N74" s="11" t="str">
        <f t="shared" si="1"/>
        <v>bnco0973@signalschool.ac.th</v>
      </c>
      <c r="O74" s="12">
        <f t="shared" si="2"/>
        <v>1</v>
      </c>
      <c r="R74" s="6" t="s">
        <v>290</v>
      </c>
    </row>
    <row r="75">
      <c r="A75" s="8">
        <f>'1.2'!A:A</f>
        <v>46153.37911</v>
      </c>
      <c r="B75" s="2" t="str">
        <f>'1.2'!B:B</f>
        <v>bnco0918@signalschool.ac.th</v>
      </c>
      <c r="C75" s="2" t="str">
        <f>'1.2'!C:C</f>
        <v>จ.ส.อพัลลภ ดวงเดือน</v>
      </c>
      <c r="D75" s="9">
        <v>1.0</v>
      </c>
      <c r="E75" s="10">
        <f>IFERROR(vlookup('1.2'!D:D,lookup!$A$2:$B$4,2,false),0)</f>
        <v>5</v>
      </c>
      <c r="F75" s="10">
        <f>IFERROR(vlookup('1.2'!E:E,lookup!$A$6:$B$8,2,false),0)</f>
        <v>5</v>
      </c>
      <c r="G75" s="10">
        <f>IFERROR(vlookup('1.2'!F:F,lookup!$A$10:$B$12,2,false),0)</f>
        <v>5</v>
      </c>
      <c r="H75" s="10">
        <f>IFERROR(vlookup('1.2'!G:G,lookup!$A$14:$B$16,2,false),0)</f>
        <v>5</v>
      </c>
      <c r="I75" s="10">
        <f>IFERROR(vlookup('1.2'!H:H,lookup!$A$18:$B$20,2,false),0)</f>
        <v>5</v>
      </c>
      <c r="J75" s="10">
        <f>IFERROR(vlookup('1.2'!I:I,lookup!$A$22:$B$24,2,false),0)</f>
        <v>5</v>
      </c>
      <c r="K75" s="10">
        <f>IFERROR(vlookup('1.2'!J:J,lookup!$A$26:$B$28,2,false),0)</f>
        <v>5</v>
      </c>
      <c r="M75" s="10">
        <v>74.0</v>
      </c>
      <c r="N75" s="11" t="str">
        <f t="shared" si="1"/>
        <v>bnco0974@signalschool.ac.th</v>
      </c>
      <c r="O75" s="12">
        <f t="shared" si="2"/>
        <v>1</v>
      </c>
      <c r="R75" s="6" t="s">
        <v>291</v>
      </c>
    </row>
    <row r="76">
      <c r="A76" s="8">
        <f>'1.2'!A:A</f>
        <v>46153.37947</v>
      </c>
      <c r="B76" s="2" t="str">
        <f>'1.2'!B:B</f>
        <v>bnco0913@signalschool.ac.th</v>
      </c>
      <c r="C76" s="2" t="str">
        <f>'1.2'!C:C</f>
        <v>จ.ส.อ. พัลลภ  ดวงเดือน</v>
      </c>
      <c r="D76" s="9">
        <v>1.0</v>
      </c>
      <c r="E76" s="10">
        <f>IFERROR(vlookup('1.2'!D:D,lookup!$A$2:$B$4,2,false),0)</f>
        <v>5</v>
      </c>
      <c r="F76" s="10">
        <f>IFERROR(vlookup('1.2'!E:E,lookup!$A$6:$B$8,2,false),0)</f>
        <v>5</v>
      </c>
      <c r="G76" s="10">
        <f>IFERROR(vlookup('1.2'!F:F,lookup!$A$10:$B$12,2,false),0)</f>
        <v>5</v>
      </c>
      <c r="H76" s="10">
        <f>IFERROR(vlookup('1.2'!G:G,lookup!$A$14:$B$16,2,false),0)</f>
        <v>5</v>
      </c>
      <c r="I76" s="10">
        <f>IFERROR(vlookup('1.2'!H:H,lookup!$A$18:$B$20,2,false),0)</f>
        <v>5</v>
      </c>
      <c r="J76" s="10">
        <f>IFERROR(vlookup('1.2'!I:I,lookup!$A$22:$B$24,2,false),0)</f>
        <v>3</v>
      </c>
      <c r="K76" s="10">
        <f>IFERROR(vlookup('1.2'!J:J,lookup!$A$26:$B$28,2,false),0)</f>
        <v>3</v>
      </c>
      <c r="M76" s="10">
        <v>75.0</v>
      </c>
      <c r="N76" s="11" t="str">
        <f t="shared" si="1"/>
        <v>bnco0975@signalschool.ac.th</v>
      </c>
      <c r="O76" s="12">
        <f t="shared" si="2"/>
        <v>1</v>
      </c>
      <c r="R76" s="6" t="s">
        <v>292</v>
      </c>
    </row>
    <row r="77">
      <c r="A77" s="8">
        <f>'1.2'!A:A</f>
        <v>46153.38096</v>
      </c>
      <c r="B77" s="2" t="str">
        <f>'1.2'!B:B</f>
        <v>bnco0931@signalschool.ac.th</v>
      </c>
      <c r="C77" s="2" t="str">
        <f>'1.2'!C:C</f>
        <v>จ.ส.อ.พัลลภ ดวงเดือน</v>
      </c>
      <c r="D77" s="9">
        <v>1.0</v>
      </c>
      <c r="E77" s="10">
        <f>IFERROR(vlookup('1.2'!D:D,lookup!$A$2:$B$4,2,false),0)</f>
        <v>3</v>
      </c>
      <c r="F77" s="10">
        <f>IFERROR(vlookup('1.2'!E:E,lookup!$A$6:$B$8,2,false),0)</f>
        <v>5</v>
      </c>
      <c r="G77" s="10">
        <f>IFERROR(vlookup('1.2'!F:F,lookup!$A$10:$B$12,2,false),0)</f>
        <v>5</v>
      </c>
      <c r="H77" s="10">
        <f>IFERROR(vlookup('1.2'!G:G,lookup!$A$14:$B$16,2,false),0)</f>
        <v>5</v>
      </c>
      <c r="I77" s="10">
        <f>IFERROR(vlookup('1.2'!H:H,lookup!$A$18:$B$20,2,false),0)</f>
        <v>1</v>
      </c>
      <c r="J77" s="10">
        <f>IFERROR(vlookup('1.2'!I:I,lookup!$A$22:$B$24,2,false),0)</f>
        <v>3</v>
      </c>
      <c r="K77" s="10">
        <f>IFERROR(vlookup('1.2'!J:J,lookup!$A$26:$B$28,2,false),0)</f>
        <v>3</v>
      </c>
      <c r="M77" s="10">
        <v>76.0</v>
      </c>
      <c r="N77" s="11" t="str">
        <f t="shared" si="1"/>
        <v>bnco0976@signalschool.ac.th</v>
      </c>
      <c r="O77" s="12">
        <f t="shared" si="2"/>
        <v>1</v>
      </c>
      <c r="R77" s="6" t="s">
        <v>293</v>
      </c>
    </row>
    <row r="78">
      <c r="A78" s="8">
        <f>'1.2'!A:A</f>
        <v>46153.38193</v>
      </c>
      <c r="B78" s="2" t="str">
        <f>'1.2'!B:B</f>
        <v>bnco0980@signalschool.ac.th</v>
      </c>
      <c r="C78" s="2" t="str">
        <f>'1.2'!C:C</f>
        <v>จ.ส.อ.พัลลภ  ดวงเดือนม , ส.อ.สิทธิศักดิ์  รินไธสง</v>
      </c>
      <c r="D78" s="9">
        <v>1.0</v>
      </c>
      <c r="E78" s="10">
        <f>IFERROR(vlookup('1.2'!D:D,lookup!$A$2:$B$4,2,false),0)</f>
        <v>5</v>
      </c>
      <c r="F78" s="10">
        <f>IFERROR(vlookup('1.2'!E:E,lookup!$A$6:$B$8,2,false),0)</f>
        <v>5</v>
      </c>
      <c r="G78" s="10">
        <f>IFERROR(vlookup('1.2'!F:F,lookup!$A$10:$B$12,2,false),0)</f>
        <v>5</v>
      </c>
      <c r="H78" s="10">
        <f>IFERROR(vlookup('1.2'!G:G,lookup!$A$14:$B$16,2,false),0)</f>
        <v>5</v>
      </c>
      <c r="I78" s="10">
        <f>IFERROR(vlookup('1.2'!H:H,lookup!$A$18:$B$20,2,false),0)</f>
        <v>5</v>
      </c>
      <c r="J78" s="10">
        <f>IFERROR(vlookup('1.2'!I:I,lookup!$A$22:$B$24,2,false),0)</f>
        <v>3</v>
      </c>
      <c r="K78" s="10">
        <f>IFERROR(vlookup('1.2'!J:J,lookup!$A$26:$B$28,2,false),0)</f>
        <v>5</v>
      </c>
      <c r="M78" s="10">
        <v>77.0</v>
      </c>
      <c r="N78" s="11" t="str">
        <f t="shared" si="1"/>
        <v>bnco0977@signalschool.ac.th</v>
      </c>
      <c r="O78" s="12">
        <f t="shared" si="2"/>
        <v>1</v>
      </c>
      <c r="R78" s="6" t="s">
        <v>294</v>
      </c>
    </row>
    <row r="79">
      <c r="A79" s="8">
        <f>'1.2'!A:A</f>
        <v>46153.38534</v>
      </c>
      <c r="B79" s="2" t="str">
        <f>'1.2'!B:B</f>
        <v>bnco0961@signalschool.ac.th</v>
      </c>
      <c r="C79" s="2" t="str">
        <f>'1.2'!C:C</f>
        <v>ร.อ.ธัญญพันธ์ ตรีศักดิ์ศรี</v>
      </c>
      <c r="D79" s="9">
        <v>1.0</v>
      </c>
      <c r="E79" s="10">
        <f>IFERROR(vlookup('1.2'!D:D,lookup!$A$2:$B$4,2,false),0)</f>
        <v>5</v>
      </c>
      <c r="F79" s="10">
        <f>IFERROR(vlookup('1.2'!E:E,lookup!$A$6:$B$8,2,false),0)</f>
        <v>5</v>
      </c>
      <c r="G79" s="10">
        <f>IFERROR(vlookup('1.2'!F:F,lookup!$A$10:$B$12,2,false),0)</f>
        <v>5</v>
      </c>
      <c r="H79" s="10">
        <f>IFERROR(vlookup('1.2'!G:G,lookup!$A$14:$B$16,2,false),0)</f>
        <v>5</v>
      </c>
      <c r="I79" s="10">
        <f>IFERROR(vlookup('1.2'!H:H,lookup!$A$18:$B$20,2,false),0)</f>
        <v>5</v>
      </c>
      <c r="J79" s="10">
        <f>IFERROR(vlookup('1.2'!I:I,lookup!$A$22:$B$24,2,false),0)</f>
        <v>3</v>
      </c>
      <c r="K79" s="10">
        <f>IFERROR(vlookup('1.2'!J:J,lookup!$A$26:$B$28,2,false),0)</f>
        <v>5</v>
      </c>
      <c r="M79" s="10">
        <v>78.0</v>
      </c>
      <c r="N79" s="11" t="str">
        <f t="shared" si="1"/>
        <v>bnco0978@signalschool.ac.th</v>
      </c>
      <c r="O79" s="12">
        <f t="shared" si="2"/>
        <v>1</v>
      </c>
      <c r="R79" s="6" t="s">
        <v>295</v>
      </c>
    </row>
    <row r="80">
      <c r="A80" s="8">
        <f>'1.2'!A:A</f>
        <v>46153.38595</v>
      </c>
      <c r="B80" s="2" t="str">
        <f>'1.2'!B:B</f>
        <v>bnco0917@signalschool.ac.th</v>
      </c>
      <c r="C80" s="2" t="str">
        <f>'1.2'!C:C</f>
        <v>จ.ส.อ.พัลลภ ดวงเดือน, ส.อ.สมชาย ผลดี</v>
      </c>
      <c r="D80" s="9">
        <v>1.0</v>
      </c>
      <c r="E80" s="10">
        <f>IFERROR(vlookup('1.2'!D:D,lookup!$A$2:$B$4,2,false),0)</f>
        <v>5</v>
      </c>
      <c r="F80" s="10">
        <f>IFERROR(vlookup('1.2'!E:E,lookup!$A$6:$B$8,2,false),0)</f>
        <v>5</v>
      </c>
      <c r="G80" s="10">
        <f>IFERROR(vlookup('1.2'!F:F,lookup!$A$10:$B$12,2,false),0)</f>
        <v>5</v>
      </c>
      <c r="H80" s="10">
        <f>IFERROR(vlookup('1.2'!G:G,lookup!$A$14:$B$16,2,false),0)</f>
        <v>5</v>
      </c>
      <c r="I80" s="10">
        <f>IFERROR(vlookup('1.2'!H:H,lookup!$A$18:$B$20,2,false),0)</f>
        <v>5</v>
      </c>
      <c r="J80" s="10">
        <f>IFERROR(vlookup('1.2'!I:I,lookup!$A$22:$B$24,2,false),0)</f>
        <v>5</v>
      </c>
      <c r="K80" s="10">
        <f>IFERROR(vlookup('1.2'!J:J,lookup!$A$26:$B$28,2,false),0)</f>
        <v>5</v>
      </c>
      <c r="M80" s="10">
        <v>79.0</v>
      </c>
      <c r="N80" s="11" t="str">
        <f t="shared" si="1"/>
        <v>bnco0979@signalschool.ac.th</v>
      </c>
      <c r="O80" s="12">
        <f t="shared" si="2"/>
        <v>1</v>
      </c>
      <c r="R80" s="6" t="s">
        <v>296</v>
      </c>
    </row>
    <row r="81">
      <c r="A81" s="8">
        <f>'1.2'!A:A</f>
        <v>46153.3861</v>
      </c>
      <c r="B81" s="2" t="str">
        <f>'1.2'!B:B</f>
        <v>bnco0970@signalschool.ac.th</v>
      </c>
      <c r="C81" s="2" t="str">
        <f>'1.2'!C:C</f>
        <v>ส.อ.ภาณุพงศ์ อุทธิยา</v>
      </c>
      <c r="D81" s="9">
        <v>1.0</v>
      </c>
      <c r="E81" s="10">
        <f>IFERROR(vlookup('1.2'!D:D,lookup!$A$2:$B$4,2,false),0)</f>
        <v>5</v>
      </c>
      <c r="F81" s="10">
        <f>IFERROR(vlookup('1.2'!E:E,lookup!$A$6:$B$8,2,false),0)</f>
        <v>5</v>
      </c>
      <c r="G81" s="10">
        <f>IFERROR(vlookup('1.2'!F:F,lookup!$A$10:$B$12,2,false),0)</f>
        <v>5</v>
      </c>
      <c r="H81" s="10">
        <f>IFERROR(vlookup('1.2'!G:G,lookup!$A$14:$B$16,2,false),0)</f>
        <v>5</v>
      </c>
      <c r="I81" s="10">
        <f>IFERROR(vlookup('1.2'!H:H,lookup!$A$18:$B$20,2,false),0)</f>
        <v>5</v>
      </c>
      <c r="J81" s="10">
        <f>IFERROR(vlookup('1.2'!I:I,lookup!$A$22:$B$24,2,false),0)</f>
        <v>3</v>
      </c>
      <c r="K81" s="10">
        <f>IFERROR(vlookup('1.2'!J:J,lookup!$A$26:$B$28,2,false),0)</f>
        <v>5</v>
      </c>
      <c r="L81" s="16"/>
      <c r="M81" s="10">
        <v>80.0</v>
      </c>
      <c r="N81" s="11" t="str">
        <f t="shared" si="1"/>
        <v>bnco0980@signalschool.ac.th</v>
      </c>
      <c r="O81" s="12">
        <f t="shared" si="2"/>
        <v>1</v>
      </c>
      <c r="R81" s="6" t="s">
        <v>297</v>
      </c>
    </row>
    <row r="82">
      <c r="A82" s="8">
        <f>'1.2'!A:A</f>
        <v>46212.62286</v>
      </c>
      <c r="B82" s="2" t="str">
        <f>'1.2'!B:B</f>
        <v>poranai609@gmail.com</v>
      </c>
      <c r="C82" s="2" t="str">
        <f>'1.2'!C:C</f>
        <v>จ.ส.อ.พัลลภ ดวงเดือน , จ.ส.อ.ธรรมรักษ์ หมวกเพ็ชร</v>
      </c>
      <c r="D82" s="9">
        <v>1.0</v>
      </c>
      <c r="E82" s="10">
        <f>IFERROR(vlookup('1.2'!D:D,lookup!$A$2:$B$4,2,false),0)</f>
        <v>5</v>
      </c>
      <c r="F82" s="10">
        <f>IFERROR(vlookup('1.2'!E:E,lookup!$A$6:$B$8,2,false),0)</f>
        <v>5</v>
      </c>
      <c r="G82" s="10">
        <f>IFERROR(vlookup('1.2'!F:F,lookup!$A$10:$B$12,2,false),0)</f>
        <v>5</v>
      </c>
      <c r="H82" s="10">
        <f>IFERROR(vlookup('1.2'!G:G,lookup!$A$14:$B$16,2,false),0)</f>
        <v>5</v>
      </c>
      <c r="I82" s="10">
        <f>IFERROR(vlookup('1.2'!H:H,lookup!$A$18:$B$20,2,false),0)</f>
        <v>5</v>
      </c>
      <c r="J82" s="10">
        <f>IFERROR(vlookup('1.2'!I:I,lookup!$A$22:$B$24,2,false),0)</f>
        <v>3</v>
      </c>
      <c r="K82" s="10">
        <f>IFERROR(vlookup('1.2'!J:J,lookup!$A$26:$B$28,2,false),0)</f>
        <v>5</v>
      </c>
      <c r="N82" s="2" t="s">
        <v>298</v>
      </c>
      <c r="O82" s="10">
        <f>SUM(O2:O81)</f>
        <v>80</v>
      </c>
    </row>
    <row r="83">
      <c r="A83" s="8" t="str">
        <f>'1.2'!A:A</f>
        <v/>
      </c>
      <c r="B83" s="2" t="str">
        <f>'1.2'!B:B</f>
        <v/>
      </c>
      <c r="C83" s="2" t="str">
        <f>'1.2'!C:C</f>
        <v/>
      </c>
      <c r="D83" s="9">
        <v>1.0</v>
      </c>
      <c r="E83" s="10">
        <f>IFERROR(vlookup('1.2'!D:D,lookup!$A$2:$B$4,2,false),0)</f>
        <v>0</v>
      </c>
      <c r="F83" s="10">
        <f>IFERROR(vlookup('1.2'!E:E,lookup!$A$6:$B$8,2,false),0)</f>
        <v>0</v>
      </c>
      <c r="G83" s="10">
        <f>IFERROR(vlookup('1.2'!F:F,lookup!$A$10:$B$12,2,false),0)</f>
        <v>0</v>
      </c>
      <c r="H83" s="10">
        <f>IFERROR(vlookup('1.2'!G:G,lookup!$A$14:$B$16,2,false),0)</f>
        <v>0</v>
      </c>
      <c r="I83" s="10">
        <f>IFERROR(vlookup('1.2'!H:H,lookup!$A$18:$B$20,2,false),0)</f>
        <v>0</v>
      </c>
      <c r="J83" s="10">
        <f>IFERROR(vlookup('1.2'!I:I,lookup!$A$22:$B$24,2,false),0)</f>
        <v>0</v>
      </c>
      <c r="K83" s="10">
        <f>IFERROR(vlookup('1.2'!J:J,lookup!$A$26:$B$28,2,false),0)</f>
        <v>0</v>
      </c>
      <c r="N83" s="2" t="s">
        <v>299</v>
      </c>
      <c r="O83" s="10">
        <f>(O82*100)/80</f>
        <v>100</v>
      </c>
    </row>
    <row r="84">
      <c r="A84" s="8" t="str">
        <f>'1.2'!A:A</f>
        <v/>
      </c>
      <c r="B84" s="2" t="str">
        <f>'1.2'!B:B</f>
        <v/>
      </c>
      <c r="C84" s="2" t="str">
        <f>'1.2'!C:C</f>
        <v/>
      </c>
      <c r="D84" s="9">
        <v>1.0</v>
      </c>
      <c r="E84" s="10">
        <f>IFERROR(vlookup('1.2'!D:D,lookup!$A$2:$B$4,2,false),0)</f>
        <v>0</v>
      </c>
      <c r="F84" s="10">
        <f>IFERROR(vlookup('1.2'!E:E,lookup!$A$6:$B$8,2,false),0)</f>
        <v>0</v>
      </c>
      <c r="G84" s="10">
        <f>IFERROR(vlookup('1.2'!F:F,lookup!$A$10:$B$12,2,false),0)</f>
        <v>0</v>
      </c>
      <c r="H84" s="10">
        <f>IFERROR(vlookup('1.2'!G:G,lookup!$A$14:$B$16,2,false),0)</f>
        <v>0</v>
      </c>
      <c r="I84" s="10">
        <f>IFERROR(vlookup('1.2'!H:H,lookup!$A$18:$B$20,2,false),0)</f>
        <v>0</v>
      </c>
      <c r="J84" s="10">
        <f>IFERROR(vlookup('1.2'!I:I,lookup!$A$22:$B$24,2,false),0)</f>
        <v>0</v>
      </c>
      <c r="K84" s="10">
        <f>IFERROR(vlookup('1.2'!J:J,lookup!$A$26:$B$28,2,false),0)</f>
        <v>0</v>
      </c>
    </row>
    <row r="85">
      <c r="A85" s="8" t="str">
        <f>'1.2'!A:A</f>
        <v/>
      </c>
      <c r="B85" s="2" t="str">
        <f>'1.2'!B:B</f>
        <v/>
      </c>
      <c r="C85" s="2" t="str">
        <f>'1.2'!C:C</f>
        <v/>
      </c>
      <c r="D85" s="9">
        <v>1.0</v>
      </c>
      <c r="E85" s="10">
        <f>IFERROR(vlookup('1.2'!D:D,lookup!$A$2:$B$4,2,false),0)</f>
        <v>0</v>
      </c>
      <c r="F85" s="10">
        <f>IFERROR(vlookup('1.2'!E:E,lookup!$A$6:$B$8,2,false),0)</f>
        <v>0</v>
      </c>
      <c r="G85" s="10">
        <f>IFERROR(vlookup('1.2'!F:F,lookup!$A$10:$B$12,2,false),0)</f>
        <v>0</v>
      </c>
      <c r="H85" s="10">
        <f>IFERROR(vlookup('1.2'!G:G,lookup!$A$14:$B$16,2,false),0)</f>
        <v>0</v>
      </c>
      <c r="I85" s="10">
        <f>IFERROR(vlookup('1.2'!H:H,lookup!$A$18:$B$20,2,false),0)</f>
        <v>0</v>
      </c>
      <c r="J85" s="10">
        <f>IFERROR(vlookup('1.2'!I:I,lookup!$A$22:$B$24,2,false),0)</f>
        <v>0</v>
      </c>
      <c r="K85" s="10">
        <f>IFERROR(vlookup('1.2'!J:J,lookup!$A$26:$B$28,2,false),0)</f>
        <v>0</v>
      </c>
    </row>
    <row r="86">
      <c r="A86" s="8" t="str">
        <f>'1.2'!A:A</f>
        <v/>
      </c>
      <c r="B86" s="2" t="str">
        <f>'1.2'!B:B</f>
        <v/>
      </c>
      <c r="C86" s="2" t="str">
        <f>'1.2'!C:C</f>
        <v/>
      </c>
      <c r="D86" s="9">
        <v>1.0</v>
      </c>
      <c r="E86" s="10">
        <f>IFERROR(vlookup('1.2'!D:D,lookup!$A$2:$B$4,2,false),0)</f>
        <v>0</v>
      </c>
      <c r="F86" s="10">
        <f>IFERROR(vlookup('1.2'!E:E,lookup!$A$6:$B$8,2,false),0)</f>
        <v>0</v>
      </c>
      <c r="G86" s="10">
        <f>IFERROR(vlookup('1.2'!F:F,lookup!$A$10:$B$12,2,false),0)</f>
        <v>0</v>
      </c>
      <c r="H86" s="10">
        <f>IFERROR(vlookup('1.2'!G:G,lookup!$A$14:$B$16,2,false),0)</f>
        <v>0</v>
      </c>
      <c r="I86" s="10">
        <f>IFERROR(vlookup('1.2'!H:H,lookup!$A$18:$B$20,2,false),0)</f>
        <v>0</v>
      </c>
      <c r="J86" s="10">
        <f>IFERROR(vlookup('1.2'!I:I,lookup!$A$22:$B$24,2,false),0)</f>
        <v>0</v>
      </c>
      <c r="K86" s="10">
        <f>IFERROR(vlookup('1.2'!J:J,lookup!$A$26:$B$28,2,false),0)</f>
        <v>0</v>
      </c>
    </row>
    <row r="87">
      <c r="A87" s="8" t="str">
        <f>'1.2'!A:A</f>
        <v/>
      </c>
      <c r="B87" s="2" t="str">
        <f>'1.2'!B:B</f>
        <v/>
      </c>
      <c r="C87" s="2" t="str">
        <f>'1.2'!C:C</f>
        <v/>
      </c>
      <c r="D87" s="9">
        <v>1.0</v>
      </c>
      <c r="E87" s="10">
        <f>IFERROR(vlookup('1.2'!D:D,lookup!$A$2:$B$4,2,false),0)</f>
        <v>0</v>
      </c>
      <c r="F87" s="10">
        <f>IFERROR(vlookup('1.2'!E:E,lookup!$A$6:$B$8,2,false),0)</f>
        <v>0</v>
      </c>
      <c r="G87" s="10">
        <f>IFERROR(vlookup('1.2'!F:F,lookup!$A$10:$B$12,2,false),0)</f>
        <v>0</v>
      </c>
      <c r="H87" s="10">
        <f>IFERROR(vlookup('1.2'!G:G,lookup!$A$14:$B$16,2,false),0)</f>
        <v>0</v>
      </c>
      <c r="I87" s="10">
        <f>IFERROR(vlookup('1.2'!H:H,lookup!$A$18:$B$20,2,false),0)</f>
        <v>0</v>
      </c>
      <c r="J87" s="10">
        <f>IFERROR(vlookup('1.2'!I:I,lookup!$A$22:$B$24,2,false),0)</f>
        <v>0</v>
      </c>
      <c r="K87" s="10">
        <f>IFERROR(vlookup('1.2'!J:J,lookup!$A$26:$B$28,2,false),0)</f>
        <v>0</v>
      </c>
    </row>
    <row r="88">
      <c r="A88" s="8" t="str">
        <f>'1.2'!A:A</f>
        <v/>
      </c>
      <c r="B88" s="2" t="str">
        <f>'1.2'!B:B</f>
        <v/>
      </c>
      <c r="C88" s="2" t="str">
        <f>'1.2'!C:C</f>
        <v/>
      </c>
      <c r="D88" s="9">
        <v>1.0</v>
      </c>
      <c r="E88" s="10">
        <f>IFERROR(vlookup('1.2'!D:D,lookup!$A$2:$B$4,2,false),0)</f>
        <v>0</v>
      </c>
      <c r="F88" s="10">
        <f>IFERROR(vlookup('1.2'!E:E,lookup!$A$6:$B$8,2,false),0)</f>
        <v>0</v>
      </c>
      <c r="G88" s="10">
        <f>IFERROR(vlookup('1.2'!F:F,lookup!$A$10:$B$12,2,false),0)</f>
        <v>0</v>
      </c>
      <c r="H88" s="10">
        <f>IFERROR(vlookup('1.2'!G:G,lookup!$A$14:$B$16,2,false),0)</f>
        <v>0</v>
      </c>
      <c r="I88" s="10">
        <f>IFERROR(vlookup('1.2'!H:H,lookup!$A$18:$B$20,2,false),0)</f>
        <v>0</v>
      </c>
      <c r="J88" s="10">
        <f>IFERROR(vlookup('1.2'!I:I,lookup!$A$22:$B$24,2,false),0)</f>
        <v>0</v>
      </c>
      <c r="K88" s="10">
        <f>IFERROR(vlookup('1.2'!J:J,lookup!$A$26:$B$28,2,false),0)</f>
        <v>0</v>
      </c>
    </row>
    <row r="89">
      <c r="A89" s="8" t="str">
        <f>'1.2'!A:A</f>
        <v/>
      </c>
      <c r="B89" s="2" t="str">
        <f>'1.2'!B:B</f>
        <v/>
      </c>
      <c r="C89" s="2" t="str">
        <f>'1.2'!C:C</f>
        <v/>
      </c>
      <c r="D89" s="9">
        <v>1.0</v>
      </c>
      <c r="E89" s="10">
        <f>IFERROR(vlookup('1.2'!D:D,lookup!$A$2:$B$4,2,false),0)</f>
        <v>0</v>
      </c>
      <c r="F89" s="10">
        <f>IFERROR(vlookup('1.2'!E:E,lookup!$A$6:$B$8,2,false),0)</f>
        <v>0</v>
      </c>
      <c r="G89" s="10">
        <f>IFERROR(vlookup('1.2'!F:F,lookup!$A$10:$B$12,2,false),0)</f>
        <v>0</v>
      </c>
      <c r="H89" s="10">
        <f>IFERROR(vlookup('1.2'!G:G,lookup!$A$14:$B$16,2,false),0)</f>
        <v>0</v>
      </c>
      <c r="I89" s="10">
        <f>IFERROR(vlookup('1.2'!H:H,lookup!$A$18:$B$20,2,false),0)</f>
        <v>0</v>
      </c>
      <c r="J89" s="10">
        <f>IFERROR(vlookup('1.2'!I:I,lookup!$A$22:$B$24,2,false),0)</f>
        <v>0</v>
      </c>
      <c r="K89" s="10">
        <f>IFERROR(vlookup('1.2'!J:J,lookup!$A$26:$B$28,2,false),0)</f>
        <v>0</v>
      </c>
    </row>
    <row r="90">
      <c r="A90" s="8"/>
      <c r="C90" s="2"/>
      <c r="E90" s="14">
        <f t="shared" ref="E90:K90" si="3">AVERAGE(E2:E81)</f>
        <v>4.95</v>
      </c>
      <c r="F90" s="14">
        <f t="shared" si="3"/>
        <v>4.95</v>
      </c>
      <c r="G90" s="14">
        <f t="shared" si="3"/>
        <v>5</v>
      </c>
      <c r="H90" s="14">
        <f t="shared" si="3"/>
        <v>5</v>
      </c>
      <c r="I90" s="14">
        <f t="shared" si="3"/>
        <v>4.85</v>
      </c>
      <c r="J90" s="14">
        <f t="shared" si="3"/>
        <v>4.625</v>
      </c>
      <c r="K90" s="14">
        <f t="shared" si="3"/>
        <v>4.675</v>
      </c>
      <c r="L90" s="15">
        <f>AVERAGE(E90:K90)</f>
        <v>4.864285714</v>
      </c>
    </row>
    <row r="91">
      <c r="A91" s="8"/>
      <c r="C91" s="2"/>
      <c r="E91" s="10"/>
    </row>
    <row r="92">
      <c r="A92" s="8"/>
      <c r="C92" s="2"/>
      <c r="E92" s="10"/>
    </row>
    <row r="93">
      <c r="A93" s="8"/>
      <c r="C93" s="2"/>
      <c r="E93" s="10"/>
    </row>
    <row r="94">
      <c r="A94" s="8"/>
      <c r="C94" s="2"/>
      <c r="E94" s="10"/>
    </row>
    <row r="95">
      <c r="A95" s="8"/>
      <c r="C95" s="2"/>
      <c r="E95" s="10"/>
    </row>
    <row r="96">
      <c r="A96" s="8"/>
      <c r="C96" s="2"/>
      <c r="E96" s="10"/>
    </row>
    <row r="97">
      <c r="A97" s="8"/>
      <c r="C97" s="2"/>
      <c r="E97" s="10"/>
    </row>
    <row r="98">
      <c r="A98" s="8"/>
      <c r="C98" s="2"/>
      <c r="E98" s="10"/>
    </row>
    <row r="99">
      <c r="A99" s="8"/>
      <c r="C99" s="2"/>
      <c r="E99" s="10"/>
    </row>
    <row r="100">
      <c r="A100" s="8"/>
      <c r="C100" s="2"/>
    </row>
    <row r="101">
      <c r="A101" s="8"/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</sheetData>
  <mergeCells count="1">
    <mergeCell ref="M1:O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7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4">
        <v>46191.197256875</v>
      </c>
      <c r="B2" s="6" t="s">
        <v>27</v>
      </c>
      <c r="C2" s="6" t="s">
        <v>194</v>
      </c>
      <c r="D2" s="6" t="s">
        <v>15</v>
      </c>
      <c r="E2" s="6" t="s">
        <v>16</v>
      </c>
      <c r="F2" s="6" t="s">
        <v>17</v>
      </c>
      <c r="G2" s="6" t="s">
        <v>18</v>
      </c>
      <c r="H2" s="6" t="s">
        <v>19</v>
      </c>
      <c r="I2" s="6" t="s">
        <v>20</v>
      </c>
      <c r="J2" s="6" t="s">
        <v>21</v>
      </c>
      <c r="K2" s="6" t="s">
        <v>29</v>
      </c>
    </row>
    <row r="3">
      <c r="A3" s="4">
        <v>46195.341737731476</v>
      </c>
      <c r="B3" s="6" t="s">
        <v>166</v>
      </c>
      <c r="C3" s="6" t="s">
        <v>195</v>
      </c>
      <c r="D3" s="6" t="s">
        <v>15</v>
      </c>
      <c r="E3" s="6" t="s">
        <v>16</v>
      </c>
      <c r="F3" s="6" t="s">
        <v>17</v>
      </c>
      <c r="G3" s="6" t="s">
        <v>18</v>
      </c>
      <c r="H3" s="6" t="s">
        <v>46</v>
      </c>
      <c r="I3" s="6" t="s">
        <v>20</v>
      </c>
      <c r="J3" s="6" t="s">
        <v>21</v>
      </c>
    </row>
    <row r="4">
      <c r="A4" s="4">
        <v>46203.7035566088</v>
      </c>
      <c r="B4" s="6" t="s">
        <v>11</v>
      </c>
      <c r="C4" s="6" t="s">
        <v>196</v>
      </c>
      <c r="D4" s="6" t="s">
        <v>15</v>
      </c>
      <c r="E4" s="6" t="s">
        <v>16</v>
      </c>
      <c r="F4" s="6" t="s">
        <v>17</v>
      </c>
      <c r="G4" s="6" t="s">
        <v>18</v>
      </c>
      <c r="H4" s="6" t="s">
        <v>19</v>
      </c>
      <c r="I4" s="6" t="s">
        <v>20</v>
      </c>
      <c r="J4" s="6" t="s">
        <v>21</v>
      </c>
    </row>
    <row r="5">
      <c r="A5" s="4">
        <v>46204.344395</v>
      </c>
      <c r="B5" s="6" t="s">
        <v>30</v>
      </c>
      <c r="C5" s="6" t="s">
        <v>198</v>
      </c>
      <c r="D5" s="6" t="s">
        <v>15</v>
      </c>
      <c r="E5" s="6" t="s">
        <v>16</v>
      </c>
      <c r="F5" s="6" t="s">
        <v>17</v>
      </c>
      <c r="G5" s="6" t="s">
        <v>18</v>
      </c>
      <c r="H5" s="6" t="s">
        <v>19</v>
      </c>
      <c r="I5" s="6" t="s">
        <v>20</v>
      </c>
      <c r="J5" s="6" t="s">
        <v>21</v>
      </c>
      <c r="K5" s="6" t="s">
        <v>34</v>
      </c>
    </row>
    <row r="6">
      <c r="A6" s="4">
        <v>46204.46700050926</v>
      </c>
      <c r="B6" s="6" t="s">
        <v>35</v>
      </c>
      <c r="C6" s="6" t="s">
        <v>198</v>
      </c>
      <c r="D6" s="6" t="s">
        <v>15</v>
      </c>
      <c r="E6" s="6" t="s">
        <v>16</v>
      </c>
      <c r="F6" s="6" t="s">
        <v>17</v>
      </c>
      <c r="G6" s="6" t="s">
        <v>18</v>
      </c>
      <c r="H6" s="6" t="s">
        <v>19</v>
      </c>
      <c r="I6" s="6" t="s">
        <v>20</v>
      </c>
      <c r="J6" s="6" t="s">
        <v>21</v>
      </c>
    </row>
    <row r="7">
      <c r="A7" s="4">
        <v>46206.59619560185</v>
      </c>
      <c r="B7" s="6" t="s">
        <v>37</v>
      </c>
      <c r="C7" s="6" t="s">
        <v>199</v>
      </c>
      <c r="D7" s="6" t="s">
        <v>15</v>
      </c>
      <c r="E7" s="6" t="s">
        <v>16</v>
      </c>
      <c r="F7" s="6" t="s">
        <v>17</v>
      </c>
      <c r="G7" s="6" t="s">
        <v>18</v>
      </c>
      <c r="H7" s="6" t="s">
        <v>19</v>
      </c>
      <c r="I7" s="6" t="s">
        <v>20</v>
      </c>
      <c r="J7" s="6" t="s">
        <v>21</v>
      </c>
      <c r="K7" s="6" t="s">
        <v>39</v>
      </c>
    </row>
    <row r="8">
      <c r="A8" s="4">
        <v>46212.58136074074</v>
      </c>
      <c r="B8" s="6" t="s">
        <v>40</v>
      </c>
      <c r="C8" s="6" t="s">
        <v>198</v>
      </c>
      <c r="D8" s="6" t="s">
        <v>41</v>
      </c>
      <c r="E8" s="6" t="s">
        <v>33</v>
      </c>
      <c r="F8" s="6" t="s">
        <v>43</v>
      </c>
      <c r="G8" s="6" t="s">
        <v>44</v>
      </c>
      <c r="H8" s="6" t="s">
        <v>46</v>
      </c>
      <c r="I8" s="6" t="s">
        <v>47</v>
      </c>
      <c r="J8" s="6" t="s">
        <v>48</v>
      </c>
    </row>
    <row r="9">
      <c r="A9" s="4">
        <v>46212.61424202546</v>
      </c>
      <c r="B9" s="6" t="s">
        <v>49</v>
      </c>
      <c r="C9" s="6" t="s">
        <v>200</v>
      </c>
      <c r="D9" s="6" t="s">
        <v>15</v>
      </c>
      <c r="E9" s="6" t="s">
        <v>16</v>
      </c>
      <c r="F9" s="6" t="s">
        <v>17</v>
      </c>
      <c r="G9" s="6" t="s">
        <v>18</v>
      </c>
      <c r="H9" s="6" t="s">
        <v>19</v>
      </c>
      <c r="I9" s="6" t="s">
        <v>20</v>
      </c>
      <c r="J9" s="6" t="s">
        <v>21</v>
      </c>
    </row>
    <row r="10">
      <c r="A10" s="4">
        <v>46212.61636364584</v>
      </c>
      <c r="B10" s="6" t="s">
        <v>22</v>
      </c>
      <c r="C10" s="6" t="s">
        <v>201</v>
      </c>
      <c r="D10" s="6" t="s">
        <v>15</v>
      </c>
      <c r="E10" s="6" t="s">
        <v>16</v>
      </c>
      <c r="F10" s="6" t="s">
        <v>17</v>
      </c>
      <c r="G10" s="6" t="s">
        <v>18</v>
      </c>
      <c r="H10" s="6" t="s">
        <v>19</v>
      </c>
      <c r="I10" s="6" t="s">
        <v>20</v>
      </c>
      <c r="J10" s="6" t="s">
        <v>21</v>
      </c>
    </row>
    <row r="11">
      <c r="A11" s="4">
        <v>46212.61739226852</v>
      </c>
      <c r="B11" s="6" t="s">
        <v>54</v>
      </c>
      <c r="C11" s="6" t="s">
        <v>198</v>
      </c>
      <c r="D11" s="6" t="s">
        <v>15</v>
      </c>
      <c r="E11" s="6" t="s">
        <v>16</v>
      </c>
      <c r="F11" s="6" t="s">
        <v>17</v>
      </c>
      <c r="G11" s="6" t="s">
        <v>18</v>
      </c>
      <c r="H11" s="6" t="s">
        <v>19</v>
      </c>
      <c r="I11" s="6" t="s">
        <v>20</v>
      </c>
      <c r="J11" s="6" t="s">
        <v>21</v>
      </c>
    </row>
    <row r="12">
      <c r="A12" s="4">
        <v>46212.61779311343</v>
      </c>
      <c r="B12" s="6" t="s">
        <v>12</v>
      </c>
      <c r="C12" s="6" t="s">
        <v>198</v>
      </c>
      <c r="D12" s="6" t="s">
        <v>15</v>
      </c>
      <c r="E12" s="6" t="s">
        <v>16</v>
      </c>
      <c r="F12" s="6" t="s">
        <v>17</v>
      </c>
      <c r="G12" s="6" t="s">
        <v>18</v>
      </c>
      <c r="H12" s="6" t="s">
        <v>19</v>
      </c>
      <c r="I12" s="6" t="s">
        <v>20</v>
      </c>
      <c r="J12" s="6" t="s">
        <v>21</v>
      </c>
    </row>
    <row r="13">
      <c r="A13" s="4">
        <v>46212.618216041665</v>
      </c>
      <c r="B13" s="6" t="s">
        <v>51</v>
      </c>
      <c r="C13" s="6" t="s">
        <v>198</v>
      </c>
      <c r="D13" s="6" t="s">
        <v>15</v>
      </c>
      <c r="E13" s="6" t="s">
        <v>33</v>
      </c>
      <c r="F13" s="6" t="s">
        <v>17</v>
      </c>
      <c r="G13" s="6" t="s">
        <v>18</v>
      </c>
      <c r="H13" s="6" t="s">
        <v>19</v>
      </c>
      <c r="I13" s="6" t="s">
        <v>20</v>
      </c>
      <c r="J13" s="6" t="s">
        <v>21</v>
      </c>
    </row>
    <row r="14">
      <c r="A14" s="4">
        <v>46212.6183239699</v>
      </c>
      <c r="B14" s="6" t="s">
        <v>79</v>
      </c>
      <c r="C14" s="6" t="s">
        <v>198</v>
      </c>
      <c r="D14" s="6" t="s">
        <v>15</v>
      </c>
      <c r="E14" s="6" t="s">
        <v>16</v>
      </c>
      <c r="F14" s="6" t="s">
        <v>17</v>
      </c>
      <c r="G14" s="6" t="s">
        <v>18</v>
      </c>
      <c r="H14" s="6" t="s">
        <v>19</v>
      </c>
      <c r="I14" s="6" t="s">
        <v>20</v>
      </c>
      <c r="J14" s="6" t="s">
        <v>21</v>
      </c>
    </row>
    <row r="15">
      <c r="A15" s="4">
        <v>46212.61849354167</v>
      </c>
      <c r="B15" s="6" t="s">
        <v>76</v>
      </c>
      <c r="C15" s="6" t="s">
        <v>202</v>
      </c>
      <c r="D15" s="6" t="s">
        <v>15</v>
      </c>
      <c r="E15" s="6" t="s">
        <v>16</v>
      </c>
      <c r="F15" s="6" t="s">
        <v>17</v>
      </c>
      <c r="G15" s="6" t="s">
        <v>18</v>
      </c>
      <c r="H15" s="6" t="s">
        <v>19</v>
      </c>
      <c r="I15" s="6" t="s">
        <v>20</v>
      </c>
      <c r="J15" s="6" t="s">
        <v>21</v>
      </c>
    </row>
    <row r="16">
      <c r="A16" s="4">
        <v>46212.61854358796</v>
      </c>
      <c r="B16" s="6" t="s">
        <v>57</v>
      </c>
      <c r="C16" s="6" t="s">
        <v>198</v>
      </c>
      <c r="D16" s="6" t="s">
        <v>15</v>
      </c>
      <c r="E16" s="6" t="s">
        <v>16</v>
      </c>
      <c r="F16" s="6" t="s">
        <v>17</v>
      </c>
      <c r="G16" s="6" t="s">
        <v>18</v>
      </c>
      <c r="H16" s="6" t="s">
        <v>19</v>
      </c>
      <c r="I16" s="6" t="s">
        <v>20</v>
      </c>
      <c r="J16" s="6" t="s">
        <v>21</v>
      </c>
    </row>
    <row r="17">
      <c r="A17" s="4">
        <v>46212.61866795139</v>
      </c>
      <c r="B17" s="6" t="s">
        <v>65</v>
      </c>
      <c r="C17" s="6" t="s">
        <v>198</v>
      </c>
      <c r="D17" s="6" t="s">
        <v>15</v>
      </c>
      <c r="E17" s="6" t="s">
        <v>16</v>
      </c>
      <c r="F17" s="6" t="s">
        <v>17</v>
      </c>
      <c r="G17" s="6" t="s">
        <v>18</v>
      </c>
      <c r="H17" s="6" t="s">
        <v>19</v>
      </c>
      <c r="I17" s="6" t="s">
        <v>20</v>
      </c>
      <c r="J17" s="6" t="s">
        <v>48</v>
      </c>
    </row>
    <row r="18">
      <c r="A18" s="4">
        <v>46212.61872840278</v>
      </c>
      <c r="B18" s="6" t="s">
        <v>110</v>
      </c>
      <c r="C18" s="6" t="s">
        <v>198</v>
      </c>
      <c r="D18" s="6" t="s">
        <v>15</v>
      </c>
      <c r="E18" s="6" t="s">
        <v>16</v>
      </c>
      <c r="F18" s="6" t="s">
        <v>17</v>
      </c>
      <c r="G18" s="6" t="s">
        <v>18</v>
      </c>
      <c r="H18" s="6" t="s">
        <v>19</v>
      </c>
      <c r="I18" s="6" t="s">
        <v>20</v>
      </c>
      <c r="J18" s="6" t="s">
        <v>21</v>
      </c>
    </row>
    <row r="19">
      <c r="A19" s="4">
        <v>46212.61876557871</v>
      </c>
      <c r="B19" s="6" t="s">
        <v>75</v>
      </c>
      <c r="C19" s="6" t="s">
        <v>198</v>
      </c>
      <c r="D19" s="6" t="s">
        <v>15</v>
      </c>
      <c r="E19" s="6" t="s">
        <v>16</v>
      </c>
      <c r="F19" s="6" t="s">
        <v>17</v>
      </c>
      <c r="G19" s="6" t="s">
        <v>18</v>
      </c>
      <c r="H19" s="6" t="s">
        <v>19</v>
      </c>
      <c r="I19" s="6" t="s">
        <v>20</v>
      </c>
      <c r="J19" s="6" t="s">
        <v>21</v>
      </c>
    </row>
    <row r="20">
      <c r="A20" s="4">
        <v>46212.618800625</v>
      </c>
      <c r="B20" s="6" t="s">
        <v>93</v>
      </c>
      <c r="C20" s="6" t="s">
        <v>194</v>
      </c>
      <c r="D20" s="6" t="s">
        <v>15</v>
      </c>
      <c r="E20" s="6" t="s">
        <v>16</v>
      </c>
      <c r="F20" s="6" t="s">
        <v>17</v>
      </c>
      <c r="G20" s="6" t="s">
        <v>18</v>
      </c>
      <c r="H20" s="6" t="s">
        <v>19</v>
      </c>
      <c r="I20" s="6" t="s">
        <v>20</v>
      </c>
      <c r="J20" s="6" t="s">
        <v>21</v>
      </c>
    </row>
    <row r="21">
      <c r="A21" s="4">
        <v>46212.61883644676</v>
      </c>
      <c r="B21" s="6" t="s">
        <v>106</v>
      </c>
      <c r="C21" s="6" t="s">
        <v>202</v>
      </c>
      <c r="D21" s="6" t="s">
        <v>15</v>
      </c>
      <c r="E21" s="6" t="s">
        <v>16</v>
      </c>
      <c r="F21" s="6" t="s">
        <v>17</v>
      </c>
      <c r="G21" s="6" t="s">
        <v>18</v>
      </c>
      <c r="H21" s="6" t="s">
        <v>19</v>
      </c>
      <c r="I21" s="6" t="s">
        <v>20</v>
      </c>
      <c r="J21" s="6" t="s">
        <v>21</v>
      </c>
    </row>
    <row r="22">
      <c r="A22" s="4">
        <v>46212.61888556713</v>
      </c>
      <c r="B22" s="6" t="s">
        <v>42</v>
      </c>
      <c r="C22" s="6" t="s">
        <v>198</v>
      </c>
      <c r="D22" s="6" t="s">
        <v>15</v>
      </c>
      <c r="E22" s="6" t="s">
        <v>16</v>
      </c>
      <c r="F22" s="6" t="s">
        <v>17</v>
      </c>
      <c r="G22" s="6" t="s">
        <v>18</v>
      </c>
      <c r="H22" s="6" t="s">
        <v>19</v>
      </c>
      <c r="I22" s="6" t="s">
        <v>20</v>
      </c>
      <c r="J22" s="6" t="s">
        <v>21</v>
      </c>
    </row>
    <row r="23">
      <c r="A23" s="4">
        <v>46212.61889222222</v>
      </c>
      <c r="B23" s="6" t="s">
        <v>119</v>
      </c>
      <c r="C23" s="6" t="s">
        <v>198</v>
      </c>
      <c r="D23" s="6" t="s">
        <v>15</v>
      </c>
      <c r="E23" s="6" t="s">
        <v>16</v>
      </c>
      <c r="F23" s="6" t="s">
        <v>17</v>
      </c>
      <c r="G23" s="6" t="s">
        <v>18</v>
      </c>
      <c r="H23" s="6" t="s">
        <v>19</v>
      </c>
      <c r="I23" s="6" t="s">
        <v>20</v>
      </c>
      <c r="J23" s="6" t="s">
        <v>21</v>
      </c>
    </row>
    <row r="24">
      <c r="A24" s="4">
        <v>46212.61890832176</v>
      </c>
      <c r="B24" s="6" t="s">
        <v>59</v>
      </c>
      <c r="C24" s="6" t="s">
        <v>198</v>
      </c>
      <c r="D24" s="6" t="s">
        <v>15</v>
      </c>
      <c r="E24" s="6" t="s">
        <v>16</v>
      </c>
      <c r="F24" s="6" t="s">
        <v>17</v>
      </c>
      <c r="G24" s="6" t="s">
        <v>18</v>
      </c>
      <c r="H24" s="6" t="s">
        <v>19</v>
      </c>
      <c r="I24" s="6" t="s">
        <v>20</v>
      </c>
      <c r="J24" s="6" t="s">
        <v>21</v>
      </c>
      <c r="K24" s="6" t="s">
        <v>34</v>
      </c>
    </row>
    <row r="25">
      <c r="A25" s="4">
        <v>46212.6190379051</v>
      </c>
      <c r="B25" s="6" t="s">
        <v>94</v>
      </c>
      <c r="C25" s="6" t="s">
        <v>198</v>
      </c>
      <c r="D25" s="6" t="s">
        <v>15</v>
      </c>
      <c r="E25" s="6" t="s">
        <v>16</v>
      </c>
      <c r="F25" s="6" t="s">
        <v>17</v>
      </c>
      <c r="G25" s="6" t="s">
        <v>18</v>
      </c>
      <c r="H25" s="6" t="s">
        <v>19</v>
      </c>
      <c r="I25" s="6" t="s">
        <v>20</v>
      </c>
      <c r="J25" s="6" t="s">
        <v>21</v>
      </c>
    </row>
    <row r="26">
      <c r="A26" s="4">
        <v>46212.61919967593</v>
      </c>
      <c r="B26" s="6" t="s">
        <v>105</v>
      </c>
      <c r="C26" s="6" t="s">
        <v>198</v>
      </c>
      <c r="D26" s="6" t="s">
        <v>15</v>
      </c>
      <c r="E26" s="6" t="s">
        <v>16</v>
      </c>
      <c r="F26" s="6" t="s">
        <v>17</v>
      </c>
      <c r="G26" s="6" t="s">
        <v>18</v>
      </c>
      <c r="H26" s="6" t="s">
        <v>19</v>
      </c>
      <c r="I26" s="6" t="s">
        <v>20</v>
      </c>
      <c r="J26" s="6" t="s">
        <v>21</v>
      </c>
      <c r="K26" s="6" t="s">
        <v>115</v>
      </c>
    </row>
    <row r="27">
      <c r="A27" s="4">
        <v>46212.61927866898</v>
      </c>
      <c r="B27" s="6" t="s">
        <v>144</v>
      </c>
      <c r="C27" s="6" t="s">
        <v>198</v>
      </c>
      <c r="D27" s="6" t="s">
        <v>15</v>
      </c>
      <c r="E27" s="6" t="s">
        <v>16</v>
      </c>
      <c r="F27" s="6" t="s">
        <v>17</v>
      </c>
      <c r="G27" s="6" t="s">
        <v>18</v>
      </c>
      <c r="H27" s="6" t="s">
        <v>19</v>
      </c>
      <c r="I27" s="6" t="s">
        <v>20</v>
      </c>
      <c r="J27" s="6" t="s">
        <v>21</v>
      </c>
    </row>
    <row r="28">
      <c r="A28" s="4">
        <v>46212.61934981481</v>
      </c>
      <c r="B28" s="6" t="s">
        <v>25</v>
      </c>
      <c r="C28" s="6" t="s">
        <v>198</v>
      </c>
      <c r="D28" s="6" t="s">
        <v>15</v>
      </c>
      <c r="E28" s="6" t="s">
        <v>16</v>
      </c>
      <c r="F28" s="6" t="s">
        <v>17</v>
      </c>
      <c r="G28" s="6" t="s">
        <v>18</v>
      </c>
      <c r="H28" s="6" t="s">
        <v>19</v>
      </c>
      <c r="I28" s="6" t="s">
        <v>20</v>
      </c>
      <c r="J28" s="6" t="s">
        <v>21</v>
      </c>
    </row>
    <row r="29">
      <c r="A29" s="4">
        <v>46212.61939201389</v>
      </c>
      <c r="B29" s="6" t="s">
        <v>138</v>
      </c>
      <c r="C29" s="6" t="s">
        <v>139</v>
      </c>
      <c r="D29" s="6" t="s">
        <v>15</v>
      </c>
      <c r="E29" s="6" t="s">
        <v>16</v>
      </c>
      <c r="F29" s="6" t="s">
        <v>17</v>
      </c>
      <c r="G29" s="6" t="s">
        <v>18</v>
      </c>
      <c r="H29" s="6" t="s">
        <v>19</v>
      </c>
      <c r="I29" s="6" t="s">
        <v>20</v>
      </c>
      <c r="J29" s="6" t="s">
        <v>21</v>
      </c>
    </row>
    <row r="30">
      <c r="A30" s="4">
        <v>46212.61952068287</v>
      </c>
      <c r="B30" s="6" t="s">
        <v>63</v>
      </c>
      <c r="C30" s="6" t="s">
        <v>195</v>
      </c>
      <c r="D30" s="6" t="s">
        <v>15</v>
      </c>
      <c r="E30" s="6" t="s">
        <v>16</v>
      </c>
      <c r="F30" s="6" t="s">
        <v>17</v>
      </c>
      <c r="G30" s="6" t="s">
        <v>18</v>
      </c>
      <c r="H30" s="6" t="s">
        <v>19</v>
      </c>
      <c r="I30" s="6" t="s">
        <v>20</v>
      </c>
      <c r="J30" s="6" t="s">
        <v>21</v>
      </c>
    </row>
    <row r="31">
      <c r="A31" s="4">
        <v>46212.619606215274</v>
      </c>
      <c r="B31" s="6" t="s">
        <v>67</v>
      </c>
      <c r="C31" s="6" t="s">
        <v>198</v>
      </c>
      <c r="D31" s="6" t="s">
        <v>15</v>
      </c>
      <c r="E31" s="6" t="s">
        <v>16</v>
      </c>
      <c r="F31" s="6" t="s">
        <v>17</v>
      </c>
      <c r="G31" s="6" t="s">
        <v>18</v>
      </c>
      <c r="H31" s="6" t="s">
        <v>19</v>
      </c>
      <c r="I31" s="6" t="s">
        <v>20</v>
      </c>
      <c r="J31" s="6" t="s">
        <v>21</v>
      </c>
    </row>
    <row r="32">
      <c r="A32" s="4">
        <v>46212.61963594907</v>
      </c>
      <c r="B32" s="6" t="s">
        <v>118</v>
      </c>
      <c r="C32" s="6" t="s">
        <v>198</v>
      </c>
      <c r="D32" s="6" t="s">
        <v>15</v>
      </c>
      <c r="E32" s="6" t="s">
        <v>16</v>
      </c>
      <c r="F32" s="6" t="s">
        <v>17</v>
      </c>
      <c r="G32" s="6" t="s">
        <v>18</v>
      </c>
      <c r="H32" s="6" t="s">
        <v>19</v>
      </c>
      <c r="I32" s="6" t="s">
        <v>20</v>
      </c>
      <c r="J32" s="6" t="s">
        <v>21</v>
      </c>
    </row>
    <row r="33">
      <c r="A33" s="4">
        <v>46212.619641111116</v>
      </c>
      <c r="B33" s="6" t="s">
        <v>125</v>
      </c>
      <c r="C33" s="6" t="s">
        <v>198</v>
      </c>
      <c r="D33" s="6" t="s">
        <v>15</v>
      </c>
      <c r="E33" s="6" t="s">
        <v>16</v>
      </c>
      <c r="F33" s="6" t="s">
        <v>17</v>
      </c>
      <c r="G33" s="6" t="s">
        <v>18</v>
      </c>
      <c r="H33" s="6" t="s">
        <v>19</v>
      </c>
      <c r="I33" s="6" t="s">
        <v>20</v>
      </c>
      <c r="J33" s="6" t="s">
        <v>21</v>
      </c>
    </row>
    <row r="34">
      <c r="A34" s="4">
        <v>46212.61970429398</v>
      </c>
      <c r="B34" s="6" t="s">
        <v>89</v>
      </c>
      <c r="C34" s="6" t="s">
        <v>198</v>
      </c>
      <c r="D34" s="6" t="s">
        <v>15</v>
      </c>
      <c r="E34" s="6" t="s">
        <v>16</v>
      </c>
      <c r="F34" s="6" t="s">
        <v>17</v>
      </c>
      <c r="G34" s="6" t="s">
        <v>18</v>
      </c>
      <c r="H34" s="6" t="s">
        <v>19</v>
      </c>
      <c r="I34" s="6" t="s">
        <v>20</v>
      </c>
      <c r="J34" s="6" t="s">
        <v>21</v>
      </c>
      <c r="K34" s="6" t="s">
        <v>29</v>
      </c>
    </row>
    <row r="35">
      <c r="A35" s="4">
        <v>46212.61971929398</v>
      </c>
      <c r="B35" s="6" t="s">
        <v>55</v>
      </c>
      <c r="C35" s="6" t="s">
        <v>194</v>
      </c>
      <c r="D35" s="6" t="s">
        <v>15</v>
      </c>
      <c r="E35" s="6" t="s">
        <v>16</v>
      </c>
      <c r="F35" s="6" t="s">
        <v>17</v>
      </c>
      <c r="G35" s="6" t="s">
        <v>18</v>
      </c>
      <c r="H35" s="6" t="s">
        <v>19</v>
      </c>
      <c r="I35" s="6" t="s">
        <v>20</v>
      </c>
      <c r="J35" s="6" t="s">
        <v>21</v>
      </c>
    </row>
    <row r="36">
      <c r="A36" s="4">
        <v>46212.619724675926</v>
      </c>
      <c r="B36" s="6" t="s">
        <v>31</v>
      </c>
      <c r="C36" s="6" t="s">
        <v>198</v>
      </c>
      <c r="D36" s="6" t="s">
        <v>15</v>
      </c>
      <c r="E36" s="6" t="s">
        <v>16</v>
      </c>
      <c r="F36" s="6" t="s">
        <v>17</v>
      </c>
      <c r="G36" s="6" t="s">
        <v>18</v>
      </c>
      <c r="H36" s="6" t="s">
        <v>19</v>
      </c>
      <c r="I36" s="6" t="s">
        <v>20</v>
      </c>
      <c r="J36" s="6" t="s">
        <v>21</v>
      </c>
    </row>
    <row r="37">
      <c r="A37" s="4">
        <v>46212.61978767361</v>
      </c>
      <c r="B37" s="6" t="s">
        <v>95</v>
      </c>
      <c r="C37" s="6" t="s">
        <v>204</v>
      </c>
      <c r="D37" s="6" t="s">
        <v>15</v>
      </c>
      <c r="E37" s="6" t="s">
        <v>16</v>
      </c>
      <c r="F37" s="6" t="s">
        <v>17</v>
      </c>
      <c r="G37" s="6" t="s">
        <v>18</v>
      </c>
      <c r="H37" s="6" t="s">
        <v>19</v>
      </c>
      <c r="I37" s="6" t="s">
        <v>20</v>
      </c>
      <c r="J37" s="6" t="s">
        <v>21</v>
      </c>
    </row>
    <row r="38">
      <c r="A38" s="4">
        <v>46212.61981615741</v>
      </c>
      <c r="B38" s="6" t="s">
        <v>133</v>
      </c>
      <c r="C38" s="6" t="s">
        <v>198</v>
      </c>
      <c r="D38" s="6" t="s">
        <v>15</v>
      </c>
      <c r="E38" s="6" t="s">
        <v>16</v>
      </c>
      <c r="F38" s="6" t="s">
        <v>17</v>
      </c>
      <c r="G38" s="6" t="s">
        <v>18</v>
      </c>
      <c r="H38" s="6" t="s">
        <v>19</v>
      </c>
      <c r="I38" s="6" t="s">
        <v>20</v>
      </c>
      <c r="J38" s="6" t="s">
        <v>21</v>
      </c>
    </row>
    <row r="39">
      <c r="A39" s="4">
        <v>46212.619822974535</v>
      </c>
      <c r="B39" s="6" t="s">
        <v>82</v>
      </c>
      <c r="C39" s="6" t="s">
        <v>198</v>
      </c>
      <c r="D39" s="6" t="s">
        <v>15</v>
      </c>
      <c r="E39" s="6" t="s">
        <v>16</v>
      </c>
      <c r="F39" s="6" t="s">
        <v>17</v>
      </c>
      <c r="G39" s="6" t="s">
        <v>18</v>
      </c>
      <c r="H39" s="6" t="s">
        <v>19</v>
      </c>
      <c r="I39" s="6" t="s">
        <v>20</v>
      </c>
      <c r="J39" s="6" t="s">
        <v>21</v>
      </c>
    </row>
    <row r="40">
      <c r="A40" s="4">
        <v>46212.619869131944</v>
      </c>
      <c r="B40" s="6" t="s">
        <v>92</v>
      </c>
      <c r="C40" s="6" t="s">
        <v>198</v>
      </c>
      <c r="D40" s="6" t="s">
        <v>15</v>
      </c>
      <c r="E40" s="6" t="s">
        <v>16</v>
      </c>
      <c r="F40" s="6" t="s">
        <v>17</v>
      </c>
      <c r="G40" s="6" t="s">
        <v>18</v>
      </c>
      <c r="H40" s="6" t="s">
        <v>19</v>
      </c>
      <c r="I40" s="6" t="s">
        <v>20</v>
      </c>
      <c r="J40" s="6" t="s">
        <v>21</v>
      </c>
    </row>
    <row r="41">
      <c r="A41" s="4">
        <v>46212.61986990741</v>
      </c>
      <c r="B41" s="6" t="s">
        <v>100</v>
      </c>
      <c r="C41" s="6" t="s">
        <v>205</v>
      </c>
      <c r="D41" s="6" t="s">
        <v>15</v>
      </c>
      <c r="E41" s="6" t="s">
        <v>16</v>
      </c>
      <c r="F41" s="6" t="s">
        <v>17</v>
      </c>
      <c r="G41" s="6" t="s">
        <v>18</v>
      </c>
      <c r="H41" s="6" t="s">
        <v>19</v>
      </c>
      <c r="I41" s="6" t="s">
        <v>20</v>
      </c>
      <c r="J41" s="6" t="s">
        <v>21</v>
      </c>
    </row>
    <row r="42">
      <c r="A42" s="4">
        <v>46212.61988435185</v>
      </c>
      <c r="B42" s="6" t="s">
        <v>128</v>
      </c>
      <c r="C42" s="6" t="s">
        <v>198</v>
      </c>
      <c r="D42" s="6" t="s">
        <v>15</v>
      </c>
      <c r="E42" s="6" t="s">
        <v>16</v>
      </c>
      <c r="F42" s="6" t="s">
        <v>17</v>
      </c>
      <c r="G42" s="6" t="s">
        <v>18</v>
      </c>
      <c r="H42" s="6" t="s">
        <v>19</v>
      </c>
      <c r="I42" s="6" t="s">
        <v>20</v>
      </c>
      <c r="J42" s="6" t="s">
        <v>21</v>
      </c>
      <c r="K42" s="6" t="s">
        <v>29</v>
      </c>
    </row>
    <row r="43">
      <c r="A43" s="4">
        <v>46212.61992769676</v>
      </c>
      <c r="B43" s="6" t="s">
        <v>124</v>
      </c>
      <c r="C43" s="6" t="s">
        <v>194</v>
      </c>
      <c r="D43" s="6" t="s">
        <v>15</v>
      </c>
      <c r="E43" s="6" t="s">
        <v>16</v>
      </c>
      <c r="F43" s="6" t="s">
        <v>17</v>
      </c>
      <c r="G43" s="6" t="s">
        <v>18</v>
      </c>
      <c r="H43" s="6" t="s">
        <v>19</v>
      </c>
      <c r="I43" s="6" t="s">
        <v>20</v>
      </c>
      <c r="J43" s="6" t="s">
        <v>21</v>
      </c>
    </row>
    <row r="44">
      <c r="A44" s="4">
        <v>46212.61995878472</v>
      </c>
      <c r="B44" s="6" t="s">
        <v>88</v>
      </c>
      <c r="C44" s="6" t="s">
        <v>198</v>
      </c>
      <c r="D44" s="6" t="s">
        <v>15</v>
      </c>
      <c r="E44" s="6" t="s">
        <v>16</v>
      </c>
      <c r="F44" s="6" t="s">
        <v>17</v>
      </c>
      <c r="G44" s="6" t="s">
        <v>18</v>
      </c>
      <c r="H44" s="6" t="s">
        <v>19</v>
      </c>
      <c r="I44" s="6" t="s">
        <v>20</v>
      </c>
      <c r="J44" s="6" t="s">
        <v>21</v>
      </c>
    </row>
    <row r="45">
      <c r="A45" s="4">
        <v>46212.61996489583</v>
      </c>
      <c r="B45" s="6" t="s">
        <v>73</v>
      </c>
      <c r="C45" s="6" t="s">
        <v>194</v>
      </c>
      <c r="D45" s="6" t="s">
        <v>15</v>
      </c>
      <c r="E45" s="6" t="s">
        <v>16</v>
      </c>
      <c r="F45" s="6" t="s">
        <v>17</v>
      </c>
      <c r="G45" s="6" t="s">
        <v>18</v>
      </c>
      <c r="H45" s="6" t="s">
        <v>19</v>
      </c>
      <c r="I45" s="6" t="s">
        <v>20</v>
      </c>
      <c r="J45" s="6" t="s">
        <v>21</v>
      </c>
    </row>
    <row r="46">
      <c r="A46" s="4">
        <v>46212.619965000005</v>
      </c>
      <c r="B46" s="6" t="s">
        <v>81</v>
      </c>
      <c r="C46" s="6" t="s">
        <v>207</v>
      </c>
      <c r="D46" s="6" t="s">
        <v>15</v>
      </c>
      <c r="E46" s="6" t="s">
        <v>16</v>
      </c>
      <c r="F46" s="6" t="s">
        <v>17</v>
      </c>
      <c r="G46" s="6" t="s">
        <v>18</v>
      </c>
      <c r="H46" s="6" t="s">
        <v>19</v>
      </c>
      <c r="I46" s="6" t="s">
        <v>20</v>
      </c>
      <c r="J46" s="6" t="s">
        <v>21</v>
      </c>
    </row>
    <row r="47">
      <c r="A47" s="4">
        <v>46212.62000333333</v>
      </c>
      <c r="B47" s="6" t="s">
        <v>101</v>
      </c>
      <c r="C47" s="6" t="s">
        <v>194</v>
      </c>
      <c r="D47" s="6" t="s">
        <v>15</v>
      </c>
      <c r="E47" s="6" t="s">
        <v>16</v>
      </c>
      <c r="F47" s="6" t="s">
        <v>17</v>
      </c>
      <c r="G47" s="6" t="s">
        <v>18</v>
      </c>
      <c r="H47" s="6" t="s">
        <v>19</v>
      </c>
      <c r="I47" s="6" t="s">
        <v>20</v>
      </c>
      <c r="J47" s="6" t="s">
        <v>21</v>
      </c>
    </row>
    <row r="48">
      <c r="A48" s="4">
        <v>46212.62000436343</v>
      </c>
      <c r="B48" s="6" t="s">
        <v>102</v>
      </c>
      <c r="C48" s="6" t="s">
        <v>198</v>
      </c>
      <c r="D48" s="6" t="s">
        <v>15</v>
      </c>
      <c r="E48" s="6" t="s">
        <v>16</v>
      </c>
      <c r="F48" s="6" t="s">
        <v>17</v>
      </c>
      <c r="G48" s="6" t="s">
        <v>18</v>
      </c>
      <c r="H48" s="6" t="s">
        <v>19</v>
      </c>
      <c r="I48" s="6" t="s">
        <v>20</v>
      </c>
      <c r="J48" s="6" t="s">
        <v>21</v>
      </c>
    </row>
    <row r="49">
      <c r="A49" s="4">
        <v>46212.62000461806</v>
      </c>
      <c r="B49" s="6" t="s">
        <v>108</v>
      </c>
      <c r="C49" s="6" t="s">
        <v>198</v>
      </c>
      <c r="D49" s="6" t="s">
        <v>15</v>
      </c>
      <c r="E49" s="6" t="s">
        <v>16</v>
      </c>
      <c r="F49" s="6" t="s">
        <v>17</v>
      </c>
      <c r="G49" s="6" t="s">
        <v>18</v>
      </c>
      <c r="H49" s="6" t="s">
        <v>19</v>
      </c>
      <c r="I49" s="6" t="s">
        <v>20</v>
      </c>
      <c r="J49" s="6" t="s">
        <v>21</v>
      </c>
    </row>
    <row r="50">
      <c r="A50" s="4">
        <v>46212.6200328125</v>
      </c>
      <c r="B50" s="6" t="s">
        <v>62</v>
      </c>
      <c r="C50" s="6" t="s">
        <v>198</v>
      </c>
      <c r="D50" s="6" t="s">
        <v>15</v>
      </c>
      <c r="E50" s="6" t="s">
        <v>16</v>
      </c>
      <c r="F50" s="6" t="s">
        <v>17</v>
      </c>
      <c r="G50" s="6" t="s">
        <v>18</v>
      </c>
      <c r="H50" s="6" t="s">
        <v>19</v>
      </c>
      <c r="I50" s="6" t="s">
        <v>20</v>
      </c>
      <c r="J50" s="6" t="s">
        <v>21</v>
      </c>
    </row>
    <row r="51">
      <c r="A51" s="4">
        <v>46212.620052962964</v>
      </c>
      <c r="B51" s="6" t="s">
        <v>91</v>
      </c>
      <c r="C51" s="6" t="s">
        <v>198</v>
      </c>
      <c r="D51" s="6" t="s">
        <v>15</v>
      </c>
      <c r="E51" s="6" t="s">
        <v>16</v>
      </c>
      <c r="F51" s="6" t="s">
        <v>17</v>
      </c>
      <c r="G51" s="6" t="s">
        <v>18</v>
      </c>
      <c r="H51" s="6" t="s">
        <v>19</v>
      </c>
      <c r="I51" s="6" t="s">
        <v>20</v>
      </c>
      <c r="J51" s="6" t="s">
        <v>21</v>
      </c>
    </row>
    <row r="52">
      <c r="A52" s="4">
        <v>46212.62005442129</v>
      </c>
      <c r="B52" s="6" t="s">
        <v>71</v>
      </c>
      <c r="C52" s="6" t="s">
        <v>198</v>
      </c>
      <c r="D52" s="6" t="s">
        <v>15</v>
      </c>
      <c r="E52" s="6" t="s">
        <v>16</v>
      </c>
      <c r="F52" s="6" t="s">
        <v>17</v>
      </c>
      <c r="G52" s="6" t="s">
        <v>18</v>
      </c>
      <c r="H52" s="6" t="s">
        <v>19</v>
      </c>
      <c r="I52" s="6" t="s">
        <v>20</v>
      </c>
      <c r="J52" s="6" t="s">
        <v>21</v>
      </c>
    </row>
    <row r="53">
      <c r="A53" s="4">
        <v>46212.62006032407</v>
      </c>
      <c r="B53" s="6" t="s">
        <v>148</v>
      </c>
      <c r="C53" s="6" t="s">
        <v>208</v>
      </c>
      <c r="D53" s="6" t="s">
        <v>15</v>
      </c>
      <c r="E53" s="6" t="s">
        <v>16</v>
      </c>
      <c r="F53" s="6" t="s">
        <v>17</v>
      </c>
      <c r="G53" s="6" t="s">
        <v>18</v>
      </c>
      <c r="H53" s="6" t="s">
        <v>19</v>
      </c>
      <c r="I53" s="6" t="s">
        <v>20</v>
      </c>
      <c r="J53" s="6" t="s">
        <v>21</v>
      </c>
    </row>
    <row r="54">
      <c r="A54" s="4">
        <v>46212.62008405093</v>
      </c>
      <c r="B54" s="6" t="s">
        <v>150</v>
      </c>
      <c r="C54" s="6" t="s">
        <v>198</v>
      </c>
      <c r="D54" s="6" t="s">
        <v>15</v>
      </c>
      <c r="E54" s="6" t="s">
        <v>16</v>
      </c>
      <c r="F54" s="6" t="s">
        <v>17</v>
      </c>
      <c r="G54" s="6" t="s">
        <v>18</v>
      </c>
      <c r="H54" s="6" t="s">
        <v>19</v>
      </c>
      <c r="I54" s="6" t="s">
        <v>20</v>
      </c>
      <c r="J54" s="6" t="s">
        <v>21</v>
      </c>
    </row>
    <row r="55">
      <c r="A55" s="4">
        <v>46212.620126967595</v>
      </c>
      <c r="B55" s="6" t="s">
        <v>98</v>
      </c>
      <c r="C55" s="6" t="s">
        <v>198</v>
      </c>
      <c r="D55" s="6" t="s">
        <v>15</v>
      </c>
      <c r="E55" s="6" t="s">
        <v>16</v>
      </c>
      <c r="F55" s="6" t="s">
        <v>17</v>
      </c>
      <c r="G55" s="6" t="s">
        <v>18</v>
      </c>
      <c r="H55" s="6" t="s">
        <v>19</v>
      </c>
      <c r="I55" s="6" t="s">
        <v>20</v>
      </c>
      <c r="J55" s="6" t="s">
        <v>21</v>
      </c>
      <c r="K55" s="6" t="s">
        <v>34</v>
      </c>
    </row>
    <row r="56">
      <c r="A56" s="4">
        <v>46212.62014332176</v>
      </c>
      <c r="B56" s="6" t="s">
        <v>61</v>
      </c>
      <c r="C56" s="6" t="s">
        <v>194</v>
      </c>
      <c r="D56" s="6" t="s">
        <v>15</v>
      </c>
      <c r="E56" s="6" t="s">
        <v>16</v>
      </c>
      <c r="F56" s="6" t="s">
        <v>17</v>
      </c>
      <c r="G56" s="6" t="s">
        <v>18</v>
      </c>
      <c r="H56" s="6" t="s">
        <v>19</v>
      </c>
      <c r="I56" s="6" t="s">
        <v>20</v>
      </c>
      <c r="J56" s="6" t="s">
        <v>21</v>
      </c>
    </row>
    <row r="57">
      <c r="A57" s="4">
        <v>46212.62015269676</v>
      </c>
      <c r="B57" s="6" t="s">
        <v>123</v>
      </c>
      <c r="C57" s="6" t="s">
        <v>198</v>
      </c>
      <c r="D57" s="6" t="s">
        <v>15</v>
      </c>
      <c r="E57" s="6" t="s">
        <v>16</v>
      </c>
      <c r="F57" s="6" t="s">
        <v>17</v>
      </c>
      <c r="G57" s="6" t="s">
        <v>18</v>
      </c>
      <c r="H57" s="6" t="s">
        <v>19</v>
      </c>
      <c r="I57" s="6" t="s">
        <v>20</v>
      </c>
      <c r="J57" s="6" t="s">
        <v>21</v>
      </c>
    </row>
    <row r="58">
      <c r="A58" s="4">
        <v>46212.6201956713</v>
      </c>
      <c r="B58" s="6" t="s">
        <v>134</v>
      </c>
      <c r="C58" s="6" t="s">
        <v>198</v>
      </c>
      <c r="D58" s="6" t="s">
        <v>15</v>
      </c>
      <c r="E58" s="6" t="s">
        <v>16</v>
      </c>
      <c r="F58" s="6" t="s">
        <v>17</v>
      </c>
      <c r="G58" s="6" t="s">
        <v>18</v>
      </c>
      <c r="H58" s="6" t="s">
        <v>19</v>
      </c>
      <c r="I58" s="6" t="s">
        <v>20</v>
      </c>
      <c r="J58" s="6" t="s">
        <v>21</v>
      </c>
    </row>
    <row r="59">
      <c r="A59" s="4">
        <v>46212.62020577546</v>
      </c>
      <c r="B59" s="6" t="s">
        <v>121</v>
      </c>
      <c r="C59" s="6" t="s">
        <v>209</v>
      </c>
      <c r="D59" s="6" t="s">
        <v>15</v>
      </c>
      <c r="E59" s="6" t="s">
        <v>16</v>
      </c>
      <c r="F59" s="6" t="s">
        <v>17</v>
      </c>
      <c r="G59" s="6" t="s">
        <v>18</v>
      </c>
      <c r="H59" s="6" t="s">
        <v>19</v>
      </c>
      <c r="I59" s="6" t="s">
        <v>20</v>
      </c>
      <c r="J59" s="6" t="s">
        <v>21</v>
      </c>
    </row>
    <row r="60">
      <c r="A60" s="4">
        <v>46212.620221805555</v>
      </c>
      <c r="B60" s="6" t="s">
        <v>68</v>
      </c>
      <c r="C60" s="6" t="s">
        <v>198</v>
      </c>
      <c r="D60" s="6" t="s">
        <v>15</v>
      </c>
      <c r="E60" s="6" t="s">
        <v>16</v>
      </c>
      <c r="F60" s="6" t="s">
        <v>17</v>
      </c>
      <c r="G60" s="6" t="s">
        <v>18</v>
      </c>
      <c r="H60" s="6" t="s">
        <v>19</v>
      </c>
      <c r="I60" s="6" t="s">
        <v>20</v>
      </c>
      <c r="J60" s="6" t="s">
        <v>21</v>
      </c>
    </row>
    <row r="61">
      <c r="A61" s="4">
        <v>46212.620227824074</v>
      </c>
      <c r="B61" s="6" t="s">
        <v>147</v>
      </c>
      <c r="C61" s="6" t="s">
        <v>198</v>
      </c>
      <c r="D61" s="6" t="s">
        <v>15</v>
      </c>
      <c r="E61" s="6" t="s">
        <v>16</v>
      </c>
      <c r="F61" s="6" t="s">
        <v>17</v>
      </c>
      <c r="G61" s="6" t="s">
        <v>18</v>
      </c>
      <c r="H61" s="6" t="s">
        <v>19</v>
      </c>
      <c r="I61" s="6" t="s">
        <v>20</v>
      </c>
      <c r="J61" s="6" t="s">
        <v>21</v>
      </c>
    </row>
    <row r="62">
      <c r="A62" s="4">
        <v>46212.62022902777</v>
      </c>
      <c r="B62" s="6" t="s">
        <v>142</v>
      </c>
      <c r="C62" s="6" t="s">
        <v>195</v>
      </c>
      <c r="D62" s="6" t="s">
        <v>15</v>
      </c>
      <c r="E62" s="6" t="s">
        <v>16</v>
      </c>
      <c r="F62" s="6" t="s">
        <v>17</v>
      </c>
      <c r="G62" s="6" t="s">
        <v>18</v>
      </c>
      <c r="H62" s="6" t="s">
        <v>19</v>
      </c>
      <c r="I62" s="6" t="s">
        <v>20</v>
      </c>
      <c r="J62" s="6" t="s">
        <v>21</v>
      </c>
    </row>
    <row r="63">
      <c r="A63" s="4">
        <v>46212.620229849534</v>
      </c>
      <c r="B63" s="6" t="s">
        <v>74</v>
      </c>
      <c r="C63" s="6" t="s">
        <v>198</v>
      </c>
      <c r="D63" s="6" t="s">
        <v>15</v>
      </c>
      <c r="E63" s="6" t="s">
        <v>16</v>
      </c>
      <c r="F63" s="6" t="s">
        <v>17</v>
      </c>
      <c r="G63" s="6" t="s">
        <v>18</v>
      </c>
      <c r="H63" s="6" t="s">
        <v>19</v>
      </c>
      <c r="I63" s="6" t="s">
        <v>20</v>
      </c>
      <c r="J63" s="6" t="s">
        <v>21</v>
      </c>
    </row>
    <row r="64">
      <c r="A64" s="4">
        <v>46212.62025936342</v>
      </c>
      <c r="B64" s="6" t="s">
        <v>114</v>
      </c>
      <c r="C64" s="6" t="s">
        <v>194</v>
      </c>
      <c r="D64" s="6" t="s">
        <v>15</v>
      </c>
      <c r="E64" s="6" t="s">
        <v>16</v>
      </c>
      <c r="F64" s="6" t="s">
        <v>17</v>
      </c>
      <c r="G64" s="6" t="s">
        <v>18</v>
      </c>
      <c r="H64" s="6" t="s">
        <v>19</v>
      </c>
      <c r="I64" s="6" t="s">
        <v>20</v>
      </c>
      <c r="J64" s="6" t="s">
        <v>21</v>
      </c>
    </row>
    <row r="65">
      <c r="A65" s="4">
        <v>46212.62029153935</v>
      </c>
      <c r="B65" s="6" t="s">
        <v>137</v>
      </c>
      <c r="C65" s="6" t="s">
        <v>195</v>
      </c>
      <c r="D65" s="6" t="s">
        <v>15</v>
      </c>
      <c r="E65" s="6" t="s">
        <v>16</v>
      </c>
      <c r="F65" s="6" t="s">
        <v>17</v>
      </c>
      <c r="G65" s="6" t="s">
        <v>18</v>
      </c>
      <c r="H65" s="6" t="s">
        <v>19</v>
      </c>
      <c r="I65" s="6" t="s">
        <v>20</v>
      </c>
      <c r="J65" s="6" t="s">
        <v>21</v>
      </c>
    </row>
    <row r="66">
      <c r="A66" s="4">
        <v>46212.620365462964</v>
      </c>
      <c r="B66" s="6" t="s">
        <v>86</v>
      </c>
      <c r="C66" s="6" t="s">
        <v>198</v>
      </c>
      <c r="D66" s="6" t="s">
        <v>15</v>
      </c>
      <c r="E66" s="6" t="s">
        <v>16</v>
      </c>
      <c r="F66" s="6" t="s">
        <v>17</v>
      </c>
      <c r="G66" s="6" t="s">
        <v>18</v>
      </c>
      <c r="H66" s="6" t="s">
        <v>19</v>
      </c>
      <c r="I66" s="6" t="s">
        <v>20</v>
      </c>
      <c r="J66" s="6" t="s">
        <v>21</v>
      </c>
    </row>
    <row r="67">
      <c r="A67" s="4">
        <v>46212.62042491898</v>
      </c>
      <c r="B67" s="6" t="s">
        <v>151</v>
      </c>
      <c r="C67" s="6" t="s">
        <v>198</v>
      </c>
      <c r="D67" s="6" t="s">
        <v>15</v>
      </c>
      <c r="E67" s="6" t="s">
        <v>16</v>
      </c>
      <c r="F67" s="6" t="s">
        <v>17</v>
      </c>
      <c r="G67" s="6" t="s">
        <v>18</v>
      </c>
      <c r="H67" s="6" t="s">
        <v>19</v>
      </c>
      <c r="I67" s="6" t="s">
        <v>20</v>
      </c>
      <c r="J67" s="6" t="s">
        <v>21</v>
      </c>
    </row>
    <row r="68">
      <c r="A68" s="4">
        <v>46212.62045903935</v>
      </c>
      <c r="B68" s="6" t="s">
        <v>158</v>
      </c>
      <c r="C68" s="6" t="s">
        <v>208</v>
      </c>
      <c r="D68" s="6" t="s">
        <v>15</v>
      </c>
      <c r="E68" s="6" t="s">
        <v>16</v>
      </c>
      <c r="F68" s="6" t="s">
        <v>17</v>
      </c>
      <c r="G68" s="6" t="s">
        <v>18</v>
      </c>
      <c r="H68" s="6" t="s">
        <v>19</v>
      </c>
      <c r="I68" s="6" t="s">
        <v>20</v>
      </c>
      <c r="J68" s="6" t="s">
        <v>21</v>
      </c>
    </row>
    <row r="69">
      <c r="A69" s="4">
        <v>46212.62048442129</v>
      </c>
      <c r="B69" s="6" t="s">
        <v>53</v>
      </c>
      <c r="C69" s="6" t="s">
        <v>198</v>
      </c>
      <c r="D69" s="6" t="s">
        <v>15</v>
      </c>
      <c r="E69" s="6" t="s">
        <v>16</v>
      </c>
      <c r="F69" s="6" t="s">
        <v>17</v>
      </c>
      <c r="G69" s="6" t="s">
        <v>18</v>
      </c>
      <c r="H69" s="6" t="s">
        <v>19</v>
      </c>
      <c r="I69" s="6" t="s">
        <v>20</v>
      </c>
      <c r="J69" s="6" t="s">
        <v>21</v>
      </c>
    </row>
    <row r="70">
      <c r="A70" s="4">
        <v>46212.62070413194</v>
      </c>
      <c r="B70" s="6" t="s">
        <v>161</v>
      </c>
      <c r="C70" s="6" t="s">
        <v>198</v>
      </c>
      <c r="D70" s="6" t="s">
        <v>15</v>
      </c>
      <c r="E70" s="6" t="s">
        <v>16</v>
      </c>
      <c r="F70" s="6" t="s">
        <v>17</v>
      </c>
      <c r="G70" s="6" t="s">
        <v>18</v>
      </c>
      <c r="H70" s="6" t="s">
        <v>19</v>
      </c>
      <c r="I70" s="6" t="s">
        <v>20</v>
      </c>
      <c r="J70" s="6" t="s">
        <v>21</v>
      </c>
    </row>
    <row r="71">
      <c r="A71" s="4">
        <v>46212.620730208335</v>
      </c>
      <c r="B71" s="6" t="s">
        <v>113</v>
      </c>
      <c r="C71" s="6" t="s">
        <v>198</v>
      </c>
      <c r="D71" s="6" t="s">
        <v>15</v>
      </c>
      <c r="E71" s="6" t="s">
        <v>16</v>
      </c>
      <c r="F71" s="6" t="s">
        <v>17</v>
      </c>
      <c r="G71" s="6" t="s">
        <v>18</v>
      </c>
      <c r="H71" s="6" t="s">
        <v>19</v>
      </c>
      <c r="I71" s="6" t="s">
        <v>47</v>
      </c>
      <c r="J71" s="6" t="s">
        <v>21</v>
      </c>
    </row>
    <row r="72">
      <c r="A72" s="4">
        <v>46212.62077516204</v>
      </c>
      <c r="B72" s="6" t="s">
        <v>162</v>
      </c>
      <c r="C72" s="6" t="s">
        <v>210</v>
      </c>
      <c r="D72" s="6" t="s">
        <v>15</v>
      </c>
      <c r="E72" s="6" t="s">
        <v>16</v>
      </c>
      <c r="F72" s="6" t="s">
        <v>132</v>
      </c>
      <c r="G72" s="6" t="s">
        <v>18</v>
      </c>
      <c r="H72" s="6" t="s">
        <v>19</v>
      </c>
      <c r="I72" s="6" t="s">
        <v>20</v>
      </c>
      <c r="J72" s="6" t="s">
        <v>21</v>
      </c>
    </row>
    <row r="73">
      <c r="A73" s="4">
        <v>46212.621422870376</v>
      </c>
      <c r="B73" s="6" t="s">
        <v>104</v>
      </c>
      <c r="C73" s="6" t="s">
        <v>198</v>
      </c>
      <c r="D73" s="6" t="s">
        <v>15</v>
      </c>
      <c r="E73" s="6" t="s">
        <v>16</v>
      </c>
      <c r="F73" s="6" t="s">
        <v>17</v>
      </c>
      <c r="G73" s="6" t="s">
        <v>18</v>
      </c>
      <c r="H73" s="6" t="s">
        <v>19</v>
      </c>
      <c r="I73" s="6" t="s">
        <v>20</v>
      </c>
      <c r="J73" s="6" t="s">
        <v>21</v>
      </c>
    </row>
    <row r="74">
      <c r="A74" s="4">
        <v>46212.622818055555</v>
      </c>
      <c r="B74" s="6" t="s">
        <v>126</v>
      </c>
      <c r="C74" s="6" t="s">
        <v>198</v>
      </c>
      <c r="D74" s="6" t="s">
        <v>15</v>
      </c>
      <c r="E74" s="6" t="s">
        <v>16</v>
      </c>
      <c r="F74" s="6" t="s">
        <v>17</v>
      </c>
      <c r="G74" s="6" t="s">
        <v>18</v>
      </c>
      <c r="H74" s="6" t="s">
        <v>19</v>
      </c>
      <c r="I74" s="6" t="s">
        <v>20</v>
      </c>
      <c r="J74" s="6" t="s">
        <v>21</v>
      </c>
    </row>
    <row r="75">
      <c r="A75" s="4">
        <v>46212.623227222226</v>
      </c>
      <c r="B75" s="6" t="s">
        <v>135</v>
      </c>
      <c r="C75" s="6" t="s">
        <v>194</v>
      </c>
      <c r="D75" s="6" t="s">
        <v>15</v>
      </c>
      <c r="E75" s="6" t="s">
        <v>16</v>
      </c>
      <c r="F75" s="6" t="s">
        <v>17</v>
      </c>
      <c r="G75" s="6" t="s">
        <v>18</v>
      </c>
      <c r="H75" s="6" t="s">
        <v>19</v>
      </c>
      <c r="I75" s="6" t="s">
        <v>20</v>
      </c>
      <c r="J75" s="6" t="s">
        <v>21</v>
      </c>
    </row>
    <row r="76">
      <c r="A76" s="4">
        <v>46212.62474002315</v>
      </c>
      <c r="B76" s="6" t="s">
        <v>130</v>
      </c>
      <c r="C76" s="6" t="s">
        <v>198</v>
      </c>
      <c r="D76" s="6" t="s">
        <v>15</v>
      </c>
      <c r="E76" s="6" t="s">
        <v>16</v>
      </c>
      <c r="F76" s="6" t="s">
        <v>17</v>
      </c>
      <c r="G76" s="6" t="s">
        <v>18</v>
      </c>
      <c r="H76" s="6" t="s">
        <v>19</v>
      </c>
      <c r="I76" s="6" t="s">
        <v>20</v>
      </c>
      <c r="J76" s="6" t="s">
        <v>21</v>
      </c>
    </row>
    <row r="77">
      <c r="A77" s="4">
        <v>46212.6269530787</v>
      </c>
      <c r="B77" s="6" t="s">
        <v>169</v>
      </c>
      <c r="C77" s="6" t="s">
        <v>198</v>
      </c>
      <c r="D77" s="6" t="s">
        <v>15</v>
      </c>
      <c r="E77" s="6" t="s">
        <v>16</v>
      </c>
      <c r="F77" s="6" t="s">
        <v>17</v>
      </c>
      <c r="G77" s="6" t="s">
        <v>18</v>
      </c>
      <c r="H77" s="6" t="s">
        <v>19</v>
      </c>
      <c r="I77" s="6" t="s">
        <v>20</v>
      </c>
      <c r="J77" s="6" t="s">
        <v>21</v>
      </c>
    </row>
    <row r="78">
      <c r="A78" s="4">
        <v>46212.708889664355</v>
      </c>
      <c r="B78" s="6" t="s">
        <v>70</v>
      </c>
      <c r="C78" s="6" t="s">
        <v>198</v>
      </c>
      <c r="D78" s="6" t="s">
        <v>15</v>
      </c>
      <c r="E78" s="6" t="s">
        <v>16</v>
      </c>
      <c r="F78" s="6" t="s">
        <v>17</v>
      </c>
      <c r="G78" s="6" t="s">
        <v>18</v>
      </c>
      <c r="H78" s="6" t="s">
        <v>19</v>
      </c>
      <c r="I78" s="6" t="s">
        <v>47</v>
      </c>
      <c r="J78" s="6" t="s">
        <v>48</v>
      </c>
    </row>
    <row r="79">
      <c r="A79" s="4">
        <v>46212.83427393519</v>
      </c>
      <c r="B79" s="6" t="s">
        <v>155</v>
      </c>
      <c r="C79" s="6" t="s">
        <v>198</v>
      </c>
      <c r="D79" s="6" t="s">
        <v>15</v>
      </c>
      <c r="E79" s="6" t="s">
        <v>16</v>
      </c>
      <c r="F79" s="6" t="s">
        <v>17</v>
      </c>
      <c r="G79" s="6" t="s">
        <v>18</v>
      </c>
      <c r="H79" s="6" t="s">
        <v>19</v>
      </c>
      <c r="I79" s="6" t="s">
        <v>20</v>
      </c>
      <c r="J79" s="6" t="s">
        <v>21</v>
      </c>
    </row>
    <row r="80">
      <c r="A80" s="4">
        <v>46213.404830625004</v>
      </c>
      <c r="B80" s="6" t="s">
        <v>171</v>
      </c>
      <c r="C80" s="6" t="s">
        <v>198</v>
      </c>
      <c r="D80" s="6" t="s">
        <v>15</v>
      </c>
      <c r="E80" s="6" t="s">
        <v>16</v>
      </c>
      <c r="F80" s="6" t="s">
        <v>17</v>
      </c>
      <c r="G80" s="6" t="s">
        <v>18</v>
      </c>
      <c r="H80" s="6" t="s">
        <v>19</v>
      </c>
      <c r="I80" s="6" t="s">
        <v>20</v>
      </c>
      <c r="J80" s="6" t="s">
        <v>21</v>
      </c>
    </row>
    <row r="81">
      <c r="A81" s="4">
        <v>46213.45467717593</v>
      </c>
      <c r="B81" s="6" t="s">
        <v>172</v>
      </c>
      <c r="C81" s="6" t="s">
        <v>198</v>
      </c>
      <c r="D81" s="6" t="s">
        <v>15</v>
      </c>
      <c r="E81" s="6" t="s">
        <v>16</v>
      </c>
      <c r="F81" s="6" t="s">
        <v>17</v>
      </c>
      <c r="G81" s="6" t="s">
        <v>18</v>
      </c>
      <c r="H81" s="6" t="s">
        <v>46</v>
      </c>
      <c r="I81" s="6" t="s">
        <v>20</v>
      </c>
      <c r="J81" s="6" t="s">
        <v>21</v>
      </c>
      <c r="K81" s="6" t="s">
        <v>115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4" max="4" width="2.13"/>
    <col customWidth="1" min="14" max="14" width="24.5"/>
  </cols>
  <sheetData>
    <row r="1">
      <c r="A1" s="2" t="s">
        <v>0</v>
      </c>
      <c r="B1" s="2" t="s">
        <v>1</v>
      </c>
      <c r="C1" s="3" t="s">
        <v>2</v>
      </c>
      <c r="D1" s="5"/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3" t="s">
        <v>9</v>
      </c>
      <c r="L1" s="2"/>
      <c r="M1" s="7" t="s">
        <v>24</v>
      </c>
    </row>
    <row r="2">
      <c r="A2" s="8">
        <f>'1.3'!A:A</f>
        <v>46191.19726</v>
      </c>
      <c r="B2" s="2" t="str">
        <f>'1.3'!B:B</f>
        <v>bnco0940@signalschool.ac.th</v>
      </c>
      <c r="C2" s="2" t="str">
        <f>'1.3'!C:C</f>
        <v>ร.อ.สุพจน์  มงคล</v>
      </c>
      <c r="D2" s="9">
        <v>1.0</v>
      </c>
      <c r="E2" s="10">
        <f>IFERROR(vlookup('1.3'!D:D,lookup!$A$2:$B$4,2,false),0)</f>
        <v>5</v>
      </c>
      <c r="F2" s="10">
        <f>IFERROR(vlookup('1.3'!E:E,lookup!$A$6:$B$8,2,false),0)</f>
        <v>5</v>
      </c>
      <c r="G2" s="10">
        <f>IFERROR(vlookup('1.3'!F:F,lookup!$A$10:$B$12,2,false),0)</f>
        <v>5</v>
      </c>
      <c r="H2" s="10">
        <f>IFERROR(vlookup('1.3'!G:G,lookup!$A$14:$B$16,2,false),0)</f>
        <v>5</v>
      </c>
      <c r="I2" s="10">
        <f>IFERROR(vlookup('1.3'!H:H,lookup!$A$18:$B$20,2,false),0)</f>
        <v>5</v>
      </c>
      <c r="J2" s="10">
        <f>IFERROR(vlookup('1.3'!I:I,lookup!$A$22:$B$24,2,false),0)</f>
        <v>5</v>
      </c>
      <c r="K2" s="10">
        <f>IFERROR(vlookup('1.3'!J:J,lookup!$A$26:$B$28,2,false),0)</f>
        <v>5</v>
      </c>
      <c r="L2" s="2"/>
      <c r="M2" s="10">
        <v>1.0</v>
      </c>
      <c r="N2" s="11" t="str">
        <f t="shared" ref="N2:N81" si="1">CONCAT(R2,"@signalschool.ac.th")</f>
        <v>bnco0901@signalschool.ac.th</v>
      </c>
      <c r="O2" s="12">
        <f t="shared" ref="O2:O81" si="2">IFERROR(VLOOKUP(N2,B$2:D$81,3,FALSE),0)</f>
        <v>1</v>
      </c>
      <c r="R2" s="6" t="s">
        <v>116</v>
      </c>
    </row>
    <row r="3">
      <c r="A3" s="8">
        <f>'1.3'!A:A</f>
        <v>46195.34174</v>
      </c>
      <c r="B3" s="2" t="str">
        <f>'1.3'!B:B</f>
        <v>bnco0980@signalschool.ac.th</v>
      </c>
      <c r="C3" s="2" t="str">
        <f>'1.3'!C:C</f>
        <v>ร.อ. สุพจน์ มงคล</v>
      </c>
      <c r="D3" s="9">
        <v>1.0</v>
      </c>
      <c r="E3" s="10">
        <f>IFERROR(vlookup('1.3'!D:D,lookup!$A$2:$B$4,2,false),0)</f>
        <v>5</v>
      </c>
      <c r="F3" s="10">
        <f>IFERROR(vlookup('1.3'!E:E,lookup!$A$6:$B$8,2,false),0)</f>
        <v>5</v>
      </c>
      <c r="G3" s="10">
        <f>IFERROR(vlookup('1.3'!F:F,lookup!$A$10:$B$12,2,false),0)</f>
        <v>5</v>
      </c>
      <c r="H3" s="10">
        <f>IFERROR(vlookup('1.3'!G:G,lookup!$A$14:$B$16,2,false),0)</f>
        <v>5</v>
      </c>
      <c r="I3" s="10">
        <f>IFERROR(vlookup('1.3'!H:H,lookup!$A$18:$B$20,2,false),0)</f>
        <v>3</v>
      </c>
      <c r="J3" s="10">
        <f>IFERROR(vlookup('1.3'!I:I,lookup!$A$22:$B$24,2,false),0)</f>
        <v>5</v>
      </c>
      <c r="K3" s="10">
        <f>IFERROR(vlookup('1.3'!J:J,lookup!$A$26:$B$28,2,false),0)</f>
        <v>5</v>
      </c>
      <c r="L3" s="2"/>
      <c r="M3" s="10">
        <v>2.0</v>
      </c>
      <c r="N3" s="11" t="str">
        <f t="shared" si="1"/>
        <v>bnco0902@signalschool.ac.th</v>
      </c>
      <c r="O3" s="12">
        <f t="shared" si="2"/>
        <v>1</v>
      </c>
      <c r="R3" s="6" t="s">
        <v>157</v>
      </c>
    </row>
    <row r="4">
      <c r="A4" s="8">
        <f>'1.3'!A:A</f>
        <v>46203.70356</v>
      </c>
      <c r="B4" s="2" t="str">
        <f>'1.3'!B:B</f>
        <v>bnco0910@signalschool.ac.th</v>
      </c>
      <c r="C4" s="2" t="str">
        <f>'1.3'!C:C</f>
        <v>พ.ท.หญิงลัดดาวัลย์ / พ.ท.วิญญขนม์</v>
      </c>
      <c r="D4" s="9">
        <v>1.0</v>
      </c>
      <c r="E4" s="10">
        <f>IFERROR(vlookup('1.3'!D:D,lookup!$A$2:$B$4,2,false),0)</f>
        <v>5</v>
      </c>
      <c r="F4" s="10">
        <f>IFERROR(vlookup('1.3'!E:E,lookup!$A$6:$B$8,2,false),0)</f>
        <v>5</v>
      </c>
      <c r="G4" s="10">
        <f>IFERROR(vlookup('1.3'!F:F,lookup!$A$10:$B$12,2,false),0)</f>
        <v>5</v>
      </c>
      <c r="H4" s="10">
        <f>IFERROR(vlookup('1.3'!G:G,lookup!$A$14:$B$16,2,false),0)</f>
        <v>5</v>
      </c>
      <c r="I4" s="10">
        <f>IFERROR(vlookup('1.3'!H:H,lookup!$A$18:$B$20,2,false),0)</f>
        <v>5</v>
      </c>
      <c r="J4" s="10">
        <f>IFERROR(vlookup('1.3'!I:I,lookup!$A$22:$B$24,2,false),0)</f>
        <v>5</v>
      </c>
      <c r="K4" s="10">
        <f>IFERROR(vlookup('1.3'!J:J,lookup!$A$26:$B$28,2,false),0)</f>
        <v>5</v>
      </c>
      <c r="L4" s="2"/>
      <c r="M4" s="10">
        <v>3.0</v>
      </c>
      <c r="N4" s="11" t="str">
        <f t="shared" si="1"/>
        <v>bnco0903@signalschool.ac.th</v>
      </c>
      <c r="O4" s="12">
        <f t="shared" si="2"/>
        <v>1</v>
      </c>
      <c r="R4" s="6" t="s">
        <v>182</v>
      </c>
    </row>
    <row r="5">
      <c r="A5" s="8">
        <f>'1.3'!A:A</f>
        <v>46204.3444</v>
      </c>
      <c r="B5" s="2" t="str">
        <f>'1.3'!B:B</f>
        <v>bnco0950@signalschool.ac.th</v>
      </c>
      <c r="C5" s="2" t="str">
        <f>'1.3'!C:C</f>
        <v>ร.อ.สุพจน์ มงคล</v>
      </c>
      <c r="D5" s="9">
        <v>1.0</v>
      </c>
      <c r="E5" s="10">
        <f>IFERROR(vlookup('1.3'!D:D,lookup!$A$2:$B$4,2,false),0)</f>
        <v>5</v>
      </c>
      <c r="F5" s="10">
        <f>IFERROR(vlookup('1.3'!E:E,lookup!$A$6:$B$8,2,false),0)</f>
        <v>5</v>
      </c>
      <c r="G5" s="10">
        <f>IFERROR(vlookup('1.3'!F:F,lookup!$A$10:$B$12,2,false),0)</f>
        <v>5</v>
      </c>
      <c r="H5" s="10">
        <f>IFERROR(vlookup('1.3'!G:G,lookup!$A$14:$B$16,2,false),0)</f>
        <v>5</v>
      </c>
      <c r="I5" s="10">
        <f>IFERROR(vlookup('1.3'!H:H,lookup!$A$18:$B$20,2,false),0)</f>
        <v>5</v>
      </c>
      <c r="J5" s="10">
        <f>IFERROR(vlookup('1.3'!I:I,lookup!$A$22:$B$24,2,false),0)</f>
        <v>5</v>
      </c>
      <c r="K5" s="10">
        <f>IFERROR(vlookup('1.3'!J:J,lookup!$A$26:$B$28,2,false),0)</f>
        <v>5</v>
      </c>
      <c r="L5" s="2"/>
      <c r="M5" s="10">
        <v>4.0</v>
      </c>
      <c r="N5" s="11" t="str">
        <f t="shared" si="1"/>
        <v>bnco0904@signalschool.ac.th</v>
      </c>
      <c r="O5" s="12">
        <f t="shared" si="2"/>
        <v>1</v>
      </c>
      <c r="R5" s="6" t="s">
        <v>193</v>
      </c>
    </row>
    <row r="6">
      <c r="A6" s="8">
        <f>'1.3'!A:A</f>
        <v>46204.467</v>
      </c>
      <c r="B6" s="2" t="str">
        <f>'1.3'!B:B</f>
        <v>bnco0951@signalschool.ac.th</v>
      </c>
      <c r="C6" s="2" t="str">
        <f>'1.3'!C:C</f>
        <v>ร.อ.สุพจน์ มงคล</v>
      </c>
      <c r="D6" s="9">
        <v>1.0</v>
      </c>
      <c r="E6" s="10">
        <f>IFERROR(vlookup('1.3'!D:D,lookup!$A$2:$B$4,2,false),0)</f>
        <v>5</v>
      </c>
      <c r="F6" s="10">
        <f>IFERROR(vlookup('1.3'!E:E,lookup!$A$6:$B$8,2,false),0)</f>
        <v>5</v>
      </c>
      <c r="G6" s="10">
        <f>IFERROR(vlookup('1.3'!F:F,lookup!$A$10:$B$12,2,false),0)</f>
        <v>5</v>
      </c>
      <c r="H6" s="10">
        <f>IFERROR(vlookup('1.3'!G:G,lookup!$A$14:$B$16,2,false),0)</f>
        <v>5</v>
      </c>
      <c r="I6" s="10">
        <f>IFERROR(vlookup('1.3'!H:H,lookup!$A$18:$B$20,2,false),0)</f>
        <v>5</v>
      </c>
      <c r="J6" s="10">
        <f>IFERROR(vlookup('1.3'!I:I,lookup!$A$22:$B$24,2,false),0)</f>
        <v>5</v>
      </c>
      <c r="K6" s="10">
        <f>IFERROR(vlookup('1.3'!J:J,lookup!$A$26:$B$28,2,false),0)</f>
        <v>5</v>
      </c>
      <c r="L6" s="2"/>
      <c r="M6" s="10">
        <v>5.0</v>
      </c>
      <c r="N6" s="11" t="str">
        <f t="shared" si="1"/>
        <v>bnco0905@signalschool.ac.th</v>
      </c>
      <c r="O6" s="12">
        <f t="shared" si="2"/>
        <v>1</v>
      </c>
      <c r="R6" s="6" t="s">
        <v>197</v>
      </c>
    </row>
    <row r="7">
      <c r="A7" s="8">
        <f>'1.3'!A:A</f>
        <v>46206.5962</v>
      </c>
      <c r="B7" s="2" t="str">
        <f>'1.3'!B:B</f>
        <v>bnco0920@signalschool.ac.th</v>
      </c>
      <c r="C7" s="2" t="str">
        <f>'1.3'!C:C</f>
        <v>พ.ท.หญิงลัดดาวัลย์ / พ.ท.วิญญูชนม์</v>
      </c>
      <c r="D7" s="9">
        <v>1.0</v>
      </c>
      <c r="E7" s="10">
        <f>IFERROR(vlookup('1.3'!D:D,lookup!$A$2:$B$4,2,false),0)</f>
        <v>5</v>
      </c>
      <c r="F7" s="10">
        <f>IFERROR(vlookup('1.3'!E:E,lookup!$A$6:$B$8,2,false),0)</f>
        <v>5</v>
      </c>
      <c r="G7" s="10">
        <f>IFERROR(vlookup('1.3'!F:F,lookup!$A$10:$B$12,2,false),0)</f>
        <v>5</v>
      </c>
      <c r="H7" s="10">
        <f>IFERROR(vlookup('1.3'!G:G,lookup!$A$14:$B$16,2,false),0)</f>
        <v>5</v>
      </c>
      <c r="I7" s="10">
        <f>IFERROR(vlookup('1.3'!H:H,lookup!$A$18:$B$20,2,false),0)</f>
        <v>5</v>
      </c>
      <c r="J7" s="10">
        <f>IFERROR(vlookup('1.3'!I:I,lookup!$A$22:$B$24,2,false),0)</f>
        <v>5</v>
      </c>
      <c r="K7" s="10">
        <f>IFERROR(vlookup('1.3'!J:J,lookup!$A$26:$B$28,2,false),0)</f>
        <v>5</v>
      </c>
      <c r="L7" s="2"/>
      <c r="M7" s="10">
        <v>6.0</v>
      </c>
      <c r="N7" s="11" t="str">
        <f t="shared" si="1"/>
        <v>bnco0906@signalschool.ac.th</v>
      </c>
      <c r="O7" s="12">
        <f t="shared" si="2"/>
        <v>1</v>
      </c>
      <c r="R7" s="6" t="s">
        <v>203</v>
      </c>
    </row>
    <row r="8">
      <c r="A8" s="8">
        <f>'1.3'!A:A</f>
        <v>46212.58136</v>
      </c>
      <c r="B8" s="2" t="str">
        <f>'1.3'!B:B</f>
        <v>bnco0906@signalschool.ac.th</v>
      </c>
      <c r="C8" s="2" t="str">
        <f>'1.3'!C:C</f>
        <v>ร.อ.สุพจน์ มงคล</v>
      </c>
      <c r="D8" s="9">
        <v>1.0</v>
      </c>
      <c r="E8" s="10">
        <f>IFERROR(vlookup('1.3'!D:D,lookup!$A$2:$B$4,2,false),0)</f>
        <v>3</v>
      </c>
      <c r="F8" s="10">
        <f>IFERROR(vlookup('1.3'!E:E,lookup!$A$6:$B$8,2,false),0)</f>
        <v>3</v>
      </c>
      <c r="G8" s="10">
        <f>IFERROR(vlookup('1.3'!F:F,lookup!$A$10:$B$12,2,false),0)</f>
        <v>3</v>
      </c>
      <c r="H8" s="10">
        <f>IFERROR(vlookup('1.3'!G:G,lookup!$A$14:$B$16,2,false),0)</f>
        <v>3</v>
      </c>
      <c r="I8" s="10">
        <f>IFERROR(vlookup('1.3'!H:H,lookup!$A$18:$B$20,2,false),0)</f>
        <v>3</v>
      </c>
      <c r="J8" s="10">
        <f>IFERROR(vlookup('1.3'!I:I,lookup!$A$22:$B$24,2,false),0)</f>
        <v>3</v>
      </c>
      <c r="K8" s="10">
        <f>IFERROR(vlookup('1.3'!J:J,lookup!$A$26:$B$28,2,false),0)</f>
        <v>3</v>
      </c>
      <c r="L8" s="2"/>
      <c r="M8" s="10">
        <v>7.0</v>
      </c>
      <c r="N8" s="11" t="str">
        <f t="shared" si="1"/>
        <v>bnco0907@signalschool.ac.th</v>
      </c>
      <c r="O8" s="12">
        <f t="shared" si="2"/>
        <v>1</v>
      </c>
      <c r="R8" s="6" t="s">
        <v>206</v>
      </c>
    </row>
    <row r="9">
      <c r="A9" s="8">
        <f>'1.3'!A:A</f>
        <v>46212.61424</v>
      </c>
      <c r="B9" s="2" t="str">
        <f>'1.3'!B:B</f>
        <v>bnco0955@signalschool.ac.th</v>
      </c>
      <c r="C9" s="2" t="str">
        <f>'1.3'!C:C</f>
        <v>อาจารย์ประจำวิชาการส่งกำลังและซ่อมบำรุงสายสื่อสาร</v>
      </c>
      <c r="D9" s="9">
        <v>1.0</v>
      </c>
      <c r="E9" s="10">
        <f>IFERROR(vlookup('1.3'!D:D,lookup!$A$2:$B$4,2,false),0)</f>
        <v>5</v>
      </c>
      <c r="F9" s="10">
        <f>IFERROR(vlookup('1.3'!E:E,lookup!$A$6:$B$8,2,false),0)</f>
        <v>5</v>
      </c>
      <c r="G9" s="10">
        <f>IFERROR(vlookup('1.3'!F:F,lookup!$A$10:$B$12,2,false),0)</f>
        <v>5</v>
      </c>
      <c r="H9" s="10">
        <f>IFERROR(vlookup('1.3'!G:G,lookup!$A$14:$B$16,2,false),0)</f>
        <v>5</v>
      </c>
      <c r="I9" s="10">
        <f>IFERROR(vlookup('1.3'!H:H,lookup!$A$18:$B$20,2,false),0)</f>
        <v>5</v>
      </c>
      <c r="J9" s="10">
        <f>IFERROR(vlookup('1.3'!I:I,lookup!$A$22:$B$24,2,false),0)</f>
        <v>5</v>
      </c>
      <c r="K9" s="10">
        <f>IFERROR(vlookup('1.3'!J:J,lookup!$A$26:$B$28,2,false),0)</f>
        <v>5</v>
      </c>
      <c r="L9" s="2"/>
      <c r="M9" s="10">
        <v>8.0</v>
      </c>
      <c r="N9" s="11" t="str">
        <f t="shared" si="1"/>
        <v>bnco0908@signalschool.ac.th</v>
      </c>
      <c r="O9" s="12">
        <f t="shared" si="2"/>
        <v>1</v>
      </c>
      <c r="R9" s="6" t="s">
        <v>211</v>
      </c>
    </row>
    <row r="10">
      <c r="A10" s="8">
        <f>'1.3'!A:A</f>
        <v>46212.61636</v>
      </c>
      <c r="B10" s="2" t="str">
        <f>'1.3'!B:B</f>
        <v>bnco0936@signalschool.ac.th</v>
      </c>
      <c r="C10" s="2" t="str">
        <f>'1.3'!C:C</f>
        <v>ร.อ.สุพจน์  มงคล </v>
      </c>
      <c r="D10" s="9">
        <v>1.0</v>
      </c>
      <c r="E10" s="10">
        <f>IFERROR(vlookup('1.3'!D:D,lookup!$A$2:$B$4,2,false),0)</f>
        <v>5</v>
      </c>
      <c r="F10" s="10">
        <f>IFERROR(vlookup('1.3'!E:E,lookup!$A$6:$B$8,2,false),0)</f>
        <v>5</v>
      </c>
      <c r="G10" s="10">
        <f>IFERROR(vlookup('1.3'!F:F,lookup!$A$10:$B$12,2,false),0)</f>
        <v>5</v>
      </c>
      <c r="H10" s="10">
        <f>IFERROR(vlookup('1.3'!G:G,lookup!$A$14:$B$16,2,false),0)</f>
        <v>5</v>
      </c>
      <c r="I10" s="10">
        <f>IFERROR(vlookup('1.3'!H:H,lookup!$A$18:$B$20,2,false),0)</f>
        <v>5</v>
      </c>
      <c r="J10" s="10">
        <f>IFERROR(vlookup('1.3'!I:I,lookup!$A$22:$B$24,2,false),0)</f>
        <v>5</v>
      </c>
      <c r="K10" s="10">
        <f>IFERROR(vlookup('1.3'!J:J,lookup!$A$26:$B$28,2,false),0)</f>
        <v>5</v>
      </c>
      <c r="L10" s="2"/>
      <c r="M10" s="10">
        <v>9.0</v>
      </c>
      <c r="N10" s="11" t="str">
        <f t="shared" si="1"/>
        <v>bnco0909@signalschool.ac.th</v>
      </c>
      <c r="O10" s="12">
        <f t="shared" si="2"/>
        <v>1</v>
      </c>
      <c r="R10" s="6" t="s">
        <v>212</v>
      </c>
    </row>
    <row r="11">
      <c r="A11" s="8">
        <f>'1.3'!A:A</f>
        <v>46212.61739</v>
      </c>
      <c r="B11" s="2" t="str">
        <f>'1.3'!B:B</f>
        <v>bnco0919@signalschool.ac.th</v>
      </c>
      <c r="C11" s="2" t="str">
        <f>'1.3'!C:C</f>
        <v>ร.อ.สุพจน์ มงคล</v>
      </c>
      <c r="D11" s="9">
        <v>1.0</v>
      </c>
      <c r="E11" s="10">
        <f>IFERROR(vlookup('1.3'!D:D,lookup!$A$2:$B$4,2,false),0)</f>
        <v>5</v>
      </c>
      <c r="F11" s="10">
        <f>IFERROR(vlookup('1.3'!E:E,lookup!$A$6:$B$8,2,false),0)</f>
        <v>5</v>
      </c>
      <c r="G11" s="10">
        <f>IFERROR(vlookup('1.3'!F:F,lookup!$A$10:$B$12,2,false),0)</f>
        <v>5</v>
      </c>
      <c r="H11" s="10">
        <f>IFERROR(vlookup('1.3'!G:G,lookup!$A$14:$B$16,2,false),0)</f>
        <v>5</v>
      </c>
      <c r="I11" s="10">
        <f>IFERROR(vlookup('1.3'!H:H,lookup!$A$18:$B$20,2,false),0)</f>
        <v>5</v>
      </c>
      <c r="J11" s="10">
        <f>IFERROR(vlookup('1.3'!I:I,lookup!$A$22:$B$24,2,false),0)</f>
        <v>5</v>
      </c>
      <c r="K11" s="10">
        <f>IFERROR(vlookup('1.3'!J:J,lookup!$A$26:$B$28,2,false),0)</f>
        <v>5</v>
      </c>
      <c r="L11" s="2"/>
      <c r="M11" s="10">
        <v>10.0</v>
      </c>
      <c r="N11" s="11" t="str">
        <f t="shared" si="1"/>
        <v>bnco0910@signalschool.ac.th</v>
      </c>
      <c r="O11" s="12">
        <f t="shared" si="2"/>
        <v>1</v>
      </c>
      <c r="R11" s="6" t="s">
        <v>213</v>
      </c>
    </row>
    <row r="12">
      <c r="A12" s="8">
        <f>'1.3'!A:A</f>
        <v>46212.61779</v>
      </c>
      <c r="B12" s="2" t="str">
        <f>'1.3'!B:B</f>
        <v>bnco0958@signalschool.ac.th</v>
      </c>
      <c r="C12" s="2" t="str">
        <f>'1.3'!C:C</f>
        <v>ร.อ.สุพจน์ มงคล</v>
      </c>
      <c r="D12" s="9">
        <v>1.0</v>
      </c>
      <c r="E12" s="10">
        <f>IFERROR(vlookup('1.3'!D:D,lookup!$A$2:$B$4,2,false),0)</f>
        <v>5</v>
      </c>
      <c r="F12" s="10">
        <f>IFERROR(vlookup('1.3'!E:E,lookup!$A$6:$B$8,2,false),0)</f>
        <v>5</v>
      </c>
      <c r="G12" s="10">
        <f>IFERROR(vlookup('1.3'!F:F,lookup!$A$10:$B$12,2,false),0)</f>
        <v>5</v>
      </c>
      <c r="H12" s="10">
        <f>IFERROR(vlookup('1.3'!G:G,lookup!$A$14:$B$16,2,false),0)</f>
        <v>5</v>
      </c>
      <c r="I12" s="10">
        <f>IFERROR(vlookup('1.3'!H:H,lookup!$A$18:$B$20,2,false),0)</f>
        <v>5</v>
      </c>
      <c r="J12" s="10">
        <f>IFERROR(vlookup('1.3'!I:I,lookup!$A$22:$B$24,2,false),0)</f>
        <v>5</v>
      </c>
      <c r="K12" s="10">
        <f>IFERROR(vlookup('1.3'!J:J,lookup!$A$26:$B$28,2,false),0)</f>
        <v>5</v>
      </c>
      <c r="L12" s="2"/>
      <c r="M12" s="10">
        <v>11.0</v>
      </c>
      <c r="N12" s="11" t="str">
        <f t="shared" si="1"/>
        <v>bnco0911@signalschool.ac.th</v>
      </c>
      <c r="O12" s="12">
        <f t="shared" si="2"/>
        <v>1</v>
      </c>
      <c r="R12" s="6" t="s">
        <v>214</v>
      </c>
    </row>
    <row r="13">
      <c r="A13" s="8">
        <f>'1.3'!A:A</f>
        <v>46212.61822</v>
      </c>
      <c r="B13" s="2" t="str">
        <f>'1.3'!B:B</f>
        <v>bnco0974@signalschool.ac.th</v>
      </c>
      <c r="C13" s="2" t="str">
        <f>'1.3'!C:C</f>
        <v>ร.อ.สุพจน์ มงคล</v>
      </c>
      <c r="D13" s="9">
        <v>1.0</v>
      </c>
      <c r="E13" s="10">
        <f>IFERROR(vlookup('1.3'!D:D,lookup!$A$2:$B$4,2,false),0)</f>
        <v>5</v>
      </c>
      <c r="F13" s="10">
        <f>IFERROR(vlookup('1.3'!E:E,lookup!$A$6:$B$8,2,false),0)</f>
        <v>3</v>
      </c>
      <c r="G13" s="10">
        <f>IFERROR(vlookup('1.3'!F:F,lookup!$A$10:$B$12,2,false),0)</f>
        <v>5</v>
      </c>
      <c r="H13" s="10">
        <f>IFERROR(vlookup('1.3'!G:G,lookup!$A$14:$B$16,2,false),0)</f>
        <v>5</v>
      </c>
      <c r="I13" s="10">
        <f>IFERROR(vlookup('1.3'!H:H,lookup!$A$18:$B$20,2,false),0)</f>
        <v>5</v>
      </c>
      <c r="J13" s="10">
        <f>IFERROR(vlookup('1.3'!I:I,lookup!$A$22:$B$24,2,false),0)</f>
        <v>5</v>
      </c>
      <c r="K13" s="10">
        <f>IFERROR(vlookup('1.3'!J:J,lookup!$A$26:$B$28,2,false),0)</f>
        <v>5</v>
      </c>
      <c r="L13" s="2"/>
      <c r="M13" s="10">
        <v>12.0</v>
      </c>
      <c r="N13" s="11" t="str">
        <f t="shared" si="1"/>
        <v>bnco0912@signalschool.ac.th</v>
      </c>
      <c r="O13" s="12">
        <f t="shared" si="2"/>
        <v>1</v>
      </c>
      <c r="R13" s="6" t="s">
        <v>222</v>
      </c>
    </row>
    <row r="14">
      <c r="A14" s="8">
        <f>'1.3'!A:A</f>
        <v>46212.61832</v>
      </c>
      <c r="B14" s="2" t="str">
        <f>'1.3'!B:B</f>
        <v>bnco0932@signalschool.ac.th</v>
      </c>
      <c r="C14" s="2" t="str">
        <f>'1.3'!C:C</f>
        <v>ร.อ.สุพจน์ มงคล</v>
      </c>
      <c r="D14" s="9">
        <v>1.0</v>
      </c>
      <c r="E14" s="10">
        <f>IFERROR(vlookup('1.3'!D:D,lookup!$A$2:$B$4,2,false),0)</f>
        <v>5</v>
      </c>
      <c r="F14" s="10">
        <f>IFERROR(vlookup('1.3'!E:E,lookup!$A$6:$B$8,2,false),0)</f>
        <v>5</v>
      </c>
      <c r="G14" s="10">
        <f>IFERROR(vlookup('1.3'!F:F,lookup!$A$10:$B$12,2,false),0)</f>
        <v>5</v>
      </c>
      <c r="H14" s="10">
        <f>IFERROR(vlookup('1.3'!G:G,lookup!$A$14:$B$16,2,false),0)</f>
        <v>5</v>
      </c>
      <c r="I14" s="10">
        <f>IFERROR(vlookup('1.3'!H:H,lookup!$A$18:$B$20,2,false),0)</f>
        <v>5</v>
      </c>
      <c r="J14" s="10">
        <f>IFERROR(vlookup('1.3'!I:I,lookup!$A$22:$B$24,2,false),0)</f>
        <v>5</v>
      </c>
      <c r="K14" s="10">
        <f>IFERROR(vlookup('1.3'!J:J,lookup!$A$26:$B$28,2,false),0)</f>
        <v>5</v>
      </c>
      <c r="L14" s="2"/>
      <c r="M14" s="10">
        <v>13.0</v>
      </c>
      <c r="N14" s="11" t="str">
        <f t="shared" si="1"/>
        <v>bnco0913@signalschool.ac.th</v>
      </c>
      <c r="O14" s="12">
        <f t="shared" si="2"/>
        <v>1</v>
      </c>
      <c r="R14" s="6" t="s">
        <v>227</v>
      </c>
    </row>
    <row r="15">
      <c r="A15" s="8">
        <f>'1.3'!A:A</f>
        <v>46212.61849</v>
      </c>
      <c r="B15" s="2" t="str">
        <f>'1.3'!B:B</f>
        <v>bnco0962@signalschool.ac.th</v>
      </c>
      <c r="C15" s="2" t="str">
        <f>'1.3'!C:C</f>
        <v>ร.อ.สุพจน์   มงคล</v>
      </c>
      <c r="D15" s="9">
        <v>1.0</v>
      </c>
      <c r="E15" s="10">
        <f>IFERROR(vlookup('1.3'!D:D,lookup!$A$2:$B$4,2,false),0)</f>
        <v>5</v>
      </c>
      <c r="F15" s="10">
        <f>IFERROR(vlookup('1.3'!E:E,lookup!$A$6:$B$8,2,false),0)</f>
        <v>5</v>
      </c>
      <c r="G15" s="10">
        <f>IFERROR(vlookup('1.3'!F:F,lookup!$A$10:$B$12,2,false),0)</f>
        <v>5</v>
      </c>
      <c r="H15" s="10">
        <f>IFERROR(vlookup('1.3'!G:G,lookup!$A$14:$B$16,2,false),0)</f>
        <v>5</v>
      </c>
      <c r="I15" s="10">
        <f>IFERROR(vlookup('1.3'!H:H,lookup!$A$18:$B$20,2,false),0)</f>
        <v>5</v>
      </c>
      <c r="J15" s="10">
        <f>IFERROR(vlookup('1.3'!I:I,lookup!$A$22:$B$24,2,false),0)</f>
        <v>5</v>
      </c>
      <c r="K15" s="10">
        <f>IFERROR(vlookup('1.3'!J:J,lookup!$A$26:$B$28,2,false),0)</f>
        <v>5</v>
      </c>
      <c r="L15" s="2"/>
      <c r="M15" s="10">
        <v>14.0</v>
      </c>
      <c r="N15" s="11" t="str">
        <f t="shared" si="1"/>
        <v>bnco0914@signalschool.ac.th</v>
      </c>
      <c r="O15" s="12">
        <f t="shared" si="2"/>
        <v>1</v>
      </c>
      <c r="R15" s="6" t="s">
        <v>230</v>
      </c>
    </row>
    <row r="16">
      <c r="A16" s="8">
        <f>'1.3'!A:A</f>
        <v>46212.61854</v>
      </c>
      <c r="B16" s="2" t="str">
        <f>'1.3'!B:B</f>
        <v>bnco0924@signalschool.ac.th</v>
      </c>
      <c r="C16" s="2" t="str">
        <f>'1.3'!C:C</f>
        <v>ร.อ.สุพจน์ มงคล</v>
      </c>
      <c r="D16" s="9">
        <v>1.0</v>
      </c>
      <c r="E16" s="10">
        <f>IFERROR(vlookup('1.3'!D:D,lookup!$A$2:$B$4,2,false),0)</f>
        <v>5</v>
      </c>
      <c r="F16" s="10">
        <f>IFERROR(vlookup('1.3'!E:E,lookup!$A$6:$B$8,2,false),0)</f>
        <v>5</v>
      </c>
      <c r="G16" s="10">
        <f>IFERROR(vlookup('1.3'!F:F,lookup!$A$10:$B$12,2,false),0)</f>
        <v>5</v>
      </c>
      <c r="H16" s="10">
        <f>IFERROR(vlookup('1.3'!G:G,lookup!$A$14:$B$16,2,false),0)</f>
        <v>5</v>
      </c>
      <c r="I16" s="10">
        <f>IFERROR(vlookup('1.3'!H:H,lookup!$A$18:$B$20,2,false),0)</f>
        <v>5</v>
      </c>
      <c r="J16" s="10">
        <f>IFERROR(vlookup('1.3'!I:I,lookup!$A$22:$B$24,2,false),0)</f>
        <v>5</v>
      </c>
      <c r="K16" s="10">
        <f>IFERROR(vlookup('1.3'!J:J,lookup!$A$26:$B$28,2,false),0)</f>
        <v>5</v>
      </c>
      <c r="L16" s="2"/>
      <c r="M16" s="10">
        <v>15.0</v>
      </c>
      <c r="N16" s="11" t="str">
        <f t="shared" si="1"/>
        <v>bnco0915@signalschool.ac.th</v>
      </c>
      <c r="O16" s="12">
        <f t="shared" si="2"/>
        <v>1</v>
      </c>
      <c r="R16" s="6" t="s">
        <v>232</v>
      </c>
    </row>
    <row r="17">
      <c r="A17" s="8">
        <f>'1.3'!A:A</f>
        <v>46212.61867</v>
      </c>
      <c r="B17" s="2" t="str">
        <f>'1.3'!B:B</f>
        <v>bnco0938@signalschool.ac.th</v>
      </c>
      <c r="C17" s="2" t="str">
        <f>'1.3'!C:C</f>
        <v>ร.อ.สุพจน์ มงคล</v>
      </c>
      <c r="D17" s="9">
        <v>1.0</v>
      </c>
      <c r="E17" s="10">
        <f>IFERROR(vlookup('1.3'!D:D,lookup!$A$2:$B$4,2,false),0)</f>
        <v>5</v>
      </c>
      <c r="F17" s="10">
        <f>IFERROR(vlookup('1.3'!E:E,lookup!$A$6:$B$8,2,false),0)</f>
        <v>5</v>
      </c>
      <c r="G17" s="10">
        <f>IFERROR(vlookup('1.3'!F:F,lookup!$A$10:$B$12,2,false),0)</f>
        <v>5</v>
      </c>
      <c r="H17" s="10">
        <f>IFERROR(vlookup('1.3'!G:G,lookup!$A$14:$B$16,2,false),0)</f>
        <v>5</v>
      </c>
      <c r="I17" s="10">
        <f>IFERROR(vlookup('1.3'!H:H,lookup!$A$18:$B$20,2,false),0)</f>
        <v>5</v>
      </c>
      <c r="J17" s="10">
        <f>IFERROR(vlookup('1.3'!I:I,lookup!$A$22:$B$24,2,false),0)</f>
        <v>5</v>
      </c>
      <c r="K17" s="10">
        <f>IFERROR(vlookup('1.3'!J:J,lookup!$A$26:$B$28,2,false),0)</f>
        <v>3</v>
      </c>
      <c r="L17" s="2"/>
      <c r="M17" s="10">
        <v>16.0</v>
      </c>
      <c r="N17" s="11" t="str">
        <f t="shared" si="1"/>
        <v>bnco0916@signalschool.ac.th</v>
      </c>
      <c r="O17" s="12">
        <f t="shared" si="2"/>
        <v>1</v>
      </c>
      <c r="R17" s="6" t="s">
        <v>233</v>
      </c>
    </row>
    <row r="18">
      <c r="A18" s="8">
        <f>'1.3'!A:A</f>
        <v>46212.61873</v>
      </c>
      <c r="B18" s="2" t="str">
        <f>'1.3'!B:B</f>
        <v>bnco0918@signalschool.ac.th</v>
      </c>
      <c r="C18" s="2" t="str">
        <f>'1.3'!C:C</f>
        <v>ร.อ.สุพจน์ มงคล</v>
      </c>
      <c r="D18" s="9">
        <v>1.0</v>
      </c>
      <c r="E18" s="10">
        <f>IFERROR(vlookup('1.3'!D:D,lookup!$A$2:$B$4,2,false),0)</f>
        <v>5</v>
      </c>
      <c r="F18" s="10">
        <f>IFERROR(vlookup('1.3'!E:E,lookup!$A$6:$B$8,2,false),0)</f>
        <v>5</v>
      </c>
      <c r="G18" s="10">
        <f>IFERROR(vlookup('1.3'!F:F,lookup!$A$10:$B$12,2,false),0)</f>
        <v>5</v>
      </c>
      <c r="H18" s="10">
        <f>IFERROR(vlookup('1.3'!G:G,lookup!$A$14:$B$16,2,false),0)</f>
        <v>5</v>
      </c>
      <c r="I18" s="10">
        <f>IFERROR(vlookup('1.3'!H:H,lookup!$A$18:$B$20,2,false),0)</f>
        <v>5</v>
      </c>
      <c r="J18" s="10">
        <f>IFERROR(vlookup('1.3'!I:I,lookup!$A$22:$B$24,2,false),0)</f>
        <v>5</v>
      </c>
      <c r="K18" s="10">
        <f>IFERROR(vlookup('1.3'!J:J,lookup!$A$26:$B$28,2,false),0)</f>
        <v>5</v>
      </c>
      <c r="L18" s="2"/>
      <c r="M18" s="10">
        <v>17.0</v>
      </c>
      <c r="N18" s="11" t="str">
        <f t="shared" si="1"/>
        <v>bnco0917@signalschool.ac.th</v>
      </c>
      <c r="O18" s="12">
        <f t="shared" si="2"/>
        <v>1</v>
      </c>
      <c r="R18" s="6" t="s">
        <v>234</v>
      </c>
    </row>
    <row r="19">
      <c r="A19" s="8">
        <f>'1.3'!A:A</f>
        <v>46212.61877</v>
      </c>
      <c r="B19" s="2" t="str">
        <f>'1.3'!B:B</f>
        <v>bnco0923@signalschool.ac.th</v>
      </c>
      <c r="C19" s="2" t="str">
        <f>'1.3'!C:C</f>
        <v>ร.อ.สุพจน์ มงคล</v>
      </c>
      <c r="D19" s="9">
        <v>1.0</v>
      </c>
      <c r="E19" s="10">
        <f>IFERROR(vlookup('1.3'!D:D,lookup!$A$2:$B$4,2,false),0)</f>
        <v>5</v>
      </c>
      <c r="F19" s="10">
        <f>IFERROR(vlookup('1.3'!E:E,lookup!$A$6:$B$8,2,false),0)</f>
        <v>5</v>
      </c>
      <c r="G19" s="10">
        <f>IFERROR(vlookup('1.3'!F:F,lookup!$A$10:$B$12,2,false),0)</f>
        <v>5</v>
      </c>
      <c r="H19" s="10">
        <f>IFERROR(vlookup('1.3'!G:G,lookup!$A$14:$B$16,2,false),0)</f>
        <v>5</v>
      </c>
      <c r="I19" s="10">
        <f>IFERROR(vlookup('1.3'!H:H,lookup!$A$18:$B$20,2,false),0)</f>
        <v>5</v>
      </c>
      <c r="J19" s="10">
        <f>IFERROR(vlookup('1.3'!I:I,lookup!$A$22:$B$24,2,false),0)</f>
        <v>5</v>
      </c>
      <c r="K19" s="10">
        <f>IFERROR(vlookup('1.3'!J:J,lookup!$A$26:$B$28,2,false),0)</f>
        <v>5</v>
      </c>
      <c r="L19" s="2"/>
      <c r="M19" s="10">
        <v>18.0</v>
      </c>
      <c r="N19" s="11" t="str">
        <f t="shared" si="1"/>
        <v>bnco0918@signalschool.ac.th</v>
      </c>
      <c r="O19" s="12">
        <f t="shared" si="2"/>
        <v>1</v>
      </c>
      <c r="R19" s="6" t="s">
        <v>235</v>
      </c>
    </row>
    <row r="20">
      <c r="A20" s="8">
        <f>'1.3'!A:A</f>
        <v>46212.6188</v>
      </c>
      <c r="B20" s="2" t="str">
        <f>'1.3'!B:B</f>
        <v>bnco0904@signalschool.ac.th</v>
      </c>
      <c r="C20" s="2" t="str">
        <f>'1.3'!C:C</f>
        <v>ร.อ.สุพจน์  มงคล</v>
      </c>
      <c r="D20" s="9">
        <v>1.0</v>
      </c>
      <c r="E20" s="10">
        <f>IFERROR(vlookup('1.3'!D:D,lookup!$A$2:$B$4,2,false),0)</f>
        <v>5</v>
      </c>
      <c r="F20" s="10">
        <f>IFERROR(vlookup('1.3'!E:E,lookup!$A$6:$B$8,2,false),0)</f>
        <v>5</v>
      </c>
      <c r="G20" s="10">
        <f>IFERROR(vlookup('1.3'!F:F,lookup!$A$10:$B$12,2,false),0)</f>
        <v>5</v>
      </c>
      <c r="H20" s="10">
        <f>IFERROR(vlookup('1.3'!G:G,lookup!$A$14:$B$16,2,false),0)</f>
        <v>5</v>
      </c>
      <c r="I20" s="10">
        <f>IFERROR(vlookup('1.3'!H:H,lookup!$A$18:$B$20,2,false),0)</f>
        <v>5</v>
      </c>
      <c r="J20" s="10">
        <f>IFERROR(vlookup('1.3'!I:I,lookup!$A$22:$B$24,2,false),0)</f>
        <v>5</v>
      </c>
      <c r="K20" s="10">
        <f>IFERROR(vlookup('1.3'!J:J,lookup!$A$26:$B$28,2,false),0)</f>
        <v>5</v>
      </c>
      <c r="L20" s="2"/>
      <c r="M20" s="10">
        <v>19.0</v>
      </c>
      <c r="N20" s="11" t="str">
        <f t="shared" si="1"/>
        <v>bnco0919@signalschool.ac.th</v>
      </c>
      <c r="O20" s="12">
        <f t="shared" si="2"/>
        <v>1</v>
      </c>
      <c r="R20" s="6" t="s">
        <v>236</v>
      </c>
    </row>
    <row r="21">
      <c r="A21" s="8">
        <f>'1.3'!A:A</f>
        <v>46212.61884</v>
      </c>
      <c r="B21" s="2" t="str">
        <f>'1.3'!B:B</f>
        <v>bnco0972@signalschool.ac.th</v>
      </c>
      <c r="C21" s="2" t="str">
        <f>'1.3'!C:C</f>
        <v>ร.อ.สุพจน์   มงคล</v>
      </c>
      <c r="D21" s="9">
        <v>1.0</v>
      </c>
      <c r="E21" s="10">
        <f>IFERROR(vlookup('1.3'!D:D,lookup!$A$2:$B$4,2,false),0)</f>
        <v>5</v>
      </c>
      <c r="F21" s="10">
        <f>IFERROR(vlookup('1.3'!E:E,lookup!$A$6:$B$8,2,false),0)</f>
        <v>5</v>
      </c>
      <c r="G21" s="10">
        <f>IFERROR(vlookup('1.3'!F:F,lookup!$A$10:$B$12,2,false),0)</f>
        <v>5</v>
      </c>
      <c r="H21" s="10">
        <f>IFERROR(vlookup('1.3'!G:G,lookup!$A$14:$B$16,2,false),0)</f>
        <v>5</v>
      </c>
      <c r="I21" s="10">
        <f>IFERROR(vlookup('1.3'!H:H,lookup!$A$18:$B$20,2,false),0)</f>
        <v>5</v>
      </c>
      <c r="J21" s="10">
        <f>IFERROR(vlookup('1.3'!I:I,lookup!$A$22:$B$24,2,false),0)</f>
        <v>5</v>
      </c>
      <c r="K21" s="10">
        <f>IFERROR(vlookup('1.3'!J:J,lookup!$A$26:$B$28,2,false),0)</f>
        <v>5</v>
      </c>
      <c r="L21" s="2"/>
      <c r="M21" s="10">
        <v>20.0</v>
      </c>
      <c r="N21" s="11" t="str">
        <f t="shared" si="1"/>
        <v>bnco0920@signalschool.ac.th</v>
      </c>
      <c r="O21" s="12">
        <f t="shared" si="2"/>
        <v>1</v>
      </c>
      <c r="R21" s="6" t="s">
        <v>237</v>
      </c>
    </row>
    <row r="22">
      <c r="A22" s="8">
        <f>'1.3'!A:A</f>
        <v>46212.61889</v>
      </c>
      <c r="B22" s="2" t="str">
        <f>'1.3'!B:B</f>
        <v>bnco0967@signalschool.ac.th</v>
      </c>
      <c r="C22" s="2" t="str">
        <f>'1.3'!C:C</f>
        <v>ร.อ.สุพจน์ มงคล</v>
      </c>
      <c r="D22" s="9">
        <v>1.0</v>
      </c>
      <c r="E22" s="10">
        <f>IFERROR(vlookup('1.3'!D:D,lookup!$A$2:$B$4,2,false),0)</f>
        <v>5</v>
      </c>
      <c r="F22" s="10">
        <f>IFERROR(vlookup('1.3'!E:E,lookup!$A$6:$B$8,2,false),0)</f>
        <v>5</v>
      </c>
      <c r="G22" s="10">
        <f>IFERROR(vlookup('1.3'!F:F,lookup!$A$10:$B$12,2,false),0)</f>
        <v>5</v>
      </c>
      <c r="H22" s="10">
        <f>IFERROR(vlookup('1.3'!G:G,lookup!$A$14:$B$16,2,false),0)</f>
        <v>5</v>
      </c>
      <c r="I22" s="10">
        <f>IFERROR(vlookup('1.3'!H:H,lookup!$A$18:$B$20,2,false),0)</f>
        <v>5</v>
      </c>
      <c r="J22" s="10">
        <f>IFERROR(vlookup('1.3'!I:I,lookup!$A$22:$B$24,2,false),0)</f>
        <v>5</v>
      </c>
      <c r="K22" s="10">
        <f>IFERROR(vlookup('1.3'!J:J,lookup!$A$26:$B$28,2,false),0)</f>
        <v>5</v>
      </c>
      <c r="L22" s="2"/>
      <c r="M22" s="10">
        <v>21.0</v>
      </c>
      <c r="N22" s="11" t="str">
        <f t="shared" si="1"/>
        <v>bnco0921@signalschool.ac.th</v>
      </c>
      <c r="O22" s="12">
        <f t="shared" si="2"/>
        <v>1</v>
      </c>
      <c r="R22" s="6" t="s">
        <v>238</v>
      </c>
    </row>
    <row r="23">
      <c r="A23" s="8">
        <f>'1.3'!A:A</f>
        <v>46212.61889</v>
      </c>
      <c r="B23" s="2" t="str">
        <f>'1.3'!B:B</f>
        <v>bnco0928@signalschool.ac.th</v>
      </c>
      <c r="C23" s="2" t="str">
        <f>'1.3'!C:C</f>
        <v>ร.อ.สุพจน์ มงคล</v>
      </c>
      <c r="D23" s="9">
        <v>1.0</v>
      </c>
      <c r="E23" s="10">
        <f>IFERROR(vlookup('1.3'!D:D,lookup!$A$2:$B$4,2,false),0)</f>
        <v>5</v>
      </c>
      <c r="F23" s="10">
        <f>IFERROR(vlookup('1.3'!E:E,lookup!$A$6:$B$8,2,false),0)</f>
        <v>5</v>
      </c>
      <c r="G23" s="10">
        <f>IFERROR(vlookup('1.3'!F:F,lookup!$A$10:$B$12,2,false),0)</f>
        <v>5</v>
      </c>
      <c r="H23" s="10">
        <f>IFERROR(vlookup('1.3'!G:G,lookup!$A$14:$B$16,2,false),0)</f>
        <v>5</v>
      </c>
      <c r="I23" s="10">
        <f>IFERROR(vlookup('1.3'!H:H,lookup!$A$18:$B$20,2,false),0)</f>
        <v>5</v>
      </c>
      <c r="J23" s="10">
        <f>IFERROR(vlookup('1.3'!I:I,lookup!$A$22:$B$24,2,false),0)</f>
        <v>5</v>
      </c>
      <c r="K23" s="10">
        <f>IFERROR(vlookup('1.3'!J:J,lookup!$A$26:$B$28,2,false),0)</f>
        <v>5</v>
      </c>
      <c r="L23" s="2"/>
      <c r="M23" s="10">
        <v>22.0</v>
      </c>
      <c r="N23" s="11" t="str">
        <f t="shared" si="1"/>
        <v>bnco0922@signalschool.ac.th</v>
      </c>
      <c r="O23" s="12">
        <f t="shared" si="2"/>
        <v>1</v>
      </c>
      <c r="R23" s="6" t="s">
        <v>239</v>
      </c>
    </row>
    <row r="24">
      <c r="A24" s="8">
        <f>'1.3'!A:A</f>
        <v>46212.61891</v>
      </c>
      <c r="B24" s="2" t="str">
        <f>'1.3'!B:B</f>
        <v>bnco0970@signalschool.ac.th</v>
      </c>
      <c r="C24" s="2" t="str">
        <f>'1.3'!C:C</f>
        <v>ร.อ.สุพจน์ มงคล</v>
      </c>
      <c r="D24" s="9">
        <v>1.0</v>
      </c>
      <c r="E24" s="10">
        <f>IFERROR(vlookup('1.3'!D:D,lookup!$A$2:$B$4,2,false),0)</f>
        <v>5</v>
      </c>
      <c r="F24" s="10">
        <f>IFERROR(vlookup('1.3'!E:E,lookup!$A$6:$B$8,2,false),0)</f>
        <v>5</v>
      </c>
      <c r="G24" s="10">
        <f>IFERROR(vlookup('1.3'!F:F,lookup!$A$10:$B$12,2,false),0)</f>
        <v>5</v>
      </c>
      <c r="H24" s="10">
        <f>IFERROR(vlookup('1.3'!G:G,lookup!$A$14:$B$16,2,false),0)</f>
        <v>5</v>
      </c>
      <c r="I24" s="10">
        <f>IFERROR(vlookup('1.3'!H:H,lookup!$A$18:$B$20,2,false),0)</f>
        <v>5</v>
      </c>
      <c r="J24" s="10">
        <f>IFERROR(vlookup('1.3'!I:I,lookup!$A$22:$B$24,2,false),0)</f>
        <v>5</v>
      </c>
      <c r="K24" s="10">
        <f>IFERROR(vlookup('1.3'!J:J,lookup!$A$26:$B$28,2,false),0)</f>
        <v>5</v>
      </c>
      <c r="L24" s="2"/>
      <c r="M24" s="10">
        <v>23.0</v>
      </c>
      <c r="N24" s="11" t="str">
        <f t="shared" si="1"/>
        <v>bnco0923@signalschool.ac.th</v>
      </c>
      <c r="O24" s="12">
        <f t="shared" si="2"/>
        <v>1</v>
      </c>
      <c r="R24" s="6" t="s">
        <v>240</v>
      </c>
    </row>
    <row r="25">
      <c r="A25" s="8">
        <f>'1.3'!A:A</f>
        <v>46212.61904</v>
      </c>
      <c r="B25" s="2" t="str">
        <f>'1.3'!B:B</f>
        <v>bnco0978@signalschool.ac.th</v>
      </c>
      <c r="C25" s="2" t="str">
        <f>'1.3'!C:C</f>
        <v>ร.อ.สุพจน์ มงคล</v>
      </c>
      <c r="D25" s="9">
        <v>1.0</v>
      </c>
      <c r="E25" s="10">
        <f>IFERROR(vlookup('1.3'!D:D,lookup!$A$2:$B$4,2,false),0)</f>
        <v>5</v>
      </c>
      <c r="F25" s="10">
        <f>IFERROR(vlookup('1.3'!E:E,lookup!$A$6:$B$8,2,false),0)</f>
        <v>5</v>
      </c>
      <c r="G25" s="10">
        <f>IFERROR(vlookup('1.3'!F:F,lookup!$A$10:$B$12,2,false),0)</f>
        <v>5</v>
      </c>
      <c r="H25" s="10">
        <f>IFERROR(vlookup('1.3'!G:G,lookup!$A$14:$B$16,2,false),0)</f>
        <v>5</v>
      </c>
      <c r="I25" s="10">
        <f>IFERROR(vlookup('1.3'!H:H,lookup!$A$18:$B$20,2,false),0)</f>
        <v>5</v>
      </c>
      <c r="J25" s="10">
        <f>IFERROR(vlookup('1.3'!I:I,lookup!$A$22:$B$24,2,false),0)</f>
        <v>5</v>
      </c>
      <c r="K25" s="10">
        <f>IFERROR(vlookup('1.3'!J:J,lookup!$A$26:$B$28,2,false),0)</f>
        <v>5</v>
      </c>
      <c r="L25" s="2"/>
      <c r="M25" s="10">
        <v>24.0</v>
      </c>
      <c r="N25" s="11" t="str">
        <f t="shared" si="1"/>
        <v>bnco0924@signalschool.ac.th</v>
      </c>
      <c r="O25" s="12">
        <f t="shared" si="2"/>
        <v>1</v>
      </c>
      <c r="R25" s="6" t="s">
        <v>241</v>
      </c>
    </row>
    <row r="26">
      <c r="A26" s="8">
        <f>'1.3'!A:A</f>
        <v>46212.6192</v>
      </c>
      <c r="B26" s="2" t="str">
        <f>'1.3'!B:B</f>
        <v>bnco0968@signalschool.ac.th</v>
      </c>
      <c r="C26" s="2" t="str">
        <f>'1.3'!C:C</f>
        <v>ร.อ.สุพจน์ มงคล</v>
      </c>
      <c r="D26" s="9">
        <v>1.0</v>
      </c>
      <c r="E26" s="10">
        <f>IFERROR(vlookup('1.3'!D:D,lookup!$A$2:$B$4,2,false),0)</f>
        <v>5</v>
      </c>
      <c r="F26" s="10">
        <f>IFERROR(vlookup('1.3'!E:E,lookup!$A$6:$B$8,2,false),0)</f>
        <v>5</v>
      </c>
      <c r="G26" s="10">
        <f>IFERROR(vlookup('1.3'!F:F,lookup!$A$10:$B$12,2,false),0)</f>
        <v>5</v>
      </c>
      <c r="H26" s="10">
        <f>IFERROR(vlookup('1.3'!G:G,lookup!$A$14:$B$16,2,false),0)</f>
        <v>5</v>
      </c>
      <c r="I26" s="10">
        <f>IFERROR(vlookup('1.3'!H:H,lookup!$A$18:$B$20,2,false),0)</f>
        <v>5</v>
      </c>
      <c r="J26" s="10">
        <f>IFERROR(vlookup('1.3'!I:I,lookup!$A$22:$B$24,2,false),0)</f>
        <v>5</v>
      </c>
      <c r="K26" s="10">
        <f>IFERROR(vlookup('1.3'!J:J,lookup!$A$26:$B$28,2,false),0)</f>
        <v>5</v>
      </c>
      <c r="L26" s="2"/>
      <c r="M26" s="10">
        <v>25.0</v>
      </c>
      <c r="N26" s="11" t="str">
        <f t="shared" si="1"/>
        <v>bnco0925@signalschool.ac.th</v>
      </c>
      <c r="O26" s="12">
        <f t="shared" si="2"/>
        <v>1</v>
      </c>
      <c r="R26" s="6" t="s">
        <v>242</v>
      </c>
    </row>
    <row r="27">
      <c r="A27" s="8">
        <f>'1.3'!A:A</f>
        <v>46212.61928</v>
      </c>
      <c r="B27" s="2" t="str">
        <f>'1.3'!B:B</f>
        <v>bnco0913@signalschool.ac.th</v>
      </c>
      <c r="C27" s="2" t="str">
        <f>'1.3'!C:C</f>
        <v>ร.อ.สุพจน์ มงคล</v>
      </c>
      <c r="D27" s="9">
        <v>1.0</v>
      </c>
      <c r="E27" s="10">
        <f>IFERROR(vlookup('1.3'!D:D,lookup!$A$2:$B$4,2,false),0)</f>
        <v>5</v>
      </c>
      <c r="F27" s="10">
        <f>IFERROR(vlookup('1.3'!E:E,lookup!$A$6:$B$8,2,false),0)</f>
        <v>5</v>
      </c>
      <c r="G27" s="10">
        <f>IFERROR(vlookup('1.3'!F:F,lookup!$A$10:$B$12,2,false),0)</f>
        <v>5</v>
      </c>
      <c r="H27" s="10">
        <f>IFERROR(vlookup('1.3'!G:G,lookup!$A$14:$B$16,2,false),0)</f>
        <v>5</v>
      </c>
      <c r="I27" s="10">
        <f>IFERROR(vlookup('1.3'!H:H,lookup!$A$18:$B$20,2,false),0)</f>
        <v>5</v>
      </c>
      <c r="J27" s="10">
        <f>IFERROR(vlookup('1.3'!I:I,lookup!$A$22:$B$24,2,false),0)</f>
        <v>5</v>
      </c>
      <c r="K27" s="10">
        <f>IFERROR(vlookup('1.3'!J:J,lookup!$A$26:$B$28,2,false),0)</f>
        <v>5</v>
      </c>
      <c r="L27" s="2"/>
      <c r="M27" s="10">
        <v>26.0</v>
      </c>
      <c r="N27" s="11" t="str">
        <f t="shared" si="1"/>
        <v>bnco0926@signalschool.ac.th</v>
      </c>
      <c r="O27" s="12">
        <f t="shared" si="2"/>
        <v>1</v>
      </c>
      <c r="R27" s="6" t="s">
        <v>243</v>
      </c>
    </row>
    <row r="28">
      <c r="A28" s="8">
        <f>'1.3'!A:A</f>
        <v>46212.61935</v>
      </c>
      <c r="B28" s="2" t="str">
        <f>'1.3'!B:B</f>
        <v>bnco0934@signalschool.ac.th</v>
      </c>
      <c r="C28" s="2" t="str">
        <f>'1.3'!C:C</f>
        <v>ร.อ.สุพจน์ มงคล</v>
      </c>
      <c r="D28" s="9">
        <v>1.0</v>
      </c>
      <c r="E28" s="10">
        <f>IFERROR(vlookup('1.3'!D:D,lookup!$A$2:$B$4,2,false),0)</f>
        <v>5</v>
      </c>
      <c r="F28" s="10">
        <f>IFERROR(vlookup('1.3'!E:E,lookup!$A$6:$B$8,2,false),0)</f>
        <v>5</v>
      </c>
      <c r="G28" s="10">
        <f>IFERROR(vlookup('1.3'!F:F,lookup!$A$10:$B$12,2,false),0)</f>
        <v>5</v>
      </c>
      <c r="H28" s="10">
        <f>IFERROR(vlookup('1.3'!G:G,lookup!$A$14:$B$16,2,false),0)</f>
        <v>5</v>
      </c>
      <c r="I28" s="10">
        <f>IFERROR(vlookup('1.3'!H:H,lookup!$A$18:$B$20,2,false),0)</f>
        <v>5</v>
      </c>
      <c r="J28" s="10">
        <f>IFERROR(vlookup('1.3'!I:I,lookup!$A$22:$B$24,2,false),0)</f>
        <v>5</v>
      </c>
      <c r="K28" s="10">
        <f>IFERROR(vlookup('1.3'!J:J,lookup!$A$26:$B$28,2,false),0)</f>
        <v>5</v>
      </c>
      <c r="L28" s="2"/>
      <c r="M28" s="10">
        <v>27.0</v>
      </c>
      <c r="N28" s="11" t="str">
        <f t="shared" si="1"/>
        <v>bnco0927@signalschool.ac.th</v>
      </c>
      <c r="O28" s="12">
        <f t="shared" si="2"/>
        <v>1</v>
      </c>
      <c r="R28" s="6" t="s">
        <v>244</v>
      </c>
    </row>
    <row r="29">
      <c r="A29" s="8">
        <f>'1.3'!A:A</f>
        <v>46212.61939</v>
      </c>
      <c r="B29" s="2" t="str">
        <f>'1.3'!B:B</f>
        <v>bnco0909@signalschool.ac.th</v>
      </c>
      <c r="C29" s="2" t="str">
        <f>'1.3'!C:C</f>
        <v>ร.ท.ศุภรัช หมอกสุข</v>
      </c>
      <c r="D29" s="9">
        <v>1.0</v>
      </c>
      <c r="E29" s="10">
        <f>IFERROR(vlookup('1.3'!D:D,lookup!$A$2:$B$4,2,false),0)</f>
        <v>5</v>
      </c>
      <c r="F29" s="10">
        <f>IFERROR(vlookup('1.3'!E:E,lookup!$A$6:$B$8,2,false),0)</f>
        <v>5</v>
      </c>
      <c r="G29" s="10">
        <f>IFERROR(vlookup('1.3'!F:F,lookup!$A$10:$B$12,2,false),0)</f>
        <v>5</v>
      </c>
      <c r="H29" s="10">
        <f>IFERROR(vlookup('1.3'!G:G,lookup!$A$14:$B$16,2,false),0)</f>
        <v>5</v>
      </c>
      <c r="I29" s="10">
        <f>IFERROR(vlookup('1.3'!H:H,lookup!$A$18:$B$20,2,false),0)</f>
        <v>5</v>
      </c>
      <c r="J29" s="10">
        <f>IFERROR(vlookup('1.3'!I:I,lookup!$A$22:$B$24,2,false),0)</f>
        <v>5</v>
      </c>
      <c r="K29" s="10">
        <f>IFERROR(vlookup('1.3'!J:J,lookup!$A$26:$B$28,2,false),0)</f>
        <v>5</v>
      </c>
      <c r="L29" s="2"/>
      <c r="M29" s="10">
        <v>28.0</v>
      </c>
      <c r="N29" s="11" t="str">
        <f t="shared" si="1"/>
        <v>bnco0928@signalschool.ac.th</v>
      </c>
      <c r="O29" s="12">
        <f t="shared" si="2"/>
        <v>1</v>
      </c>
      <c r="R29" s="6" t="s">
        <v>245</v>
      </c>
    </row>
    <row r="30">
      <c r="A30" s="8">
        <f>'1.3'!A:A</f>
        <v>46212.61952</v>
      </c>
      <c r="B30" s="2" t="str">
        <f>'1.3'!B:B</f>
        <v>bnco0925@signalschool.ac.th</v>
      </c>
      <c r="C30" s="2" t="str">
        <f>'1.3'!C:C</f>
        <v>ร.อ. สุพจน์ มงคล</v>
      </c>
      <c r="D30" s="9">
        <v>1.0</v>
      </c>
      <c r="E30" s="10">
        <f>IFERROR(vlookup('1.3'!D:D,lookup!$A$2:$B$4,2,false),0)</f>
        <v>5</v>
      </c>
      <c r="F30" s="10">
        <f>IFERROR(vlookup('1.3'!E:E,lookup!$A$6:$B$8,2,false),0)</f>
        <v>5</v>
      </c>
      <c r="G30" s="10">
        <f>IFERROR(vlookup('1.3'!F:F,lookup!$A$10:$B$12,2,false),0)</f>
        <v>5</v>
      </c>
      <c r="H30" s="10">
        <f>IFERROR(vlookup('1.3'!G:G,lookup!$A$14:$B$16,2,false),0)</f>
        <v>5</v>
      </c>
      <c r="I30" s="10">
        <f>IFERROR(vlookup('1.3'!H:H,lookup!$A$18:$B$20,2,false),0)</f>
        <v>5</v>
      </c>
      <c r="J30" s="10">
        <f>IFERROR(vlookup('1.3'!I:I,lookup!$A$22:$B$24,2,false),0)</f>
        <v>5</v>
      </c>
      <c r="K30" s="10">
        <f>IFERROR(vlookup('1.3'!J:J,lookup!$A$26:$B$28,2,false),0)</f>
        <v>5</v>
      </c>
      <c r="L30" s="2"/>
      <c r="M30" s="10">
        <v>29.0</v>
      </c>
      <c r="N30" s="11" t="str">
        <f t="shared" si="1"/>
        <v>bnco0929@signalschool.ac.th</v>
      </c>
      <c r="O30" s="12">
        <f t="shared" si="2"/>
        <v>1</v>
      </c>
      <c r="R30" s="6" t="s">
        <v>246</v>
      </c>
    </row>
    <row r="31">
      <c r="A31" s="8">
        <f>'1.3'!A:A</f>
        <v>46212.61961</v>
      </c>
      <c r="B31" s="2" t="str">
        <f>'1.3'!B:B</f>
        <v>bnco0935@signalschool.ac.th</v>
      </c>
      <c r="C31" s="2" t="str">
        <f>'1.3'!C:C</f>
        <v>ร.อ.สุพจน์ มงคล</v>
      </c>
      <c r="D31" s="9">
        <v>1.0</v>
      </c>
      <c r="E31" s="10">
        <f>IFERROR(vlookup('1.3'!D:D,lookup!$A$2:$B$4,2,false),0)</f>
        <v>5</v>
      </c>
      <c r="F31" s="10">
        <f>IFERROR(vlookup('1.3'!E:E,lookup!$A$6:$B$8,2,false),0)</f>
        <v>5</v>
      </c>
      <c r="G31" s="10">
        <f>IFERROR(vlookup('1.3'!F:F,lookup!$A$10:$B$12,2,false),0)</f>
        <v>5</v>
      </c>
      <c r="H31" s="10">
        <f>IFERROR(vlookup('1.3'!G:G,lookup!$A$14:$B$16,2,false),0)</f>
        <v>5</v>
      </c>
      <c r="I31" s="10">
        <f>IFERROR(vlookup('1.3'!H:H,lookup!$A$18:$B$20,2,false),0)</f>
        <v>5</v>
      </c>
      <c r="J31" s="10">
        <f>IFERROR(vlookup('1.3'!I:I,lookup!$A$22:$B$24,2,false),0)</f>
        <v>5</v>
      </c>
      <c r="K31" s="10">
        <f>IFERROR(vlookup('1.3'!J:J,lookup!$A$26:$B$28,2,false),0)</f>
        <v>5</v>
      </c>
      <c r="L31" s="2"/>
      <c r="M31" s="10">
        <v>30.0</v>
      </c>
      <c r="N31" s="11" t="str">
        <f t="shared" si="1"/>
        <v>bnco0930@signalschool.ac.th</v>
      </c>
      <c r="O31" s="12">
        <f t="shared" si="2"/>
        <v>1</v>
      </c>
      <c r="R31" s="6" t="s">
        <v>247</v>
      </c>
    </row>
    <row r="32">
      <c r="A32" s="8">
        <f>'1.3'!A:A</f>
        <v>46212.61964</v>
      </c>
      <c r="B32" s="2" t="str">
        <f>'1.3'!B:B</f>
        <v>bnco0921@signalschool.ac.th</v>
      </c>
      <c r="C32" s="2" t="str">
        <f>'1.3'!C:C</f>
        <v>ร.อ.สุพจน์ มงคล</v>
      </c>
      <c r="D32" s="9">
        <v>1.0</v>
      </c>
      <c r="E32" s="10">
        <f>IFERROR(vlookup('1.3'!D:D,lookup!$A$2:$B$4,2,false),0)</f>
        <v>5</v>
      </c>
      <c r="F32" s="10">
        <f>IFERROR(vlookup('1.3'!E:E,lookup!$A$6:$B$8,2,false),0)</f>
        <v>5</v>
      </c>
      <c r="G32" s="10">
        <f>IFERROR(vlookup('1.3'!F:F,lookup!$A$10:$B$12,2,false),0)</f>
        <v>5</v>
      </c>
      <c r="H32" s="10">
        <f>IFERROR(vlookup('1.3'!G:G,lookup!$A$14:$B$16,2,false),0)</f>
        <v>5</v>
      </c>
      <c r="I32" s="10">
        <f>IFERROR(vlookup('1.3'!H:H,lookup!$A$18:$B$20,2,false),0)</f>
        <v>5</v>
      </c>
      <c r="J32" s="10">
        <f>IFERROR(vlookup('1.3'!I:I,lookup!$A$22:$B$24,2,false),0)</f>
        <v>5</v>
      </c>
      <c r="K32" s="10">
        <f>IFERROR(vlookup('1.3'!J:J,lookup!$A$26:$B$28,2,false),0)</f>
        <v>5</v>
      </c>
      <c r="L32" s="2"/>
      <c r="M32" s="10">
        <v>31.0</v>
      </c>
      <c r="N32" s="11" t="str">
        <f t="shared" si="1"/>
        <v>bnco0931@signalschool.ac.th</v>
      </c>
      <c r="O32" s="12">
        <f t="shared" si="2"/>
        <v>1</v>
      </c>
      <c r="R32" s="6" t="s">
        <v>248</v>
      </c>
    </row>
    <row r="33">
      <c r="A33" s="8">
        <f>'1.3'!A:A</f>
        <v>46212.61964</v>
      </c>
      <c r="B33" s="2" t="str">
        <f>'1.3'!B:B</f>
        <v>bnco0930@signalschool.ac.th</v>
      </c>
      <c r="C33" s="2" t="str">
        <f>'1.3'!C:C</f>
        <v>ร.อ.สุพจน์ มงคล</v>
      </c>
      <c r="D33" s="9">
        <v>1.0</v>
      </c>
      <c r="E33" s="10">
        <f>IFERROR(vlookup('1.3'!D:D,lookup!$A$2:$B$4,2,false),0)</f>
        <v>5</v>
      </c>
      <c r="F33" s="10">
        <f>IFERROR(vlookup('1.3'!E:E,lookup!$A$6:$B$8,2,false),0)</f>
        <v>5</v>
      </c>
      <c r="G33" s="10">
        <f>IFERROR(vlookup('1.3'!F:F,lookup!$A$10:$B$12,2,false),0)</f>
        <v>5</v>
      </c>
      <c r="H33" s="10">
        <f>IFERROR(vlookup('1.3'!G:G,lookup!$A$14:$B$16,2,false),0)</f>
        <v>5</v>
      </c>
      <c r="I33" s="10">
        <f>IFERROR(vlookup('1.3'!H:H,lookup!$A$18:$B$20,2,false),0)</f>
        <v>5</v>
      </c>
      <c r="J33" s="10">
        <f>IFERROR(vlookup('1.3'!I:I,lookup!$A$22:$B$24,2,false),0)</f>
        <v>5</v>
      </c>
      <c r="K33" s="10">
        <f>IFERROR(vlookup('1.3'!J:J,lookup!$A$26:$B$28,2,false),0)</f>
        <v>5</v>
      </c>
      <c r="L33" s="2"/>
      <c r="M33" s="10">
        <v>32.0</v>
      </c>
      <c r="N33" s="11" t="str">
        <f t="shared" si="1"/>
        <v>bnco0932@signalschool.ac.th</v>
      </c>
      <c r="O33" s="12">
        <f t="shared" si="2"/>
        <v>1</v>
      </c>
      <c r="R33" s="6" t="s">
        <v>249</v>
      </c>
    </row>
    <row r="34">
      <c r="A34" s="8">
        <f>'1.3'!A:A</f>
        <v>46212.6197</v>
      </c>
      <c r="B34" s="2" t="str">
        <f>'1.3'!B:B</f>
        <v>bnco0922@signalschool.ac.th</v>
      </c>
      <c r="C34" s="2" t="str">
        <f>'1.3'!C:C</f>
        <v>ร.อ.สุพจน์ มงคล</v>
      </c>
      <c r="D34" s="9">
        <v>1.0</v>
      </c>
      <c r="E34" s="10">
        <f>IFERROR(vlookup('1.3'!D:D,lookup!$A$2:$B$4,2,false),0)</f>
        <v>5</v>
      </c>
      <c r="F34" s="10">
        <f>IFERROR(vlookup('1.3'!E:E,lookup!$A$6:$B$8,2,false),0)</f>
        <v>5</v>
      </c>
      <c r="G34" s="10">
        <f>IFERROR(vlookup('1.3'!F:F,lookup!$A$10:$B$12,2,false),0)</f>
        <v>5</v>
      </c>
      <c r="H34" s="10">
        <f>IFERROR(vlookup('1.3'!G:G,lookup!$A$14:$B$16,2,false),0)</f>
        <v>5</v>
      </c>
      <c r="I34" s="10">
        <f>IFERROR(vlookup('1.3'!H:H,lookup!$A$18:$B$20,2,false),0)</f>
        <v>5</v>
      </c>
      <c r="J34" s="10">
        <f>IFERROR(vlookup('1.3'!I:I,lookup!$A$22:$B$24,2,false),0)</f>
        <v>5</v>
      </c>
      <c r="K34" s="10">
        <f>IFERROR(vlookup('1.3'!J:J,lookup!$A$26:$B$28,2,false),0)</f>
        <v>5</v>
      </c>
      <c r="L34" s="2"/>
      <c r="M34" s="10">
        <v>33.0</v>
      </c>
      <c r="N34" s="11" t="str">
        <f t="shared" si="1"/>
        <v>bnco0933@signalschool.ac.th</v>
      </c>
      <c r="O34" s="12">
        <f t="shared" si="2"/>
        <v>1</v>
      </c>
      <c r="R34" s="6" t="s">
        <v>250</v>
      </c>
    </row>
    <row r="35">
      <c r="A35" s="8">
        <f>'1.3'!A:A</f>
        <v>46212.61972</v>
      </c>
      <c r="B35" s="2" t="str">
        <f>'1.3'!B:B</f>
        <v>bnco0937@signalschool.ac.th</v>
      </c>
      <c r="C35" s="2" t="str">
        <f>'1.3'!C:C</f>
        <v>ร.อ.สุพจน์  มงคล</v>
      </c>
      <c r="D35" s="9">
        <v>1.0</v>
      </c>
      <c r="E35" s="10">
        <f>IFERROR(vlookup('1.3'!D:D,lookup!$A$2:$B$4,2,false),0)</f>
        <v>5</v>
      </c>
      <c r="F35" s="10">
        <f>IFERROR(vlookup('1.3'!E:E,lookup!$A$6:$B$8,2,false),0)</f>
        <v>5</v>
      </c>
      <c r="G35" s="10">
        <f>IFERROR(vlookup('1.3'!F:F,lookup!$A$10:$B$12,2,false),0)</f>
        <v>5</v>
      </c>
      <c r="H35" s="10">
        <f>IFERROR(vlookup('1.3'!G:G,lookup!$A$14:$B$16,2,false),0)</f>
        <v>5</v>
      </c>
      <c r="I35" s="10">
        <f>IFERROR(vlookup('1.3'!H:H,lookup!$A$18:$B$20,2,false),0)</f>
        <v>5</v>
      </c>
      <c r="J35" s="10">
        <f>IFERROR(vlookup('1.3'!I:I,lookup!$A$22:$B$24,2,false),0)</f>
        <v>5</v>
      </c>
      <c r="K35" s="10">
        <f>IFERROR(vlookup('1.3'!J:J,lookup!$A$26:$B$28,2,false),0)</f>
        <v>5</v>
      </c>
      <c r="L35" s="2"/>
      <c r="M35" s="10">
        <v>34.0</v>
      </c>
      <c r="N35" s="11" t="str">
        <f t="shared" si="1"/>
        <v>bnco0934@signalschool.ac.th</v>
      </c>
      <c r="O35" s="12">
        <f t="shared" si="2"/>
        <v>1</v>
      </c>
      <c r="R35" s="6" t="s">
        <v>251</v>
      </c>
    </row>
    <row r="36">
      <c r="A36" s="8">
        <f>'1.3'!A:A</f>
        <v>46212.61972</v>
      </c>
      <c r="B36" s="2" t="str">
        <f>'1.3'!B:B</f>
        <v>bnco0971@signalschool.ac.th</v>
      </c>
      <c r="C36" s="2" t="str">
        <f>'1.3'!C:C</f>
        <v>ร.อ.สุพจน์ มงคล</v>
      </c>
      <c r="D36" s="9">
        <v>1.0</v>
      </c>
      <c r="E36" s="10">
        <f>IFERROR(vlookup('1.3'!D:D,lookup!$A$2:$B$4,2,false),0)</f>
        <v>5</v>
      </c>
      <c r="F36" s="10">
        <f>IFERROR(vlookup('1.3'!E:E,lookup!$A$6:$B$8,2,false),0)</f>
        <v>5</v>
      </c>
      <c r="G36" s="10">
        <f>IFERROR(vlookup('1.3'!F:F,lookup!$A$10:$B$12,2,false),0)</f>
        <v>5</v>
      </c>
      <c r="H36" s="10">
        <f>IFERROR(vlookup('1.3'!G:G,lookup!$A$14:$B$16,2,false),0)</f>
        <v>5</v>
      </c>
      <c r="I36" s="10">
        <f>IFERROR(vlookup('1.3'!H:H,lookup!$A$18:$B$20,2,false),0)</f>
        <v>5</v>
      </c>
      <c r="J36" s="10">
        <f>IFERROR(vlookup('1.3'!I:I,lookup!$A$22:$B$24,2,false),0)</f>
        <v>5</v>
      </c>
      <c r="K36" s="10">
        <f>IFERROR(vlookup('1.3'!J:J,lookup!$A$26:$B$28,2,false),0)</f>
        <v>5</v>
      </c>
      <c r="L36" s="2"/>
      <c r="M36" s="10">
        <v>35.0</v>
      </c>
      <c r="N36" s="11" t="str">
        <f t="shared" si="1"/>
        <v>bnco0935@signalschool.ac.th</v>
      </c>
      <c r="O36" s="12">
        <f t="shared" si="2"/>
        <v>1</v>
      </c>
      <c r="R36" s="6" t="s">
        <v>252</v>
      </c>
    </row>
    <row r="37">
      <c r="A37" s="8">
        <f>'1.3'!A:A</f>
        <v>46212.61979</v>
      </c>
      <c r="B37" s="2" t="str">
        <f>'1.3'!B:B</f>
        <v>bnco0965@signalschool.ac.th</v>
      </c>
      <c r="C37" s="2" t="str">
        <f>'1.3'!C:C</f>
        <v>ร.อ. สุพจน์  </v>
      </c>
      <c r="D37" s="9">
        <v>1.0</v>
      </c>
      <c r="E37" s="10">
        <f>IFERROR(vlookup('1.3'!D:D,lookup!$A$2:$B$4,2,false),0)</f>
        <v>5</v>
      </c>
      <c r="F37" s="10">
        <f>IFERROR(vlookup('1.3'!E:E,lookup!$A$6:$B$8,2,false),0)</f>
        <v>5</v>
      </c>
      <c r="G37" s="10">
        <f>IFERROR(vlookup('1.3'!F:F,lookup!$A$10:$B$12,2,false),0)</f>
        <v>5</v>
      </c>
      <c r="H37" s="10">
        <f>IFERROR(vlookup('1.3'!G:G,lookup!$A$14:$B$16,2,false),0)</f>
        <v>5</v>
      </c>
      <c r="I37" s="10">
        <f>IFERROR(vlookup('1.3'!H:H,lookup!$A$18:$B$20,2,false),0)</f>
        <v>5</v>
      </c>
      <c r="J37" s="10">
        <f>IFERROR(vlookup('1.3'!I:I,lookup!$A$22:$B$24,2,false),0)</f>
        <v>5</v>
      </c>
      <c r="K37" s="10">
        <f>IFERROR(vlookup('1.3'!J:J,lookup!$A$26:$B$28,2,false),0)</f>
        <v>5</v>
      </c>
      <c r="L37" s="2"/>
      <c r="M37" s="10">
        <v>36.0</v>
      </c>
      <c r="N37" s="11" t="str">
        <f t="shared" si="1"/>
        <v>bnco0936@signalschool.ac.th</v>
      </c>
      <c r="O37" s="12">
        <f t="shared" si="2"/>
        <v>1</v>
      </c>
      <c r="R37" s="6" t="s">
        <v>253</v>
      </c>
    </row>
    <row r="38">
      <c r="A38" s="8">
        <f>'1.3'!A:A</f>
        <v>46212.61982</v>
      </c>
      <c r="B38" s="2" t="str">
        <f>'1.3'!B:B</f>
        <v>bnco0944@signalschool.ac.th</v>
      </c>
      <c r="C38" s="2" t="str">
        <f>'1.3'!C:C</f>
        <v>ร.อ.สุพจน์ มงคล</v>
      </c>
      <c r="D38" s="9">
        <v>1.0</v>
      </c>
      <c r="E38" s="10">
        <f>IFERROR(vlookup('1.3'!D:D,lookup!$A$2:$B$4,2,false),0)</f>
        <v>5</v>
      </c>
      <c r="F38" s="10">
        <f>IFERROR(vlookup('1.3'!E:E,lookup!$A$6:$B$8,2,false),0)</f>
        <v>5</v>
      </c>
      <c r="G38" s="10">
        <f>IFERROR(vlookup('1.3'!F:F,lookup!$A$10:$B$12,2,false),0)</f>
        <v>5</v>
      </c>
      <c r="H38" s="10">
        <f>IFERROR(vlookup('1.3'!G:G,lookup!$A$14:$B$16,2,false),0)</f>
        <v>5</v>
      </c>
      <c r="I38" s="10">
        <f>IFERROR(vlookup('1.3'!H:H,lookup!$A$18:$B$20,2,false),0)</f>
        <v>5</v>
      </c>
      <c r="J38" s="10">
        <f>IFERROR(vlookup('1.3'!I:I,lookup!$A$22:$B$24,2,false),0)</f>
        <v>5</v>
      </c>
      <c r="K38" s="10">
        <f>IFERROR(vlookup('1.3'!J:J,lookup!$A$26:$B$28,2,false),0)</f>
        <v>5</v>
      </c>
      <c r="L38" s="2"/>
      <c r="M38" s="10">
        <v>37.0</v>
      </c>
      <c r="N38" s="11" t="str">
        <f t="shared" si="1"/>
        <v>bnco0937@signalschool.ac.th</v>
      </c>
      <c r="O38" s="12">
        <f t="shared" si="2"/>
        <v>1</v>
      </c>
      <c r="R38" s="6" t="s">
        <v>254</v>
      </c>
    </row>
    <row r="39">
      <c r="A39" s="8">
        <f>'1.3'!A:A</f>
        <v>46212.61982</v>
      </c>
      <c r="B39" s="2" t="str">
        <f>'1.3'!B:B</f>
        <v>bnco0941@signalschool.ac.th</v>
      </c>
      <c r="C39" s="2" t="str">
        <f>'1.3'!C:C</f>
        <v>ร.อ.สุพจน์ มงคล</v>
      </c>
      <c r="D39" s="9">
        <v>1.0</v>
      </c>
      <c r="E39" s="10">
        <f>IFERROR(vlookup('1.3'!D:D,lookup!$A$2:$B$4,2,false),0)</f>
        <v>5</v>
      </c>
      <c r="F39" s="10">
        <f>IFERROR(vlookup('1.3'!E:E,lookup!$A$6:$B$8,2,false),0)</f>
        <v>5</v>
      </c>
      <c r="G39" s="10">
        <f>IFERROR(vlookup('1.3'!F:F,lookup!$A$10:$B$12,2,false),0)</f>
        <v>5</v>
      </c>
      <c r="H39" s="10">
        <f>IFERROR(vlookup('1.3'!G:G,lookup!$A$14:$B$16,2,false),0)</f>
        <v>5</v>
      </c>
      <c r="I39" s="10">
        <f>IFERROR(vlookup('1.3'!H:H,lookup!$A$18:$B$20,2,false),0)</f>
        <v>5</v>
      </c>
      <c r="J39" s="10">
        <f>IFERROR(vlookup('1.3'!I:I,lookup!$A$22:$B$24,2,false),0)</f>
        <v>5</v>
      </c>
      <c r="K39" s="10">
        <f>IFERROR(vlookup('1.3'!J:J,lookup!$A$26:$B$28,2,false),0)</f>
        <v>5</v>
      </c>
      <c r="L39" s="2"/>
      <c r="M39" s="10">
        <v>38.0</v>
      </c>
      <c r="N39" s="11" t="str">
        <f t="shared" si="1"/>
        <v>bnco0938@signalschool.ac.th</v>
      </c>
      <c r="O39" s="12">
        <f t="shared" si="2"/>
        <v>1</v>
      </c>
      <c r="R39" s="6" t="s">
        <v>255</v>
      </c>
    </row>
    <row r="40">
      <c r="A40" s="8">
        <f>'1.3'!A:A</f>
        <v>46212.61987</v>
      </c>
      <c r="B40" s="2" t="str">
        <f>'1.3'!B:B</f>
        <v>bnco0911@signalschool.ac.th</v>
      </c>
      <c r="C40" s="2" t="str">
        <f>'1.3'!C:C</f>
        <v>ร.อ.สุพจน์ มงคล</v>
      </c>
      <c r="D40" s="9">
        <v>1.0</v>
      </c>
      <c r="E40" s="10">
        <f>IFERROR(vlookup('1.3'!D:D,lookup!$A$2:$B$4,2,false),0)</f>
        <v>5</v>
      </c>
      <c r="F40" s="10">
        <f>IFERROR(vlookup('1.3'!E:E,lookup!$A$6:$B$8,2,false),0)</f>
        <v>5</v>
      </c>
      <c r="G40" s="10">
        <f>IFERROR(vlookup('1.3'!F:F,lookup!$A$10:$B$12,2,false),0)</f>
        <v>5</v>
      </c>
      <c r="H40" s="10">
        <f>IFERROR(vlookup('1.3'!G:G,lookup!$A$14:$B$16,2,false),0)</f>
        <v>5</v>
      </c>
      <c r="I40" s="10">
        <f>IFERROR(vlookup('1.3'!H:H,lookup!$A$18:$B$20,2,false),0)</f>
        <v>5</v>
      </c>
      <c r="J40" s="10">
        <f>IFERROR(vlookup('1.3'!I:I,lookup!$A$22:$B$24,2,false),0)</f>
        <v>5</v>
      </c>
      <c r="K40" s="10">
        <f>IFERROR(vlookup('1.3'!J:J,lookup!$A$26:$B$28,2,false),0)</f>
        <v>5</v>
      </c>
      <c r="L40" s="2"/>
      <c r="M40" s="10">
        <v>39.0</v>
      </c>
      <c r="N40" s="11" t="str">
        <f t="shared" si="1"/>
        <v>bnco0939@signalschool.ac.th</v>
      </c>
      <c r="O40" s="12">
        <f t="shared" si="2"/>
        <v>1</v>
      </c>
      <c r="R40" s="6" t="s">
        <v>256</v>
      </c>
    </row>
    <row r="41">
      <c r="A41" s="8">
        <f>'1.3'!A:A</f>
        <v>46212.61987</v>
      </c>
      <c r="B41" s="2" t="str">
        <f>'1.3'!B:B</f>
        <v>bnco0916@signalschool.ac.th</v>
      </c>
      <c r="C41" s="2" t="str">
        <f>'1.3'!C:C</f>
        <v>ร.อ.สุพจน์ มงคล </v>
      </c>
      <c r="D41" s="9">
        <v>1.0</v>
      </c>
      <c r="E41" s="10">
        <f>IFERROR(vlookup('1.3'!D:D,lookup!$A$2:$B$4,2,false),0)</f>
        <v>5</v>
      </c>
      <c r="F41" s="10">
        <f>IFERROR(vlookup('1.3'!E:E,lookup!$A$6:$B$8,2,false),0)</f>
        <v>5</v>
      </c>
      <c r="G41" s="10">
        <f>IFERROR(vlookup('1.3'!F:F,lookup!$A$10:$B$12,2,false),0)</f>
        <v>5</v>
      </c>
      <c r="H41" s="10">
        <f>IFERROR(vlookup('1.3'!G:G,lookup!$A$14:$B$16,2,false),0)</f>
        <v>5</v>
      </c>
      <c r="I41" s="10">
        <f>IFERROR(vlookup('1.3'!H:H,lookup!$A$18:$B$20,2,false),0)</f>
        <v>5</v>
      </c>
      <c r="J41" s="10">
        <f>IFERROR(vlookup('1.3'!I:I,lookup!$A$22:$B$24,2,false),0)</f>
        <v>5</v>
      </c>
      <c r="K41" s="10">
        <f>IFERROR(vlookup('1.3'!J:J,lookup!$A$26:$B$28,2,false),0)</f>
        <v>5</v>
      </c>
      <c r="L41" s="2"/>
      <c r="M41" s="10">
        <v>40.0</v>
      </c>
      <c r="N41" s="11" t="str">
        <f t="shared" si="1"/>
        <v>bnco0940@signalschool.ac.th</v>
      </c>
      <c r="O41" s="12">
        <f t="shared" si="2"/>
        <v>1</v>
      </c>
      <c r="R41" s="6" t="s">
        <v>257</v>
      </c>
    </row>
    <row r="42">
      <c r="A42" s="8">
        <f>'1.3'!A:A</f>
        <v>46212.61988</v>
      </c>
      <c r="B42" s="2" t="str">
        <f>'1.3'!B:B</f>
        <v>bnco0957@signalschool.ac.th</v>
      </c>
      <c r="C42" s="2" t="str">
        <f>'1.3'!C:C</f>
        <v>ร.อ.สุพจน์ มงคล</v>
      </c>
      <c r="D42" s="9">
        <v>1.0</v>
      </c>
      <c r="E42" s="10">
        <f>IFERROR(vlookup('1.3'!D:D,lookup!$A$2:$B$4,2,false),0)</f>
        <v>5</v>
      </c>
      <c r="F42" s="10">
        <f>IFERROR(vlookup('1.3'!E:E,lookup!$A$6:$B$8,2,false),0)</f>
        <v>5</v>
      </c>
      <c r="G42" s="10">
        <f>IFERROR(vlookup('1.3'!F:F,lookup!$A$10:$B$12,2,false),0)</f>
        <v>5</v>
      </c>
      <c r="H42" s="10">
        <f>IFERROR(vlookup('1.3'!G:G,lookup!$A$14:$B$16,2,false),0)</f>
        <v>5</v>
      </c>
      <c r="I42" s="10">
        <f>IFERROR(vlookup('1.3'!H:H,lookup!$A$18:$B$20,2,false),0)</f>
        <v>5</v>
      </c>
      <c r="J42" s="10">
        <f>IFERROR(vlookup('1.3'!I:I,lookup!$A$22:$B$24,2,false),0)</f>
        <v>5</v>
      </c>
      <c r="K42" s="10">
        <f>IFERROR(vlookup('1.3'!J:J,lookup!$A$26:$B$28,2,false),0)</f>
        <v>5</v>
      </c>
      <c r="L42" s="2"/>
      <c r="M42" s="10">
        <v>41.0</v>
      </c>
      <c r="N42" s="11" t="str">
        <f t="shared" si="1"/>
        <v>bnco0941@signalschool.ac.th</v>
      </c>
      <c r="O42" s="12">
        <f t="shared" si="2"/>
        <v>1</v>
      </c>
      <c r="R42" s="6" t="s">
        <v>258</v>
      </c>
    </row>
    <row r="43">
      <c r="A43" s="8">
        <f>'1.3'!A:A</f>
        <v>46212.61993</v>
      </c>
      <c r="B43" s="2" t="str">
        <f>'1.3'!B:B</f>
        <v>bnco0908@signalschool.ac.th</v>
      </c>
      <c r="C43" s="2" t="str">
        <f>'1.3'!C:C</f>
        <v>ร.อ.สุพจน์  มงคล</v>
      </c>
      <c r="D43" s="9">
        <v>1.0</v>
      </c>
      <c r="E43" s="10">
        <f>IFERROR(vlookup('1.3'!D:D,lookup!$A$2:$B$4,2,false),0)</f>
        <v>5</v>
      </c>
      <c r="F43" s="10">
        <f>IFERROR(vlookup('1.3'!E:E,lookup!$A$6:$B$8,2,false),0)</f>
        <v>5</v>
      </c>
      <c r="G43" s="10">
        <f>IFERROR(vlookup('1.3'!F:F,lookup!$A$10:$B$12,2,false),0)</f>
        <v>5</v>
      </c>
      <c r="H43" s="10">
        <f>IFERROR(vlookup('1.3'!G:G,lookup!$A$14:$B$16,2,false),0)</f>
        <v>5</v>
      </c>
      <c r="I43" s="10">
        <f>IFERROR(vlookup('1.3'!H:H,lookup!$A$18:$B$20,2,false),0)</f>
        <v>5</v>
      </c>
      <c r="J43" s="10">
        <f>IFERROR(vlookup('1.3'!I:I,lookup!$A$22:$B$24,2,false),0)</f>
        <v>5</v>
      </c>
      <c r="K43" s="10">
        <f>IFERROR(vlookup('1.3'!J:J,lookup!$A$26:$B$28,2,false),0)</f>
        <v>5</v>
      </c>
      <c r="L43" s="2"/>
      <c r="M43" s="10">
        <v>42.0</v>
      </c>
      <c r="N43" s="11" t="str">
        <f t="shared" si="1"/>
        <v>bnco0942@signalschool.ac.th</v>
      </c>
      <c r="O43" s="12">
        <f t="shared" si="2"/>
        <v>1</v>
      </c>
      <c r="R43" s="6" t="s">
        <v>259</v>
      </c>
    </row>
    <row r="44">
      <c r="A44" s="8">
        <f>'1.3'!A:A</f>
        <v>46212.61996</v>
      </c>
      <c r="B44" s="2" t="str">
        <f>'1.3'!B:B</f>
        <v>bnco0963@signalschool.ac.th</v>
      </c>
      <c r="C44" s="2" t="str">
        <f>'1.3'!C:C</f>
        <v>ร.อ.สุพจน์ มงคล</v>
      </c>
      <c r="D44" s="9">
        <v>1.0</v>
      </c>
      <c r="E44" s="10">
        <f>IFERROR(vlookup('1.3'!D:D,lookup!$A$2:$B$4,2,false),0)</f>
        <v>5</v>
      </c>
      <c r="F44" s="10">
        <f>IFERROR(vlookup('1.3'!E:E,lookup!$A$6:$B$8,2,false),0)</f>
        <v>5</v>
      </c>
      <c r="G44" s="10">
        <f>IFERROR(vlookup('1.3'!F:F,lookup!$A$10:$B$12,2,false),0)</f>
        <v>5</v>
      </c>
      <c r="H44" s="10">
        <f>IFERROR(vlookup('1.3'!G:G,lookup!$A$14:$B$16,2,false),0)</f>
        <v>5</v>
      </c>
      <c r="I44" s="10">
        <f>IFERROR(vlookup('1.3'!H:H,lookup!$A$18:$B$20,2,false),0)</f>
        <v>5</v>
      </c>
      <c r="J44" s="10">
        <f>IFERROR(vlookup('1.3'!I:I,lookup!$A$22:$B$24,2,false),0)</f>
        <v>5</v>
      </c>
      <c r="K44" s="10">
        <f>IFERROR(vlookup('1.3'!J:J,lookup!$A$26:$B$28,2,false),0)</f>
        <v>5</v>
      </c>
      <c r="L44" s="2"/>
      <c r="M44" s="10">
        <v>43.0</v>
      </c>
      <c r="N44" s="11" t="str">
        <f t="shared" si="1"/>
        <v>bnco0943@signalschool.ac.th</v>
      </c>
      <c r="O44" s="12">
        <f t="shared" si="2"/>
        <v>1</v>
      </c>
      <c r="R44" s="6" t="s">
        <v>260</v>
      </c>
    </row>
    <row r="45">
      <c r="A45" s="8">
        <f>'1.3'!A:A</f>
        <v>46212.61996</v>
      </c>
      <c r="B45" s="2" t="str">
        <f>'1.3'!B:B</f>
        <v>bnco0952@signalschool.ac.th</v>
      </c>
      <c r="C45" s="2" t="str">
        <f>'1.3'!C:C</f>
        <v>ร.อ.สุพจน์  มงคล</v>
      </c>
      <c r="D45" s="9">
        <v>1.0</v>
      </c>
      <c r="E45" s="10">
        <f>IFERROR(vlookup('1.3'!D:D,lookup!$A$2:$B$4,2,false),0)</f>
        <v>5</v>
      </c>
      <c r="F45" s="10">
        <f>IFERROR(vlookup('1.3'!E:E,lookup!$A$6:$B$8,2,false),0)</f>
        <v>5</v>
      </c>
      <c r="G45" s="10">
        <f>IFERROR(vlookup('1.3'!F:F,lookup!$A$10:$B$12,2,false),0)</f>
        <v>5</v>
      </c>
      <c r="H45" s="10">
        <f>IFERROR(vlookup('1.3'!G:G,lookup!$A$14:$B$16,2,false),0)</f>
        <v>5</v>
      </c>
      <c r="I45" s="10">
        <f>IFERROR(vlookup('1.3'!H:H,lookup!$A$18:$B$20,2,false),0)</f>
        <v>5</v>
      </c>
      <c r="J45" s="10">
        <f>IFERROR(vlookup('1.3'!I:I,lookup!$A$22:$B$24,2,false),0)</f>
        <v>5</v>
      </c>
      <c r="K45" s="10">
        <f>IFERROR(vlookup('1.3'!J:J,lookup!$A$26:$B$28,2,false),0)</f>
        <v>5</v>
      </c>
      <c r="L45" s="2"/>
      <c r="M45" s="10">
        <v>44.0</v>
      </c>
      <c r="N45" s="11" t="str">
        <f t="shared" si="1"/>
        <v>bnco0944@signalschool.ac.th</v>
      </c>
      <c r="O45" s="12">
        <f t="shared" si="2"/>
        <v>1</v>
      </c>
      <c r="R45" s="6" t="s">
        <v>261</v>
      </c>
    </row>
    <row r="46">
      <c r="A46" s="8">
        <f>'1.3'!A:A</f>
        <v>46212.61997</v>
      </c>
      <c r="B46" s="2" t="str">
        <f>'1.3'!B:B</f>
        <v>bnco0901@signalschool.ac.th</v>
      </c>
      <c r="C46" s="2" t="str">
        <f>'1.3'!C:C</f>
        <v>ร.ท.สุพจย์ มงคล</v>
      </c>
      <c r="D46" s="9">
        <v>1.0</v>
      </c>
      <c r="E46" s="10">
        <f>IFERROR(vlookup('1.3'!D:D,lookup!$A$2:$B$4,2,false),0)</f>
        <v>5</v>
      </c>
      <c r="F46" s="10">
        <f>IFERROR(vlookup('1.3'!E:E,lookup!$A$6:$B$8,2,false),0)</f>
        <v>5</v>
      </c>
      <c r="G46" s="10">
        <f>IFERROR(vlookup('1.3'!F:F,lookup!$A$10:$B$12,2,false),0)</f>
        <v>5</v>
      </c>
      <c r="H46" s="10">
        <f>IFERROR(vlookup('1.3'!G:G,lookup!$A$14:$B$16,2,false),0)</f>
        <v>5</v>
      </c>
      <c r="I46" s="10">
        <f>IFERROR(vlookup('1.3'!H:H,lookup!$A$18:$B$20,2,false),0)</f>
        <v>5</v>
      </c>
      <c r="J46" s="10">
        <f>IFERROR(vlookup('1.3'!I:I,lookup!$A$22:$B$24,2,false),0)</f>
        <v>5</v>
      </c>
      <c r="K46" s="10">
        <f>IFERROR(vlookup('1.3'!J:J,lookup!$A$26:$B$28,2,false),0)</f>
        <v>5</v>
      </c>
      <c r="L46" s="2"/>
      <c r="M46" s="10">
        <v>45.0</v>
      </c>
      <c r="N46" s="11" t="str">
        <f t="shared" si="1"/>
        <v>bnco0945@signalschool.ac.th</v>
      </c>
      <c r="O46" s="12">
        <f t="shared" si="2"/>
        <v>1</v>
      </c>
      <c r="R46" s="6" t="s">
        <v>262</v>
      </c>
    </row>
    <row r="47">
      <c r="A47" s="8">
        <f>'1.3'!A:A</f>
        <v>46212.62</v>
      </c>
      <c r="B47" s="2" t="str">
        <f>'1.3'!B:B</f>
        <v>bnco0977@signalschool.ac.th</v>
      </c>
      <c r="C47" s="2" t="str">
        <f>'1.3'!C:C</f>
        <v>ร.อ.สุพจน์  มงคล</v>
      </c>
      <c r="D47" s="9">
        <v>1.0</v>
      </c>
      <c r="E47" s="10">
        <f>IFERROR(vlookup('1.3'!D:D,lookup!$A$2:$B$4,2,false),0)</f>
        <v>5</v>
      </c>
      <c r="F47" s="10">
        <f>IFERROR(vlookup('1.3'!E:E,lookup!$A$6:$B$8,2,false),0)</f>
        <v>5</v>
      </c>
      <c r="G47" s="10">
        <f>IFERROR(vlookup('1.3'!F:F,lookup!$A$10:$B$12,2,false),0)</f>
        <v>5</v>
      </c>
      <c r="H47" s="10">
        <f>IFERROR(vlookup('1.3'!G:G,lookup!$A$14:$B$16,2,false),0)</f>
        <v>5</v>
      </c>
      <c r="I47" s="10">
        <f>IFERROR(vlookup('1.3'!H:H,lookup!$A$18:$B$20,2,false),0)</f>
        <v>5</v>
      </c>
      <c r="J47" s="10">
        <f>IFERROR(vlookup('1.3'!I:I,lookup!$A$22:$B$24,2,false),0)</f>
        <v>5</v>
      </c>
      <c r="K47" s="10">
        <f>IFERROR(vlookup('1.3'!J:J,lookup!$A$26:$B$28,2,false),0)</f>
        <v>5</v>
      </c>
      <c r="L47" s="2"/>
      <c r="M47" s="10">
        <v>46.0</v>
      </c>
      <c r="N47" s="11" t="str">
        <f t="shared" si="1"/>
        <v>bnco0946@signalschool.ac.th</v>
      </c>
      <c r="O47" s="12">
        <f t="shared" si="2"/>
        <v>1</v>
      </c>
      <c r="R47" s="6" t="s">
        <v>263</v>
      </c>
    </row>
    <row r="48">
      <c r="A48" s="8">
        <f>'1.3'!A:A</f>
        <v>46212.62</v>
      </c>
      <c r="B48" s="2" t="str">
        <f>'1.3'!B:B</f>
        <v>bnco0914@signalschool.ac.th</v>
      </c>
      <c r="C48" s="2" t="str">
        <f>'1.3'!C:C</f>
        <v>ร.อ.สุพจน์ มงคล</v>
      </c>
      <c r="D48" s="9">
        <v>1.0</v>
      </c>
      <c r="E48" s="10">
        <f>IFERROR(vlookup('1.3'!D:D,lookup!$A$2:$B$4,2,false),0)</f>
        <v>5</v>
      </c>
      <c r="F48" s="10">
        <f>IFERROR(vlookup('1.3'!E:E,lookup!$A$6:$B$8,2,false),0)</f>
        <v>5</v>
      </c>
      <c r="G48" s="10">
        <f>IFERROR(vlookup('1.3'!F:F,lookup!$A$10:$B$12,2,false),0)</f>
        <v>5</v>
      </c>
      <c r="H48" s="10">
        <f>IFERROR(vlookup('1.3'!G:G,lookup!$A$14:$B$16,2,false),0)</f>
        <v>5</v>
      </c>
      <c r="I48" s="10">
        <f>IFERROR(vlookup('1.3'!H:H,lookup!$A$18:$B$20,2,false),0)</f>
        <v>5</v>
      </c>
      <c r="J48" s="10">
        <f>IFERROR(vlookup('1.3'!I:I,lookup!$A$22:$B$24,2,false),0)</f>
        <v>5</v>
      </c>
      <c r="K48" s="10">
        <f>IFERROR(vlookup('1.3'!J:J,lookup!$A$26:$B$28,2,false),0)</f>
        <v>5</v>
      </c>
      <c r="L48" s="2"/>
      <c r="M48" s="10">
        <v>47.0</v>
      </c>
      <c r="N48" s="11" t="str">
        <f t="shared" si="1"/>
        <v>bnco0947@signalschool.ac.th</v>
      </c>
      <c r="O48" s="12">
        <f t="shared" si="2"/>
        <v>1</v>
      </c>
      <c r="R48" s="6" t="s">
        <v>264</v>
      </c>
    </row>
    <row r="49">
      <c r="A49" s="8">
        <f>'1.3'!A:A</f>
        <v>46212.62</v>
      </c>
      <c r="B49" s="2" t="str">
        <f>'1.3'!B:B</f>
        <v>bnco0926@signalschool.ac.th</v>
      </c>
      <c r="C49" s="2" t="str">
        <f>'1.3'!C:C</f>
        <v>ร.อ.สุพจน์ มงคล</v>
      </c>
      <c r="D49" s="9">
        <v>1.0</v>
      </c>
      <c r="E49" s="10">
        <f>IFERROR(vlookup('1.3'!D:D,lookup!$A$2:$B$4,2,false),0)</f>
        <v>5</v>
      </c>
      <c r="F49" s="10">
        <f>IFERROR(vlookup('1.3'!E:E,lookup!$A$6:$B$8,2,false),0)</f>
        <v>5</v>
      </c>
      <c r="G49" s="10">
        <f>IFERROR(vlookup('1.3'!F:F,lookup!$A$10:$B$12,2,false),0)</f>
        <v>5</v>
      </c>
      <c r="H49" s="10">
        <f>IFERROR(vlookup('1.3'!G:G,lookup!$A$14:$B$16,2,false),0)</f>
        <v>5</v>
      </c>
      <c r="I49" s="10">
        <f>IFERROR(vlookup('1.3'!H:H,lookup!$A$18:$B$20,2,false),0)</f>
        <v>5</v>
      </c>
      <c r="J49" s="10">
        <f>IFERROR(vlookup('1.3'!I:I,lookup!$A$22:$B$24,2,false),0)</f>
        <v>5</v>
      </c>
      <c r="K49" s="10">
        <f>IFERROR(vlookup('1.3'!J:J,lookup!$A$26:$B$28,2,false),0)</f>
        <v>5</v>
      </c>
      <c r="L49" s="2"/>
      <c r="M49" s="10">
        <v>48.0</v>
      </c>
      <c r="N49" s="11" t="str">
        <f t="shared" si="1"/>
        <v>bnco0948@signalschool.ac.th</v>
      </c>
      <c r="O49" s="12">
        <f t="shared" si="2"/>
        <v>1</v>
      </c>
      <c r="R49" s="6" t="s">
        <v>265</v>
      </c>
    </row>
    <row r="50">
      <c r="A50" s="8">
        <f>'1.3'!A:A</f>
        <v>46212.62003</v>
      </c>
      <c r="B50" s="2" t="str">
        <f>'1.3'!B:B</f>
        <v>bnco0973@signalschool.ac.th</v>
      </c>
      <c r="C50" s="2" t="str">
        <f>'1.3'!C:C</f>
        <v>ร.อ.สุพจน์ มงคล</v>
      </c>
      <c r="D50" s="9">
        <v>1.0</v>
      </c>
      <c r="E50" s="10">
        <f>IFERROR(vlookup('1.3'!D:D,lookup!$A$2:$B$4,2,false),0)</f>
        <v>5</v>
      </c>
      <c r="F50" s="10">
        <f>IFERROR(vlookup('1.3'!E:E,lookup!$A$6:$B$8,2,false),0)</f>
        <v>5</v>
      </c>
      <c r="G50" s="10">
        <f>IFERROR(vlookup('1.3'!F:F,lookup!$A$10:$B$12,2,false),0)</f>
        <v>5</v>
      </c>
      <c r="H50" s="10">
        <f>IFERROR(vlookup('1.3'!G:G,lookup!$A$14:$B$16,2,false),0)</f>
        <v>5</v>
      </c>
      <c r="I50" s="10">
        <f>IFERROR(vlookup('1.3'!H:H,lookup!$A$18:$B$20,2,false),0)</f>
        <v>5</v>
      </c>
      <c r="J50" s="10">
        <f>IFERROR(vlookup('1.3'!I:I,lookup!$A$22:$B$24,2,false),0)</f>
        <v>5</v>
      </c>
      <c r="K50" s="10">
        <f>IFERROR(vlookup('1.3'!J:J,lookup!$A$26:$B$28,2,false),0)</f>
        <v>5</v>
      </c>
      <c r="L50" s="2"/>
      <c r="M50" s="10">
        <v>49.0</v>
      </c>
      <c r="N50" s="11" t="str">
        <f t="shared" si="1"/>
        <v>bnco0949@signalschool.ac.th</v>
      </c>
      <c r="O50" s="12">
        <f t="shared" si="2"/>
        <v>1</v>
      </c>
      <c r="R50" s="6" t="s">
        <v>266</v>
      </c>
    </row>
    <row r="51">
      <c r="A51" s="8">
        <f>'1.3'!A:A</f>
        <v>46212.62005</v>
      </c>
      <c r="B51" s="2" t="str">
        <f>'1.3'!B:B</f>
        <v>bnco0949@signalschool.ac.th</v>
      </c>
      <c r="C51" s="2" t="str">
        <f>'1.3'!C:C</f>
        <v>ร.อ.สุพจน์ มงคล</v>
      </c>
      <c r="D51" s="9">
        <v>1.0</v>
      </c>
      <c r="E51" s="10">
        <f>IFERROR(vlookup('1.3'!D:D,lookup!$A$2:$B$4,2,false),0)</f>
        <v>5</v>
      </c>
      <c r="F51" s="10">
        <f>IFERROR(vlookup('1.3'!E:E,lookup!$A$6:$B$8,2,false),0)</f>
        <v>5</v>
      </c>
      <c r="G51" s="10">
        <f>IFERROR(vlookup('1.3'!F:F,lookup!$A$10:$B$12,2,false),0)</f>
        <v>5</v>
      </c>
      <c r="H51" s="10">
        <f>IFERROR(vlookup('1.3'!G:G,lookup!$A$14:$B$16,2,false),0)</f>
        <v>5</v>
      </c>
      <c r="I51" s="10">
        <f>IFERROR(vlookup('1.3'!H:H,lookup!$A$18:$B$20,2,false),0)</f>
        <v>5</v>
      </c>
      <c r="J51" s="10">
        <f>IFERROR(vlookup('1.3'!I:I,lookup!$A$22:$B$24,2,false),0)</f>
        <v>5</v>
      </c>
      <c r="K51" s="10">
        <f>IFERROR(vlookup('1.3'!J:J,lookup!$A$26:$B$28,2,false),0)</f>
        <v>5</v>
      </c>
      <c r="L51" s="2"/>
      <c r="M51" s="10">
        <v>50.0</v>
      </c>
      <c r="N51" s="11" t="str">
        <f t="shared" si="1"/>
        <v>bnco0950@signalschool.ac.th</v>
      </c>
      <c r="O51" s="12">
        <f t="shared" si="2"/>
        <v>1</v>
      </c>
      <c r="R51" s="6" t="s">
        <v>267</v>
      </c>
    </row>
    <row r="52">
      <c r="A52" s="8">
        <f>'1.3'!A:A</f>
        <v>46212.62005</v>
      </c>
      <c r="B52" s="2" t="str">
        <f>'1.3'!B:B</f>
        <v>bnco0933@signalschool.ac.th</v>
      </c>
      <c r="C52" s="2" t="str">
        <f>'1.3'!C:C</f>
        <v>ร.อ.สุพจน์ มงคล</v>
      </c>
      <c r="D52" s="9">
        <v>1.0</v>
      </c>
      <c r="E52" s="10">
        <f>IFERROR(vlookup('1.3'!D:D,lookup!$A$2:$B$4,2,false),0)</f>
        <v>5</v>
      </c>
      <c r="F52" s="10">
        <f>IFERROR(vlookup('1.3'!E:E,lookup!$A$6:$B$8,2,false),0)</f>
        <v>5</v>
      </c>
      <c r="G52" s="10">
        <f>IFERROR(vlookup('1.3'!F:F,lookup!$A$10:$B$12,2,false),0)</f>
        <v>5</v>
      </c>
      <c r="H52" s="10">
        <f>IFERROR(vlookup('1.3'!G:G,lookup!$A$14:$B$16,2,false),0)</f>
        <v>5</v>
      </c>
      <c r="I52" s="10">
        <f>IFERROR(vlookup('1.3'!H:H,lookup!$A$18:$B$20,2,false),0)</f>
        <v>5</v>
      </c>
      <c r="J52" s="10">
        <f>IFERROR(vlookup('1.3'!I:I,lookup!$A$22:$B$24,2,false),0)</f>
        <v>5</v>
      </c>
      <c r="K52" s="10">
        <f>IFERROR(vlookup('1.3'!J:J,lookup!$A$26:$B$28,2,false),0)</f>
        <v>5</v>
      </c>
      <c r="L52" s="2"/>
      <c r="M52" s="10">
        <v>51.0</v>
      </c>
      <c r="N52" s="11" t="str">
        <f t="shared" si="1"/>
        <v>bnco0951@signalschool.ac.th</v>
      </c>
      <c r="O52" s="12">
        <f t="shared" si="2"/>
        <v>1</v>
      </c>
      <c r="R52" s="6" t="s">
        <v>268</v>
      </c>
    </row>
    <row r="53">
      <c r="A53" s="8">
        <f>'1.3'!A:A</f>
        <v>46212.62006</v>
      </c>
      <c r="B53" s="2" t="str">
        <f>'1.3'!B:B</f>
        <v>bnco0912@signalschool.ac.th</v>
      </c>
      <c r="C53" s="2" t="str">
        <f>'1.3'!C:C</f>
        <v>ร.อ. สุพจน์  มงคล</v>
      </c>
      <c r="D53" s="9">
        <v>1.0</v>
      </c>
      <c r="E53" s="10">
        <f>IFERROR(vlookup('1.3'!D:D,lookup!$A$2:$B$4,2,false),0)</f>
        <v>5</v>
      </c>
      <c r="F53" s="10">
        <f>IFERROR(vlookup('1.3'!E:E,lookup!$A$6:$B$8,2,false),0)</f>
        <v>5</v>
      </c>
      <c r="G53" s="10">
        <f>IFERROR(vlookup('1.3'!F:F,lookup!$A$10:$B$12,2,false),0)</f>
        <v>5</v>
      </c>
      <c r="H53" s="10">
        <f>IFERROR(vlookup('1.3'!G:G,lookup!$A$14:$B$16,2,false),0)</f>
        <v>5</v>
      </c>
      <c r="I53" s="10">
        <f>IFERROR(vlookup('1.3'!H:H,lookup!$A$18:$B$20,2,false),0)</f>
        <v>5</v>
      </c>
      <c r="J53" s="10">
        <f>IFERROR(vlookup('1.3'!I:I,lookup!$A$22:$B$24,2,false),0)</f>
        <v>5</v>
      </c>
      <c r="K53" s="10">
        <f>IFERROR(vlookup('1.3'!J:J,lookup!$A$26:$B$28,2,false),0)</f>
        <v>5</v>
      </c>
      <c r="L53" s="2"/>
      <c r="M53" s="10">
        <v>52.0</v>
      </c>
      <c r="N53" s="11" t="str">
        <f t="shared" si="1"/>
        <v>bnco0952@signalschool.ac.th</v>
      </c>
      <c r="O53" s="12">
        <f t="shared" si="2"/>
        <v>1</v>
      </c>
      <c r="R53" s="6" t="s">
        <v>269</v>
      </c>
    </row>
    <row r="54">
      <c r="A54" s="8">
        <f>'1.3'!A:A</f>
        <v>46212.62008</v>
      </c>
      <c r="B54" s="2" t="str">
        <f>'1.3'!B:B</f>
        <v>bnco0946@signalschool.ac.th</v>
      </c>
      <c r="C54" s="2" t="str">
        <f>'1.3'!C:C</f>
        <v>ร.อ.สุพจน์ มงคล</v>
      </c>
      <c r="D54" s="9">
        <v>1.0</v>
      </c>
      <c r="E54" s="10">
        <f>IFERROR(vlookup('1.3'!D:D,lookup!$A$2:$B$4,2,false),0)</f>
        <v>5</v>
      </c>
      <c r="F54" s="10">
        <f>IFERROR(vlookup('1.3'!E:E,lookup!$A$6:$B$8,2,false),0)</f>
        <v>5</v>
      </c>
      <c r="G54" s="10">
        <f>IFERROR(vlookup('1.3'!F:F,lookup!$A$10:$B$12,2,false),0)</f>
        <v>5</v>
      </c>
      <c r="H54" s="10">
        <f>IFERROR(vlookup('1.3'!G:G,lookup!$A$14:$B$16,2,false),0)</f>
        <v>5</v>
      </c>
      <c r="I54" s="10">
        <f>IFERROR(vlookup('1.3'!H:H,lookup!$A$18:$B$20,2,false),0)</f>
        <v>5</v>
      </c>
      <c r="J54" s="10">
        <f>IFERROR(vlookup('1.3'!I:I,lookup!$A$22:$B$24,2,false),0)</f>
        <v>5</v>
      </c>
      <c r="K54" s="10">
        <f>IFERROR(vlookup('1.3'!J:J,lookup!$A$26:$B$28,2,false),0)</f>
        <v>5</v>
      </c>
      <c r="L54" s="2"/>
      <c r="M54" s="10">
        <v>53.0</v>
      </c>
      <c r="N54" s="11" t="str">
        <f t="shared" si="1"/>
        <v>bnco0953@signalschool.ac.th</v>
      </c>
      <c r="O54" s="12">
        <f t="shared" si="2"/>
        <v>1</v>
      </c>
      <c r="R54" s="6" t="s">
        <v>270</v>
      </c>
    </row>
    <row r="55">
      <c r="A55" s="8">
        <f>'1.3'!A:A</f>
        <v>46212.62013</v>
      </c>
      <c r="B55" s="2" t="str">
        <f>'1.3'!B:B</f>
        <v>bnco0948@signalschool.ac.th</v>
      </c>
      <c r="C55" s="2" t="str">
        <f>'1.3'!C:C</f>
        <v>ร.อ.สุพจน์ มงคล</v>
      </c>
      <c r="D55" s="9">
        <v>1.0</v>
      </c>
      <c r="E55" s="10">
        <f>IFERROR(vlookup('1.3'!D:D,lookup!$A$2:$B$4,2,false),0)</f>
        <v>5</v>
      </c>
      <c r="F55" s="10">
        <f>IFERROR(vlookup('1.3'!E:E,lookup!$A$6:$B$8,2,false),0)</f>
        <v>5</v>
      </c>
      <c r="G55" s="10">
        <f>IFERROR(vlookup('1.3'!F:F,lookup!$A$10:$B$12,2,false),0)</f>
        <v>5</v>
      </c>
      <c r="H55" s="10">
        <f>IFERROR(vlookup('1.3'!G:G,lookup!$A$14:$B$16,2,false),0)</f>
        <v>5</v>
      </c>
      <c r="I55" s="10">
        <f>IFERROR(vlookup('1.3'!H:H,lookup!$A$18:$B$20,2,false),0)</f>
        <v>5</v>
      </c>
      <c r="J55" s="10">
        <f>IFERROR(vlookup('1.3'!I:I,lookup!$A$22:$B$24,2,false),0)</f>
        <v>5</v>
      </c>
      <c r="K55" s="10">
        <f>IFERROR(vlookup('1.3'!J:J,lookup!$A$26:$B$28,2,false),0)</f>
        <v>5</v>
      </c>
      <c r="L55" s="2"/>
      <c r="M55" s="10">
        <v>54.0</v>
      </c>
      <c r="N55" s="11" t="str">
        <f t="shared" si="1"/>
        <v>bnco0954@signalschool.ac.th</v>
      </c>
      <c r="O55" s="12">
        <f t="shared" si="2"/>
        <v>1</v>
      </c>
      <c r="R55" s="6" t="s">
        <v>271</v>
      </c>
    </row>
    <row r="56">
      <c r="A56" s="8">
        <f>'1.3'!A:A</f>
        <v>46212.62014</v>
      </c>
      <c r="B56" s="2" t="str">
        <f>'1.3'!B:B</f>
        <v>bnco0939@signalschool.ac.th</v>
      </c>
      <c r="C56" s="2" t="str">
        <f>'1.3'!C:C</f>
        <v>ร.อ.สุพจน์  มงคล</v>
      </c>
      <c r="D56" s="9">
        <v>1.0</v>
      </c>
      <c r="E56" s="10">
        <f>IFERROR(vlookup('1.3'!D:D,lookup!$A$2:$B$4,2,false),0)</f>
        <v>5</v>
      </c>
      <c r="F56" s="10">
        <f>IFERROR(vlookup('1.3'!E:E,lookup!$A$6:$B$8,2,false),0)</f>
        <v>5</v>
      </c>
      <c r="G56" s="10">
        <f>IFERROR(vlookup('1.3'!F:F,lookup!$A$10:$B$12,2,false),0)</f>
        <v>5</v>
      </c>
      <c r="H56" s="10">
        <f>IFERROR(vlookup('1.3'!G:G,lookup!$A$14:$B$16,2,false),0)</f>
        <v>5</v>
      </c>
      <c r="I56" s="10">
        <f>IFERROR(vlookup('1.3'!H:H,lookup!$A$18:$B$20,2,false),0)</f>
        <v>5</v>
      </c>
      <c r="J56" s="10">
        <f>IFERROR(vlookup('1.3'!I:I,lookup!$A$22:$B$24,2,false),0)</f>
        <v>5</v>
      </c>
      <c r="K56" s="10">
        <f>IFERROR(vlookup('1.3'!J:J,lookup!$A$26:$B$28,2,false),0)</f>
        <v>5</v>
      </c>
      <c r="L56" s="13"/>
      <c r="M56" s="10">
        <v>55.0</v>
      </c>
      <c r="N56" s="11" t="str">
        <f t="shared" si="1"/>
        <v>bnco0955@signalschool.ac.th</v>
      </c>
      <c r="O56" s="12">
        <f t="shared" si="2"/>
        <v>1</v>
      </c>
      <c r="R56" s="6" t="s">
        <v>272</v>
      </c>
    </row>
    <row r="57">
      <c r="A57" s="8">
        <f>'1.3'!A:A</f>
        <v>46212.62015</v>
      </c>
      <c r="B57" s="2" t="str">
        <f>'1.3'!B:B</f>
        <v>bnco0964@signalschool.ac.th</v>
      </c>
      <c r="C57" s="2" t="str">
        <f>'1.3'!C:C</f>
        <v>ร.อ.สุพจน์ มงคล</v>
      </c>
      <c r="D57" s="9">
        <v>1.0</v>
      </c>
      <c r="E57" s="10">
        <f>IFERROR(vlookup('1.3'!D:D,lookup!$A$2:$B$4,2,false),0)</f>
        <v>5</v>
      </c>
      <c r="F57" s="10">
        <f>IFERROR(vlookup('1.3'!E:E,lookup!$A$6:$B$8,2,false),0)</f>
        <v>5</v>
      </c>
      <c r="G57" s="10">
        <f>IFERROR(vlookup('1.3'!F:F,lookup!$A$10:$B$12,2,false),0)</f>
        <v>5</v>
      </c>
      <c r="H57" s="10">
        <f>IFERROR(vlookup('1.3'!G:G,lookup!$A$14:$B$16,2,false),0)</f>
        <v>5</v>
      </c>
      <c r="I57" s="10">
        <f>IFERROR(vlookup('1.3'!H:H,lookup!$A$18:$B$20,2,false),0)</f>
        <v>5</v>
      </c>
      <c r="J57" s="10">
        <f>IFERROR(vlookup('1.3'!I:I,lookup!$A$22:$B$24,2,false),0)</f>
        <v>5</v>
      </c>
      <c r="K57" s="10">
        <f>IFERROR(vlookup('1.3'!J:J,lookup!$A$26:$B$28,2,false),0)</f>
        <v>5</v>
      </c>
      <c r="L57" s="13"/>
      <c r="M57" s="10">
        <v>56.0</v>
      </c>
      <c r="N57" s="11" t="str">
        <f t="shared" si="1"/>
        <v>bnco0956@signalschool.ac.th</v>
      </c>
      <c r="O57" s="12">
        <f t="shared" si="2"/>
        <v>1</v>
      </c>
      <c r="R57" s="6" t="s">
        <v>273</v>
      </c>
    </row>
    <row r="58">
      <c r="A58" s="8">
        <f>'1.3'!A:A</f>
        <v>46212.6202</v>
      </c>
      <c r="B58" s="2" t="str">
        <f>'1.3'!B:B</f>
        <v>bnco0927@signalschool.ac.th</v>
      </c>
      <c r="C58" s="2" t="str">
        <f>'1.3'!C:C</f>
        <v>ร.อ.สุพจน์ มงคล</v>
      </c>
      <c r="D58" s="9">
        <v>1.0</v>
      </c>
      <c r="E58" s="10">
        <f>IFERROR(vlookup('1.3'!D:D,lookup!$A$2:$B$4,2,false),0)</f>
        <v>5</v>
      </c>
      <c r="F58" s="10">
        <f>IFERROR(vlookup('1.3'!E:E,lookup!$A$6:$B$8,2,false),0)</f>
        <v>5</v>
      </c>
      <c r="G58" s="10">
        <f>IFERROR(vlookup('1.3'!F:F,lookup!$A$10:$B$12,2,false),0)</f>
        <v>5</v>
      </c>
      <c r="H58" s="10">
        <f>IFERROR(vlookup('1.3'!G:G,lookup!$A$14:$B$16,2,false),0)</f>
        <v>5</v>
      </c>
      <c r="I58" s="10">
        <f>IFERROR(vlookup('1.3'!H:H,lookup!$A$18:$B$20,2,false),0)</f>
        <v>5</v>
      </c>
      <c r="J58" s="10">
        <f>IFERROR(vlookup('1.3'!I:I,lookup!$A$22:$B$24,2,false),0)</f>
        <v>5</v>
      </c>
      <c r="K58" s="10">
        <f>IFERROR(vlookup('1.3'!J:J,lookup!$A$26:$B$28,2,false),0)</f>
        <v>5</v>
      </c>
      <c r="L58" s="13"/>
      <c r="M58" s="10">
        <v>57.0</v>
      </c>
      <c r="N58" s="11" t="str">
        <f t="shared" si="1"/>
        <v>bnco0957@signalschool.ac.th</v>
      </c>
      <c r="O58" s="12">
        <f t="shared" si="2"/>
        <v>1</v>
      </c>
      <c r="R58" s="6" t="s">
        <v>274</v>
      </c>
    </row>
    <row r="59">
      <c r="A59" s="8">
        <f>'1.3'!A:A</f>
        <v>46212.62021</v>
      </c>
      <c r="B59" s="2" t="str">
        <f>'1.3'!B:B</f>
        <v>bnco0915@signalschool.ac.th</v>
      </c>
      <c r="C59" s="2" t="str">
        <f>'1.3'!C:C</f>
        <v>ร.อ.สุพจน์​ มงคล</v>
      </c>
      <c r="D59" s="9">
        <v>1.0</v>
      </c>
      <c r="E59" s="10">
        <f>IFERROR(vlookup('1.3'!D:D,lookup!$A$2:$B$4,2,false),0)</f>
        <v>5</v>
      </c>
      <c r="F59" s="10">
        <f>IFERROR(vlookup('1.3'!E:E,lookup!$A$6:$B$8,2,false),0)</f>
        <v>5</v>
      </c>
      <c r="G59" s="10">
        <f>IFERROR(vlookup('1.3'!F:F,lookup!$A$10:$B$12,2,false),0)</f>
        <v>5</v>
      </c>
      <c r="H59" s="10">
        <f>IFERROR(vlookup('1.3'!G:G,lookup!$A$14:$B$16,2,false),0)</f>
        <v>5</v>
      </c>
      <c r="I59" s="10">
        <f>IFERROR(vlookup('1.3'!H:H,lookup!$A$18:$B$20,2,false),0)</f>
        <v>5</v>
      </c>
      <c r="J59" s="10">
        <f>IFERROR(vlookup('1.3'!I:I,lookup!$A$22:$B$24,2,false),0)</f>
        <v>5</v>
      </c>
      <c r="K59" s="10">
        <f>IFERROR(vlookup('1.3'!J:J,lookup!$A$26:$B$28,2,false),0)</f>
        <v>5</v>
      </c>
      <c r="L59" s="14"/>
      <c r="M59" s="10">
        <v>58.0</v>
      </c>
      <c r="N59" s="11" t="str">
        <f t="shared" si="1"/>
        <v>bnco0958@signalschool.ac.th</v>
      </c>
      <c r="O59" s="12">
        <f t="shared" si="2"/>
        <v>1</v>
      </c>
      <c r="R59" s="6" t="s">
        <v>275</v>
      </c>
    </row>
    <row r="60">
      <c r="A60" s="8">
        <f>'1.3'!A:A</f>
        <v>46212.62022</v>
      </c>
      <c r="B60" s="2" t="str">
        <f>'1.3'!B:B</f>
        <v>bnco0905@signalschool.ac.th</v>
      </c>
      <c r="C60" s="2" t="str">
        <f>'1.3'!C:C</f>
        <v>ร.อ.สุพจน์ มงคล</v>
      </c>
      <c r="D60" s="9">
        <v>1.0</v>
      </c>
      <c r="E60" s="10">
        <f>IFERROR(vlookup('1.3'!D:D,lookup!$A$2:$B$4,2,false),0)</f>
        <v>5</v>
      </c>
      <c r="F60" s="10">
        <f>IFERROR(vlookup('1.3'!E:E,lookup!$A$6:$B$8,2,false),0)</f>
        <v>5</v>
      </c>
      <c r="G60" s="10">
        <f>IFERROR(vlookup('1.3'!F:F,lookup!$A$10:$B$12,2,false),0)</f>
        <v>5</v>
      </c>
      <c r="H60" s="10">
        <f>IFERROR(vlookup('1.3'!G:G,lookup!$A$14:$B$16,2,false),0)</f>
        <v>5</v>
      </c>
      <c r="I60" s="10">
        <f>IFERROR(vlookup('1.3'!H:H,lookup!$A$18:$B$20,2,false),0)</f>
        <v>5</v>
      </c>
      <c r="J60" s="10">
        <f>IFERROR(vlookup('1.3'!I:I,lookup!$A$22:$B$24,2,false),0)</f>
        <v>5</v>
      </c>
      <c r="K60" s="10">
        <f>IFERROR(vlookup('1.3'!J:J,lookup!$A$26:$B$28,2,false),0)</f>
        <v>5</v>
      </c>
      <c r="L60" s="10"/>
      <c r="M60" s="10">
        <v>59.0</v>
      </c>
      <c r="N60" s="11" t="str">
        <f t="shared" si="1"/>
        <v>bnco0959@signalschool.ac.th</v>
      </c>
      <c r="O60" s="12">
        <f t="shared" si="2"/>
        <v>1</v>
      </c>
      <c r="R60" s="6" t="s">
        <v>276</v>
      </c>
    </row>
    <row r="61">
      <c r="A61" s="8">
        <f>'1.3'!A:A</f>
        <v>46212.62023</v>
      </c>
      <c r="B61" s="2" t="str">
        <f>'1.3'!B:B</f>
        <v>bnco0902@signalschool.ac.th</v>
      </c>
      <c r="C61" s="2" t="str">
        <f>'1.3'!C:C</f>
        <v>ร.อ.สุพจน์ มงคล</v>
      </c>
      <c r="D61" s="9">
        <v>1.0</v>
      </c>
      <c r="E61" s="10">
        <f>IFERROR(vlookup('1.3'!D:D,lookup!$A$2:$B$4,2,false),0)</f>
        <v>5</v>
      </c>
      <c r="F61" s="10">
        <f>IFERROR(vlookup('1.3'!E:E,lookup!$A$6:$B$8,2,false),0)</f>
        <v>5</v>
      </c>
      <c r="G61" s="10">
        <f>IFERROR(vlookup('1.3'!F:F,lookup!$A$10:$B$12,2,false),0)</f>
        <v>5</v>
      </c>
      <c r="H61" s="10">
        <f>IFERROR(vlookup('1.3'!G:G,lookup!$A$14:$B$16,2,false),0)</f>
        <v>5</v>
      </c>
      <c r="I61" s="10">
        <f>IFERROR(vlookup('1.3'!H:H,lookup!$A$18:$B$20,2,false),0)</f>
        <v>5</v>
      </c>
      <c r="J61" s="10">
        <f>IFERROR(vlookup('1.3'!I:I,lookup!$A$22:$B$24,2,false),0)</f>
        <v>5</v>
      </c>
      <c r="K61" s="10">
        <f>IFERROR(vlookup('1.3'!J:J,lookup!$A$26:$B$28,2,false),0)</f>
        <v>5</v>
      </c>
      <c r="M61" s="10">
        <v>60.0</v>
      </c>
      <c r="N61" s="11" t="str">
        <f t="shared" si="1"/>
        <v>bnco0960@signalschool.ac.th</v>
      </c>
      <c r="O61" s="12">
        <f t="shared" si="2"/>
        <v>1</v>
      </c>
      <c r="R61" s="6" t="s">
        <v>277</v>
      </c>
    </row>
    <row r="62">
      <c r="A62" s="8">
        <f>'1.3'!A:A</f>
        <v>46212.62023</v>
      </c>
      <c r="B62" s="2" t="str">
        <f>'1.3'!B:B</f>
        <v>bnco0942@signalschool.ac.th</v>
      </c>
      <c r="C62" s="2" t="str">
        <f>'1.3'!C:C</f>
        <v>ร.อ. สุพจน์ มงคล</v>
      </c>
      <c r="D62" s="9">
        <v>1.0</v>
      </c>
      <c r="E62" s="10">
        <f>IFERROR(vlookup('1.3'!D:D,lookup!$A$2:$B$4,2,false),0)</f>
        <v>5</v>
      </c>
      <c r="F62" s="10">
        <f>IFERROR(vlookup('1.3'!E:E,lookup!$A$6:$B$8,2,false),0)</f>
        <v>5</v>
      </c>
      <c r="G62" s="10">
        <f>IFERROR(vlookup('1.3'!F:F,lookup!$A$10:$B$12,2,false),0)</f>
        <v>5</v>
      </c>
      <c r="H62" s="10">
        <f>IFERROR(vlookup('1.3'!G:G,lookup!$A$14:$B$16,2,false),0)</f>
        <v>5</v>
      </c>
      <c r="I62" s="10">
        <f>IFERROR(vlookup('1.3'!H:H,lookup!$A$18:$B$20,2,false),0)</f>
        <v>5</v>
      </c>
      <c r="J62" s="10">
        <f>IFERROR(vlookup('1.3'!I:I,lookup!$A$22:$B$24,2,false),0)</f>
        <v>5</v>
      </c>
      <c r="K62" s="10">
        <f>IFERROR(vlookup('1.3'!J:J,lookup!$A$26:$B$28,2,false),0)</f>
        <v>5</v>
      </c>
      <c r="M62" s="10">
        <v>61.0</v>
      </c>
      <c r="N62" s="11" t="str">
        <f t="shared" si="1"/>
        <v>bnco0961@signalschool.ac.th</v>
      </c>
      <c r="O62" s="12">
        <f t="shared" si="2"/>
        <v>1</v>
      </c>
      <c r="R62" s="6" t="s">
        <v>278</v>
      </c>
    </row>
    <row r="63">
      <c r="A63" s="8">
        <f>'1.3'!A:A</f>
        <v>46212.62023</v>
      </c>
      <c r="B63" s="2" t="str">
        <f>'1.3'!B:B</f>
        <v>bnco0903@signalschool.ac.th</v>
      </c>
      <c r="C63" s="2" t="str">
        <f>'1.3'!C:C</f>
        <v>ร.อ.สุพจน์ มงคล</v>
      </c>
      <c r="D63" s="9">
        <v>1.0</v>
      </c>
      <c r="E63" s="10">
        <f>IFERROR(vlookup('1.3'!D:D,lookup!$A$2:$B$4,2,false),0)</f>
        <v>5</v>
      </c>
      <c r="F63" s="10">
        <f>IFERROR(vlookup('1.3'!E:E,lookup!$A$6:$B$8,2,false),0)</f>
        <v>5</v>
      </c>
      <c r="G63" s="10">
        <f>IFERROR(vlookup('1.3'!F:F,lookup!$A$10:$B$12,2,false),0)</f>
        <v>5</v>
      </c>
      <c r="H63" s="10">
        <f>IFERROR(vlookup('1.3'!G:G,lookup!$A$14:$B$16,2,false),0)</f>
        <v>5</v>
      </c>
      <c r="I63" s="10">
        <f>IFERROR(vlookup('1.3'!H:H,lookup!$A$18:$B$20,2,false),0)</f>
        <v>5</v>
      </c>
      <c r="J63" s="10">
        <f>IFERROR(vlookup('1.3'!I:I,lookup!$A$22:$B$24,2,false),0)</f>
        <v>5</v>
      </c>
      <c r="K63" s="10">
        <f>IFERROR(vlookup('1.3'!J:J,lookup!$A$26:$B$28,2,false),0)</f>
        <v>5</v>
      </c>
      <c r="M63" s="10">
        <v>62.0</v>
      </c>
      <c r="N63" s="11" t="str">
        <f t="shared" si="1"/>
        <v>bnco0962@signalschool.ac.th</v>
      </c>
      <c r="O63" s="12">
        <f t="shared" si="2"/>
        <v>1</v>
      </c>
      <c r="R63" s="6" t="s">
        <v>279</v>
      </c>
    </row>
    <row r="64">
      <c r="A64" s="8">
        <f>'1.3'!A:A</f>
        <v>46212.62026</v>
      </c>
      <c r="B64" s="2" t="str">
        <f>'1.3'!B:B</f>
        <v>bnco0959@signalschool.ac.th</v>
      </c>
      <c r="C64" s="2" t="str">
        <f>'1.3'!C:C</f>
        <v>ร.อ.สุพจน์  มงคล</v>
      </c>
      <c r="D64" s="9">
        <v>1.0</v>
      </c>
      <c r="E64" s="10">
        <f>IFERROR(vlookup('1.3'!D:D,lookup!$A$2:$B$4,2,false),0)</f>
        <v>5</v>
      </c>
      <c r="F64" s="10">
        <f>IFERROR(vlookup('1.3'!E:E,lookup!$A$6:$B$8,2,false),0)</f>
        <v>5</v>
      </c>
      <c r="G64" s="10">
        <f>IFERROR(vlookup('1.3'!F:F,lookup!$A$10:$B$12,2,false),0)</f>
        <v>5</v>
      </c>
      <c r="H64" s="10">
        <f>IFERROR(vlookup('1.3'!G:G,lookup!$A$14:$B$16,2,false),0)</f>
        <v>5</v>
      </c>
      <c r="I64" s="10">
        <f>IFERROR(vlookup('1.3'!H:H,lookup!$A$18:$B$20,2,false),0)</f>
        <v>5</v>
      </c>
      <c r="J64" s="10">
        <f>IFERROR(vlookup('1.3'!I:I,lookup!$A$22:$B$24,2,false),0)</f>
        <v>5</v>
      </c>
      <c r="K64" s="10">
        <f>IFERROR(vlookup('1.3'!J:J,lookup!$A$26:$B$28,2,false),0)</f>
        <v>5</v>
      </c>
      <c r="M64" s="10">
        <v>63.0</v>
      </c>
      <c r="N64" s="11" t="str">
        <f t="shared" si="1"/>
        <v>bnco0963@signalschool.ac.th</v>
      </c>
      <c r="O64" s="12">
        <f t="shared" si="2"/>
        <v>1</v>
      </c>
      <c r="R64" s="6" t="s">
        <v>280</v>
      </c>
    </row>
    <row r="65">
      <c r="A65" s="8">
        <f>'1.3'!A:A</f>
        <v>46212.62029</v>
      </c>
      <c r="B65" s="2" t="str">
        <f>'1.3'!B:B</f>
        <v>bnco0945@signalschool.ac.th</v>
      </c>
      <c r="C65" s="2" t="str">
        <f>'1.3'!C:C</f>
        <v>ร.อ. สุพจน์ มงคล</v>
      </c>
      <c r="D65" s="9">
        <v>1.0</v>
      </c>
      <c r="E65" s="10">
        <f>IFERROR(vlookup('1.3'!D:D,lookup!$A$2:$B$4,2,false),0)</f>
        <v>5</v>
      </c>
      <c r="F65" s="10">
        <f>IFERROR(vlookup('1.3'!E:E,lookup!$A$6:$B$8,2,false),0)</f>
        <v>5</v>
      </c>
      <c r="G65" s="10">
        <f>IFERROR(vlookup('1.3'!F:F,lookup!$A$10:$B$12,2,false),0)</f>
        <v>5</v>
      </c>
      <c r="H65" s="10">
        <f>IFERROR(vlookup('1.3'!G:G,lookup!$A$14:$B$16,2,false),0)</f>
        <v>5</v>
      </c>
      <c r="I65" s="10">
        <f>IFERROR(vlookup('1.3'!H:H,lookup!$A$18:$B$20,2,false),0)</f>
        <v>5</v>
      </c>
      <c r="J65" s="10">
        <f>IFERROR(vlookup('1.3'!I:I,lookup!$A$22:$B$24,2,false),0)</f>
        <v>5</v>
      </c>
      <c r="K65" s="10">
        <f>IFERROR(vlookup('1.3'!J:J,lookup!$A$26:$B$28,2,false),0)</f>
        <v>5</v>
      </c>
      <c r="M65" s="10">
        <v>64.0</v>
      </c>
      <c r="N65" s="11" t="str">
        <f t="shared" si="1"/>
        <v>bnco0964@signalschool.ac.th</v>
      </c>
      <c r="O65" s="12">
        <f t="shared" si="2"/>
        <v>1</v>
      </c>
      <c r="R65" s="6" t="s">
        <v>281</v>
      </c>
    </row>
    <row r="66">
      <c r="A66" s="8">
        <f>'1.3'!A:A</f>
        <v>46212.62037</v>
      </c>
      <c r="B66" s="2" t="str">
        <f>'1.3'!B:B</f>
        <v>bnco0956@signalschool.ac.th</v>
      </c>
      <c r="C66" s="2" t="str">
        <f>'1.3'!C:C</f>
        <v>ร.อ.สุพจน์ มงคล</v>
      </c>
      <c r="D66" s="9">
        <v>1.0</v>
      </c>
      <c r="E66" s="10">
        <f>IFERROR(vlookup('1.3'!D:D,lookup!$A$2:$B$4,2,false),0)</f>
        <v>5</v>
      </c>
      <c r="F66" s="10">
        <f>IFERROR(vlookup('1.3'!E:E,lookup!$A$6:$B$8,2,false),0)</f>
        <v>5</v>
      </c>
      <c r="G66" s="10">
        <f>IFERROR(vlookup('1.3'!F:F,lookup!$A$10:$B$12,2,false),0)</f>
        <v>5</v>
      </c>
      <c r="H66" s="10">
        <f>IFERROR(vlookup('1.3'!G:G,lookup!$A$14:$B$16,2,false),0)</f>
        <v>5</v>
      </c>
      <c r="I66" s="10">
        <f>IFERROR(vlookup('1.3'!H:H,lookup!$A$18:$B$20,2,false),0)</f>
        <v>5</v>
      </c>
      <c r="J66" s="10">
        <f>IFERROR(vlookup('1.3'!I:I,lookup!$A$22:$B$24,2,false),0)</f>
        <v>5</v>
      </c>
      <c r="K66" s="10">
        <f>IFERROR(vlookup('1.3'!J:J,lookup!$A$26:$B$28,2,false),0)</f>
        <v>5</v>
      </c>
      <c r="M66" s="10">
        <v>65.0</v>
      </c>
      <c r="N66" s="11" t="str">
        <f t="shared" si="1"/>
        <v>bnco0965@signalschool.ac.th</v>
      </c>
      <c r="O66" s="12">
        <f t="shared" si="2"/>
        <v>1</v>
      </c>
      <c r="R66" s="6" t="s">
        <v>282</v>
      </c>
    </row>
    <row r="67">
      <c r="A67" s="8">
        <f>'1.3'!A:A</f>
        <v>46212.62042</v>
      </c>
      <c r="B67" s="2" t="str">
        <f>'1.3'!B:B</f>
        <v>bnco0979@signalschool.ac.th</v>
      </c>
      <c r="C67" s="2" t="str">
        <f>'1.3'!C:C</f>
        <v>ร.อ.สุพจน์ มงคล</v>
      </c>
      <c r="D67" s="9">
        <v>1.0</v>
      </c>
      <c r="E67" s="10">
        <f>IFERROR(vlookup('1.3'!D:D,lookup!$A$2:$B$4,2,false),0)</f>
        <v>5</v>
      </c>
      <c r="F67" s="10">
        <f>IFERROR(vlookup('1.3'!E:E,lookup!$A$6:$B$8,2,false),0)</f>
        <v>5</v>
      </c>
      <c r="G67" s="10">
        <f>IFERROR(vlookup('1.3'!F:F,lookup!$A$10:$B$12,2,false),0)</f>
        <v>5</v>
      </c>
      <c r="H67" s="10">
        <f>IFERROR(vlookup('1.3'!G:G,lookup!$A$14:$B$16,2,false),0)</f>
        <v>5</v>
      </c>
      <c r="I67" s="10">
        <f>IFERROR(vlookup('1.3'!H:H,lookup!$A$18:$B$20,2,false),0)</f>
        <v>5</v>
      </c>
      <c r="J67" s="10">
        <f>IFERROR(vlookup('1.3'!I:I,lookup!$A$22:$B$24,2,false),0)</f>
        <v>5</v>
      </c>
      <c r="K67" s="10">
        <f>IFERROR(vlookup('1.3'!J:J,lookup!$A$26:$B$28,2,false),0)</f>
        <v>5</v>
      </c>
      <c r="M67" s="10">
        <v>66.0</v>
      </c>
      <c r="N67" s="11" t="str">
        <f t="shared" si="1"/>
        <v>bnco0966@signalschool.ac.th</v>
      </c>
      <c r="O67" s="12">
        <f t="shared" si="2"/>
        <v>1</v>
      </c>
      <c r="R67" s="6" t="s">
        <v>283</v>
      </c>
    </row>
    <row r="68">
      <c r="A68" s="8">
        <f>'1.3'!A:A</f>
        <v>46212.62046</v>
      </c>
      <c r="B68" s="2" t="str">
        <f>'1.3'!B:B</f>
        <v>bnco0947@signalschool.ac.th</v>
      </c>
      <c r="C68" s="2" t="str">
        <f>'1.3'!C:C</f>
        <v>ร.อ. สุพจน์  มงคล</v>
      </c>
      <c r="D68" s="9">
        <v>1.0</v>
      </c>
      <c r="E68" s="10">
        <f>IFERROR(vlookup('1.3'!D:D,lookup!$A$2:$B$4,2,false),0)</f>
        <v>5</v>
      </c>
      <c r="F68" s="10">
        <f>IFERROR(vlookup('1.3'!E:E,lookup!$A$6:$B$8,2,false),0)</f>
        <v>5</v>
      </c>
      <c r="G68" s="10">
        <f>IFERROR(vlookup('1.3'!F:F,lookup!$A$10:$B$12,2,false),0)</f>
        <v>5</v>
      </c>
      <c r="H68" s="10">
        <f>IFERROR(vlookup('1.3'!G:G,lookup!$A$14:$B$16,2,false),0)</f>
        <v>5</v>
      </c>
      <c r="I68" s="10">
        <f>IFERROR(vlookup('1.3'!H:H,lookup!$A$18:$B$20,2,false),0)</f>
        <v>5</v>
      </c>
      <c r="J68" s="10">
        <f>IFERROR(vlookup('1.3'!I:I,lookup!$A$22:$B$24,2,false),0)</f>
        <v>5</v>
      </c>
      <c r="K68" s="10">
        <f>IFERROR(vlookup('1.3'!J:J,lookup!$A$26:$B$28,2,false),0)</f>
        <v>5</v>
      </c>
      <c r="M68" s="10">
        <v>67.0</v>
      </c>
      <c r="N68" s="11" t="str">
        <f t="shared" si="1"/>
        <v>bnco0967@signalschool.ac.th</v>
      </c>
      <c r="O68" s="12">
        <f t="shared" si="2"/>
        <v>1</v>
      </c>
      <c r="R68" s="6" t="s">
        <v>284</v>
      </c>
    </row>
    <row r="69">
      <c r="A69" s="8">
        <f>'1.3'!A:A</f>
        <v>46212.62048</v>
      </c>
      <c r="B69" s="2" t="str">
        <f>'1.3'!B:B</f>
        <v>bnco0943@signalschool.ac.th</v>
      </c>
      <c r="C69" s="2" t="str">
        <f>'1.3'!C:C</f>
        <v>ร.อ.สุพจน์ มงคล</v>
      </c>
      <c r="D69" s="9">
        <v>1.0</v>
      </c>
      <c r="E69" s="10">
        <f>IFERROR(vlookup('1.3'!D:D,lookup!$A$2:$B$4,2,false),0)</f>
        <v>5</v>
      </c>
      <c r="F69" s="10">
        <f>IFERROR(vlookup('1.3'!E:E,lookup!$A$6:$B$8,2,false),0)</f>
        <v>5</v>
      </c>
      <c r="G69" s="10">
        <f>IFERROR(vlookup('1.3'!F:F,lookup!$A$10:$B$12,2,false),0)</f>
        <v>5</v>
      </c>
      <c r="H69" s="10">
        <f>IFERROR(vlookup('1.3'!G:G,lookup!$A$14:$B$16,2,false),0)</f>
        <v>5</v>
      </c>
      <c r="I69" s="10">
        <f>IFERROR(vlookup('1.3'!H:H,lookup!$A$18:$B$20,2,false),0)</f>
        <v>5</v>
      </c>
      <c r="J69" s="10">
        <f>IFERROR(vlookup('1.3'!I:I,lookup!$A$22:$B$24,2,false),0)</f>
        <v>5</v>
      </c>
      <c r="K69" s="10">
        <f>IFERROR(vlookup('1.3'!J:J,lookup!$A$26:$B$28,2,false),0)</f>
        <v>5</v>
      </c>
      <c r="M69" s="10">
        <v>68.0</v>
      </c>
      <c r="N69" s="11" t="str">
        <f t="shared" si="1"/>
        <v>bnco0968@signalschool.ac.th</v>
      </c>
      <c r="O69" s="12">
        <f t="shared" si="2"/>
        <v>1</v>
      </c>
      <c r="R69" s="6" t="s">
        <v>285</v>
      </c>
    </row>
    <row r="70">
      <c r="A70" s="8">
        <f>'1.3'!A:A</f>
        <v>46212.6207</v>
      </c>
      <c r="B70" s="2" t="str">
        <f>'1.3'!B:B</f>
        <v>bnco0929@signalschool.ac.th</v>
      </c>
      <c r="C70" s="2" t="str">
        <f>'1.3'!C:C</f>
        <v>ร.อ.สุพจน์ มงคล</v>
      </c>
      <c r="D70" s="9">
        <v>1.0</v>
      </c>
      <c r="E70" s="10">
        <f>IFERROR(vlookup('1.3'!D:D,lookup!$A$2:$B$4,2,false),0)</f>
        <v>5</v>
      </c>
      <c r="F70" s="10">
        <f>IFERROR(vlookup('1.3'!E:E,lookup!$A$6:$B$8,2,false),0)</f>
        <v>5</v>
      </c>
      <c r="G70" s="10">
        <f>IFERROR(vlookup('1.3'!F:F,lookup!$A$10:$B$12,2,false),0)</f>
        <v>5</v>
      </c>
      <c r="H70" s="10">
        <f>IFERROR(vlookup('1.3'!G:G,lookup!$A$14:$B$16,2,false),0)</f>
        <v>5</v>
      </c>
      <c r="I70" s="10">
        <f>IFERROR(vlookup('1.3'!H:H,lookup!$A$18:$B$20,2,false),0)</f>
        <v>5</v>
      </c>
      <c r="J70" s="10">
        <f>IFERROR(vlookup('1.3'!I:I,lookup!$A$22:$B$24,2,false),0)</f>
        <v>5</v>
      </c>
      <c r="K70" s="10">
        <f>IFERROR(vlookup('1.3'!J:J,lookup!$A$26:$B$28,2,false),0)</f>
        <v>5</v>
      </c>
      <c r="M70" s="10">
        <v>69.0</v>
      </c>
      <c r="N70" s="11" t="str">
        <f t="shared" si="1"/>
        <v>bnco0969@signalschool.ac.th</v>
      </c>
      <c r="O70" s="12">
        <f t="shared" si="2"/>
        <v>1</v>
      </c>
      <c r="R70" s="6" t="s">
        <v>286</v>
      </c>
    </row>
    <row r="71">
      <c r="A71" s="8">
        <f>'1.3'!A:A</f>
        <v>46212.62073</v>
      </c>
      <c r="B71" s="2" t="str">
        <f>'1.3'!B:B</f>
        <v>bnco0953@signalschool.ac.th</v>
      </c>
      <c r="C71" s="2" t="str">
        <f>'1.3'!C:C</f>
        <v>ร.อ.สุพจน์ มงคล</v>
      </c>
      <c r="D71" s="9">
        <v>1.0</v>
      </c>
      <c r="E71" s="10">
        <f>IFERROR(vlookup('1.3'!D:D,lookup!$A$2:$B$4,2,false),0)</f>
        <v>5</v>
      </c>
      <c r="F71" s="10">
        <f>IFERROR(vlookup('1.3'!E:E,lookup!$A$6:$B$8,2,false),0)</f>
        <v>5</v>
      </c>
      <c r="G71" s="10">
        <f>IFERROR(vlookup('1.3'!F:F,lookup!$A$10:$B$12,2,false),0)</f>
        <v>5</v>
      </c>
      <c r="H71" s="10">
        <f>IFERROR(vlookup('1.3'!G:G,lookup!$A$14:$B$16,2,false),0)</f>
        <v>5</v>
      </c>
      <c r="I71" s="10">
        <f>IFERROR(vlookup('1.3'!H:H,lookup!$A$18:$B$20,2,false),0)</f>
        <v>5</v>
      </c>
      <c r="J71" s="10">
        <f>IFERROR(vlookup('1.3'!I:I,lookup!$A$22:$B$24,2,false),0)</f>
        <v>3</v>
      </c>
      <c r="K71" s="10">
        <f>IFERROR(vlookup('1.3'!J:J,lookup!$A$26:$B$28,2,false),0)</f>
        <v>5</v>
      </c>
      <c r="M71" s="10">
        <v>70.0</v>
      </c>
      <c r="N71" s="11" t="str">
        <f t="shared" si="1"/>
        <v>bnco0970@signalschool.ac.th</v>
      </c>
      <c r="O71" s="12">
        <f t="shared" si="2"/>
        <v>1</v>
      </c>
      <c r="R71" s="6" t="s">
        <v>287</v>
      </c>
    </row>
    <row r="72">
      <c r="A72" s="8">
        <f>'1.3'!A:A</f>
        <v>46212.62078</v>
      </c>
      <c r="B72" s="2" t="str">
        <f>'1.3'!B:B</f>
        <v>bnco0961@signalschool.ac.th</v>
      </c>
      <c r="C72" s="2" t="str">
        <f>'1.3'!C:C</f>
        <v>ร.อ.สุพจน์ มลคล</v>
      </c>
      <c r="D72" s="9">
        <v>1.0</v>
      </c>
      <c r="E72" s="10">
        <f>IFERROR(vlookup('1.3'!D:D,lookup!$A$2:$B$4,2,false),0)</f>
        <v>5</v>
      </c>
      <c r="F72" s="10">
        <f>IFERROR(vlookup('1.3'!E:E,lookup!$A$6:$B$8,2,false),0)</f>
        <v>5</v>
      </c>
      <c r="G72" s="10">
        <f>IFERROR(vlookup('1.3'!F:F,lookup!$A$10:$B$12,2,false),0)</f>
        <v>1</v>
      </c>
      <c r="H72" s="10">
        <f>IFERROR(vlookup('1.3'!G:G,lookup!$A$14:$B$16,2,false),0)</f>
        <v>5</v>
      </c>
      <c r="I72" s="10">
        <f>IFERROR(vlookup('1.3'!H:H,lookup!$A$18:$B$20,2,false),0)</f>
        <v>5</v>
      </c>
      <c r="J72" s="10">
        <f>IFERROR(vlookup('1.3'!I:I,lookup!$A$22:$B$24,2,false),0)</f>
        <v>5</v>
      </c>
      <c r="K72" s="10">
        <f>IFERROR(vlookup('1.3'!J:J,lookup!$A$26:$B$28,2,false),0)</f>
        <v>5</v>
      </c>
      <c r="M72" s="10">
        <v>71.0</v>
      </c>
      <c r="N72" s="11" t="str">
        <f t="shared" si="1"/>
        <v>bnco0971@signalschool.ac.th</v>
      </c>
      <c r="O72" s="12">
        <f t="shared" si="2"/>
        <v>1</v>
      </c>
      <c r="R72" s="6" t="s">
        <v>288</v>
      </c>
    </row>
    <row r="73">
      <c r="A73" s="8">
        <f>'1.3'!A:A</f>
        <v>46212.62142</v>
      </c>
      <c r="B73" s="2" t="str">
        <f>'1.3'!B:B</f>
        <v>bnco0960@signalschool.ac.th</v>
      </c>
      <c r="C73" s="2" t="str">
        <f>'1.3'!C:C</f>
        <v>ร.อ.สุพจน์ มงคล</v>
      </c>
      <c r="D73" s="9">
        <v>1.0</v>
      </c>
      <c r="E73" s="10">
        <f>IFERROR(vlookup('1.3'!D:D,lookup!$A$2:$B$4,2,false),0)</f>
        <v>5</v>
      </c>
      <c r="F73" s="10">
        <f>IFERROR(vlookup('1.3'!E:E,lookup!$A$6:$B$8,2,false),0)</f>
        <v>5</v>
      </c>
      <c r="G73" s="10">
        <f>IFERROR(vlookup('1.3'!F:F,lookup!$A$10:$B$12,2,false),0)</f>
        <v>5</v>
      </c>
      <c r="H73" s="10">
        <f>IFERROR(vlookup('1.3'!G:G,lookup!$A$14:$B$16,2,false),0)</f>
        <v>5</v>
      </c>
      <c r="I73" s="10">
        <f>IFERROR(vlookup('1.3'!H:H,lookup!$A$18:$B$20,2,false),0)</f>
        <v>5</v>
      </c>
      <c r="J73" s="10">
        <f>IFERROR(vlookup('1.3'!I:I,lookup!$A$22:$B$24,2,false),0)</f>
        <v>5</v>
      </c>
      <c r="K73" s="10">
        <f>IFERROR(vlookup('1.3'!J:J,lookup!$A$26:$B$28,2,false),0)</f>
        <v>5</v>
      </c>
      <c r="M73" s="10">
        <v>72.0</v>
      </c>
      <c r="N73" s="11" t="str">
        <f t="shared" si="1"/>
        <v>bnco0972@signalschool.ac.th</v>
      </c>
      <c r="O73" s="12">
        <f t="shared" si="2"/>
        <v>1</v>
      </c>
      <c r="R73" s="6" t="s">
        <v>289</v>
      </c>
    </row>
    <row r="74">
      <c r="A74" s="8">
        <f>'1.3'!A:A</f>
        <v>46212.62282</v>
      </c>
      <c r="B74" s="2" t="str">
        <f>'1.3'!B:B</f>
        <v>bnco0966@signalschool.ac.th</v>
      </c>
      <c r="C74" s="2" t="str">
        <f>'1.3'!C:C</f>
        <v>ร.อ.สุพจน์ มงคล</v>
      </c>
      <c r="D74" s="9">
        <v>1.0</v>
      </c>
      <c r="E74" s="10">
        <f>IFERROR(vlookup('1.3'!D:D,lookup!$A$2:$B$4,2,false),0)</f>
        <v>5</v>
      </c>
      <c r="F74" s="10">
        <f>IFERROR(vlookup('1.3'!E:E,lookup!$A$6:$B$8,2,false),0)</f>
        <v>5</v>
      </c>
      <c r="G74" s="10">
        <f>IFERROR(vlookup('1.3'!F:F,lookup!$A$10:$B$12,2,false),0)</f>
        <v>5</v>
      </c>
      <c r="H74" s="10">
        <f>IFERROR(vlookup('1.3'!G:G,lookup!$A$14:$B$16,2,false),0)</f>
        <v>5</v>
      </c>
      <c r="I74" s="10">
        <f>IFERROR(vlookup('1.3'!H:H,lookup!$A$18:$B$20,2,false),0)</f>
        <v>5</v>
      </c>
      <c r="J74" s="10">
        <f>IFERROR(vlookup('1.3'!I:I,lookup!$A$22:$B$24,2,false),0)</f>
        <v>5</v>
      </c>
      <c r="K74" s="10">
        <f>IFERROR(vlookup('1.3'!J:J,lookup!$A$26:$B$28,2,false),0)</f>
        <v>5</v>
      </c>
      <c r="M74" s="10">
        <v>73.0</v>
      </c>
      <c r="N74" s="11" t="str">
        <f t="shared" si="1"/>
        <v>bnco0973@signalschool.ac.th</v>
      </c>
      <c r="O74" s="12">
        <f t="shared" si="2"/>
        <v>1</v>
      </c>
      <c r="R74" s="6" t="s">
        <v>290</v>
      </c>
    </row>
    <row r="75">
      <c r="A75" s="8">
        <f>'1.3'!A:A</f>
        <v>46212.62323</v>
      </c>
      <c r="B75" s="2" t="str">
        <f>'1.3'!B:B</f>
        <v>bnco0969@signalschool.ac.th</v>
      </c>
      <c r="C75" s="2" t="str">
        <f>'1.3'!C:C</f>
        <v>ร.อ.สุพจน์  มงคล</v>
      </c>
      <c r="D75" s="9">
        <v>1.0</v>
      </c>
      <c r="E75" s="10">
        <f>IFERROR(vlookup('1.3'!D:D,lookup!$A$2:$B$4,2,false),0)</f>
        <v>5</v>
      </c>
      <c r="F75" s="10">
        <f>IFERROR(vlookup('1.3'!E:E,lookup!$A$6:$B$8,2,false),0)</f>
        <v>5</v>
      </c>
      <c r="G75" s="10">
        <f>IFERROR(vlookup('1.3'!F:F,lookup!$A$10:$B$12,2,false),0)</f>
        <v>5</v>
      </c>
      <c r="H75" s="10">
        <f>IFERROR(vlookup('1.3'!G:G,lookup!$A$14:$B$16,2,false),0)</f>
        <v>5</v>
      </c>
      <c r="I75" s="10">
        <f>IFERROR(vlookup('1.3'!H:H,lookup!$A$18:$B$20,2,false),0)</f>
        <v>5</v>
      </c>
      <c r="J75" s="10">
        <f>IFERROR(vlookup('1.3'!I:I,lookup!$A$22:$B$24,2,false),0)</f>
        <v>5</v>
      </c>
      <c r="K75" s="10">
        <f>IFERROR(vlookup('1.3'!J:J,lookup!$A$26:$B$28,2,false),0)</f>
        <v>5</v>
      </c>
      <c r="M75" s="10">
        <v>74.0</v>
      </c>
      <c r="N75" s="11" t="str">
        <f t="shared" si="1"/>
        <v>bnco0974@signalschool.ac.th</v>
      </c>
      <c r="O75" s="12">
        <f t="shared" si="2"/>
        <v>1</v>
      </c>
      <c r="R75" s="6" t="s">
        <v>291</v>
      </c>
    </row>
    <row r="76">
      <c r="A76" s="8">
        <f>'1.3'!A:A</f>
        <v>46212.62474</v>
      </c>
      <c r="B76" s="2" t="str">
        <f>'1.3'!B:B</f>
        <v>bnco0976@signalschool.ac.th</v>
      </c>
      <c r="C76" s="2" t="str">
        <f>'1.3'!C:C</f>
        <v>ร.อ.สุพจน์ มงคล</v>
      </c>
      <c r="D76" s="9">
        <v>1.0</v>
      </c>
      <c r="E76" s="10">
        <f>IFERROR(vlookup('1.3'!D:D,lookup!$A$2:$B$4,2,false),0)</f>
        <v>5</v>
      </c>
      <c r="F76" s="10">
        <f>IFERROR(vlookup('1.3'!E:E,lookup!$A$6:$B$8,2,false),0)</f>
        <v>5</v>
      </c>
      <c r="G76" s="10">
        <f>IFERROR(vlookup('1.3'!F:F,lookup!$A$10:$B$12,2,false),0)</f>
        <v>5</v>
      </c>
      <c r="H76" s="10">
        <f>IFERROR(vlookup('1.3'!G:G,lookup!$A$14:$B$16,2,false),0)</f>
        <v>5</v>
      </c>
      <c r="I76" s="10">
        <f>IFERROR(vlookup('1.3'!H:H,lookup!$A$18:$B$20,2,false),0)</f>
        <v>5</v>
      </c>
      <c r="J76" s="10">
        <f>IFERROR(vlookup('1.3'!I:I,lookup!$A$22:$B$24,2,false),0)</f>
        <v>5</v>
      </c>
      <c r="K76" s="10">
        <f>IFERROR(vlookup('1.3'!J:J,lookup!$A$26:$B$28,2,false),0)</f>
        <v>5</v>
      </c>
      <c r="M76" s="10">
        <v>75.0</v>
      </c>
      <c r="N76" s="11" t="str">
        <f t="shared" si="1"/>
        <v>bnco0975@signalschool.ac.th</v>
      </c>
      <c r="O76" s="12">
        <f t="shared" si="2"/>
        <v>1</v>
      </c>
      <c r="R76" s="6" t="s">
        <v>292</v>
      </c>
    </row>
    <row r="77">
      <c r="A77" s="8">
        <f>'1.3'!A:A</f>
        <v>46212.62695</v>
      </c>
      <c r="B77" s="2" t="str">
        <f>'1.3'!B:B</f>
        <v>bnco0917@signalschool.ac.th</v>
      </c>
      <c r="C77" s="2" t="str">
        <f>'1.3'!C:C</f>
        <v>ร.อ.สุพจน์ มงคล</v>
      </c>
      <c r="D77" s="9">
        <v>1.0</v>
      </c>
      <c r="E77" s="10">
        <f>IFERROR(vlookup('1.3'!D:D,lookup!$A$2:$B$4,2,false),0)</f>
        <v>5</v>
      </c>
      <c r="F77" s="10">
        <f>IFERROR(vlookup('1.3'!E:E,lookup!$A$6:$B$8,2,false),0)</f>
        <v>5</v>
      </c>
      <c r="G77" s="10">
        <f>IFERROR(vlookup('1.3'!F:F,lookup!$A$10:$B$12,2,false),0)</f>
        <v>5</v>
      </c>
      <c r="H77" s="10">
        <f>IFERROR(vlookup('1.3'!G:G,lookup!$A$14:$B$16,2,false),0)</f>
        <v>5</v>
      </c>
      <c r="I77" s="10">
        <f>IFERROR(vlookup('1.3'!H:H,lookup!$A$18:$B$20,2,false),0)</f>
        <v>5</v>
      </c>
      <c r="J77" s="10">
        <f>IFERROR(vlookup('1.3'!I:I,lookup!$A$22:$B$24,2,false),0)</f>
        <v>5</v>
      </c>
      <c r="K77" s="10">
        <f>IFERROR(vlookup('1.3'!J:J,lookup!$A$26:$B$28,2,false),0)</f>
        <v>5</v>
      </c>
      <c r="M77" s="10">
        <v>76.0</v>
      </c>
      <c r="N77" s="11" t="str">
        <f t="shared" si="1"/>
        <v>bnco0976@signalschool.ac.th</v>
      </c>
      <c r="O77" s="12">
        <f t="shared" si="2"/>
        <v>1</v>
      </c>
      <c r="R77" s="6" t="s">
        <v>293</v>
      </c>
    </row>
    <row r="78">
      <c r="A78" s="8">
        <f>'1.3'!A:A</f>
        <v>46212.70889</v>
      </c>
      <c r="B78" s="2" t="str">
        <f>'1.3'!B:B</f>
        <v>bnco0954@signalschool.ac.th</v>
      </c>
      <c r="C78" s="2" t="str">
        <f>'1.3'!C:C</f>
        <v>ร.อ.สุพจน์ มงคล</v>
      </c>
      <c r="D78" s="9">
        <v>1.0</v>
      </c>
      <c r="E78" s="10">
        <f>IFERROR(vlookup('1.3'!D:D,lookup!$A$2:$B$4,2,false),0)</f>
        <v>5</v>
      </c>
      <c r="F78" s="10">
        <f>IFERROR(vlookup('1.3'!E:E,lookup!$A$6:$B$8,2,false),0)</f>
        <v>5</v>
      </c>
      <c r="G78" s="10">
        <f>IFERROR(vlookup('1.3'!F:F,lookup!$A$10:$B$12,2,false),0)</f>
        <v>5</v>
      </c>
      <c r="H78" s="10">
        <f>IFERROR(vlookup('1.3'!G:G,lookup!$A$14:$B$16,2,false),0)</f>
        <v>5</v>
      </c>
      <c r="I78" s="10">
        <f>IFERROR(vlookup('1.3'!H:H,lookup!$A$18:$B$20,2,false),0)</f>
        <v>5</v>
      </c>
      <c r="J78" s="10">
        <f>IFERROR(vlookup('1.3'!I:I,lookup!$A$22:$B$24,2,false),0)</f>
        <v>3</v>
      </c>
      <c r="K78" s="10">
        <f>IFERROR(vlookup('1.3'!J:J,lookup!$A$26:$B$28,2,false),0)</f>
        <v>3</v>
      </c>
      <c r="M78" s="10">
        <v>77.0</v>
      </c>
      <c r="N78" s="11" t="str">
        <f t="shared" si="1"/>
        <v>bnco0977@signalschool.ac.th</v>
      </c>
      <c r="O78" s="12">
        <f t="shared" si="2"/>
        <v>1</v>
      </c>
      <c r="R78" s="6" t="s">
        <v>294</v>
      </c>
    </row>
    <row r="79">
      <c r="A79" s="8">
        <f>'1.3'!A:A</f>
        <v>46212.83427</v>
      </c>
      <c r="B79" s="2" t="str">
        <f>'1.3'!B:B</f>
        <v>bnco0907@signalschool.ac.th</v>
      </c>
      <c r="C79" s="2" t="str">
        <f>'1.3'!C:C</f>
        <v>ร.อ.สุพจน์ มงคล</v>
      </c>
      <c r="D79" s="9">
        <v>1.0</v>
      </c>
      <c r="E79" s="10">
        <f>IFERROR(vlookup('1.3'!D:D,lookup!$A$2:$B$4,2,false),0)</f>
        <v>5</v>
      </c>
      <c r="F79" s="10">
        <f>IFERROR(vlookup('1.3'!E:E,lookup!$A$6:$B$8,2,false),0)</f>
        <v>5</v>
      </c>
      <c r="G79" s="10">
        <f>IFERROR(vlookup('1.3'!F:F,lookup!$A$10:$B$12,2,false),0)</f>
        <v>5</v>
      </c>
      <c r="H79" s="10">
        <f>IFERROR(vlookup('1.3'!G:G,lookup!$A$14:$B$16,2,false),0)</f>
        <v>5</v>
      </c>
      <c r="I79" s="10">
        <f>IFERROR(vlookup('1.3'!H:H,lookup!$A$18:$B$20,2,false),0)</f>
        <v>5</v>
      </c>
      <c r="J79" s="10">
        <f>IFERROR(vlookup('1.3'!I:I,lookup!$A$22:$B$24,2,false),0)</f>
        <v>5</v>
      </c>
      <c r="K79" s="10">
        <f>IFERROR(vlookup('1.3'!J:J,lookup!$A$26:$B$28,2,false),0)</f>
        <v>5</v>
      </c>
      <c r="M79" s="10">
        <v>78.0</v>
      </c>
      <c r="N79" s="11" t="str">
        <f t="shared" si="1"/>
        <v>bnco0978@signalschool.ac.th</v>
      </c>
      <c r="O79" s="12">
        <f t="shared" si="2"/>
        <v>1</v>
      </c>
      <c r="R79" s="6" t="s">
        <v>295</v>
      </c>
    </row>
    <row r="80">
      <c r="A80" s="8">
        <f>'1.3'!A:A</f>
        <v>46213.40483</v>
      </c>
      <c r="B80" s="2" t="str">
        <f>'1.3'!B:B</f>
        <v>bnco0931@signalschool.ac.th</v>
      </c>
      <c r="C80" s="2" t="str">
        <f>'1.3'!C:C</f>
        <v>ร.อ.สุพจน์ มงคล</v>
      </c>
      <c r="D80" s="9">
        <v>1.0</v>
      </c>
      <c r="E80" s="10">
        <f>IFERROR(vlookup('1.3'!D:D,lookup!$A$2:$B$4,2,false),0)</f>
        <v>5</v>
      </c>
      <c r="F80" s="10">
        <f>IFERROR(vlookup('1.3'!E:E,lookup!$A$6:$B$8,2,false),0)</f>
        <v>5</v>
      </c>
      <c r="G80" s="10">
        <f>IFERROR(vlookup('1.3'!F:F,lookup!$A$10:$B$12,2,false),0)</f>
        <v>5</v>
      </c>
      <c r="H80" s="10">
        <f>IFERROR(vlookup('1.3'!G:G,lookup!$A$14:$B$16,2,false),0)</f>
        <v>5</v>
      </c>
      <c r="I80" s="10">
        <f>IFERROR(vlookup('1.3'!H:H,lookup!$A$18:$B$20,2,false),0)</f>
        <v>5</v>
      </c>
      <c r="J80" s="10">
        <f>IFERROR(vlookup('1.3'!I:I,lookup!$A$22:$B$24,2,false),0)</f>
        <v>5</v>
      </c>
      <c r="K80" s="10">
        <f>IFERROR(vlookup('1.3'!J:J,lookup!$A$26:$B$28,2,false),0)</f>
        <v>5</v>
      </c>
      <c r="M80" s="10">
        <v>79.0</v>
      </c>
      <c r="N80" s="11" t="str">
        <f t="shared" si="1"/>
        <v>bnco0979@signalschool.ac.th</v>
      </c>
      <c r="O80" s="12">
        <f t="shared" si="2"/>
        <v>1</v>
      </c>
      <c r="R80" s="6" t="s">
        <v>296</v>
      </c>
    </row>
    <row r="81">
      <c r="A81" s="8">
        <f>'1.3'!A:A</f>
        <v>46213.45468</v>
      </c>
      <c r="B81" s="2" t="str">
        <f>'1.3'!B:B</f>
        <v>bnco0975@signalschool.ac.th</v>
      </c>
      <c r="C81" s="2" t="str">
        <f>'1.3'!C:C</f>
        <v>ร.อ.สุพจน์ มงคล</v>
      </c>
      <c r="D81" s="9">
        <v>1.0</v>
      </c>
      <c r="E81" s="10">
        <f>IFERROR(vlookup('1.3'!D:D,lookup!$A$2:$B$4,2,false),0)</f>
        <v>5</v>
      </c>
      <c r="F81" s="10">
        <f>IFERROR(vlookup('1.3'!E:E,lookup!$A$6:$B$8,2,false),0)</f>
        <v>5</v>
      </c>
      <c r="G81" s="10">
        <f>IFERROR(vlookup('1.3'!F:F,lookup!$A$10:$B$12,2,false),0)</f>
        <v>5</v>
      </c>
      <c r="H81" s="10">
        <f>IFERROR(vlookup('1.3'!G:G,lookup!$A$14:$B$16,2,false),0)</f>
        <v>5</v>
      </c>
      <c r="I81" s="10">
        <f>IFERROR(vlookup('1.3'!H:H,lookup!$A$18:$B$20,2,false),0)</f>
        <v>3</v>
      </c>
      <c r="J81" s="10">
        <f>IFERROR(vlookup('1.3'!I:I,lookup!$A$22:$B$24,2,false),0)</f>
        <v>5</v>
      </c>
      <c r="K81" s="10">
        <f>IFERROR(vlookup('1.3'!J:J,lookup!$A$26:$B$28,2,false),0)</f>
        <v>5</v>
      </c>
      <c r="M81" s="10">
        <v>80.0</v>
      </c>
      <c r="N81" s="11" t="str">
        <f t="shared" si="1"/>
        <v>bnco0980@signalschool.ac.th</v>
      </c>
      <c r="O81" s="12">
        <f t="shared" si="2"/>
        <v>1</v>
      </c>
      <c r="R81" s="6" t="s">
        <v>297</v>
      </c>
    </row>
    <row r="82">
      <c r="A82" s="8"/>
      <c r="B82" s="2"/>
      <c r="C82" s="2"/>
      <c r="E82" s="14">
        <f t="shared" ref="E82:K82" si="3">AVERAGE(E2:E81)</f>
        <v>4.975</v>
      </c>
      <c r="F82" s="14">
        <f t="shared" si="3"/>
        <v>4.95</v>
      </c>
      <c r="G82" s="14">
        <f t="shared" si="3"/>
        <v>4.925</v>
      </c>
      <c r="H82" s="14">
        <f t="shared" si="3"/>
        <v>4.975</v>
      </c>
      <c r="I82" s="14">
        <f t="shared" si="3"/>
        <v>4.925</v>
      </c>
      <c r="J82" s="14">
        <f t="shared" si="3"/>
        <v>4.925</v>
      </c>
      <c r="K82" s="14">
        <f t="shared" si="3"/>
        <v>4.925</v>
      </c>
      <c r="L82" s="15">
        <f>AVERAGE(E82:K82)</f>
        <v>4.942857143</v>
      </c>
      <c r="N82" s="2" t="s">
        <v>298</v>
      </c>
      <c r="O82" s="10">
        <f>SUM(O2:O81)</f>
        <v>80</v>
      </c>
    </row>
    <row r="83">
      <c r="A83" s="8"/>
      <c r="B83" s="2"/>
      <c r="C83" s="2"/>
      <c r="E83" s="10"/>
      <c r="F83" s="10"/>
      <c r="G83" s="10"/>
      <c r="H83" s="10"/>
      <c r="I83" s="10"/>
      <c r="J83" s="10"/>
      <c r="K83" s="10"/>
      <c r="N83" s="2" t="s">
        <v>299</v>
      </c>
      <c r="O83" s="10">
        <f>(O82*100)/80</f>
        <v>100</v>
      </c>
    </row>
    <row r="84">
      <c r="A84" s="8"/>
      <c r="B84" s="2"/>
      <c r="C84" s="2"/>
      <c r="E84" s="10"/>
      <c r="K84" s="10"/>
    </row>
    <row r="85">
      <c r="A85" s="8"/>
      <c r="B85" s="2"/>
      <c r="C85" s="2"/>
      <c r="E85" s="10"/>
    </row>
    <row r="86">
      <c r="A86" s="8"/>
      <c r="B86" s="2"/>
      <c r="C86" s="2"/>
      <c r="E86" s="10"/>
    </row>
    <row r="87">
      <c r="A87" s="8"/>
      <c r="B87" s="2"/>
      <c r="C87" s="2"/>
      <c r="E87" s="10"/>
    </row>
    <row r="88">
      <c r="A88" s="8"/>
      <c r="C88" s="2"/>
      <c r="E88" s="10"/>
    </row>
    <row r="89">
      <c r="A89" s="8"/>
      <c r="C89" s="2"/>
      <c r="E89" s="10"/>
    </row>
    <row r="90">
      <c r="A90" s="8"/>
      <c r="C90" s="2"/>
      <c r="E90" s="10"/>
    </row>
    <row r="91">
      <c r="A91" s="8"/>
      <c r="C91" s="2"/>
      <c r="E91" s="10"/>
    </row>
    <row r="92">
      <c r="A92" s="8"/>
      <c r="C92" s="2"/>
      <c r="E92" s="10"/>
    </row>
    <row r="93">
      <c r="A93" s="8"/>
      <c r="C93" s="2"/>
      <c r="E93" s="10"/>
    </row>
    <row r="94">
      <c r="A94" s="8"/>
      <c r="C94" s="2"/>
      <c r="E94" s="10"/>
    </row>
    <row r="95">
      <c r="A95" s="8"/>
      <c r="C95" s="2"/>
      <c r="E95" s="10"/>
    </row>
    <row r="96">
      <c r="A96" s="8"/>
      <c r="C96" s="2"/>
      <c r="E96" s="10"/>
    </row>
    <row r="97">
      <c r="A97" s="8"/>
      <c r="C97" s="2"/>
      <c r="E97" s="10"/>
    </row>
    <row r="98">
      <c r="A98" s="8"/>
      <c r="C98" s="2"/>
      <c r="E98" s="10"/>
    </row>
    <row r="99">
      <c r="A99" s="8"/>
      <c r="C99" s="2"/>
      <c r="E99" s="10"/>
    </row>
    <row r="100">
      <c r="A100" s="8"/>
      <c r="C100" s="2"/>
    </row>
    <row r="101">
      <c r="A101" s="8"/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</sheetData>
  <mergeCells count="1">
    <mergeCell ref="M1:O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7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4">
        <v>46181.52370994213</v>
      </c>
      <c r="B2" s="6" t="s">
        <v>11</v>
      </c>
      <c r="C2" s="6" t="s">
        <v>215</v>
      </c>
      <c r="D2" s="6" t="s">
        <v>15</v>
      </c>
      <c r="E2" s="6" t="s">
        <v>16</v>
      </c>
      <c r="F2" s="6" t="s">
        <v>17</v>
      </c>
      <c r="G2" s="6" t="s">
        <v>18</v>
      </c>
      <c r="H2" s="6" t="s">
        <v>19</v>
      </c>
      <c r="I2" s="6" t="s">
        <v>20</v>
      </c>
      <c r="J2" s="6" t="s">
        <v>21</v>
      </c>
    </row>
    <row r="3">
      <c r="A3" s="4">
        <v>46189.45460164352</v>
      </c>
      <c r="B3" s="6" t="s">
        <v>27</v>
      </c>
      <c r="C3" s="6" t="s">
        <v>216</v>
      </c>
      <c r="D3" s="6" t="s">
        <v>15</v>
      </c>
      <c r="E3" s="6" t="s">
        <v>16</v>
      </c>
      <c r="F3" s="6" t="s">
        <v>17</v>
      </c>
      <c r="G3" s="6" t="s">
        <v>18</v>
      </c>
      <c r="H3" s="6" t="s">
        <v>19</v>
      </c>
      <c r="I3" s="6" t="s">
        <v>20</v>
      </c>
      <c r="J3" s="6" t="s">
        <v>21</v>
      </c>
      <c r="K3" s="6" t="s">
        <v>29</v>
      </c>
    </row>
    <row r="4">
      <c r="A4" s="4">
        <v>46195.348262858795</v>
      </c>
      <c r="B4" s="6" t="s">
        <v>166</v>
      </c>
      <c r="C4" s="6" t="s">
        <v>23</v>
      </c>
      <c r="D4" s="6" t="s">
        <v>15</v>
      </c>
      <c r="E4" s="6" t="s">
        <v>16</v>
      </c>
      <c r="F4" s="6" t="s">
        <v>43</v>
      </c>
      <c r="G4" s="6" t="s">
        <v>18</v>
      </c>
      <c r="H4" s="6" t="s">
        <v>19</v>
      </c>
      <c r="I4" s="6" t="s">
        <v>20</v>
      </c>
      <c r="J4" s="6" t="s">
        <v>21</v>
      </c>
    </row>
    <row r="5">
      <c r="A5" s="4">
        <v>46204.34908880787</v>
      </c>
      <c r="B5" s="6" t="s">
        <v>30</v>
      </c>
      <c r="C5" s="6" t="s">
        <v>217</v>
      </c>
      <c r="D5" s="6" t="s">
        <v>15</v>
      </c>
      <c r="E5" s="6" t="s">
        <v>16</v>
      </c>
      <c r="F5" s="6" t="s">
        <v>17</v>
      </c>
      <c r="G5" s="6" t="s">
        <v>18</v>
      </c>
      <c r="H5" s="6" t="s">
        <v>19</v>
      </c>
      <c r="I5" s="6" t="s">
        <v>20</v>
      </c>
      <c r="J5" s="6" t="s">
        <v>21</v>
      </c>
      <c r="K5" s="6" t="s">
        <v>34</v>
      </c>
    </row>
    <row r="6">
      <c r="A6" s="4">
        <v>46204.4659827662</v>
      </c>
      <c r="B6" s="6" t="s">
        <v>35</v>
      </c>
      <c r="C6" s="6" t="s">
        <v>217</v>
      </c>
      <c r="D6" s="6" t="s">
        <v>15</v>
      </c>
      <c r="E6" s="6" t="s">
        <v>16</v>
      </c>
      <c r="F6" s="6" t="s">
        <v>17</v>
      </c>
      <c r="G6" s="6" t="s">
        <v>18</v>
      </c>
      <c r="H6" s="6" t="s">
        <v>19</v>
      </c>
      <c r="I6" s="6" t="s">
        <v>20</v>
      </c>
      <c r="J6" s="6" t="s">
        <v>21</v>
      </c>
    </row>
    <row r="7">
      <c r="A7" s="4">
        <v>46206.59704304398</v>
      </c>
      <c r="B7" s="6" t="s">
        <v>37</v>
      </c>
      <c r="C7" s="6" t="s">
        <v>218</v>
      </c>
      <c r="D7" s="6" t="s">
        <v>15</v>
      </c>
      <c r="E7" s="6" t="s">
        <v>16</v>
      </c>
      <c r="F7" s="6" t="s">
        <v>17</v>
      </c>
      <c r="G7" s="6" t="s">
        <v>18</v>
      </c>
      <c r="H7" s="6" t="s">
        <v>19</v>
      </c>
      <c r="I7" s="6" t="s">
        <v>20</v>
      </c>
      <c r="J7" s="6" t="s">
        <v>21</v>
      </c>
      <c r="K7" s="6" t="s">
        <v>219</v>
      </c>
    </row>
    <row r="8">
      <c r="A8" s="4">
        <v>46212.58273929398</v>
      </c>
      <c r="B8" s="6" t="s">
        <v>40</v>
      </c>
      <c r="C8" s="6" t="s">
        <v>220</v>
      </c>
      <c r="D8" s="6" t="s">
        <v>41</v>
      </c>
      <c r="E8" s="6" t="s">
        <v>33</v>
      </c>
      <c r="F8" s="6" t="s">
        <v>43</v>
      </c>
      <c r="G8" s="6" t="s">
        <v>44</v>
      </c>
      <c r="H8" s="6" t="s">
        <v>46</v>
      </c>
      <c r="I8" s="6" t="s">
        <v>47</v>
      </c>
      <c r="J8" s="6" t="s">
        <v>48</v>
      </c>
    </row>
    <row r="9">
      <c r="A9" s="4">
        <v>46212.61647119213</v>
      </c>
      <c r="B9" s="6" t="s">
        <v>49</v>
      </c>
      <c r="C9" s="6" t="s">
        <v>221</v>
      </c>
      <c r="D9" s="6" t="s">
        <v>15</v>
      </c>
      <c r="E9" s="6" t="s">
        <v>16</v>
      </c>
      <c r="F9" s="6" t="s">
        <v>17</v>
      </c>
      <c r="G9" s="6" t="s">
        <v>18</v>
      </c>
      <c r="H9" s="6" t="s">
        <v>19</v>
      </c>
      <c r="I9" s="6" t="s">
        <v>20</v>
      </c>
      <c r="J9" s="6" t="s">
        <v>21</v>
      </c>
    </row>
    <row r="10">
      <c r="A10" s="4">
        <v>46212.617444814816</v>
      </c>
      <c r="B10" s="6" t="s">
        <v>22</v>
      </c>
      <c r="C10" s="6" t="s">
        <v>56</v>
      </c>
      <c r="D10" s="6" t="s">
        <v>15</v>
      </c>
      <c r="E10" s="6" t="s">
        <v>16</v>
      </c>
      <c r="F10" s="6" t="s">
        <v>17</v>
      </c>
      <c r="G10" s="6" t="s">
        <v>18</v>
      </c>
      <c r="H10" s="6" t="s">
        <v>19</v>
      </c>
      <c r="I10" s="6" t="s">
        <v>20</v>
      </c>
      <c r="J10" s="6" t="s">
        <v>21</v>
      </c>
    </row>
    <row r="11">
      <c r="A11" s="4">
        <v>46212.61785524305</v>
      </c>
      <c r="B11" s="6" t="s">
        <v>54</v>
      </c>
      <c r="C11" s="6" t="s">
        <v>52</v>
      </c>
      <c r="D11" s="6" t="s">
        <v>15</v>
      </c>
      <c r="E11" s="6" t="s">
        <v>16</v>
      </c>
      <c r="F11" s="6" t="s">
        <v>17</v>
      </c>
      <c r="G11" s="6" t="s">
        <v>18</v>
      </c>
      <c r="H11" s="6" t="s">
        <v>19</v>
      </c>
      <c r="I11" s="6" t="s">
        <v>20</v>
      </c>
      <c r="J11" s="6" t="s">
        <v>21</v>
      </c>
    </row>
    <row r="12">
      <c r="A12" s="4">
        <v>46212.61823100694</v>
      </c>
      <c r="B12" s="6" t="s">
        <v>12</v>
      </c>
      <c r="C12" s="6" t="s">
        <v>52</v>
      </c>
      <c r="D12" s="6" t="s">
        <v>15</v>
      </c>
      <c r="E12" s="6" t="s">
        <v>16</v>
      </c>
      <c r="F12" s="6" t="s">
        <v>17</v>
      </c>
      <c r="G12" s="6" t="s">
        <v>18</v>
      </c>
      <c r="H12" s="6" t="s">
        <v>19</v>
      </c>
      <c r="I12" s="6" t="s">
        <v>20</v>
      </c>
      <c r="J12" s="6" t="s">
        <v>21</v>
      </c>
    </row>
    <row r="13">
      <c r="A13" s="4">
        <v>46212.61899984954</v>
      </c>
      <c r="B13" s="6" t="s">
        <v>79</v>
      </c>
      <c r="C13" s="6" t="s">
        <v>52</v>
      </c>
      <c r="D13" s="6" t="s">
        <v>15</v>
      </c>
      <c r="E13" s="6" t="s">
        <v>16</v>
      </c>
      <c r="F13" s="6" t="s">
        <v>17</v>
      </c>
      <c r="G13" s="6" t="s">
        <v>18</v>
      </c>
      <c r="H13" s="6" t="s">
        <v>19</v>
      </c>
      <c r="I13" s="6" t="s">
        <v>20</v>
      </c>
      <c r="J13" s="6" t="s">
        <v>21</v>
      </c>
    </row>
    <row r="14">
      <c r="A14" s="4">
        <v>46212.61919059028</v>
      </c>
      <c r="B14" s="6" t="s">
        <v>76</v>
      </c>
      <c r="C14" s="6" t="s">
        <v>78</v>
      </c>
      <c r="D14" s="6" t="s">
        <v>15</v>
      </c>
      <c r="E14" s="6" t="s">
        <v>16</v>
      </c>
      <c r="F14" s="6" t="s">
        <v>17</v>
      </c>
      <c r="G14" s="6" t="s">
        <v>18</v>
      </c>
      <c r="H14" s="6" t="s">
        <v>19</v>
      </c>
      <c r="I14" s="6" t="s">
        <v>20</v>
      </c>
      <c r="J14" s="6" t="s">
        <v>21</v>
      </c>
    </row>
    <row r="15">
      <c r="A15" s="4">
        <v>46212.619280231476</v>
      </c>
      <c r="B15" s="6" t="s">
        <v>57</v>
      </c>
      <c r="C15" s="6" t="s">
        <v>52</v>
      </c>
      <c r="D15" s="6" t="s">
        <v>15</v>
      </c>
      <c r="E15" s="6" t="s">
        <v>16</v>
      </c>
      <c r="F15" s="6" t="s">
        <v>17</v>
      </c>
      <c r="G15" s="6" t="s">
        <v>18</v>
      </c>
      <c r="H15" s="6" t="s">
        <v>19</v>
      </c>
      <c r="I15" s="6" t="s">
        <v>20</v>
      </c>
      <c r="J15" s="6" t="s">
        <v>21</v>
      </c>
    </row>
    <row r="16">
      <c r="A16" s="4">
        <v>46212.61928944444</v>
      </c>
      <c r="B16" s="6" t="s">
        <v>110</v>
      </c>
      <c r="C16" s="6" t="s">
        <v>52</v>
      </c>
      <c r="D16" s="6" t="s">
        <v>15</v>
      </c>
      <c r="E16" s="6" t="s">
        <v>16</v>
      </c>
      <c r="F16" s="6" t="s">
        <v>17</v>
      </c>
      <c r="G16" s="6" t="s">
        <v>18</v>
      </c>
      <c r="H16" s="6" t="s">
        <v>19</v>
      </c>
      <c r="I16" s="6" t="s">
        <v>20</v>
      </c>
      <c r="J16" s="6" t="s">
        <v>21</v>
      </c>
    </row>
    <row r="17">
      <c r="A17" s="4">
        <v>46212.61946768519</v>
      </c>
      <c r="B17" s="6" t="s">
        <v>75</v>
      </c>
      <c r="C17" s="6" t="s">
        <v>52</v>
      </c>
      <c r="D17" s="6" t="s">
        <v>15</v>
      </c>
      <c r="E17" s="6" t="s">
        <v>16</v>
      </c>
      <c r="F17" s="6" t="s">
        <v>17</v>
      </c>
      <c r="G17" s="6" t="s">
        <v>18</v>
      </c>
      <c r="H17" s="6" t="s">
        <v>19</v>
      </c>
      <c r="I17" s="6" t="s">
        <v>20</v>
      </c>
      <c r="J17" s="6" t="s">
        <v>21</v>
      </c>
    </row>
    <row r="18">
      <c r="A18" s="4">
        <v>46212.61968004629</v>
      </c>
      <c r="B18" s="6" t="s">
        <v>65</v>
      </c>
      <c r="C18" s="6" t="s">
        <v>72</v>
      </c>
      <c r="D18" s="6" t="s">
        <v>41</v>
      </c>
      <c r="E18" s="6" t="s">
        <v>33</v>
      </c>
      <c r="F18" s="6" t="s">
        <v>43</v>
      </c>
      <c r="G18" s="6" t="s">
        <v>44</v>
      </c>
      <c r="H18" s="6" t="s">
        <v>46</v>
      </c>
      <c r="I18" s="6" t="s">
        <v>47</v>
      </c>
      <c r="J18" s="6" t="s">
        <v>48</v>
      </c>
    </row>
    <row r="19">
      <c r="A19" s="4">
        <v>46212.61968251158</v>
      </c>
      <c r="B19" s="6" t="s">
        <v>119</v>
      </c>
      <c r="C19" s="6" t="s">
        <v>72</v>
      </c>
      <c r="D19" s="6" t="s">
        <v>15</v>
      </c>
      <c r="E19" s="6" t="s">
        <v>16</v>
      </c>
      <c r="F19" s="6" t="s">
        <v>17</v>
      </c>
      <c r="G19" s="6" t="s">
        <v>18</v>
      </c>
      <c r="H19" s="6" t="s">
        <v>19</v>
      </c>
      <c r="I19" s="6" t="s">
        <v>20</v>
      </c>
      <c r="J19" s="6" t="s">
        <v>21</v>
      </c>
    </row>
    <row r="20">
      <c r="A20" s="4">
        <v>46212.619883067135</v>
      </c>
      <c r="B20" s="6" t="s">
        <v>42</v>
      </c>
      <c r="C20" s="6" t="s">
        <v>52</v>
      </c>
      <c r="D20" s="6" t="s">
        <v>15</v>
      </c>
      <c r="E20" s="6" t="s">
        <v>16</v>
      </c>
      <c r="F20" s="6" t="s">
        <v>17</v>
      </c>
      <c r="G20" s="6" t="s">
        <v>18</v>
      </c>
      <c r="H20" s="6" t="s">
        <v>19</v>
      </c>
      <c r="I20" s="6" t="s">
        <v>20</v>
      </c>
      <c r="J20" s="6" t="s">
        <v>21</v>
      </c>
    </row>
    <row r="21">
      <c r="A21" s="4">
        <v>46212.61993814815</v>
      </c>
      <c r="B21" s="6" t="s">
        <v>106</v>
      </c>
      <c r="C21" s="6" t="s">
        <v>56</v>
      </c>
      <c r="D21" s="6" t="s">
        <v>15</v>
      </c>
      <c r="E21" s="6" t="s">
        <v>16</v>
      </c>
      <c r="F21" s="6" t="s">
        <v>17</v>
      </c>
      <c r="G21" s="6" t="s">
        <v>18</v>
      </c>
      <c r="H21" s="6" t="s">
        <v>19</v>
      </c>
      <c r="I21" s="6" t="s">
        <v>20</v>
      </c>
      <c r="J21" s="6" t="s">
        <v>21</v>
      </c>
    </row>
    <row r="22">
      <c r="A22" s="4">
        <v>46212.61995879629</v>
      </c>
      <c r="B22" s="6" t="s">
        <v>93</v>
      </c>
      <c r="C22" s="6" t="s">
        <v>56</v>
      </c>
      <c r="D22" s="6" t="s">
        <v>15</v>
      </c>
      <c r="E22" s="6" t="s">
        <v>16</v>
      </c>
      <c r="F22" s="6" t="s">
        <v>17</v>
      </c>
      <c r="G22" s="6" t="s">
        <v>18</v>
      </c>
      <c r="H22" s="6" t="s">
        <v>19</v>
      </c>
      <c r="I22" s="6" t="s">
        <v>20</v>
      </c>
      <c r="J22" s="6" t="s">
        <v>21</v>
      </c>
    </row>
    <row r="23">
      <c r="A23" s="4">
        <v>46212.62010760416</v>
      </c>
      <c r="B23" s="6" t="s">
        <v>144</v>
      </c>
      <c r="C23" s="6" t="s">
        <v>52</v>
      </c>
      <c r="D23" s="6" t="s">
        <v>15</v>
      </c>
      <c r="E23" s="6" t="s">
        <v>16</v>
      </c>
      <c r="F23" s="6" t="s">
        <v>17</v>
      </c>
      <c r="G23" s="6" t="s">
        <v>18</v>
      </c>
      <c r="H23" s="6" t="s">
        <v>19</v>
      </c>
      <c r="I23" s="6" t="s">
        <v>20</v>
      </c>
      <c r="J23" s="6" t="s">
        <v>21</v>
      </c>
    </row>
    <row r="24">
      <c r="A24" s="4">
        <v>46212.62025998843</v>
      </c>
      <c r="B24" s="6" t="s">
        <v>94</v>
      </c>
      <c r="C24" s="6" t="s">
        <v>56</v>
      </c>
      <c r="D24" s="6" t="s">
        <v>15</v>
      </c>
      <c r="E24" s="6" t="s">
        <v>16</v>
      </c>
      <c r="F24" s="6" t="s">
        <v>17</v>
      </c>
      <c r="G24" s="6" t="s">
        <v>18</v>
      </c>
      <c r="H24" s="6" t="s">
        <v>19</v>
      </c>
      <c r="I24" s="6" t="s">
        <v>20</v>
      </c>
      <c r="J24" s="6" t="s">
        <v>21</v>
      </c>
    </row>
    <row r="25">
      <c r="A25" s="4">
        <v>46212.62037204861</v>
      </c>
      <c r="B25" s="6" t="s">
        <v>31</v>
      </c>
      <c r="C25" s="6" t="s">
        <v>84</v>
      </c>
      <c r="D25" s="6" t="s">
        <v>15</v>
      </c>
      <c r="E25" s="6" t="s">
        <v>16</v>
      </c>
      <c r="F25" s="6" t="s">
        <v>17</v>
      </c>
      <c r="G25" s="6" t="s">
        <v>18</v>
      </c>
      <c r="H25" s="6" t="s">
        <v>19</v>
      </c>
      <c r="I25" s="6" t="s">
        <v>20</v>
      </c>
      <c r="J25" s="6" t="s">
        <v>21</v>
      </c>
    </row>
    <row r="26">
      <c r="A26" s="4">
        <v>46212.620415682875</v>
      </c>
      <c r="B26" s="6" t="s">
        <v>63</v>
      </c>
      <c r="C26" s="6" t="s">
        <v>69</v>
      </c>
      <c r="D26" s="6" t="s">
        <v>41</v>
      </c>
      <c r="E26" s="6" t="s">
        <v>16</v>
      </c>
      <c r="F26" s="6" t="s">
        <v>17</v>
      </c>
      <c r="G26" s="6" t="s">
        <v>18</v>
      </c>
      <c r="H26" s="6" t="s">
        <v>19</v>
      </c>
      <c r="I26" s="6" t="s">
        <v>20</v>
      </c>
      <c r="J26" s="6" t="s">
        <v>21</v>
      </c>
    </row>
    <row r="27">
      <c r="A27" s="4">
        <v>46212.62050746528</v>
      </c>
      <c r="B27" s="6" t="s">
        <v>67</v>
      </c>
      <c r="C27" s="6" t="s">
        <v>52</v>
      </c>
      <c r="D27" s="6" t="s">
        <v>15</v>
      </c>
      <c r="E27" s="6" t="s">
        <v>16</v>
      </c>
      <c r="F27" s="6" t="s">
        <v>17</v>
      </c>
      <c r="G27" s="6" t="s">
        <v>18</v>
      </c>
      <c r="H27" s="6" t="s">
        <v>19</v>
      </c>
      <c r="I27" s="6" t="s">
        <v>20</v>
      </c>
      <c r="J27" s="6" t="s">
        <v>21</v>
      </c>
    </row>
    <row r="28">
      <c r="A28" s="4">
        <v>46212.620628495366</v>
      </c>
      <c r="B28" s="6" t="s">
        <v>25</v>
      </c>
      <c r="C28" s="6" t="s">
        <v>223</v>
      </c>
      <c r="D28" s="6" t="s">
        <v>15</v>
      </c>
      <c r="E28" s="6" t="s">
        <v>16</v>
      </c>
      <c r="F28" s="6" t="s">
        <v>17</v>
      </c>
      <c r="G28" s="6" t="s">
        <v>18</v>
      </c>
      <c r="H28" s="6" t="s">
        <v>19</v>
      </c>
      <c r="I28" s="6" t="s">
        <v>20</v>
      </c>
      <c r="J28" s="6" t="s">
        <v>21</v>
      </c>
    </row>
    <row r="29">
      <c r="A29" s="4">
        <v>46212.62069739583</v>
      </c>
      <c r="B29" s="6" t="s">
        <v>101</v>
      </c>
      <c r="C29" s="6" t="s">
        <v>56</v>
      </c>
      <c r="D29" s="6" t="s">
        <v>15</v>
      </c>
      <c r="E29" s="6" t="s">
        <v>16</v>
      </c>
      <c r="F29" s="6" t="s">
        <v>17</v>
      </c>
      <c r="G29" s="6" t="s">
        <v>18</v>
      </c>
      <c r="H29" s="6" t="s">
        <v>19</v>
      </c>
      <c r="I29" s="6" t="s">
        <v>20</v>
      </c>
      <c r="J29" s="6" t="s">
        <v>21</v>
      </c>
    </row>
    <row r="30">
      <c r="A30" s="4">
        <v>46212.62072332176</v>
      </c>
      <c r="B30" s="6" t="s">
        <v>91</v>
      </c>
      <c r="C30" s="6" t="s">
        <v>224</v>
      </c>
      <c r="D30" s="6" t="s">
        <v>15</v>
      </c>
      <c r="E30" s="6" t="s">
        <v>16</v>
      </c>
      <c r="F30" s="6" t="s">
        <v>17</v>
      </c>
      <c r="G30" s="6" t="s">
        <v>18</v>
      </c>
      <c r="H30" s="6" t="s">
        <v>19</v>
      </c>
      <c r="I30" s="6" t="s">
        <v>20</v>
      </c>
      <c r="J30" s="6" t="s">
        <v>21</v>
      </c>
    </row>
    <row r="31">
      <c r="A31" s="4">
        <v>46212.620770821755</v>
      </c>
      <c r="B31" s="6" t="s">
        <v>59</v>
      </c>
      <c r="C31" s="6" t="s">
        <v>225</v>
      </c>
      <c r="D31" s="6" t="s">
        <v>15</v>
      </c>
      <c r="E31" s="6" t="s">
        <v>16</v>
      </c>
      <c r="F31" s="6" t="s">
        <v>17</v>
      </c>
      <c r="G31" s="6" t="s">
        <v>18</v>
      </c>
      <c r="H31" s="6" t="s">
        <v>19</v>
      </c>
      <c r="I31" s="6" t="s">
        <v>20</v>
      </c>
      <c r="J31" s="6" t="s">
        <v>21</v>
      </c>
    </row>
    <row r="32">
      <c r="A32" s="4">
        <v>46212.62084021991</v>
      </c>
      <c r="B32" s="6" t="s">
        <v>133</v>
      </c>
      <c r="C32" s="6" t="s">
        <v>226</v>
      </c>
      <c r="D32" s="6" t="s">
        <v>15</v>
      </c>
      <c r="E32" s="6" t="s">
        <v>16</v>
      </c>
      <c r="F32" s="6" t="s">
        <v>17</v>
      </c>
      <c r="G32" s="6" t="s">
        <v>18</v>
      </c>
      <c r="H32" s="6" t="s">
        <v>19</v>
      </c>
      <c r="I32" s="6" t="s">
        <v>20</v>
      </c>
      <c r="J32" s="6" t="s">
        <v>21</v>
      </c>
    </row>
    <row r="33">
      <c r="A33" s="4">
        <v>46212.620844687495</v>
      </c>
      <c r="B33" s="6" t="s">
        <v>100</v>
      </c>
      <c r="C33" s="6" t="s">
        <v>226</v>
      </c>
      <c r="D33" s="6" t="s">
        <v>15</v>
      </c>
      <c r="E33" s="6" t="s">
        <v>16</v>
      </c>
      <c r="F33" s="6" t="s">
        <v>17</v>
      </c>
      <c r="G33" s="6" t="s">
        <v>18</v>
      </c>
      <c r="H33" s="6" t="s">
        <v>19</v>
      </c>
      <c r="I33" s="6" t="s">
        <v>20</v>
      </c>
      <c r="J33" s="6" t="s">
        <v>21</v>
      </c>
    </row>
    <row r="34">
      <c r="A34" s="4">
        <v>46212.62086226852</v>
      </c>
      <c r="B34" s="6" t="s">
        <v>105</v>
      </c>
      <c r="C34" s="6" t="s">
        <v>52</v>
      </c>
      <c r="D34" s="6" t="s">
        <v>15</v>
      </c>
      <c r="E34" s="6" t="s">
        <v>16</v>
      </c>
      <c r="F34" s="6" t="s">
        <v>17</v>
      </c>
      <c r="G34" s="6" t="s">
        <v>18</v>
      </c>
      <c r="H34" s="6" t="s">
        <v>19</v>
      </c>
      <c r="I34" s="6" t="s">
        <v>20</v>
      </c>
      <c r="J34" s="6" t="s">
        <v>21</v>
      </c>
      <c r="K34" s="6" t="s">
        <v>115</v>
      </c>
    </row>
    <row r="35">
      <c r="A35" s="4">
        <v>46212.62110019676</v>
      </c>
      <c r="B35" s="6" t="s">
        <v>51</v>
      </c>
      <c r="C35" s="6" t="s">
        <v>52</v>
      </c>
      <c r="D35" s="6" t="s">
        <v>15</v>
      </c>
      <c r="E35" s="6" t="s">
        <v>16</v>
      </c>
      <c r="F35" s="6" t="s">
        <v>17</v>
      </c>
      <c r="G35" s="6" t="s">
        <v>18</v>
      </c>
      <c r="H35" s="6" t="s">
        <v>46</v>
      </c>
      <c r="I35" s="6" t="s">
        <v>228</v>
      </c>
      <c r="J35" s="6" t="s">
        <v>48</v>
      </c>
    </row>
    <row r="36">
      <c r="A36" s="4">
        <v>46212.62112171296</v>
      </c>
      <c r="B36" s="6" t="s">
        <v>118</v>
      </c>
      <c r="C36" s="6" t="s">
        <v>84</v>
      </c>
      <c r="D36" s="6" t="s">
        <v>15</v>
      </c>
      <c r="E36" s="6" t="s">
        <v>16</v>
      </c>
      <c r="F36" s="6" t="s">
        <v>17</v>
      </c>
      <c r="G36" s="6" t="s">
        <v>18</v>
      </c>
      <c r="H36" s="6" t="s">
        <v>19</v>
      </c>
      <c r="I36" s="6" t="s">
        <v>20</v>
      </c>
      <c r="J36" s="6" t="s">
        <v>21</v>
      </c>
    </row>
    <row r="37">
      <c r="A37" s="4">
        <v>46212.621218263885</v>
      </c>
      <c r="B37" s="6" t="s">
        <v>124</v>
      </c>
      <c r="C37" s="6" t="s">
        <v>56</v>
      </c>
      <c r="D37" s="6" t="s">
        <v>15</v>
      </c>
      <c r="E37" s="6" t="s">
        <v>16</v>
      </c>
      <c r="F37" s="6" t="s">
        <v>17</v>
      </c>
      <c r="G37" s="6" t="s">
        <v>18</v>
      </c>
      <c r="H37" s="6" t="s">
        <v>19</v>
      </c>
      <c r="I37" s="6" t="s">
        <v>20</v>
      </c>
      <c r="J37" s="6" t="s">
        <v>21</v>
      </c>
    </row>
    <row r="38">
      <c r="A38" s="4">
        <v>46212.62122513889</v>
      </c>
      <c r="B38" s="6" t="s">
        <v>62</v>
      </c>
      <c r="C38" s="6" t="s">
        <v>52</v>
      </c>
      <c r="D38" s="6" t="s">
        <v>15</v>
      </c>
      <c r="E38" s="6" t="s">
        <v>16</v>
      </c>
      <c r="F38" s="6" t="s">
        <v>17</v>
      </c>
      <c r="G38" s="6" t="s">
        <v>18</v>
      </c>
      <c r="H38" s="6" t="s">
        <v>19</v>
      </c>
      <c r="I38" s="6" t="s">
        <v>20</v>
      </c>
      <c r="J38" s="6" t="s">
        <v>21</v>
      </c>
    </row>
    <row r="39">
      <c r="A39" s="4">
        <v>46212.621264305555</v>
      </c>
      <c r="B39" s="6" t="s">
        <v>138</v>
      </c>
      <c r="C39" s="6" t="s">
        <v>139</v>
      </c>
      <c r="D39" s="6" t="s">
        <v>15</v>
      </c>
      <c r="E39" s="6" t="s">
        <v>16</v>
      </c>
      <c r="F39" s="6" t="s">
        <v>17</v>
      </c>
      <c r="G39" s="6" t="s">
        <v>18</v>
      </c>
      <c r="H39" s="6" t="s">
        <v>19</v>
      </c>
      <c r="I39" s="6" t="s">
        <v>20</v>
      </c>
      <c r="J39" s="6" t="s">
        <v>21</v>
      </c>
    </row>
    <row r="40">
      <c r="A40" s="4">
        <v>46212.62146578704</v>
      </c>
      <c r="B40" s="6" t="s">
        <v>123</v>
      </c>
      <c r="C40" s="6" t="s">
        <v>52</v>
      </c>
      <c r="D40" s="6" t="s">
        <v>15</v>
      </c>
      <c r="E40" s="6" t="s">
        <v>16</v>
      </c>
      <c r="F40" s="6" t="s">
        <v>17</v>
      </c>
      <c r="G40" s="6" t="s">
        <v>18</v>
      </c>
      <c r="H40" s="6" t="s">
        <v>19</v>
      </c>
      <c r="I40" s="6" t="s">
        <v>20</v>
      </c>
      <c r="J40" s="6" t="s">
        <v>21</v>
      </c>
    </row>
    <row r="41">
      <c r="A41" s="4">
        <v>46212.6215221412</v>
      </c>
      <c r="B41" s="6" t="s">
        <v>125</v>
      </c>
      <c r="C41" s="6" t="s">
        <v>52</v>
      </c>
      <c r="D41" s="6" t="s">
        <v>15</v>
      </c>
      <c r="E41" s="6" t="s">
        <v>16</v>
      </c>
      <c r="F41" s="6" t="s">
        <v>17</v>
      </c>
      <c r="G41" s="6" t="s">
        <v>18</v>
      </c>
      <c r="H41" s="6" t="s">
        <v>19</v>
      </c>
      <c r="I41" s="6" t="s">
        <v>20</v>
      </c>
      <c r="J41" s="6" t="s">
        <v>21</v>
      </c>
    </row>
    <row r="42">
      <c r="A42" s="4">
        <v>46212.621534872684</v>
      </c>
      <c r="B42" s="6" t="s">
        <v>108</v>
      </c>
      <c r="C42" s="6" t="s">
        <v>52</v>
      </c>
      <c r="D42" s="6" t="s">
        <v>15</v>
      </c>
      <c r="E42" s="6" t="s">
        <v>16</v>
      </c>
      <c r="F42" s="6" t="s">
        <v>17</v>
      </c>
      <c r="G42" s="6" t="s">
        <v>18</v>
      </c>
      <c r="H42" s="6" t="s">
        <v>19</v>
      </c>
      <c r="I42" s="6" t="s">
        <v>20</v>
      </c>
      <c r="J42" s="6" t="s">
        <v>21</v>
      </c>
    </row>
    <row r="43">
      <c r="A43" s="4">
        <v>46212.62155172454</v>
      </c>
      <c r="B43" s="6" t="s">
        <v>151</v>
      </c>
      <c r="C43" s="6" t="s">
        <v>52</v>
      </c>
      <c r="D43" s="6" t="s">
        <v>15</v>
      </c>
      <c r="E43" s="6" t="s">
        <v>16</v>
      </c>
      <c r="F43" s="6" t="s">
        <v>17</v>
      </c>
      <c r="G43" s="6" t="s">
        <v>18</v>
      </c>
      <c r="H43" s="6" t="s">
        <v>19</v>
      </c>
      <c r="I43" s="6" t="s">
        <v>20</v>
      </c>
      <c r="J43" s="6" t="s">
        <v>21</v>
      </c>
    </row>
    <row r="44">
      <c r="A44" s="4">
        <v>46212.621554722224</v>
      </c>
      <c r="B44" s="6" t="s">
        <v>134</v>
      </c>
      <c r="C44" s="6" t="s">
        <v>52</v>
      </c>
      <c r="D44" s="6" t="s">
        <v>15</v>
      </c>
      <c r="E44" s="6" t="s">
        <v>16</v>
      </c>
      <c r="F44" s="6" t="s">
        <v>17</v>
      </c>
      <c r="G44" s="6" t="s">
        <v>18</v>
      </c>
      <c r="H44" s="6" t="s">
        <v>19</v>
      </c>
      <c r="I44" s="6" t="s">
        <v>20</v>
      </c>
      <c r="J44" s="6" t="s">
        <v>21</v>
      </c>
    </row>
    <row r="45">
      <c r="A45" s="4">
        <v>46212.62168917824</v>
      </c>
      <c r="B45" s="6" t="s">
        <v>142</v>
      </c>
      <c r="C45" s="6" t="s">
        <v>136</v>
      </c>
      <c r="D45" s="6" t="s">
        <v>15</v>
      </c>
      <c r="E45" s="6" t="s">
        <v>16</v>
      </c>
      <c r="F45" s="6" t="s">
        <v>17</v>
      </c>
      <c r="G45" s="6" t="s">
        <v>18</v>
      </c>
      <c r="H45" s="6" t="s">
        <v>19</v>
      </c>
      <c r="I45" s="6" t="s">
        <v>20</v>
      </c>
      <c r="J45" s="6" t="s">
        <v>21</v>
      </c>
    </row>
    <row r="46">
      <c r="A46" s="4">
        <v>46212.621933981485</v>
      </c>
      <c r="B46" s="6" t="s">
        <v>148</v>
      </c>
      <c r="C46" s="6" t="s">
        <v>154</v>
      </c>
      <c r="D46" s="6" t="s">
        <v>15</v>
      </c>
      <c r="E46" s="6" t="s">
        <v>16</v>
      </c>
      <c r="F46" s="6" t="s">
        <v>17</v>
      </c>
      <c r="G46" s="6" t="s">
        <v>18</v>
      </c>
      <c r="H46" s="6" t="s">
        <v>19</v>
      </c>
      <c r="I46" s="6" t="s">
        <v>20</v>
      </c>
      <c r="J46" s="6" t="s">
        <v>21</v>
      </c>
    </row>
    <row r="47">
      <c r="A47" s="4">
        <v>46212.62196497685</v>
      </c>
      <c r="B47" s="6" t="s">
        <v>73</v>
      </c>
      <c r="C47" s="6" t="s">
        <v>56</v>
      </c>
      <c r="D47" s="6" t="s">
        <v>15</v>
      </c>
      <c r="E47" s="6" t="s">
        <v>16</v>
      </c>
      <c r="F47" s="6" t="s">
        <v>17</v>
      </c>
      <c r="G47" s="6" t="s">
        <v>18</v>
      </c>
      <c r="H47" s="6" t="s">
        <v>19</v>
      </c>
      <c r="I47" s="6" t="s">
        <v>20</v>
      </c>
      <c r="J47" s="6" t="s">
        <v>21</v>
      </c>
    </row>
    <row r="48">
      <c r="A48" s="4">
        <v>46212.62210681713</v>
      </c>
      <c r="B48" s="6" t="s">
        <v>158</v>
      </c>
      <c r="C48" s="6" t="s">
        <v>136</v>
      </c>
      <c r="D48" s="6" t="s">
        <v>15</v>
      </c>
      <c r="E48" s="6" t="s">
        <v>16</v>
      </c>
      <c r="F48" s="6" t="s">
        <v>17</v>
      </c>
      <c r="G48" s="6" t="s">
        <v>18</v>
      </c>
      <c r="H48" s="6" t="s">
        <v>19</v>
      </c>
      <c r="I48" s="6" t="s">
        <v>20</v>
      </c>
      <c r="J48" s="6" t="s">
        <v>21</v>
      </c>
    </row>
    <row r="49">
      <c r="A49" s="4">
        <v>46212.62232032407</v>
      </c>
      <c r="B49" s="6" t="s">
        <v>53</v>
      </c>
      <c r="C49" s="6" t="s">
        <v>52</v>
      </c>
      <c r="D49" s="6" t="s">
        <v>15</v>
      </c>
      <c r="E49" s="6" t="s">
        <v>16</v>
      </c>
      <c r="F49" s="6" t="s">
        <v>17</v>
      </c>
      <c r="G49" s="6" t="s">
        <v>18</v>
      </c>
      <c r="H49" s="6" t="s">
        <v>19</v>
      </c>
      <c r="I49" s="6" t="s">
        <v>20</v>
      </c>
      <c r="J49" s="6" t="s">
        <v>21</v>
      </c>
    </row>
    <row r="50">
      <c r="A50" s="4">
        <v>46212.622611122686</v>
      </c>
      <c r="B50" s="6" t="s">
        <v>128</v>
      </c>
      <c r="C50" s="6" t="s">
        <v>229</v>
      </c>
      <c r="D50" s="6" t="s">
        <v>15</v>
      </c>
      <c r="E50" s="6" t="s">
        <v>16</v>
      </c>
      <c r="F50" s="6" t="s">
        <v>17</v>
      </c>
      <c r="G50" s="6" t="s">
        <v>18</v>
      </c>
      <c r="H50" s="6" t="s">
        <v>19</v>
      </c>
      <c r="I50" s="6" t="s">
        <v>20</v>
      </c>
      <c r="J50" s="6" t="s">
        <v>21</v>
      </c>
      <c r="K50" s="6" t="s">
        <v>29</v>
      </c>
    </row>
    <row r="51">
      <c r="A51" s="4">
        <v>46212.62275630787</v>
      </c>
      <c r="B51" s="6" t="s">
        <v>98</v>
      </c>
      <c r="C51" s="6" t="s">
        <v>52</v>
      </c>
      <c r="D51" s="6" t="s">
        <v>15</v>
      </c>
      <c r="E51" s="6" t="s">
        <v>16</v>
      </c>
      <c r="F51" s="6" t="s">
        <v>17</v>
      </c>
      <c r="G51" s="6" t="s">
        <v>18</v>
      </c>
      <c r="H51" s="6" t="s">
        <v>19</v>
      </c>
      <c r="I51" s="6" t="s">
        <v>20</v>
      </c>
      <c r="J51" s="6" t="s">
        <v>21</v>
      </c>
      <c r="K51" s="6" t="s">
        <v>34</v>
      </c>
    </row>
    <row r="52">
      <c r="A52" s="4">
        <v>46212.62276002315</v>
      </c>
      <c r="B52" s="6" t="s">
        <v>161</v>
      </c>
      <c r="C52" s="6" t="s">
        <v>52</v>
      </c>
      <c r="D52" s="6" t="s">
        <v>15</v>
      </c>
      <c r="E52" s="6" t="s">
        <v>16</v>
      </c>
      <c r="F52" s="6" t="s">
        <v>17</v>
      </c>
      <c r="G52" s="6" t="s">
        <v>18</v>
      </c>
      <c r="H52" s="6" t="s">
        <v>19</v>
      </c>
      <c r="I52" s="6" t="s">
        <v>20</v>
      </c>
      <c r="J52" s="6" t="s">
        <v>21</v>
      </c>
      <c r="K52" s="6" t="s">
        <v>231</v>
      </c>
    </row>
    <row r="53">
      <c r="A53" s="4">
        <v>46212.622844537036</v>
      </c>
      <c r="B53" s="6" t="s">
        <v>74</v>
      </c>
      <c r="C53" s="6" t="s">
        <v>52</v>
      </c>
      <c r="D53" s="6" t="s">
        <v>15</v>
      </c>
      <c r="E53" s="6" t="s">
        <v>16</v>
      </c>
      <c r="F53" s="6" t="s">
        <v>17</v>
      </c>
      <c r="G53" s="6" t="s">
        <v>18</v>
      </c>
      <c r="H53" s="6" t="s">
        <v>19</v>
      </c>
      <c r="I53" s="6" t="s">
        <v>20</v>
      </c>
      <c r="J53" s="6" t="s">
        <v>21</v>
      </c>
    </row>
    <row r="54">
      <c r="A54" s="4">
        <v>46212.62300894676</v>
      </c>
      <c r="B54" s="6" t="s">
        <v>68</v>
      </c>
      <c r="C54" s="6" t="s">
        <v>52</v>
      </c>
      <c r="D54" s="6" t="s">
        <v>15</v>
      </c>
      <c r="E54" s="6" t="s">
        <v>16</v>
      </c>
      <c r="F54" s="6" t="s">
        <v>17</v>
      </c>
      <c r="G54" s="6" t="s">
        <v>18</v>
      </c>
      <c r="H54" s="6" t="s">
        <v>19</v>
      </c>
      <c r="I54" s="6" t="s">
        <v>20</v>
      </c>
      <c r="J54" s="6" t="s">
        <v>21</v>
      </c>
    </row>
    <row r="55">
      <c r="A55" s="4">
        <v>46212.623097268515</v>
      </c>
      <c r="B55" s="6" t="s">
        <v>55</v>
      </c>
      <c r="C55" s="6" t="s">
        <v>56</v>
      </c>
      <c r="D55" s="6" t="s">
        <v>15</v>
      </c>
      <c r="E55" s="6" t="s">
        <v>16</v>
      </c>
      <c r="F55" s="6" t="s">
        <v>17</v>
      </c>
      <c r="G55" s="6" t="s">
        <v>18</v>
      </c>
      <c r="H55" s="6" t="s">
        <v>19</v>
      </c>
      <c r="I55" s="6" t="s">
        <v>20</v>
      </c>
      <c r="J55" s="6" t="s">
        <v>21</v>
      </c>
    </row>
    <row r="56">
      <c r="A56" s="4">
        <v>46212.623100833334</v>
      </c>
      <c r="B56" s="6" t="s">
        <v>89</v>
      </c>
      <c r="C56" s="6" t="s">
        <v>52</v>
      </c>
      <c r="D56" s="6" t="s">
        <v>15</v>
      </c>
      <c r="E56" s="6" t="s">
        <v>16</v>
      </c>
      <c r="F56" s="6" t="s">
        <v>17</v>
      </c>
      <c r="G56" s="6" t="s">
        <v>18</v>
      </c>
      <c r="H56" s="6" t="s">
        <v>19</v>
      </c>
      <c r="I56" s="6" t="s">
        <v>20</v>
      </c>
      <c r="J56" s="6" t="s">
        <v>21</v>
      </c>
      <c r="K56" s="6" t="s">
        <v>29</v>
      </c>
    </row>
    <row r="57">
      <c r="A57" s="4">
        <v>46212.62337756944</v>
      </c>
      <c r="B57" s="6" t="s">
        <v>102</v>
      </c>
      <c r="C57" s="6" t="s">
        <v>52</v>
      </c>
      <c r="D57" s="6" t="s">
        <v>15</v>
      </c>
      <c r="E57" s="6" t="s">
        <v>16</v>
      </c>
      <c r="F57" s="6" t="s">
        <v>17</v>
      </c>
      <c r="G57" s="6" t="s">
        <v>18</v>
      </c>
      <c r="H57" s="6" t="s">
        <v>19</v>
      </c>
      <c r="I57" s="6" t="s">
        <v>20</v>
      </c>
      <c r="J57" s="6" t="s">
        <v>21</v>
      </c>
    </row>
    <row r="58">
      <c r="A58" s="4">
        <v>46212.62354673611</v>
      </c>
      <c r="B58" s="6" t="s">
        <v>88</v>
      </c>
      <c r="C58" s="6" t="s">
        <v>52</v>
      </c>
      <c r="D58" s="6" t="s">
        <v>15</v>
      </c>
      <c r="E58" s="6" t="s">
        <v>16</v>
      </c>
      <c r="F58" s="6" t="s">
        <v>17</v>
      </c>
      <c r="G58" s="6" t="s">
        <v>18</v>
      </c>
      <c r="H58" s="6" t="s">
        <v>19</v>
      </c>
      <c r="I58" s="6" t="s">
        <v>20</v>
      </c>
      <c r="J58" s="6" t="s">
        <v>21</v>
      </c>
    </row>
    <row r="59">
      <c r="A59" s="4">
        <v>46212.62358246528</v>
      </c>
      <c r="B59" s="6" t="s">
        <v>61</v>
      </c>
      <c r="C59" s="6" t="s">
        <v>52</v>
      </c>
      <c r="D59" s="6" t="s">
        <v>15</v>
      </c>
      <c r="E59" s="6" t="s">
        <v>16</v>
      </c>
      <c r="F59" s="6" t="s">
        <v>17</v>
      </c>
      <c r="G59" s="6" t="s">
        <v>18</v>
      </c>
      <c r="H59" s="6" t="s">
        <v>19</v>
      </c>
      <c r="I59" s="6" t="s">
        <v>20</v>
      </c>
      <c r="J59" s="6" t="s">
        <v>21</v>
      </c>
    </row>
    <row r="60">
      <c r="A60" s="4">
        <v>46212.62359836805</v>
      </c>
      <c r="B60" s="6" t="s">
        <v>147</v>
      </c>
      <c r="C60" s="6" t="s">
        <v>72</v>
      </c>
      <c r="D60" s="6" t="s">
        <v>15</v>
      </c>
      <c r="E60" s="6" t="s">
        <v>16</v>
      </c>
      <c r="F60" s="6" t="s">
        <v>17</v>
      </c>
      <c r="G60" s="6" t="s">
        <v>18</v>
      </c>
      <c r="H60" s="6" t="s">
        <v>19</v>
      </c>
      <c r="I60" s="6" t="s">
        <v>20</v>
      </c>
      <c r="J60" s="6" t="s">
        <v>21</v>
      </c>
    </row>
    <row r="61">
      <c r="A61" s="4">
        <v>46212.62361284722</v>
      </c>
      <c r="B61" s="6" t="s">
        <v>71</v>
      </c>
      <c r="C61" s="6" t="s">
        <v>72</v>
      </c>
      <c r="D61" s="6" t="s">
        <v>15</v>
      </c>
      <c r="E61" s="6" t="s">
        <v>16</v>
      </c>
      <c r="F61" s="6" t="s">
        <v>17</v>
      </c>
      <c r="G61" s="6" t="s">
        <v>18</v>
      </c>
      <c r="H61" s="6" t="s">
        <v>19</v>
      </c>
      <c r="I61" s="6" t="s">
        <v>20</v>
      </c>
      <c r="J61" s="6" t="s">
        <v>21</v>
      </c>
    </row>
    <row r="62">
      <c r="A62" s="4">
        <v>46212.62361553241</v>
      </c>
      <c r="B62" s="6" t="s">
        <v>150</v>
      </c>
      <c r="C62" s="6" t="s">
        <v>52</v>
      </c>
      <c r="D62" s="6" t="s">
        <v>15</v>
      </c>
      <c r="E62" s="6" t="s">
        <v>16</v>
      </c>
      <c r="F62" s="6" t="s">
        <v>17</v>
      </c>
      <c r="G62" s="6" t="s">
        <v>18</v>
      </c>
      <c r="H62" s="6" t="s">
        <v>19</v>
      </c>
      <c r="I62" s="6" t="s">
        <v>20</v>
      </c>
      <c r="J62" s="6" t="s">
        <v>21</v>
      </c>
    </row>
    <row r="63">
      <c r="A63" s="4">
        <v>46212.6236922338</v>
      </c>
      <c r="B63" s="6" t="s">
        <v>95</v>
      </c>
      <c r="C63" s="6" t="s">
        <v>136</v>
      </c>
      <c r="D63" s="6" t="s">
        <v>15</v>
      </c>
      <c r="E63" s="6" t="s">
        <v>16</v>
      </c>
      <c r="F63" s="6" t="s">
        <v>43</v>
      </c>
      <c r="G63" s="6" t="s">
        <v>18</v>
      </c>
      <c r="H63" s="6" t="s">
        <v>19</v>
      </c>
      <c r="I63" s="6" t="s">
        <v>20</v>
      </c>
      <c r="J63" s="6" t="s">
        <v>21</v>
      </c>
    </row>
    <row r="64">
      <c r="A64" s="4">
        <v>46212.62370329861</v>
      </c>
      <c r="B64" s="6" t="s">
        <v>81</v>
      </c>
      <c r="C64" s="6" t="s">
        <v>139</v>
      </c>
      <c r="D64" s="6" t="s">
        <v>15</v>
      </c>
      <c r="E64" s="6" t="s">
        <v>16</v>
      </c>
      <c r="F64" s="6" t="s">
        <v>17</v>
      </c>
      <c r="G64" s="6" t="s">
        <v>18</v>
      </c>
      <c r="H64" s="6" t="s">
        <v>19</v>
      </c>
      <c r="I64" s="6" t="s">
        <v>20</v>
      </c>
      <c r="J64" s="6" t="s">
        <v>21</v>
      </c>
    </row>
    <row r="65">
      <c r="A65" s="4">
        <v>46212.62371540509</v>
      </c>
      <c r="B65" s="6" t="s">
        <v>121</v>
      </c>
      <c r="C65" s="6" t="s">
        <v>52</v>
      </c>
      <c r="D65" s="6" t="s">
        <v>15</v>
      </c>
      <c r="E65" s="6" t="s">
        <v>16</v>
      </c>
      <c r="F65" s="6" t="s">
        <v>17</v>
      </c>
      <c r="G65" s="6" t="s">
        <v>18</v>
      </c>
      <c r="H65" s="6" t="s">
        <v>19</v>
      </c>
      <c r="I65" s="6" t="s">
        <v>20</v>
      </c>
      <c r="J65" s="6" t="s">
        <v>21</v>
      </c>
    </row>
    <row r="66">
      <c r="A66" s="4">
        <v>46212.62378928241</v>
      </c>
      <c r="B66" s="6" t="s">
        <v>86</v>
      </c>
      <c r="C66" s="6" t="s">
        <v>52</v>
      </c>
      <c r="D66" s="6" t="s">
        <v>15</v>
      </c>
      <c r="E66" s="6" t="s">
        <v>16</v>
      </c>
      <c r="F66" s="6" t="s">
        <v>17</v>
      </c>
      <c r="G66" s="6" t="s">
        <v>18</v>
      </c>
      <c r="H66" s="6" t="s">
        <v>19</v>
      </c>
      <c r="I66" s="6" t="s">
        <v>20</v>
      </c>
      <c r="J66" s="6" t="s">
        <v>21</v>
      </c>
    </row>
    <row r="67">
      <c r="A67" s="4">
        <v>46212.62384612269</v>
      </c>
      <c r="B67" s="6" t="s">
        <v>135</v>
      </c>
      <c r="C67" s="6" t="s">
        <v>66</v>
      </c>
      <c r="D67" s="6" t="s">
        <v>15</v>
      </c>
      <c r="E67" s="6" t="s">
        <v>16</v>
      </c>
      <c r="F67" s="6" t="s">
        <v>17</v>
      </c>
      <c r="G67" s="6" t="s">
        <v>18</v>
      </c>
      <c r="H67" s="6" t="s">
        <v>19</v>
      </c>
      <c r="I67" s="6" t="s">
        <v>20</v>
      </c>
      <c r="J67" s="6" t="s">
        <v>21</v>
      </c>
    </row>
    <row r="68">
      <c r="A68" s="4">
        <v>46212.623970706016</v>
      </c>
      <c r="B68" s="6" t="s">
        <v>114</v>
      </c>
      <c r="C68" s="6" t="s">
        <v>56</v>
      </c>
      <c r="D68" s="6" t="s">
        <v>15</v>
      </c>
      <c r="E68" s="6" t="s">
        <v>16</v>
      </c>
      <c r="F68" s="6" t="s">
        <v>17</v>
      </c>
      <c r="G68" s="6" t="s">
        <v>18</v>
      </c>
      <c r="H68" s="6" t="s">
        <v>19</v>
      </c>
      <c r="I68" s="6" t="s">
        <v>20</v>
      </c>
      <c r="J68" s="6" t="s">
        <v>21</v>
      </c>
    </row>
    <row r="69">
      <c r="A69" s="4">
        <v>46212.62399283565</v>
      </c>
      <c r="B69" s="6" t="s">
        <v>137</v>
      </c>
      <c r="C69" s="6" t="s">
        <v>145</v>
      </c>
      <c r="D69" s="6" t="s">
        <v>15</v>
      </c>
      <c r="E69" s="6" t="s">
        <v>16</v>
      </c>
      <c r="F69" s="6" t="s">
        <v>17</v>
      </c>
      <c r="G69" s="6" t="s">
        <v>18</v>
      </c>
      <c r="H69" s="6" t="s">
        <v>19</v>
      </c>
      <c r="I69" s="6" t="s">
        <v>20</v>
      </c>
      <c r="J69" s="6" t="s">
        <v>21</v>
      </c>
    </row>
    <row r="70">
      <c r="A70" s="4">
        <v>46212.62403653935</v>
      </c>
      <c r="B70" s="6" t="s">
        <v>104</v>
      </c>
      <c r="C70" s="6" t="s">
        <v>52</v>
      </c>
      <c r="D70" s="6" t="s">
        <v>15</v>
      </c>
      <c r="E70" s="6" t="s">
        <v>16</v>
      </c>
      <c r="F70" s="6" t="s">
        <v>17</v>
      </c>
      <c r="G70" s="6" t="s">
        <v>18</v>
      </c>
      <c r="H70" s="6" t="s">
        <v>19</v>
      </c>
      <c r="I70" s="6" t="s">
        <v>20</v>
      </c>
      <c r="J70" s="6" t="s">
        <v>21</v>
      </c>
    </row>
    <row r="71">
      <c r="A71" s="4">
        <v>46212.62406174769</v>
      </c>
      <c r="B71" s="6" t="s">
        <v>113</v>
      </c>
      <c r="C71" s="6" t="s">
        <v>52</v>
      </c>
      <c r="D71" s="6" t="s">
        <v>15</v>
      </c>
      <c r="E71" s="6" t="s">
        <v>16</v>
      </c>
      <c r="F71" s="6" t="s">
        <v>17</v>
      </c>
      <c r="G71" s="6" t="s">
        <v>18</v>
      </c>
      <c r="H71" s="6" t="s">
        <v>19</v>
      </c>
      <c r="I71" s="6" t="s">
        <v>20</v>
      </c>
      <c r="J71" s="6" t="s">
        <v>21</v>
      </c>
    </row>
    <row r="72">
      <c r="A72" s="4">
        <v>46212.62430835648</v>
      </c>
      <c r="B72" s="6" t="s">
        <v>162</v>
      </c>
      <c r="C72" s="6" t="s">
        <v>52</v>
      </c>
      <c r="D72" s="6" t="s">
        <v>15</v>
      </c>
      <c r="E72" s="6" t="s">
        <v>16</v>
      </c>
      <c r="F72" s="6" t="s">
        <v>17</v>
      </c>
      <c r="G72" s="6" t="s">
        <v>18</v>
      </c>
      <c r="H72" s="6" t="s">
        <v>19</v>
      </c>
      <c r="I72" s="6" t="s">
        <v>20</v>
      </c>
      <c r="J72" s="6" t="s">
        <v>21</v>
      </c>
    </row>
    <row r="73">
      <c r="A73" s="4">
        <v>46212.62451361111</v>
      </c>
      <c r="B73" s="6" t="s">
        <v>126</v>
      </c>
      <c r="C73" s="6" t="s">
        <v>152</v>
      </c>
      <c r="D73" s="6" t="s">
        <v>15</v>
      </c>
      <c r="E73" s="6" t="s">
        <v>16</v>
      </c>
      <c r="F73" s="6" t="s">
        <v>17</v>
      </c>
      <c r="G73" s="6" t="s">
        <v>18</v>
      </c>
      <c r="H73" s="6" t="s">
        <v>19</v>
      </c>
      <c r="I73" s="6" t="s">
        <v>20</v>
      </c>
      <c r="J73" s="6" t="s">
        <v>21</v>
      </c>
    </row>
    <row r="74">
      <c r="A74" s="4">
        <v>46212.62460920139</v>
      </c>
      <c r="B74" s="6" t="s">
        <v>92</v>
      </c>
      <c r="C74" s="6" t="s">
        <v>52</v>
      </c>
      <c r="D74" s="6" t="s">
        <v>15</v>
      </c>
      <c r="E74" s="6" t="s">
        <v>16</v>
      </c>
      <c r="F74" s="6" t="s">
        <v>17</v>
      </c>
      <c r="G74" s="6" t="s">
        <v>18</v>
      </c>
      <c r="H74" s="6" t="s">
        <v>19</v>
      </c>
      <c r="I74" s="6" t="s">
        <v>20</v>
      </c>
      <c r="J74" s="6" t="s">
        <v>21</v>
      </c>
    </row>
    <row r="75">
      <c r="A75" s="4">
        <v>46212.625703356476</v>
      </c>
      <c r="B75" s="6" t="s">
        <v>82</v>
      </c>
      <c r="C75" s="6" t="s">
        <v>83</v>
      </c>
      <c r="D75" s="6" t="s">
        <v>15</v>
      </c>
      <c r="E75" s="6" t="s">
        <v>16</v>
      </c>
      <c r="F75" s="6" t="s">
        <v>17</v>
      </c>
      <c r="G75" s="6" t="s">
        <v>18</v>
      </c>
      <c r="H75" s="6" t="s">
        <v>19</v>
      </c>
      <c r="I75" s="6" t="s">
        <v>20</v>
      </c>
      <c r="J75" s="6" t="s">
        <v>21</v>
      </c>
    </row>
    <row r="76">
      <c r="A76" s="4">
        <v>46212.62586054398</v>
      </c>
      <c r="B76" s="6" t="s">
        <v>130</v>
      </c>
      <c r="C76" s="6" t="s">
        <v>52</v>
      </c>
      <c r="D76" s="6" t="s">
        <v>15</v>
      </c>
      <c r="E76" s="6" t="s">
        <v>16</v>
      </c>
      <c r="F76" s="6" t="s">
        <v>17</v>
      </c>
      <c r="G76" s="6" t="s">
        <v>18</v>
      </c>
      <c r="H76" s="6" t="s">
        <v>19</v>
      </c>
      <c r="I76" s="6" t="s">
        <v>20</v>
      </c>
      <c r="J76" s="6" t="s">
        <v>21</v>
      </c>
    </row>
    <row r="77">
      <c r="A77" s="4">
        <v>46212.63141458333</v>
      </c>
      <c r="B77" s="6" t="s">
        <v>169</v>
      </c>
      <c r="C77" s="6" t="s">
        <v>52</v>
      </c>
      <c r="D77" s="6" t="s">
        <v>15</v>
      </c>
      <c r="E77" s="6" t="s">
        <v>16</v>
      </c>
      <c r="F77" s="6" t="s">
        <v>17</v>
      </c>
      <c r="G77" s="6" t="s">
        <v>18</v>
      </c>
      <c r="H77" s="6" t="s">
        <v>19</v>
      </c>
      <c r="I77" s="6" t="s">
        <v>20</v>
      </c>
      <c r="J77" s="6" t="s">
        <v>21</v>
      </c>
    </row>
    <row r="78">
      <c r="A78" s="4">
        <v>46212.70981190972</v>
      </c>
      <c r="B78" s="6" t="s">
        <v>70</v>
      </c>
      <c r="C78" s="6" t="s">
        <v>52</v>
      </c>
      <c r="D78" s="6" t="s">
        <v>41</v>
      </c>
      <c r="E78" s="6" t="s">
        <v>33</v>
      </c>
      <c r="F78" s="6" t="s">
        <v>43</v>
      </c>
      <c r="G78" s="6" t="s">
        <v>44</v>
      </c>
      <c r="H78" s="6" t="s">
        <v>46</v>
      </c>
      <c r="I78" s="6" t="s">
        <v>47</v>
      </c>
      <c r="J78" s="6" t="s">
        <v>48</v>
      </c>
    </row>
    <row r="79">
      <c r="A79" s="4">
        <v>46212.83464611111</v>
      </c>
      <c r="B79" s="6" t="s">
        <v>155</v>
      </c>
      <c r="C79" s="6" t="s">
        <v>52</v>
      </c>
      <c r="D79" s="6" t="s">
        <v>15</v>
      </c>
      <c r="E79" s="6" t="s">
        <v>16</v>
      </c>
      <c r="F79" s="6" t="s">
        <v>17</v>
      </c>
      <c r="G79" s="6" t="s">
        <v>18</v>
      </c>
      <c r="H79" s="6" t="s">
        <v>19</v>
      </c>
      <c r="I79" s="6" t="s">
        <v>20</v>
      </c>
      <c r="J79" s="6" t="s">
        <v>21</v>
      </c>
    </row>
    <row r="80">
      <c r="A80" s="4">
        <v>46213.405286724534</v>
      </c>
      <c r="B80" s="6" t="s">
        <v>171</v>
      </c>
      <c r="C80" s="6" t="s">
        <v>72</v>
      </c>
      <c r="D80" s="6" t="s">
        <v>15</v>
      </c>
      <c r="E80" s="6" t="s">
        <v>16</v>
      </c>
      <c r="F80" s="6" t="s">
        <v>17</v>
      </c>
      <c r="G80" s="6" t="s">
        <v>18</v>
      </c>
      <c r="H80" s="6" t="s">
        <v>19</v>
      </c>
      <c r="I80" s="6" t="s">
        <v>20</v>
      </c>
      <c r="J80" s="6" t="s">
        <v>21</v>
      </c>
    </row>
    <row r="81">
      <c r="A81" s="4">
        <v>46213.45542844907</v>
      </c>
      <c r="B81" s="6" t="s">
        <v>172</v>
      </c>
      <c r="C81" s="6" t="s">
        <v>52</v>
      </c>
      <c r="D81" s="6" t="s">
        <v>41</v>
      </c>
      <c r="E81" s="6" t="s">
        <v>33</v>
      </c>
      <c r="F81" s="6" t="s">
        <v>17</v>
      </c>
      <c r="G81" s="6" t="s">
        <v>44</v>
      </c>
      <c r="H81" s="6" t="s">
        <v>19</v>
      </c>
      <c r="I81" s="6" t="s">
        <v>20</v>
      </c>
      <c r="J81" s="6" t="s">
        <v>21</v>
      </c>
      <c r="K81" s="6" t="s">
        <v>115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4" max="4" width="2.13"/>
    <col customWidth="1" min="14" max="14" width="24.5"/>
  </cols>
  <sheetData>
    <row r="1">
      <c r="A1" s="2" t="s">
        <v>0</v>
      </c>
      <c r="B1" s="2" t="s">
        <v>1</v>
      </c>
      <c r="C1" s="3" t="s">
        <v>2</v>
      </c>
      <c r="D1" s="5"/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3" t="s">
        <v>9</v>
      </c>
      <c r="L1" s="2"/>
      <c r="M1" s="7" t="s">
        <v>24</v>
      </c>
    </row>
    <row r="2">
      <c r="A2" s="8">
        <f>'1.4'!A:A</f>
        <v>46181.52371</v>
      </c>
      <c r="B2" s="2" t="str">
        <f>'1.4'!B:B</f>
        <v>bnco0910@signalschool.ac.th</v>
      </c>
      <c r="C2" s="2" t="str">
        <f>'1.4'!C:C</f>
        <v>จ.ส.ต. ภาณุพงษ์ ใจเฉื่อย</v>
      </c>
      <c r="D2" s="9">
        <v>1.0</v>
      </c>
      <c r="E2" s="10">
        <f>IFERROR(vlookup('1.4'!D:D,lookup!$A$2:$B$4,2,false),0)</f>
        <v>5</v>
      </c>
      <c r="F2" s="10">
        <f>IFERROR(vlookup('1.4'!E:E,lookup!$A$6:$B$8,2,false),0)</f>
        <v>5</v>
      </c>
      <c r="G2" s="10">
        <f>IFERROR(vlookup('1.4'!F:F,lookup!$A$10:$B$12,2,false),0)</f>
        <v>5</v>
      </c>
      <c r="H2" s="10">
        <f>IFERROR(vlookup('1.4'!G:G,lookup!$A$14:$B$16,2,false),0)</f>
        <v>5</v>
      </c>
      <c r="I2" s="10">
        <f>IFERROR(vlookup('1.4'!H:H,lookup!$A$18:$B$20,2,false),0)</f>
        <v>5</v>
      </c>
      <c r="J2" s="10">
        <f>IFERROR(vlookup('1.4'!I:I,lookup!$A$22:$B$24,2,false),0)</f>
        <v>5</v>
      </c>
      <c r="K2" s="10">
        <f>IFERROR(vlookup('1.4'!J:J,lookup!$A$26:$B$28,2,false),0)</f>
        <v>5</v>
      </c>
      <c r="L2" s="2"/>
      <c r="M2" s="10">
        <v>1.0</v>
      </c>
      <c r="N2" s="11" t="str">
        <f t="shared" ref="N2:N81" si="1">CONCAT(R2,"@signalschool.ac.th")</f>
        <v>bnco0901@signalschool.ac.th</v>
      </c>
      <c r="O2" s="12">
        <f t="shared" ref="O2:O81" si="2">IFERROR(VLOOKUP(N2,B$2:D$81,3,FALSE),0)</f>
        <v>1</v>
      </c>
      <c r="R2" s="6" t="s">
        <v>116</v>
      </c>
    </row>
    <row r="3">
      <c r="A3" s="8">
        <f>'1.4'!A:A</f>
        <v>46189.4546</v>
      </c>
      <c r="B3" s="2" t="str">
        <f>'1.4'!B:B</f>
        <v>bnco0940@signalschool.ac.th</v>
      </c>
      <c r="C3" s="2" t="str">
        <f>'1.4'!C:C</f>
        <v> จ.ส.ต. ภาณุพงษ์ ใจเฉือย</v>
      </c>
      <c r="D3" s="9">
        <v>1.0</v>
      </c>
      <c r="E3" s="10">
        <f>IFERROR(vlookup('1.4'!D:D,lookup!$A$2:$B$4,2,false),0)</f>
        <v>5</v>
      </c>
      <c r="F3" s="10">
        <f>IFERROR(vlookup('1.4'!E:E,lookup!$A$6:$B$8,2,false),0)</f>
        <v>5</v>
      </c>
      <c r="G3" s="10">
        <f>IFERROR(vlookup('1.4'!F:F,lookup!$A$10:$B$12,2,false),0)</f>
        <v>5</v>
      </c>
      <c r="H3" s="10">
        <f>IFERROR(vlookup('1.4'!G:G,lookup!$A$14:$B$16,2,false),0)</f>
        <v>5</v>
      </c>
      <c r="I3" s="10">
        <f>IFERROR(vlookup('1.4'!H:H,lookup!$A$18:$B$20,2,false),0)</f>
        <v>5</v>
      </c>
      <c r="J3" s="10">
        <f>IFERROR(vlookup('1.4'!I:I,lookup!$A$22:$B$24,2,false),0)</f>
        <v>5</v>
      </c>
      <c r="K3" s="10">
        <f>IFERROR(vlookup('1.4'!J:J,lookup!$A$26:$B$28,2,false),0)</f>
        <v>5</v>
      </c>
      <c r="L3" s="2"/>
      <c r="M3" s="10">
        <v>2.0</v>
      </c>
      <c r="N3" s="11" t="str">
        <f t="shared" si="1"/>
        <v>bnco0902@signalschool.ac.th</v>
      </c>
      <c r="O3" s="12">
        <f t="shared" si="2"/>
        <v>1</v>
      </c>
      <c r="R3" s="6" t="s">
        <v>157</v>
      </c>
    </row>
    <row r="4">
      <c r="A4" s="8">
        <f>'1.4'!A:A</f>
        <v>46195.34826</v>
      </c>
      <c r="B4" s="2" t="str">
        <f>'1.4'!B:B</f>
        <v>bnco0980@signalschool.ac.th</v>
      </c>
      <c r="C4" s="2" t="str">
        <f>'1.4'!C:C</f>
        <v>จ.ส.ต.ภานุพงษ์  ใจเฉื่อย</v>
      </c>
      <c r="D4" s="9">
        <v>1.0</v>
      </c>
      <c r="E4" s="10">
        <f>IFERROR(vlookup('1.4'!D:D,lookup!$A$2:$B$4,2,false),0)</f>
        <v>5</v>
      </c>
      <c r="F4" s="10">
        <f>IFERROR(vlookup('1.4'!E:E,lookup!$A$6:$B$8,2,false),0)</f>
        <v>5</v>
      </c>
      <c r="G4" s="10">
        <f>IFERROR(vlookup('1.4'!F:F,lookup!$A$10:$B$12,2,false),0)</f>
        <v>3</v>
      </c>
      <c r="H4" s="10">
        <f>IFERROR(vlookup('1.4'!G:G,lookup!$A$14:$B$16,2,false),0)</f>
        <v>5</v>
      </c>
      <c r="I4" s="10">
        <f>IFERROR(vlookup('1.4'!H:H,lookup!$A$18:$B$20,2,false),0)</f>
        <v>5</v>
      </c>
      <c r="J4" s="10">
        <f>IFERROR(vlookup('1.4'!I:I,lookup!$A$22:$B$24,2,false),0)</f>
        <v>5</v>
      </c>
      <c r="K4" s="10">
        <f>IFERROR(vlookup('1.4'!J:J,lookup!$A$26:$B$28,2,false),0)</f>
        <v>5</v>
      </c>
      <c r="L4" s="2"/>
      <c r="M4" s="10">
        <v>3.0</v>
      </c>
      <c r="N4" s="11" t="str">
        <f t="shared" si="1"/>
        <v>bnco0903@signalschool.ac.th</v>
      </c>
      <c r="O4" s="12">
        <f t="shared" si="2"/>
        <v>1</v>
      </c>
      <c r="R4" s="6" t="s">
        <v>182</v>
      </c>
    </row>
    <row r="5">
      <c r="A5" s="8">
        <f>'1.4'!A:A</f>
        <v>46204.34909</v>
      </c>
      <c r="B5" s="2" t="str">
        <f>'1.4'!B:B</f>
        <v>bnco0950@signalschool.ac.th</v>
      </c>
      <c r="C5" s="2" t="str">
        <f>'1.4'!C:C</f>
        <v>จ.ส.ต.ภาณุพงษ์ ใจเฉื่อย</v>
      </c>
      <c r="D5" s="9">
        <v>1.0</v>
      </c>
      <c r="E5" s="10">
        <f>IFERROR(vlookup('1.4'!D:D,lookup!$A$2:$B$4,2,false),0)</f>
        <v>5</v>
      </c>
      <c r="F5" s="10">
        <f>IFERROR(vlookup('1.4'!E:E,lookup!$A$6:$B$8,2,false),0)</f>
        <v>5</v>
      </c>
      <c r="G5" s="10">
        <f>IFERROR(vlookup('1.4'!F:F,lookup!$A$10:$B$12,2,false),0)</f>
        <v>5</v>
      </c>
      <c r="H5" s="10">
        <f>IFERROR(vlookup('1.4'!G:G,lookup!$A$14:$B$16,2,false),0)</f>
        <v>5</v>
      </c>
      <c r="I5" s="10">
        <f>IFERROR(vlookup('1.4'!H:H,lookup!$A$18:$B$20,2,false),0)</f>
        <v>5</v>
      </c>
      <c r="J5" s="10">
        <f>IFERROR(vlookup('1.4'!I:I,lookup!$A$22:$B$24,2,false),0)</f>
        <v>5</v>
      </c>
      <c r="K5" s="10">
        <f>IFERROR(vlookup('1.4'!J:J,lookup!$A$26:$B$28,2,false),0)</f>
        <v>5</v>
      </c>
      <c r="L5" s="2"/>
      <c r="M5" s="10">
        <v>4.0</v>
      </c>
      <c r="N5" s="11" t="str">
        <f t="shared" si="1"/>
        <v>bnco0904@signalschool.ac.th</v>
      </c>
      <c r="O5" s="12">
        <f t="shared" si="2"/>
        <v>1</v>
      </c>
      <c r="R5" s="6" t="s">
        <v>193</v>
      </c>
    </row>
    <row r="6">
      <c r="A6" s="8">
        <f>'1.4'!A:A</f>
        <v>46204.46598</v>
      </c>
      <c r="B6" s="2" t="str">
        <f>'1.4'!B:B</f>
        <v>bnco0951@signalschool.ac.th</v>
      </c>
      <c r="C6" s="2" t="str">
        <f>'1.4'!C:C</f>
        <v>จ.ส.ต.ภาณุพงษ์ ใจเฉื่อย</v>
      </c>
      <c r="D6" s="9">
        <v>1.0</v>
      </c>
      <c r="E6" s="10">
        <f>IFERROR(vlookup('1.4'!D:D,lookup!$A$2:$B$4,2,false),0)</f>
        <v>5</v>
      </c>
      <c r="F6" s="10">
        <f>IFERROR(vlookup('1.4'!E:E,lookup!$A$6:$B$8,2,false),0)</f>
        <v>5</v>
      </c>
      <c r="G6" s="10">
        <f>IFERROR(vlookup('1.4'!F:F,lookup!$A$10:$B$12,2,false),0)</f>
        <v>5</v>
      </c>
      <c r="H6" s="10">
        <f>IFERROR(vlookup('1.4'!G:G,lookup!$A$14:$B$16,2,false),0)</f>
        <v>5</v>
      </c>
      <c r="I6" s="10">
        <f>IFERROR(vlookup('1.4'!H:H,lookup!$A$18:$B$20,2,false),0)</f>
        <v>5</v>
      </c>
      <c r="J6" s="10">
        <f>IFERROR(vlookup('1.4'!I:I,lookup!$A$22:$B$24,2,false),0)</f>
        <v>5</v>
      </c>
      <c r="K6" s="10">
        <f>IFERROR(vlookup('1.4'!J:J,lookup!$A$26:$B$28,2,false),0)</f>
        <v>5</v>
      </c>
      <c r="L6" s="2"/>
      <c r="M6" s="10">
        <v>5.0</v>
      </c>
      <c r="N6" s="11" t="str">
        <f t="shared" si="1"/>
        <v>bnco0905@signalschool.ac.th</v>
      </c>
      <c r="O6" s="12">
        <f t="shared" si="2"/>
        <v>1</v>
      </c>
      <c r="R6" s="6" t="s">
        <v>197</v>
      </c>
    </row>
    <row r="7">
      <c r="A7" s="8">
        <f>'1.4'!A:A</f>
        <v>46206.59704</v>
      </c>
      <c r="B7" s="2" t="str">
        <f>'1.4'!B:B</f>
        <v>bnco0920@signalschool.ac.th</v>
      </c>
      <c r="C7" s="2" t="str">
        <f>'1.4'!C:C</f>
        <v>ร.ท.ศุภรัชฎ / จ.ส.ต.ภาณุพงษ์</v>
      </c>
      <c r="D7" s="9">
        <v>1.0</v>
      </c>
      <c r="E7" s="10">
        <f>IFERROR(vlookup('1.4'!D:D,lookup!$A$2:$B$4,2,false),0)</f>
        <v>5</v>
      </c>
      <c r="F7" s="10">
        <f>IFERROR(vlookup('1.4'!E:E,lookup!$A$6:$B$8,2,false),0)</f>
        <v>5</v>
      </c>
      <c r="G7" s="10">
        <f>IFERROR(vlookup('1.4'!F:F,lookup!$A$10:$B$12,2,false),0)</f>
        <v>5</v>
      </c>
      <c r="H7" s="10">
        <f>IFERROR(vlookup('1.4'!G:G,lookup!$A$14:$B$16,2,false),0)</f>
        <v>5</v>
      </c>
      <c r="I7" s="10">
        <f>IFERROR(vlookup('1.4'!H:H,lookup!$A$18:$B$20,2,false),0)</f>
        <v>5</v>
      </c>
      <c r="J7" s="10">
        <f>IFERROR(vlookup('1.4'!I:I,lookup!$A$22:$B$24,2,false),0)</f>
        <v>5</v>
      </c>
      <c r="K7" s="10">
        <f>IFERROR(vlookup('1.4'!J:J,lookup!$A$26:$B$28,2,false),0)</f>
        <v>5</v>
      </c>
      <c r="L7" s="2"/>
      <c r="M7" s="10">
        <v>6.0</v>
      </c>
      <c r="N7" s="11" t="str">
        <f t="shared" si="1"/>
        <v>bnco0906@signalschool.ac.th</v>
      </c>
      <c r="O7" s="12">
        <f t="shared" si="2"/>
        <v>1</v>
      </c>
      <c r="R7" s="6" t="s">
        <v>203</v>
      </c>
    </row>
    <row r="8">
      <c r="A8" s="8">
        <f>'1.4'!A:A</f>
        <v>46212.58274</v>
      </c>
      <c r="B8" s="2" t="str">
        <f>'1.4'!B:B</f>
        <v>bnco0906@signalschool.ac.th</v>
      </c>
      <c r="C8" s="2" t="str">
        <f>'1.4'!C:C</f>
        <v>จ.ส.อ.ศุภรัชฏ หมอกสุข จ.ส.ต.ภาณุพงษ์ ใจเฉื่อย</v>
      </c>
      <c r="D8" s="9">
        <v>1.0</v>
      </c>
      <c r="E8" s="10">
        <f>IFERROR(vlookup('1.4'!D:D,lookup!$A$2:$B$4,2,false),0)</f>
        <v>3</v>
      </c>
      <c r="F8" s="10">
        <f>IFERROR(vlookup('1.4'!E:E,lookup!$A$6:$B$8,2,false),0)</f>
        <v>3</v>
      </c>
      <c r="G8" s="10">
        <f>IFERROR(vlookup('1.4'!F:F,lookup!$A$10:$B$12,2,false),0)</f>
        <v>3</v>
      </c>
      <c r="H8" s="10">
        <f>IFERROR(vlookup('1.4'!G:G,lookup!$A$14:$B$16,2,false),0)</f>
        <v>3</v>
      </c>
      <c r="I8" s="10">
        <f>IFERROR(vlookup('1.4'!H:H,lookup!$A$18:$B$20,2,false),0)</f>
        <v>3</v>
      </c>
      <c r="J8" s="10">
        <f>IFERROR(vlookup('1.4'!I:I,lookup!$A$22:$B$24,2,false),0)</f>
        <v>3</v>
      </c>
      <c r="K8" s="10">
        <f>IFERROR(vlookup('1.4'!J:J,lookup!$A$26:$B$28,2,false),0)</f>
        <v>3</v>
      </c>
      <c r="L8" s="2"/>
      <c r="M8" s="10">
        <v>7.0</v>
      </c>
      <c r="N8" s="11" t="str">
        <f t="shared" si="1"/>
        <v>bnco0907@signalschool.ac.th</v>
      </c>
      <c r="O8" s="12">
        <f t="shared" si="2"/>
        <v>1</v>
      </c>
      <c r="R8" s="6" t="s">
        <v>206</v>
      </c>
    </row>
    <row r="9">
      <c r="A9" s="8">
        <f>'1.4'!A:A</f>
        <v>46212.61647</v>
      </c>
      <c r="B9" s="2" t="str">
        <f>'1.4'!B:B</f>
        <v>bnco0955@signalschool.ac.th</v>
      </c>
      <c r="C9" s="2" t="str">
        <f>'1.4'!C:C</f>
        <v>อาจารย์ประจำวิชาการสื่อสารทางยุทธวิธี</v>
      </c>
      <c r="D9" s="9">
        <v>1.0</v>
      </c>
      <c r="E9" s="10">
        <f>IFERROR(vlookup('1.4'!D:D,lookup!$A$2:$B$4,2,false),0)</f>
        <v>5</v>
      </c>
      <c r="F9" s="10">
        <f>IFERROR(vlookup('1.4'!E:E,lookup!$A$6:$B$8,2,false),0)</f>
        <v>5</v>
      </c>
      <c r="G9" s="10">
        <f>IFERROR(vlookup('1.4'!F:F,lookup!$A$10:$B$12,2,false),0)</f>
        <v>5</v>
      </c>
      <c r="H9" s="10">
        <f>IFERROR(vlookup('1.4'!G:G,lookup!$A$14:$B$16,2,false),0)</f>
        <v>5</v>
      </c>
      <c r="I9" s="10">
        <f>IFERROR(vlookup('1.4'!H:H,lookup!$A$18:$B$20,2,false),0)</f>
        <v>5</v>
      </c>
      <c r="J9" s="10">
        <f>IFERROR(vlookup('1.4'!I:I,lookup!$A$22:$B$24,2,false),0)</f>
        <v>5</v>
      </c>
      <c r="K9" s="10">
        <f>IFERROR(vlookup('1.4'!J:J,lookup!$A$26:$B$28,2,false),0)</f>
        <v>5</v>
      </c>
      <c r="L9" s="2"/>
      <c r="M9" s="10">
        <v>8.0</v>
      </c>
      <c r="N9" s="11" t="str">
        <f t="shared" si="1"/>
        <v>bnco0908@signalschool.ac.th</v>
      </c>
      <c r="O9" s="12">
        <f t="shared" si="2"/>
        <v>1</v>
      </c>
      <c r="R9" s="6" t="s">
        <v>211</v>
      </c>
    </row>
    <row r="10">
      <c r="A10" s="8">
        <f>'1.4'!A:A</f>
        <v>46212.61744</v>
      </c>
      <c r="B10" s="2" t="str">
        <f>'1.4'!B:B</f>
        <v>bnco0936@signalschool.ac.th</v>
      </c>
      <c r="C10" s="2" t="str">
        <f>'1.4'!C:C</f>
        <v>ร.ท.ศุภรัชฎ  หมอกสุข</v>
      </c>
      <c r="D10" s="9">
        <v>1.0</v>
      </c>
      <c r="E10" s="10">
        <f>IFERROR(vlookup('1.4'!D:D,lookup!$A$2:$B$4,2,false),0)</f>
        <v>5</v>
      </c>
      <c r="F10" s="10">
        <f>IFERROR(vlookup('1.4'!E:E,lookup!$A$6:$B$8,2,false),0)</f>
        <v>5</v>
      </c>
      <c r="G10" s="10">
        <f>IFERROR(vlookup('1.4'!F:F,lookup!$A$10:$B$12,2,false),0)</f>
        <v>5</v>
      </c>
      <c r="H10" s="10">
        <f>IFERROR(vlookup('1.4'!G:G,lookup!$A$14:$B$16,2,false),0)</f>
        <v>5</v>
      </c>
      <c r="I10" s="10">
        <f>IFERROR(vlookup('1.4'!H:H,lookup!$A$18:$B$20,2,false),0)</f>
        <v>5</v>
      </c>
      <c r="J10" s="10">
        <f>IFERROR(vlookup('1.4'!I:I,lookup!$A$22:$B$24,2,false),0)</f>
        <v>5</v>
      </c>
      <c r="K10" s="10">
        <f>IFERROR(vlookup('1.4'!J:J,lookup!$A$26:$B$28,2,false),0)</f>
        <v>5</v>
      </c>
      <c r="L10" s="2"/>
      <c r="M10" s="10">
        <v>9.0</v>
      </c>
      <c r="N10" s="11" t="str">
        <f t="shared" si="1"/>
        <v>bnco0909@signalschool.ac.th</v>
      </c>
      <c r="O10" s="12">
        <f t="shared" si="2"/>
        <v>1</v>
      </c>
      <c r="R10" s="6" t="s">
        <v>212</v>
      </c>
    </row>
    <row r="11">
      <c r="A11" s="8">
        <f>'1.4'!A:A</f>
        <v>46212.61786</v>
      </c>
      <c r="B11" s="2" t="str">
        <f>'1.4'!B:B</f>
        <v>bnco0919@signalschool.ac.th</v>
      </c>
      <c r="C11" s="2" t="str">
        <f>'1.4'!C:C</f>
        <v>ร.ท.ศุภรัชฎ หมอกสุข</v>
      </c>
      <c r="D11" s="9">
        <v>1.0</v>
      </c>
      <c r="E11" s="10">
        <f>IFERROR(vlookup('1.4'!D:D,lookup!$A$2:$B$4,2,false),0)</f>
        <v>5</v>
      </c>
      <c r="F11" s="10">
        <f>IFERROR(vlookup('1.4'!E:E,lookup!$A$6:$B$8,2,false),0)</f>
        <v>5</v>
      </c>
      <c r="G11" s="10">
        <f>IFERROR(vlookup('1.4'!F:F,lookup!$A$10:$B$12,2,false),0)</f>
        <v>5</v>
      </c>
      <c r="H11" s="10">
        <f>IFERROR(vlookup('1.4'!G:G,lookup!$A$14:$B$16,2,false),0)</f>
        <v>5</v>
      </c>
      <c r="I11" s="10">
        <f>IFERROR(vlookup('1.4'!H:H,lookup!$A$18:$B$20,2,false),0)</f>
        <v>5</v>
      </c>
      <c r="J11" s="10">
        <f>IFERROR(vlookup('1.4'!I:I,lookup!$A$22:$B$24,2,false),0)</f>
        <v>5</v>
      </c>
      <c r="K11" s="10">
        <f>IFERROR(vlookup('1.4'!J:J,lookup!$A$26:$B$28,2,false),0)</f>
        <v>5</v>
      </c>
      <c r="L11" s="2"/>
      <c r="M11" s="10">
        <v>10.0</v>
      </c>
      <c r="N11" s="11" t="str">
        <f t="shared" si="1"/>
        <v>bnco0910@signalschool.ac.th</v>
      </c>
      <c r="O11" s="12">
        <f t="shared" si="2"/>
        <v>1</v>
      </c>
      <c r="R11" s="6" t="s">
        <v>213</v>
      </c>
    </row>
    <row r="12">
      <c r="A12" s="8">
        <f>'1.4'!A:A</f>
        <v>46212.61823</v>
      </c>
      <c r="B12" s="2" t="str">
        <f>'1.4'!B:B</f>
        <v>bnco0958@signalschool.ac.th</v>
      </c>
      <c r="C12" s="2" t="str">
        <f>'1.4'!C:C</f>
        <v>ร.ท.ศุภรัชฎ หมอกสุข</v>
      </c>
      <c r="D12" s="9">
        <v>1.0</v>
      </c>
      <c r="E12" s="10">
        <f>IFERROR(vlookup('1.4'!D:D,lookup!$A$2:$B$4,2,false),0)</f>
        <v>5</v>
      </c>
      <c r="F12" s="10">
        <f>IFERROR(vlookup('1.4'!E:E,lookup!$A$6:$B$8,2,false),0)</f>
        <v>5</v>
      </c>
      <c r="G12" s="10">
        <f>IFERROR(vlookup('1.4'!F:F,lookup!$A$10:$B$12,2,false),0)</f>
        <v>5</v>
      </c>
      <c r="H12" s="10">
        <f>IFERROR(vlookup('1.4'!G:G,lookup!$A$14:$B$16,2,false),0)</f>
        <v>5</v>
      </c>
      <c r="I12" s="10">
        <f>IFERROR(vlookup('1.4'!H:H,lookup!$A$18:$B$20,2,false),0)</f>
        <v>5</v>
      </c>
      <c r="J12" s="10">
        <f>IFERROR(vlookup('1.4'!I:I,lookup!$A$22:$B$24,2,false),0)</f>
        <v>5</v>
      </c>
      <c r="K12" s="10">
        <f>IFERROR(vlookup('1.4'!J:J,lookup!$A$26:$B$28,2,false),0)</f>
        <v>5</v>
      </c>
      <c r="L12" s="2"/>
      <c r="M12" s="10">
        <v>11.0</v>
      </c>
      <c r="N12" s="11" t="str">
        <f t="shared" si="1"/>
        <v>bnco0911@signalschool.ac.th</v>
      </c>
      <c r="O12" s="12">
        <f t="shared" si="2"/>
        <v>1</v>
      </c>
      <c r="R12" s="6" t="s">
        <v>214</v>
      </c>
    </row>
    <row r="13">
      <c r="A13" s="8">
        <f>'1.4'!A:A</f>
        <v>46212.619</v>
      </c>
      <c r="B13" s="2" t="str">
        <f>'1.4'!B:B</f>
        <v>bnco0932@signalschool.ac.th</v>
      </c>
      <c r="C13" s="2" t="str">
        <f>'1.4'!C:C</f>
        <v>ร.ท.ศุภรัชฎ หมอกสุข</v>
      </c>
      <c r="D13" s="9">
        <v>1.0</v>
      </c>
      <c r="E13" s="10">
        <f>IFERROR(vlookup('1.4'!D:D,lookup!$A$2:$B$4,2,false),0)</f>
        <v>5</v>
      </c>
      <c r="F13" s="10">
        <f>IFERROR(vlookup('1.4'!E:E,lookup!$A$6:$B$8,2,false),0)</f>
        <v>5</v>
      </c>
      <c r="G13" s="10">
        <f>IFERROR(vlookup('1.4'!F:F,lookup!$A$10:$B$12,2,false),0)</f>
        <v>5</v>
      </c>
      <c r="H13" s="10">
        <f>IFERROR(vlookup('1.4'!G:G,lookup!$A$14:$B$16,2,false),0)</f>
        <v>5</v>
      </c>
      <c r="I13" s="10">
        <f>IFERROR(vlookup('1.4'!H:H,lookup!$A$18:$B$20,2,false),0)</f>
        <v>5</v>
      </c>
      <c r="J13" s="10">
        <f>IFERROR(vlookup('1.4'!I:I,lookup!$A$22:$B$24,2,false),0)</f>
        <v>5</v>
      </c>
      <c r="K13" s="10">
        <f>IFERROR(vlookup('1.4'!J:J,lookup!$A$26:$B$28,2,false),0)</f>
        <v>5</v>
      </c>
      <c r="L13" s="2"/>
      <c r="M13" s="10">
        <v>12.0</v>
      </c>
      <c r="N13" s="11" t="str">
        <f t="shared" si="1"/>
        <v>bnco0912@signalschool.ac.th</v>
      </c>
      <c r="O13" s="12">
        <f t="shared" si="2"/>
        <v>1</v>
      </c>
      <c r="R13" s="6" t="s">
        <v>222</v>
      </c>
    </row>
    <row r="14">
      <c r="A14" s="8">
        <f>'1.4'!A:A</f>
        <v>46212.61919</v>
      </c>
      <c r="B14" s="2" t="str">
        <f>'1.4'!B:B</f>
        <v>bnco0962@signalschool.ac.th</v>
      </c>
      <c r="C14" s="2" t="str">
        <f>'1.4'!C:C</f>
        <v>ร.ท.ศุภรัชฎ   หมอกสุข</v>
      </c>
      <c r="D14" s="9">
        <v>1.0</v>
      </c>
      <c r="E14" s="10">
        <f>IFERROR(vlookup('1.4'!D:D,lookup!$A$2:$B$4,2,false),0)</f>
        <v>5</v>
      </c>
      <c r="F14" s="10">
        <f>IFERROR(vlookup('1.4'!E:E,lookup!$A$6:$B$8,2,false),0)</f>
        <v>5</v>
      </c>
      <c r="G14" s="10">
        <f>IFERROR(vlookup('1.4'!F:F,lookup!$A$10:$B$12,2,false),0)</f>
        <v>5</v>
      </c>
      <c r="H14" s="10">
        <f>IFERROR(vlookup('1.4'!G:G,lookup!$A$14:$B$16,2,false),0)</f>
        <v>5</v>
      </c>
      <c r="I14" s="10">
        <f>IFERROR(vlookup('1.4'!H:H,lookup!$A$18:$B$20,2,false),0)</f>
        <v>5</v>
      </c>
      <c r="J14" s="10">
        <f>IFERROR(vlookup('1.4'!I:I,lookup!$A$22:$B$24,2,false),0)</f>
        <v>5</v>
      </c>
      <c r="K14" s="10">
        <f>IFERROR(vlookup('1.4'!J:J,lookup!$A$26:$B$28,2,false),0)</f>
        <v>5</v>
      </c>
      <c r="L14" s="2"/>
      <c r="M14" s="10">
        <v>13.0</v>
      </c>
      <c r="N14" s="11" t="str">
        <f t="shared" si="1"/>
        <v>bnco0913@signalschool.ac.th</v>
      </c>
      <c r="O14" s="12">
        <f t="shared" si="2"/>
        <v>1</v>
      </c>
      <c r="R14" s="6" t="s">
        <v>227</v>
      </c>
    </row>
    <row r="15">
      <c r="A15" s="8">
        <f>'1.4'!A:A</f>
        <v>46212.61928</v>
      </c>
      <c r="B15" s="2" t="str">
        <f>'1.4'!B:B</f>
        <v>bnco0924@signalschool.ac.th</v>
      </c>
      <c r="C15" s="2" t="str">
        <f>'1.4'!C:C</f>
        <v>ร.ท.ศุภรัชฎ หมอกสุข</v>
      </c>
      <c r="D15" s="9">
        <v>1.0</v>
      </c>
      <c r="E15" s="10">
        <f>IFERROR(vlookup('1.4'!D:D,lookup!$A$2:$B$4,2,false),0)</f>
        <v>5</v>
      </c>
      <c r="F15" s="10">
        <f>IFERROR(vlookup('1.4'!E:E,lookup!$A$6:$B$8,2,false),0)</f>
        <v>5</v>
      </c>
      <c r="G15" s="10">
        <f>IFERROR(vlookup('1.4'!F:F,lookup!$A$10:$B$12,2,false),0)</f>
        <v>5</v>
      </c>
      <c r="H15" s="10">
        <f>IFERROR(vlookup('1.4'!G:G,lookup!$A$14:$B$16,2,false),0)</f>
        <v>5</v>
      </c>
      <c r="I15" s="10">
        <f>IFERROR(vlookup('1.4'!H:H,lookup!$A$18:$B$20,2,false),0)</f>
        <v>5</v>
      </c>
      <c r="J15" s="10">
        <f>IFERROR(vlookup('1.4'!I:I,lookup!$A$22:$B$24,2,false),0)</f>
        <v>5</v>
      </c>
      <c r="K15" s="10">
        <f>IFERROR(vlookup('1.4'!J:J,lookup!$A$26:$B$28,2,false),0)</f>
        <v>5</v>
      </c>
      <c r="L15" s="2"/>
      <c r="M15" s="10">
        <v>14.0</v>
      </c>
      <c r="N15" s="11" t="str">
        <f t="shared" si="1"/>
        <v>bnco0914@signalschool.ac.th</v>
      </c>
      <c r="O15" s="12">
        <f t="shared" si="2"/>
        <v>1</v>
      </c>
      <c r="R15" s="6" t="s">
        <v>230</v>
      </c>
    </row>
    <row r="16">
      <c r="A16" s="8">
        <f>'1.4'!A:A</f>
        <v>46212.61929</v>
      </c>
      <c r="B16" s="2" t="str">
        <f>'1.4'!B:B</f>
        <v>bnco0918@signalschool.ac.th</v>
      </c>
      <c r="C16" s="2" t="str">
        <f>'1.4'!C:C</f>
        <v>ร.ท.ศุภรัชฎ หมอกสุข</v>
      </c>
      <c r="D16" s="9">
        <v>1.0</v>
      </c>
      <c r="E16" s="10">
        <f>IFERROR(vlookup('1.4'!D:D,lookup!$A$2:$B$4,2,false),0)</f>
        <v>5</v>
      </c>
      <c r="F16" s="10">
        <f>IFERROR(vlookup('1.4'!E:E,lookup!$A$6:$B$8,2,false),0)</f>
        <v>5</v>
      </c>
      <c r="G16" s="10">
        <f>IFERROR(vlookup('1.4'!F:F,lookup!$A$10:$B$12,2,false),0)</f>
        <v>5</v>
      </c>
      <c r="H16" s="10">
        <f>IFERROR(vlookup('1.4'!G:G,lookup!$A$14:$B$16,2,false),0)</f>
        <v>5</v>
      </c>
      <c r="I16" s="10">
        <f>IFERROR(vlookup('1.4'!H:H,lookup!$A$18:$B$20,2,false),0)</f>
        <v>5</v>
      </c>
      <c r="J16" s="10">
        <f>IFERROR(vlookup('1.4'!I:I,lookup!$A$22:$B$24,2,false),0)</f>
        <v>5</v>
      </c>
      <c r="K16" s="10">
        <f>IFERROR(vlookup('1.4'!J:J,lookup!$A$26:$B$28,2,false),0)</f>
        <v>5</v>
      </c>
      <c r="L16" s="2"/>
      <c r="M16" s="10">
        <v>15.0</v>
      </c>
      <c r="N16" s="11" t="str">
        <f t="shared" si="1"/>
        <v>bnco0915@signalschool.ac.th</v>
      </c>
      <c r="O16" s="12">
        <f t="shared" si="2"/>
        <v>1</v>
      </c>
      <c r="R16" s="6" t="s">
        <v>232</v>
      </c>
    </row>
    <row r="17">
      <c r="A17" s="8">
        <f>'1.4'!A:A</f>
        <v>46212.61947</v>
      </c>
      <c r="B17" s="2" t="str">
        <f>'1.4'!B:B</f>
        <v>bnco0923@signalschool.ac.th</v>
      </c>
      <c r="C17" s="2" t="str">
        <f>'1.4'!C:C</f>
        <v>ร.ท.ศุภรัชฎ หมอกสุข</v>
      </c>
      <c r="D17" s="9">
        <v>1.0</v>
      </c>
      <c r="E17" s="10">
        <f>IFERROR(vlookup('1.4'!D:D,lookup!$A$2:$B$4,2,false),0)</f>
        <v>5</v>
      </c>
      <c r="F17" s="10">
        <f>IFERROR(vlookup('1.4'!E:E,lookup!$A$6:$B$8,2,false),0)</f>
        <v>5</v>
      </c>
      <c r="G17" s="10">
        <f>IFERROR(vlookup('1.4'!F:F,lookup!$A$10:$B$12,2,false),0)</f>
        <v>5</v>
      </c>
      <c r="H17" s="10">
        <f>IFERROR(vlookup('1.4'!G:G,lookup!$A$14:$B$16,2,false),0)</f>
        <v>5</v>
      </c>
      <c r="I17" s="10">
        <f>IFERROR(vlookup('1.4'!H:H,lookup!$A$18:$B$20,2,false),0)</f>
        <v>5</v>
      </c>
      <c r="J17" s="10">
        <f>IFERROR(vlookup('1.4'!I:I,lookup!$A$22:$B$24,2,false),0)</f>
        <v>5</v>
      </c>
      <c r="K17" s="10">
        <f>IFERROR(vlookup('1.4'!J:J,lookup!$A$26:$B$28,2,false),0)</f>
        <v>5</v>
      </c>
      <c r="L17" s="2"/>
      <c r="M17" s="10">
        <v>16.0</v>
      </c>
      <c r="N17" s="11" t="str">
        <f t="shared" si="1"/>
        <v>bnco0916@signalschool.ac.th</v>
      </c>
      <c r="O17" s="12">
        <f t="shared" si="2"/>
        <v>1</v>
      </c>
      <c r="R17" s="6" t="s">
        <v>233</v>
      </c>
    </row>
    <row r="18">
      <c r="A18" s="8">
        <f>'1.4'!A:A</f>
        <v>46212.61968</v>
      </c>
      <c r="B18" s="2" t="str">
        <f>'1.4'!B:B</f>
        <v>bnco0938@signalschool.ac.th</v>
      </c>
      <c r="C18" s="2" t="str">
        <f>'1.4'!C:C</f>
        <v>ร.ท.ศุภรัชฏ หมอกสุข</v>
      </c>
      <c r="D18" s="9">
        <v>1.0</v>
      </c>
      <c r="E18" s="10">
        <f>IFERROR(vlookup('1.4'!D:D,lookup!$A$2:$B$4,2,false),0)</f>
        <v>3</v>
      </c>
      <c r="F18" s="10">
        <f>IFERROR(vlookup('1.4'!E:E,lookup!$A$6:$B$8,2,false),0)</f>
        <v>3</v>
      </c>
      <c r="G18" s="10">
        <f>IFERROR(vlookup('1.4'!F:F,lookup!$A$10:$B$12,2,false),0)</f>
        <v>3</v>
      </c>
      <c r="H18" s="10">
        <f>IFERROR(vlookup('1.4'!G:G,lookup!$A$14:$B$16,2,false),0)</f>
        <v>3</v>
      </c>
      <c r="I18" s="10">
        <f>IFERROR(vlookup('1.4'!H:H,lookup!$A$18:$B$20,2,false),0)</f>
        <v>3</v>
      </c>
      <c r="J18" s="10">
        <f>IFERROR(vlookup('1.4'!I:I,lookup!$A$22:$B$24,2,false),0)</f>
        <v>3</v>
      </c>
      <c r="K18" s="10">
        <f>IFERROR(vlookup('1.4'!J:J,lookup!$A$26:$B$28,2,false),0)</f>
        <v>3</v>
      </c>
      <c r="L18" s="2"/>
      <c r="M18" s="10">
        <v>17.0</v>
      </c>
      <c r="N18" s="11" t="str">
        <f t="shared" si="1"/>
        <v>bnco0917@signalschool.ac.th</v>
      </c>
      <c r="O18" s="12">
        <f t="shared" si="2"/>
        <v>1</v>
      </c>
      <c r="R18" s="6" t="s">
        <v>234</v>
      </c>
    </row>
    <row r="19">
      <c r="A19" s="8">
        <f>'1.4'!A:A</f>
        <v>46212.61968</v>
      </c>
      <c r="B19" s="2" t="str">
        <f>'1.4'!B:B</f>
        <v>bnco0928@signalschool.ac.th</v>
      </c>
      <c r="C19" s="2" t="str">
        <f>'1.4'!C:C</f>
        <v>ร.ท.ศุภรัชฏ หมอกสุข</v>
      </c>
      <c r="D19" s="9">
        <v>1.0</v>
      </c>
      <c r="E19" s="10">
        <f>IFERROR(vlookup('1.4'!D:D,lookup!$A$2:$B$4,2,false),0)</f>
        <v>5</v>
      </c>
      <c r="F19" s="10">
        <f>IFERROR(vlookup('1.4'!E:E,lookup!$A$6:$B$8,2,false),0)</f>
        <v>5</v>
      </c>
      <c r="G19" s="10">
        <f>IFERROR(vlookup('1.4'!F:F,lookup!$A$10:$B$12,2,false),0)</f>
        <v>5</v>
      </c>
      <c r="H19" s="10">
        <f>IFERROR(vlookup('1.4'!G:G,lookup!$A$14:$B$16,2,false),0)</f>
        <v>5</v>
      </c>
      <c r="I19" s="10">
        <f>IFERROR(vlookup('1.4'!H:H,lookup!$A$18:$B$20,2,false),0)</f>
        <v>5</v>
      </c>
      <c r="J19" s="10">
        <f>IFERROR(vlookup('1.4'!I:I,lookup!$A$22:$B$24,2,false),0)</f>
        <v>5</v>
      </c>
      <c r="K19" s="10">
        <f>IFERROR(vlookup('1.4'!J:J,lookup!$A$26:$B$28,2,false),0)</f>
        <v>5</v>
      </c>
      <c r="L19" s="2"/>
      <c r="M19" s="10">
        <v>18.0</v>
      </c>
      <c r="N19" s="11" t="str">
        <f t="shared" si="1"/>
        <v>bnco0918@signalschool.ac.th</v>
      </c>
      <c r="O19" s="12">
        <f t="shared" si="2"/>
        <v>1</v>
      </c>
      <c r="R19" s="6" t="s">
        <v>235</v>
      </c>
    </row>
    <row r="20">
      <c r="A20" s="8">
        <f>'1.4'!A:A</f>
        <v>46212.61988</v>
      </c>
      <c r="B20" s="2" t="str">
        <f>'1.4'!B:B</f>
        <v>bnco0967@signalschool.ac.th</v>
      </c>
      <c r="C20" s="2" t="str">
        <f>'1.4'!C:C</f>
        <v>ร.ท.ศุภรัชฎ หมอกสุข</v>
      </c>
      <c r="D20" s="9">
        <v>1.0</v>
      </c>
      <c r="E20" s="10">
        <f>IFERROR(vlookup('1.4'!D:D,lookup!$A$2:$B$4,2,false),0)</f>
        <v>5</v>
      </c>
      <c r="F20" s="10">
        <f>IFERROR(vlookup('1.4'!E:E,lookup!$A$6:$B$8,2,false),0)</f>
        <v>5</v>
      </c>
      <c r="G20" s="10">
        <f>IFERROR(vlookup('1.4'!F:F,lookup!$A$10:$B$12,2,false),0)</f>
        <v>5</v>
      </c>
      <c r="H20" s="10">
        <f>IFERROR(vlookup('1.4'!G:G,lookup!$A$14:$B$16,2,false),0)</f>
        <v>5</v>
      </c>
      <c r="I20" s="10">
        <f>IFERROR(vlookup('1.4'!H:H,lookup!$A$18:$B$20,2,false),0)</f>
        <v>5</v>
      </c>
      <c r="J20" s="10">
        <f>IFERROR(vlookup('1.4'!I:I,lookup!$A$22:$B$24,2,false),0)</f>
        <v>5</v>
      </c>
      <c r="K20" s="10">
        <f>IFERROR(vlookup('1.4'!J:J,lookup!$A$26:$B$28,2,false),0)</f>
        <v>5</v>
      </c>
      <c r="L20" s="2"/>
      <c r="M20" s="10">
        <v>19.0</v>
      </c>
      <c r="N20" s="11" t="str">
        <f t="shared" si="1"/>
        <v>bnco0919@signalschool.ac.th</v>
      </c>
      <c r="O20" s="12">
        <f t="shared" si="2"/>
        <v>1</v>
      </c>
      <c r="R20" s="6" t="s">
        <v>236</v>
      </c>
    </row>
    <row r="21">
      <c r="A21" s="8">
        <f>'1.4'!A:A</f>
        <v>46212.61994</v>
      </c>
      <c r="B21" s="2" t="str">
        <f>'1.4'!B:B</f>
        <v>bnco0972@signalschool.ac.th</v>
      </c>
      <c r="C21" s="2" t="str">
        <f>'1.4'!C:C</f>
        <v>ร.ท.ศุภรัชฎ  หมอกสุข</v>
      </c>
      <c r="D21" s="9">
        <v>1.0</v>
      </c>
      <c r="E21" s="10">
        <f>IFERROR(vlookup('1.4'!D:D,lookup!$A$2:$B$4,2,false),0)</f>
        <v>5</v>
      </c>
      <c r="F21" s="10">
        <f>IFERROR(vlookup('1.4'!E:E,lookup!$A$6:$B$8,2,false),0)</f>
        <v>5</v>
      </c>
      <c r="G21" s="10">
        <f>IFERROR(vlookup('1.4'!F:F,lookup!$A$10:$B$12,2,false),0)</f>
        <v>5</v>
      </c>
      <c r="H21" s="10">
        <f>IFERROR(vlookup('1.4'!G:G,lookup!$A$14:$B$16,2,false),0)</f>
        <v>5</v>
      </c>
      <c r="I21" s="10">
        <f>IFERROR(vlookup('1.4'!H:H,lookup!$A$18:$B$20,2,false),0)</f>
        <v>5</v>
      </c>
      <c r="J21" s="10">
        <f>IFERROR(vlookup('1.4'!I:I,lookup!$A$22:$B$24,2,false),0)</f>
        <v>5</v>
      </c>
      <c r="K21" s="10">
        <f>IFERROR(vlookup('1.4'!J:J,lookup!$A$26:$B$28,2,false),0)</f>
        <v>5</v>
      </c>
      <c r="L21" s="2"/>
      <c r="M21" s="10">
        <v>20.0</v>
      </c>
      <c r="N21" s="11" t="str">
        <f t="shared" si="1"/>
        <v>bnco0920@signalschool.ac.th</v>
      </c>
      <c r="O21" s="12">
        <f t="shared" si="2"/>
        <v>1</v>
      </c>
      <c r="R21" s="6" t="s">
        <v>237</v>
      </c>
    </row>
    <row r="22">
      <c r="A22" s="8">
        <f>'1.4'!A:A</f>
        <v>46212.61996</v>
      </c>
      <c r="B22" s="2" t="str">
        <f>'1.4'!B:B</f>
        <v>bnco0904@signalschool.ac.th</v>
      </c>
      <c r="C22" s="2" t="str">
        <f>'1.4'!C:C</f>
        <v>ร.ท.ศุภรัชฎ  หมอกสุข</v>
      </c>
      <c r="D22" s="9">
        <v>1.0</v>
      </c>
      <c r="E22" s="10">
        <f>IFERROR(vlookup('1.4'!D:D,lookup!$A$2:$B$4,2,false),0)</f>
        <v>5</v>
      </c>
      <c r="F22" s="10">
        <f>IFERROR(vlookup('1.4'!E:E,lookup!$A$6:$B$8,2,false),0)</f>
        <v>5</v>
      </c>
      <c r="G22" s="10">
        <f>IFERROR(vlookup('1.4'!F:F,lookup!$A$10:$B$12,2,false),0)</f>
        <v>5</v>
      </c>
      <c r="H22" s="10">
        <f>IFERROR(vlookup('1.4'!G:G,lookup!$A$14:$B$16,2,false),0)</f>
        <v>5</v>
      </c>
      <c r="I22" s="10">
        <f>IFERROR(vlookup('1.4'!H:H,lookup!$A$18:$B$20,2,false),0)</f>
        <v>5</v>
      </c>
      <c r="J22" s="10">
        <f>IFERROR(vlookup('1.4'!I:I,lookup!$A$22:$B$24,2,false),0)</f>
        <v>5</v>
      </c>
      <c r="K22" s="10">
        <f>IFERROR(vlookup('1.4'!J:J,lookup!$A$26:$B$28,2,false),0)</f>
        <v>5</v>
      </c>
      <c r="L22" s="2"/>
      <c r="M22" s="10">
        <v>21.0</v>
      </c>
      <c r="N22" s="11" t="str">
        <f t="shared" si="1"/>
        <v>bnco0921@signalschool.ac.th</v>
      </c>
      <c r="O22" s="12">
        <f t="shared" si="2"/>
        <v>1</v>
      </c>
      <c r="R22" s="6" t="s">
        <v>238</v>
      </c>
    </row>
    <row r="23">
      <c r="A23" s="8">
        <f>'1.4'!A:A</f>
        <v>46212.62011</v>
      </c>
      <c r="B23" s="2" t="str">
        <f>'1.4'!B:B</f>
        <v>bnco0913@signalschool.ac.th</v>
      </c>
      <c r="C23" s="2" t="str">
        <f>'1.4'!C:C</f>
        <v>ร.ท.ศุภรัชฎ หมอกสุข</v>
      </c>
      <c r="D23" s="9">
        <v>1.0</v>
      </c>
      <c r="E23" s="10">
        <f>IFERROR(vlookup('1.4'!D:D,lookup!$A$2:$B$4,2,false),0)</f>
        <v>5</v>
      </c>
      <c r="F23" s="10">
        <f>IFERROR(vlookup('1.4'!E:E,lookup!$A$6:$B$8,2,false),0)</f>
        <v>5</v>
      </c>
      <c r="G23" s="10">
        <f>IFERROR(vlookup('1.4'!F:F,lookup!$A$10:$B$12,2,false),0)</f>
        <v>5</v>
      </c>
      <c r="H23" s="10">
        <f>IFERROR(vlookup('1.4'!G:G,lookup!$A$14:$B$16,2,false),0)</f>
        <v>5</v>
      </c>
      <c r="I23" s="10">
        <f>IFERROR(vlookup('1.4'!H:H,lookup!$A$18:$B$20,2,false),0)</f>
        <v>5</v>
      </c>
      <c r="J23" s="10">
        <f>IFERROR(vlookup('1.4'!I:I,lookup!$A$22:$B$24,2,false),0)</f>
        <v>5</v>
      </c>
      <c r="K23" s="10">
        <f>IFERROR(vlookup('1.4'!J:J,lookup!$A$26:$B$28,2,false),0)</f>
        <v>5</v>
      </c>
      <c r="L23" s="2"/>
      <c r="M23" s="10">
        <v>22.0</v>
      </c>
      <c r="N23" s="11" t="str">
        <f t="shared" si="1"/>
        <v>bnco0922@signalschool.ac.th</v>
      </c>
      <c r="O23" s="12">
        <f t="shared" si="2"/>
        <v>1</v>
      </c>
      <c r="R23" s="6" t="s">
        <v>239</v>
      </c>
    </row>
    <row r="24">
      <c r="A24" s="8">
        <f>'1.4'!A:A</f>
        <v>46212.62026</v>
      </c>
      <c r="B24" s="2" t="str">
        <f>'1.4'!B:B</f>
        <v>bnco0978@signalschool.ac.th</v>
      </c>
      <c r="C24" s="2" t="str">
        <f>'1.4'!C:C</f>
        <v>ร.ท.ศุภรัชฎ  หมอกสุข</v>
      </c>
      <c r="D24" s="9">
        <v>1.0</v>
      </c>
      <c r="E24" s="10">
        <f>IFERROR(vlookup('1.4'!D:D,lookup!$A$2:$B$4,2,false),0)</f>
        <v>5</v>
      </c>
      <c r="F24" s="10">
        <f>IFERROR(vlookup('1.4'!E:E,lookup!$A$6:$B$8,2,false),0)</f>
        <v>5</v>
      </c>
      <c r="G24" s="10">
        <f>IFERROR(vlookup('1.4'!F:F,lookup!$A$10:$B$12,2,false),0)</f>
        <v>5</v>
      </c>
      <c r="H24" s="10">
        <f>IFERROR(vlookup('1.4'!G:G,lookup!$A$14:$B$16,2,false),0)</f>
        <v>5</v>
      </c>
      <c r="I24" s="10">
        <f>IFERROR(vlookup('1.4'!H:H,lookup!$A$18:$B$20,2,false),0)</f>
        <v>5</v>
      </c>
      <c r="J24" s="10">
        <f>IFERROR(vlookup('1.4'!I:I,lookup!$A$22:$B$24,2,false),0)</f>
        <v>5</v>
      </c>
      <c r="K24" s="10">
        <f>IFERROR(vlookup('1.4'!J:J,lookup!$A$26:$B$28,2,false),0)</f>
        <v>5</v>
      </c>
      <c r="L24" s="2"/>
      <c r="M24" s="10">
        <v>23.0</v>
      </c>
      <c r="N24" s="11" t="str">
        <f t="shared" si="1"/>
        <v>bnco0923@signalschool.ac.th</v>
      </c>
      <c r="O24" s="12">
        <f t="shared" si="2"/>
        <v>1</v>
      </c>
      <c r="R24" s="6" t="s">
        <v>240</v>
      </c>
    </row>
    <row r="25">
      <c r="A25" s="8">
        <f>'1.4'!A:A</f>
        <v>46212.62037</v>
      </c>
      <c r="B25" s="2" t="str">
        <f>'1.4'!B:B</f>
        <v>bnco0971@signalschool.ac.th</v>
      </c>
      <c r="C25" s="2" t="str">
        <f>'1.4'!C:C</f>
        <v>ร.ท.ศุภรัฎ หมอกสุข</v>
      </c>
      <c r="D25" s="9">
        <v>1.0</v>
      </c>
      <c r="E25" s="10">
        <f>IFERROR(vlookup('1.4'!D:D,lookup!$A$2:$B$4,2,false),0)</f>
        <v>5</v>
      </c>
      <c r="F25" s="10">
        <f>IFERROR(vlookup('1.4'!E:E,lookup!$A$6:$B$8,2,false),0)</f>
        <v>5</v>
      </c>
      <c r="G25" s="10">
        <f>IFERROR(vlookup('1.4'!F:F,lookup!$A$10:$B$12,2,false),0)</f>
        <v>5</v>
      </c>
      <c r="H25" s="10">
        <f>IFERROR(vlookup('1.4'!G:G,lookup!$A$14:$B$16,2,false),0)</f>
        <v>5</v>
      </c>
      <c r="I25" s="10">
        <f>IFERROR(vlookup('1.4'!H:H,lookup!$A$18:$B$20,2,false),0)</f>
        <v>5</v>
      </c>
      <c r="J25" s="10">
        <f>IFERROR(vlookup('1.4'!I:I,lookup!$A$22:$B$24,2,false),0)</f>
        <v>5</v>
      </c>
      <c r="K25" s="10">
        <f>IFERROR(vlookup('1.4'!J:J,lookup!$A$26:$B$28,2,false),0)</f>
        <v>5</v>
      </c>
      <c r="L25" s="2"/>
      <c r="M25" s="10">
        <v>24.0</v>
      </c>
      <c r="N25" s="11" t="str">
        <f t="shared" si="1"/>
        <v>bnco0924@signalschool.ac.th</v>
      </c>
      <c r="O25" s="12">
        <f t="shared" si="2"/>
        <v>1</v>
      </c>
      <c r="R25" s="6" t="s">
        <v>241</v>
      </c>
    </row>
    <row r="26">
      <c r="A26" s="8">
        <f>'1.4'!A:A</f>
        <v>46212.62042</v>
      </c>
      <c r="B26" s="2" t="str">
        <f>'1.4'!B:B</f>
        <v>bnco0925@signalschool.ac.th</v>
      </c>
      <c r="C26" s="2" t="str">
        <f>'1.4'!C:C</f>
        <v>ร.ท. ศุภรัชฎ หมอกสุข</v>
      </c>
      <c r="D26" s="9">
        <v>1.0</v>
      </c>
      <c r="E26" s="10">
        <f>IFERROR(vlookup('1.4'!D:D,lookup!$A$2:$B$4,2,false),0)</f>
        <v>3</v>
      </c>
      <c r="F26" s="10">
        <f>IFERROR(vlookup('1.4'!E:E,lookup!$A$6:$B$8,2,false),0)</f>
        <v>5</v>
      </c>
      <c r="G26" s="10">
        <f>IFERROR(vlookup('1.4'!F:F,lookup!$A$10:$B$12,2,false),0)</f>
        <v>5</v>
      </c>
      <c r="H26" s="10">
        <f>IFERROR(vlookup('1.4'!G:G,lookup!$A$14:$B$16,2,false),0)</f>
        <v>5</v>
      </c>
      <c r="I26" s="10">
        <f>IFERROR(vlookup('1.4'!H:H,lookup!$A$18:$B$20,2,false),0)</f>
        <v>5</v>
      </c>
      <c r="J26" s="10">
        <f>IFERROR(vlookup('1.4'!I:I,lookup!$A$22:$B$24,2,false),0)</f>
        <v>5</v>
      </c>
      <c r="K26" s="10">
        <f>IFERROR(vlookup('1.4'!J:J,lookup!$A$26:$B$28,2,false),0)</f>
        <v>5</v>
      </c>
      <c r="L26" s="2"/>
      <c r="M26" s="10">
        <v>25.0</v>
      </c>
      <c r="N26" s="11" t="str">
        <f t="shared" si="1"/>
        <v>bnco0925@signalschool.ac.th</v>
      </c>
      <c r="O26" s="12">
        <f t="shared" si="2"/>
        <v>1</v>
      </c>
      <c r="R26" s="6" t="s">
        <v>242</v>
      </c>
    </row>
    <row r="27">
      <c r="A27" s="8">
        <f>'1.4'!A:A</f>
        <v>46212.62051</v>
      </c>
      <c r="B27" s="2" t="str">
        <f>'1.4'!B:B</f>
        <v>bnco0935@signalschool.ac.th</v>
      </c>
      <c r="C27" s="2" t="str">
        <f>'1.4'!C:C</f>
        <v>ร.ท.ศุภรัชฎ หมอกสุข</v>
      </c>
      <c r="D27" s="9">
        <v>1.0</v>
      </c>
      <c r="E27" s="10">
        <f>IFERROR(vlookup('1.4'!D:D,lookup!$A$2:$B$4,2,false),0)</f>
        <v>5</v>
      </c>
      <c r="F27" s="10">
        <f>IFERROR(vlookup('1.4'!E:E,lookup!$A$6:$B$8,2,false),0)</f>
        <v>5</v>
      </c>
      <c r="G27" s="10">
        <f>IFERROR(vlookup('1.4'!F:F,lookup!$A$10:$B$12,2,false),0)</f>
        <v>5</v>
      </c>
      <c r="H27" s="10">
        <f>IFERROR(vlookup('1.4'!G:G,lookup!$A$14:$B$16,2,false),0)</f>
        <v>5</v>
      </c>
      <c r="I27" s="10">
        <f>IFERROR(vlookup('1.4'!H:H,lookup!$A$18:$B$20,2,false),0)</f>
        <v>5</v>
      </c>
      <c r="J27" s="10">
        <f>IFERROR(vlookup('1.4'!I:I,lookup!$A$22:$B$24,2,false),0)</f>
        <v>5</v>
      </c>
      <c r="K27" s="10">
        <f>IFERROR(vlookup('1.4'!J:J,lookup!$A$26:$B$28,2,false),0)</f>
        <v>5</v>
      </c>
      <c r="L27" s="2"/>
      <c r="M27" s="10">
        <v>26.0</v>
      </c>
      <c r="N27" s="11" t="str">
        <f t="shared" si="1"/>
        <v>bnco0926@signalschool.ac.th</v>
      </c>
      <c r="O27" s="12">
        <f t="shared" si="2"/>
        <v>1</v>
      </c>
      <c r="R27" s="6" t="s">
        <v>243</v>
      </c>
    </row>
    <row r="28">
      <c r="A28" s="8">
        <f>'1.4'!A:A</f>
        <v>46212.62063</v>
      </c>
      <c r="B28" s="2" t="str">
        <f>'1.4'!B:B</f>
        <v>bnco0934@signalschool.ac.th</v>
      </c>
      <c r="C28" s="2" t="str">
        <f>'1.4'!C:C</f>
        <v>ศุภรัชฎ หมอกสุข</v>
      </c>
      <c r="D28" s="9">
        <v>1.0</v>
      </c>
      <c r="E28" s="10">
        <f>IFERROR(vlookup('1.4'!D:D,lookup!$A$2:$B$4,2,false),0)</f>
        <v>5</v>
      </c>
      <c r="F28" s="10">
        <f>IFERROR(vlookup('1.4'!E:E,lookup!$A$6:$B$8,2,false),0)</f>
        <v>5</v>
      </c>
      <c r="G28" s="10">
        <f>IFERROR(vlookup('1.4'!F:F,lookup!$A$10:$B$12,2,false),0)</f>
        <v>5</v>
      </c>
      <c r="H28" s="10">
        <f>IFERROR(vlookup('1.4'!G:G,lookup!$A$14:$B$16,2,false),0)</f>
        <v>5</v>
      </c>
      <c r="I28" s="10">
        <f>IFERROR(vlookup('1.4'!H:H,lookup!$A$18:$B$20,2,false),0)</f>
        <v>5</v>
      </c>
      <c r="J28" s="10">
        <f>IFERROR(vlookup('1.4'!I:I,lookup!$A$22:$B$24,2,false),0)</f>
        <v>5</v>
      </c>
      <c r="K28" s="10">
        <f>IFERROR(vlookup('1.4'!J:J,lookup!$A$26:$B$28,2,false),0)</f>
        <v>5</v>
      </c>
      <c r="L28" s="2"/>
      <c r="M28" s="10">
        <v>27.0</v>
      </c>
      <c r="N28" s="11" t="str">
        <f t="shared" si="1"/>
        <v>bnco0927@signalschool.ac.th</v>
      </c>
      <c r="O28" s="12">
        <f t="shared" si="2"/>
        <v>1</v>
      </c>
      <c r="R28" s="6" t="s">
        <v>244</v>
      </c>
    </row>
    <row r="29">
      <c r="A29" s="8">
        <f>'1.4'!A:A</f>
        <v>46212.6207</v>
      </c>
      <c r="B29" s="2" t="str">
        <f>'1.4'!B:B</f>
        <v>bnco0977@signalschool.ac.th</v>
      </c>
      <c r="C29" s="2" t="str">
        <f>'1.4'!C:C</f>
        <v>ร.ท.ศุภรัชฎ  หมอกสุข</v>
      </c>
      <c r="D29" s="9">
        <v>1.0</v>
      </c>
      <c r="E29" s="10">
        <f>IFERROR(vlookup('1.4'!D:D,lookup!$A$2:$B$4,2,false),0)</f>
        <v>5</v>
      </c>
      <c r="F29" s="10">
        <f>IFERROR(vlookup('1.4'!E:E,lookup!$A$6:$B$8,2,false),0)</f>
        <v>5</v>
      </c>
      <c r="G29" s="10">
        <f>IFERROR(vlookup('1.4'!F:F,lookup!$A$10:$B$12,2,false),0)</f>
        <v>5</v>
      </c>
      <c r="H29" s="10">
        <f>IFERROR(vlookup('1.4'!G:G,lookup!$A$14:$B$16,2,false),0)</f>
        <v>5</v>
      </c>
      <c r="I29" s="10">
        <f>IFERROR(vlookup('1.4'!H:H,lookup!$A$18:$B$20,2,false),0)</f>
        <v>5</v>
      </c>
      <c r="J29" s="10">
        <f>IFERROR(vlookup('1.4'!I:I,lookup!$A$22:$B$24,2,false),0)</f>
        <v>5</v>
      </c>
      <c r="K29" s="10">
        <f>IFERROR(vlookup('1.4'!J:J,lookup!$A$26:$B$28,2,false),0)</f>
        <v>5</v>
      </c>
      <c r="L29" s="2"/>
      <c r="M29" s="10">
        <v>28.0</v>
      </c>
      <c r="N29" s="11" t="str">
        <f t="shared" si="1"/>
        <v>bnco0928@signalschool.ac.th</v>
      </c>
      <c r="O29" s="12">
        <f t="shared" si="2"/>
        <v>1</v>
      </c>
      <c r="R29" s="6" t="s">
        <v>245</v>
      </c>
    </row>
    <row r="30">
      <c r="A30" s="8">
        <f>'1.4'!A:A</f>
        <v>46212.62072</v>
      </c>
      <c r="B30" s="2" t="str">
        <f>'1.4'!B:B</f>
        <v>bnco0949@signalschool.ac.th</v>
      </c>
      <c r="C30" s="2" t="str">
        <f>'1.4'!C:C</f>
        <v>ร.ท.ศุรัชฎ หมอกสุข</v>
      </c>
      <c r="D30" s="9">
        <v>1.0</v>
      </c>
      <c r="E30" s="10">
        <f>IFERROR(vlookup('1.4'!D:D,lookup!$A$2:$B$4,2,false),0)</f>
        <v>5</v>
      </c>
      <c r="F30" s="10">
        <f>IFERROR(vlookup('1.4'!E:E,lookup!$A$6:$B$8,2,false),0)</f>
        <v>5</v>
      </c>
      <c r="G30" s="10">
        <f>IFERROR(vlookup('1.4'!F:F,lookup!$A$10:$B$12,2,false),0)</f>
        <v>5</v>
      </c>
      <c r="H30" s="10">
        <f>IFERROR(vlookup('1.4'!G:G,lookup!$A$14:$B$16,2,false),0)</f>
        <v>5</v>
      </c>
      <c r="I30" s="10">
        <f>IFERROR(vlookup('1.4'!H:H,lookup!$A$18:$B$20,2,false),0)</f>
        <v>5</v>
      </c>
      <c r="J30" s="10">
        <f>IFERROR(vlookup('1.4'!I:I,lookup!$A$22:$B$24,2,false),0)</f>
        <v>5</v>
      </c>
      <c r="K30" s="10">
        <f>IFERROR(vlookup('1.4'!J:J,lookup!$A$26:$B$28,2,false),0)</f>
        <v>5</v>
      </c>
      <c r="L30" s="2"/>
      <c r="M30" s="10">
        <v>29.0</v>
      </c>
      <c r="N30" s="11" t="str">
        <f t="shared" si="1"/>
        <v>bnco0929@signalschool.ac.th</v>
      </c>
      <c r="O30" s="12">
        <f t="shared" si="2"/>
        <v>1</v>
      </c>
      <c r="R30" s="6" t="s">
        <v>246</v>
      </c>
    </row>
    <row r="31">
      <c r="A31" s="8">
        <f>'1.4'!A:A</f>
        <v>46212.62077</v>
      </c>
      <c r="B31" s="2" t="str">
        <f>'1.4'!B:B</f>
        <v>bnco0970@signalschool.ac.th</v>
      </c>
      <c r="C31" s="2" t="str">
        <f>'1.4'!C:C</f>
        <v>ร.ท.ภรัชฎ หมอกสุข</v>
      </c>
      <c r="D31" s="9">
        <v>1.0</v>
      </c>
      <c r="E31" s="10">
        <f>IFERROR(vlookup('1.4'!D:D,lookup!$A$2:$B$4,2,false),0)</f>
        <v>5</v>
      </c>
      <c r="F31" s="10">
        <f>IFERROR(vlookup('1.4'!E:E,lookup!$A$6:$B$8,2,false),0)</f>
        <v>5</v>
      </c>
      <c r="G31" s="10">
        <f>IFERROR(vlookup('1.4'!F:F,lookup!$A$10:$B$12,2,false),0)</f>
        <v>5</v>
      </c>
      <c r="H31" s="10">
        <f>IFERROR(vlookup('1.4'!G:G,lookup!$A$14:$B$16,2,false),0)</f>
        <v>5</v>
      </c>
      <c r="I31" s="10">
        <f>IFERROR(vlookup('1.4'!H:H,lookup!$A$18:$B$20,2,false),0)</f>
        <v>5</v>
      </c>
      <c r="J31" s="10">
        <f>IFERROR(vlookup('1.4'!I:I,lookup!$A$22:$B$24,2,false),0)</f>
        <v>5</v>
      </c>
      <c r="K31" s="10">
        <f>IFERROR(vlookup('1.4'!J:J,lookup!$A$26:$B$28,2,false),0)</f>
        <v>5</v>
      </c>
      <c r="L31" s="2"/>
      <c r="M31" s="10">
        <v>30.0</v>
      </c>
      <c r="N31" s="11" t="str">
        <f t="shared" si="1"/>
        <v>bnco0930@signalschool.ac.th</v>
      </c>
      <c r="O31" s="12">
        <f t="shared" si="2"/>
        <v>1</v>
      </c>
      <c r="R31" s="6" t="s">
        <v>247</v>
      </c>
    </row>
    <row r="32">
      <c r="A32" s="8">
        <f>'1.4'!A:A</f>
        <v>46212.62084</v>
      </c>
      <c r="B32" s="2" t="str">
        <f>'1.4'!B:B</f>
        <v>bnco0944@signalschool.ac.th</v>
      </c>
      <c r="C32" s="2" t="str">
        <f>'1.4'!C:C</f>
        <v>ร.ท.ศุภรัชฎ หมอกสุข </v>
      </c>
      <c r="D32" s="9">
        <v>1.0</v>
      </c>
      <c r="E32" s="10">
        <f>IFERROR(vlookup('1.4'!D:D,lookup!$A$2:$B$4,2,false),0)</f>
        <v>5</v>
      </c>
      <c r="F32" s="10">
        <f>IFERROR(vlookup('1.4'!E:E,lookup!$A$6:$B$8,2,false),0)</f>
        <v>5</v>
      </c>
      <c r="G32" s="10">
        <f>IFERROR(vlookup('1.4'!F:F,lookup!$A$10:$B$12,2,false),0)</f>
        <v>5</v>
      </c>
      <c r="H32" s="10">
        <f>IFERROR(vlookup('1.4'!G:G,lookup!$A$14:$B$16,2,false),0)</f>
        <v>5</v>
      </c>
      <c r="I32" s="10">
        <f>IFERROR(vlookup('1.4'!H:H,lookup!$A$18:$B$20,2,false),0)</f>
        <v>5</v>
      </c>
      <c r="J32" s="10">
        <f>IFERROR(vlookup('1.4'!I:I,lookup!$A$22:$B$24,2,false),0)</f>
        <v>5</v>
      </c>
      <c r="K32" s="10">
        <f>IFERROR(vlookup('1.4'!J:J,lookup!$A$26:$B$28,2,false),0)</f>
        <v>5</v>
      </c>
      <c r="L32" s="2"/>
      <c r="M32" s="10">
        <v>31.0</v>
      </c>
      <c r="N32" s="11" t="str">
        <f t="shared" si="1"/>
        <v>bnco0931@signalschool.ac.th</v>
      </c>
      <c r="O32" s="12">
        <f t="shared" si="2"/>
        <v>1</v>
      </c>
      <c r="R32" s="6" t="s">
        <v>248</v>
      </c>
    </row>
    <row r="33">
      <c r="A33" s="8">
        <f>'1.4'!A:A</f>
        <v>46212.62084</v>
      </c>
      <c r="B33" s="2" t="str">
        <f>'1.4'!B:B</f>
        <v>bnco0916@signalschool.ac.th</v>
      </c>
      <c r="C33" s="2" t="str">
        <f>'1.4'!C:C</f>
        <v>ร.ท.ศุภรัชฎ หมอกสุข </v>
      </c>
      <c r="D33" s="9">
        <v>1.0</v>
      </c>
      <c r="E33" s="10">
        <f>IFERROR(vlookup('1.4'!D:D,lookup!$A$2:$B$4,2,false),0)</f>
        <v>5</v>
      </c>
      <c r="F33" s="10">
        <f>IFERROR(vlookup('1.4'!E:E,lookup!$A$6:$B$8,2,false),0)</f>
        <v>5</v>
      </c>
      <c r="G33" s="10">
        <f>IFERROR(vlookup('1.4'!F:F,lookup!$A$10:$B$12,2,false),0)</f>
        <v>5</v>
      </c>
      <c r="H33" s="10">
        <f>IFERROR(vlookup('1.4'!G:G,lookup!$A$14:$B$16,2,false),0)</f>
        <v>5</v>
      </c>
      <c r="I33" s="10">
        <f>IFERROR(vlookup('1.4'!H:H,lookup!$A$18:$B$20,2,false),0)</f>
        <v>5</v>
      </c>
      <c r="J33" s="10">
        <f>IFERROR(vlookup('1.4'!I:I,lookup!$A$22:$B$24,2,false),0)</f>
        <v>5</v>
      </c>
      <c r="K33" s="10">
        <f>IFERROR(vlookup('1.4'!J:J,lookup!$A$26:$B$28,2,false),0)</f>
        <v>5</v>
      </c>
      <c r="L33" s="2"/>
      <c r="M33" s="10">
        <v>32.0</v>
      </c>
      <c r="N33" s="11" t="str">
        <f t="shared" si="1"/>
        <v>bnco0932@signalschool.ac.th</v>
      </c>
      <c r="O33" s="12">
        <f t="shared" si="2"/>
        <v>1</v>
      </c>
      <c r="R33" s="6" t="s">
        <v>249</v>
      </c>
    </row>
    <row r="34">
      <c r="A34" s="8">
        <f>'1.4'!A:A</f>
        <v>46212.62086</v>
      </c>
      <c r="B34" s="2" t="str">
        <f>'1.4'!B:B</f>
        <v>bnco0968@signalschool.ac.th</v>
      </c>
      <c r="C34" s="2" t="str">
        <f>'1.4'!C:C</f>
        <v>ร.ท.ศุภรัชฎ หมอกสุข</v>
      </c>
      <c r="D34" s="9">
        <v>1.0</v>
      </c>
      <c r="E34" s="10">
        <f>IFERROR(vlookup('1.4'!D:D,lookup!$A$2:$B$4,2,false),0)</f>
        <v>5</v>
      </c>
      <c r="F34" s="10">
        <f>IFERROR(vlookup('1.4'!E:E,lookup!$A$6:$B$8,2,false),0)</f>
        <v>5</v>
      </c>
      <c r="G34" s="10">
        <f>IFERROR(vlookup('1.4'!F:F,lookup!$A$10:$B$12,2,false),0)</f>
        <v>5</v>
      </c>
      <c r="H34" s="10">
        <f>IFERROR(vlookup('1.4'!G:G,lookup!$A$14:$B$16,2,false),0)</f>
        <v>5</v>
      </c>
      <c r="I34" s="10">
        <f>IFERROR(vlookup('1.4'!H:H,lookup!$A$18:$B$20,2,false),0)</f>
        <v>5</v>
      </c>
      <c r="J34" s="10">
        <f>IFERROR(vlookup('1.4'!I:I,lookup!$A$22:$B$24,2,false),0)</f>
        <v>5</v>
      </c>
      <c r="K34" s="10">
        <f>IFERROR(vlookup('1.4'!J:J,lookup!$A$26:$B$28,2,false),0)</f>
        <v>5</v>
      </c>
      <c r="L34" s="2"/>
      <c r="M34" s="10">
        <v>33.0</v>
      </c>
      <c r="N34" s="11" t="str">
        <f t="shared" si="1"/>
        <v>bnco0933@signalschool.ac.th</v>
      </c>
      <c r="O34" s="12">
        <f t="shared" si="2"/>
        <v>1</v>
      </c>
      <c r="R34" s="6" t="s">
        <v>250</v>
      </c>
    </row>
    <row r="35">
      <c r="A35" s="8">
        <f>'1.4'!A:A</f>
        <v>46212.6211</v>
      </c>
      <c r="B35" s="2" t="str">
        <f>'1.4'!B:B</f>
        <v>bnco0974@signalschool.ac.th</v>
      </c>
      <c r="C35" s="2" t="str">
        <f>'1.4'!C:C</f>
        <v>ร.ท.ศุภรัชฎ หมอกสุข</v>
      </c>
      <c r="D35" s="9">
        <v>1.0</v>
      </c>
      <c r="E35" s="10">
        <f>IFERROR(vlookup('1.4'!D:D,lookup!$A$2:$B$4,2,false),0)</f>
        <v>5</v>
      </c>
      <c r="F35" s="10">
        <f>IFERROR(vlookup('1.4'!E:E,lookup!$A$6:$B$8,2,false),0)</f>
        <v>5</v>
      </c>
      <c r="G35" s="10">
        <f>IFERROR(vlookup('1.4'!F:F,lookup!$A$10:$B$12,2,false),0)</f>
        <v>5</v>
      </c>
      <c r="H35" s="10">
        <f>IFERROR(vlookup('1.4'!G:G,lookup!$A$14:$B$16,2,false),0)</f>
        <v>5</v>
      </c>
      <c r="I35" s="10">
        <f>IFERROR(vlookup('1.4'!H:H,lookup!$A$18:$B$20,2,false),0)</f>
        <v>3</v>
      </c>
      <c r="J35" s="10">
        <f>IFERROR(vlookup('1.4'!I:I,lookup!$A$22:$B$24,2,false),0)</f>
        <v>1</v>
      </c>
      <c r="K35" s="10">
        <f>IFERROR(vlookup('1.4'!J:J,lookup!$A$26:$B$28,2,false),0)</f>
        <v>3</v>
      </c>
      <c r="L35" s="2"/>
      <c r="M35" s="10">
        <v>34.0</v>
      </c>
      <c r="N35" s="11" t="str">
        <f t="shared" si="1"/>
        <v>bnco0934@signalschool.ac.th</v>
      </c>
      <c r="O35" s="12">
        <f t="shared" si="2"/>
        <v>1</v>
      </c>
      <c r="R35" s="6" t="s">
        <v>251</v>
      </c>
    </row>
    <row r="36">
      <c r="A36" s="8">
        <f>'1.4'!A:A</f>
        <v>46212.62112</v>
      </c>
      <c r="B36" s="2" t="str">
        <f>'1.4'!B:B</f>
        <v>bnco0921@signalschool.ac.th</v>
      </c>
      <c r="C36" s="2" t="str">
        <f>'1.4'!C:C</f>
        <v>ร.ท.ศุภรัฎ หมอกสุข</v>
      </c>
      <c r="D36" s="9">
        <v>1.0</v>
      </c>
      <c r="E36" s="10">
        <f>IFERROR(vlookup('1.4'!D:D,lookup!$A$2:$B$4,2,false),0)</f>
        <v>5</v>
      </c>
      <c r="F36" s="10">
        <f>IFERROR(vlookup('1.4'!E:E,lookup!$A$6:$B$8,2,false),0)</f>
        <v>5</v>
      </c>
      <c r="G36" s="10">
        <f>IFERROR(vlookup('1.4'!F:F,lookup!$A$10:$B$12,2,false),0)</f>
        <v>5</v>
      </c>
      <c r="H36" s="10">
        <f>IFERROR(vlookup('1.4'!G:G,lookup!$A$14:$B$16,2,false),0)</f>
        <v>5</v>
      </c>
      <c r="I36" s="10">
        <f>IFERROR(vlookup('1.4'!H:H,lookup!$A$18:$B$20,2,false),0)</f>
        <v>5</v>
      </c>
      <c r="J36" s="10">
        <f>IFERROR(vlookup('1.4'!I:I,lookup!$A$22:$B$24,2,false),0)</f>
        <v>5</v>
      </c>
      <c r="K36" s="10">
        <f>IFERROR(vlookup('1.4'!J:J,lookup!$A$26:$B$28,2,false),0)</f>
        <v>5</v>
      </c>
      <c r="L36" s="2"/>
      <c r="M36" s="10">
        <v>35.0</v>
      </c>
      <c r="N36" s="11" t="str">
        <f t="shared" si="1"/>
        <v>bnco0935@signalschool.ac.th</v>
      </c>
      <c r="O36" s="12">
        <f t="shared" si="2"/>
        <v>1</v>
      </c>
      <c r="R36" s="6" t="s">
        <v>252</v>
      </c>
    </row>
    <row r="37">
      <c r="A37" s="8">
        <f>'1.4'!A:A</f>
        <v>46212.62122</v>
      </c>
      <c r="B37" s="2" t="str">
        <f>'1.4'!B:B</f>
        <v>bnco0908@signalschool.ac.th</v>
      </c>
      <c r="C37" s="2" t="str">
        <f>'1.4'!C:C</f>
        <v>ร.ท.ศุภรัชฎ  หมอกสุข</v>
      </c>
      <c r="D37" s="9">
        <v>1.0</v>
      </c>
      <c r="E37" s="10">
        <f>IFERROR(vlookup('1.4'!D:D,lookup!$A$2:$B$4,2,false),0)</f>
        <v>5</v>
      </c>
      <c r="F37" s="10">
        <f>IFERROR(vlookup('1.4'!E:E,lookup!$A$6:$B$8,2,false),0)</f>
        <v>5</v>
      </c>
      <c r="G37" s="10">
        <f>IFERROR(vlookup('1.4'!F:F,lookup!$A$10:$B$12,2,false),0)</f>
        <v>5</v>
      </c>
      <c r="H37" s="10">
        <f>IFERROR(vlookup('1.4'!G:G,lookup!$A$14:$B$16,2,false),0)</f>
        <v>5</v>
      </c>
      <c r="I37" s="10">
        <f>IFERROR(vlookup('1.4'!H:H,lookup!$A$18:$B$20,2,false),0)</f>
        <v>5</v>
      </c>
      <c r="J37" s="10">
        <f>IFERROR(vlookup('1.4'!I:I,lookup!$A$22:$B$24,2,false),0)</f>
        <v>5</v>
      </c>
      <c r="K37" s="10">
        <f>IFERROR(vlookup('1.4'!J:J,lookup!$A$26:$B$28,2,false),0)</f>
        <v>5</v>
      </c>
      <c r="L37" s="2"/>
      <c r="M37" s="10">
        <v>36.0</v>
      </c>
      <c r="N37" s="11" t="str">
        <f t="shared" si="1"/>
        <v>bnco0936@signalschool.ac.th</v>
      </c>
      <c r="O37" s="12">
        <f t="shared" si="2"/>
        <v>1</v>
      </c>
      <c r="R37" s="6" t="s">
        <v>253</v>
      </c>
    </row>
    <row r="38">
      <c r="A38" s="8">
        <f>'1.4'!A:A</f>
        <v>46212.62123</v>
      </c>
      <c r="B38" s="2" t="str">
        <f>'1.4'!B:B</f>
        <v>bnco0973@signalschool.ac.th</v>
      </c>
      <c r="C38" s="2" t="str">
        <f>'1.4'!C:C</f>
        <v>ร.ท.ศุภรัชฎ หมอกสุข</v>
      </c>
      <c r="D38" s="9">
        <v>1.0</v>
      </c>
      <c r="E38" s="10">
        <f>IFERROR(vlookup('1.4'!D:D,lookup!$A$2:$B$4,2,false),0)</f>
        <v>5</v>
      </c>
      <c r="F38" s="10">
        <f>IFERROR(vlookup('1.4'!E:E,lookup!$A$6:$B$8,2,false),0)</f>
        <v>5</v>
      </c>
      <c r="G38" s="10">
        <f>IFERROR(vlookup('1.4'!F:F,lookup!$A$10:$B$12,2,false),0)</f>
        <v>5</v>
      </c>
      <c r="H38" s="10">
        <f>IFERROR(vlookup('1.4'!G:G,lookup!$A$14:$B$16,2,false),0)</f>
        <v>5</v>
      </c>
      <c r="I38" s="10">
        <f>IFERROR(vlookup('1.4'!H:H,lookup!$A$18:$B$20,2,false),0)</f>
        <v>5</v>
      </c>
      <c r="J38" s="10">
        <f>IFERROR(vlookup('1.4'!I:I,lookup!$A$22:$B$24,2,false),0)</f>
        <v>5</v>
      </c>
      <c r="K38" s="10">
        <f>IFERROR(vlookup('1.4'!J:J,lookup!$A$26:$B$28,2,false),0)</f>
        <v>5</v>
      </c>
      <c r="L38" s="2"/>
      <c r="M38" s="10">
        <v>37.0</v>
      </c>
      <c r="N38" s="11" t="str">
        <f t="shared" si="1"/>
        <v>bnco0937@signalschool.ac.th</v>
      </c>
      <c r="O38" s="12">
        <f t="shared" si="2"/>
        <v>1</v>
      </c>
      <c r="R38" s="6" t="s">
        <v>254</v>
      </c>
    </row>
    <row r="39">
      <c r="A39" s="8">
        <f>'1.4'!A:A</f>
        <v>46212.62126</v>
      </c>
      <c r="B39" s="2" t="str">
        <f>'1.4'!B:B</f>
        <v>bnco0909@signalschool.ac.th</v>
      </c>
      <c r="C39" s="2" t="str">
        <f>'1.4'!C:C</f>
        <v>ร.ท.ศุภรัช หมอกสุข</v>
      </c>
      <c r="D39" s="9">
        <v>1.0</v>
      </c>
      <c r="E39" s="10">
        <f>IFERROR(vlookup('1.4'!D:D,lookup!$A$2:$B$4,2,false),0)</f>
        <v>5</v>
      </c>
      <c r="F39" s="10">
        <f>IFERROR(vlookup('1.4'!E:E,lookup!$A$6:$B$8,2,false),0)</f>
        <v>5</v>
      </c>
      <c r="G39" s="10">
        <f>IFERROR(vlookup('1.4'!F:F,lookup!$A$10:$B$12,2,false),0)</f>
        <v>5</v>
      </c>
      <c r="H39" s="10">
        <f>IFERROR(vlookup('1.4'!G:G,lookup!$A$14:$B$16,2,false),0)</f>
        <v>5</v>
      </c>
      <c r="I39" s="10">
        <f>IFERROR(vlookup('1.4'!H:H,lookup!$A$18:$B$20,2,false),0)</f>
        <v>5</v>
      </c>
      <c r="J39" s="10">
        <f>IFERROR(vlookup('1.4'!I:I,lookup!$A$22:$B$24,2,false),0)</f>
        <v>5</v>
      </c>
      <c r="K39" s="10">
        <f>IFERROR(vlookup('1.4'!J:J,lookup!$A$26:$B$28,2,false),0)</f>
        <v>5</v>
      </c>
      <c r="L39" s="2"/>
      <c r="M39" s="10">
        <v>38.0</v>
      </c>
      <c r="N39" s="11" t="str">
        <f t="shared" si="1"/>
        <v>bnco0938@signalschool.ac.th</v>
      </c>
      <c r="O39" s="12">
        <f t="shared" si="2"/>
        <v>1</v>
      </c>
      <c r="R39" s="6" t="s">
        <v>255</v>
      </c>
    </row>
    <row r="40">
      <c r="A40" s="8">
        <f>'1.4'!A:A</f>
        <v>46212.62147</v>
      </c>
      <c r="B40" s="2" t="str">
        <f>'1.4'!B:B</f>
        <v>bnco0964@signalschool.ac.th</v>
      </c>
      <c r="C40" s="2" t="str">
        <f>'1.4'!C:C</f>
        <v>ร.ท.ศุภรัชฎ หมอกสุข</v>
      </c>
      <c r="D40" s="9">
        <v>1.0</v>
      </c>
      <c r="E40" s="10">
        <f>IFERROR(vlookup('1.4'!D:D,lookup!$A$2:$B$4,2,false),0)</f>
        <v>5</v>
      </c>
      <c r="F40" s="10">
        <f>IFERROR(vlookup('1.4'!E:E,lookup!$A$6:$B$8,2,false),0)</f>
        <v>5</v>
      </c>
      <c r="G40" s="10">
        <f>IFERROR(vlookup('1.4'!F:F,lookup!$A$10:$B$12,2,false),0)</f>
        <v>5</v>
      </c>
      <c r="H40" s="10">
        <f>IFERROR(vlookup('1.4'!G:G,lookup!$A$14:$B$16,2,false),0)</f>
        <v>5</v>
      </c>
      <c r="I40" s="10">
        <f>IFERROR(vlookup('1.4'!H:H,lookup!$A$18:$B$20,2,false),0)</f>
        <v>5</v>
      </c>
      <c r="J40" s="10">
        <f>IFERROR(vlookup('1.4'!I:I,lookup!$A$22:$B$24,2,false),0)</f>
        <v>5</v>
      </c>
      <c r="K40" s="10">
        <f>IFERROR(vlookup('1.4'!J:J,lookup!$A$26:$B$28,2,false),0)</f>
        <v>5</v>
      </c>
      <c r="L40" s="2"/>
      <c r="M40" s="10">
        <v>39.0</v>
      </c>
      <c r="N40" s="11" t="str">
        <f t="shared" si="1"/>
        <v>bnco0939@signalschool.ac.th</v>
      </c>
      <c r="O40" s="12">
        <f t="shared" si="2"/>
        <v>1</v>
      </c>
      <c r="R40" s="6" t="s">
        <v>256</v>
      </c>
    </row>
    <row r="41">
      <c r="A41" s="8">
        <f>'1.4'!A:A</f>
        <v>46212.62152</v>
      </c>
      <c r="B41" s="2" t="str">
        <f>'1.4'!B:B</f>
        <v>bnco0930@signalschool.ac.th</v>
      </c>
      <c r="C41" s="2" t="str">
        <f>'1.4'!C:C</f>
        <v>ร.ท.ศุภรัชฎ หมอกสุข</v>
      </c>
      <c r="D41" s="9">
        <v>1.0</v>
      </c>
      <c r="E41" s="10">
        <f>IFERROR(vlookup('1.4'!D:D,lookup!$A$2:$B$4,2,false),0)</f>
        <v>5</v>
      </c>
      <c r="F41" s="10">
        <f>IFERROR(vlookup('1.4'!E:E,lookup!$A$6:$B$8,2,false),0)</f>
        <v>5</v>
      </c>
      <c r="G41" s="10">
        <f>IFERROR(vlookup('1.4'!F:F,lookup!$A$10:$B$12,2,false),0)</f>
        <v>5</v>
      </c>
      <c r="H41" s="10">
        <f>IFERROR(vlookup('1.4'!G:G,lookup!$A$14:$B$16,2,false),0)</f>
        <v>5</v>
      </c>
      <c r="I41" s="10">
        <f>IFERROR(vlookup('1.4'!H:H,lookup!$A$18:$B$20,2,false),0)</f>
        <v>5</v>
      </c>
      <c r="J41" s="10">
        <f>IFERROR(vlookup('1.4'!I:I,lookup!$A$22:$B$24,2,false),0)</f>
        <v>5</v>
      </c>
      <c r="K41" s="10">
        <f>IFERROR(vlookup('1.4'!J:J,lookup!$A$26:$B$28,2,false),0)</f>
        <v>5</v>
      </c>
      <c r="L41" s="2"/>
      <c r="M41" s="10">
        <v>40.0</v>
      </c>
      <c r="N41" s="11" t="str">
        <f t="shared" si="1"/>
        <v>bnco0940@signalschool.ac.th</v>
      </c>
      <c r="O41" s="12">
        <f t="shared" si="2"/>
        <v>1</v>
      </c>
      <c r="R41" s="6" t="s">
        <v>257</v>
      </c>
    </row>
    <row r="42">
      <c r="A42" s="8">
        <f>'1.4'!A:A</f>
        <v>46212.62153</v>
      </c>
      <c r="B42" s="2" t="str">
        <f>'1.4'!B:B</f>
        <v>bnco0926@signalschool.ac.th</v>
      </c>
      <c r="C42" s="2" t="str">
        <f>'1.4'!C:C</f>
        <v>ร.ท.ศุภรัชฎ หมอกสุข</v>
      </c>
      <c r="D42" s="9">
        <v>1.0</v>
      </c>
      <c r="E42" s="10">
        <f>IFERROR(vlookup('1.4'!D:D,lookup!$A$2:$B$4,2,false),0)</f>
        <v>5</v>
      </c>
      <c r="F42" s="10">
        <f>IFERROR(vlookup('1.4'!E:E,lookup!$A$6:$B$8,2,false),0)</f>
        <v>5</v>
      </c>
      <c r="G42" s="10">
        <f>IFERROR(vlookup('1.4'!F:F,lookup!$A$10:$B$12,2,false),0)</f>
        <v>5</v>
      </c>
      <c r="H42" s="10">
        <f>IFERROR(vlookup('1.4'!G:G,lookup!$A$14:$B$16,2,false),0)</f>
        <v>5</v>
      </c>
      <c r="I42" s="10">
        <f>IFERROR(vlookup('1.4'!H:H,lookup!$A$18:$B$20,2,false),0)</f>
        <v>5</v>
      </c>
      <c r="J42" s="10">
        <f>IFERROR(vlookup('1.4'!I:I,lookup!$A$22:$B$24,2,false),0)</f>
        <v>5</v>
      </c>
      <c r="K42" s="10">
        <f>IFERROR(vlookup('1.4'!J:J,lookup!$A$26:$B$28,2,false),0)</f>
        <v>5</v>
      </c>
      <c r="L42" s="2"/>
      <c r="M42" s="10">
        <v>41.0</v>
      </c>
      <c r="N42" s="11" t="str">
        <f t="shared" si="1"/>
        <v>bnco0941@signalschool.ac.th</v>
      </c>
      <c r="O42" s="12">
        <f t="shared" si="2"/>
        <v>1</v>
      </c>
      <c r="R42" s="6" t="s">
        <v>258</v>
      </c>
    </row>
    <row r="43">
      <c r="A43" s="8">
        <f>'1.4'!A:A</f>
        <v>46212.62155</v>
      </c>
      <c r="B43" s="2" t="str">
        <f>'1.4'!B:B</f>
        <v>bnco0979@signalschool.ac.th</v>
      </c>
      <c r="C43" s="2" t="str">
        <f>'1.4'!C:C</f>
        <v>ร.ท.ศุภรัชฎ หมอกสุข</v>
      </c>
      <c r="D43" s="9">
        <v>1.0</v>
      </c>
      <c r="E43" s="10">
        <f>IFERROR(vlookup('1.4'!D:D,lookup!$A$2:$B$4,2,false),0)</f>
        <v>5</v>
      </c>
      <c r="F43" s="10">
        <f>IFERROR(vlookup('1.4'!E:E,lookup!$A$6:$B$8,2,false),0)</f>
        <v>5</v>
      </c>
      <c r="G43" s="10">
        <f>IFERROR(vlookup('1.4'!F:F,lookup!$A$10:$B$12,2,false),0)</f>
        <v>5</v>
      </c>
      <c r="H43" s="10">
        <f>IFERROR(vlookup('1.4'!G:G,lookup!$A$14:$B$16,2,false),0)</f>
        <v>5</v>
      </c>
      <c r="I43" s="10">
        <f>IFERROR(vlookup('1.4'!H:H,lookup!$A$18:$B$20,2,false),0)</f>
        <v>5</v>
      </c>
      <c r="J43" s="10">
        <f>IFERROR(vlookup('1.4'!I:I,lookup!$A$22:$B$24,2,false),0)</f>
        <v>5</v>
      </c>
      <c r="K43" s="10">
        <f>IFERROR(vlookup('1.4'!J:J,lookup!$A$26:$B$28,2,false),0)</f>
        <v>5</v>
      </c>
      <c r="L43" s="2"/>
      <c r="M43" s="10">
        <v>42.0</v>
      </c>
      <c r="N43" s="11" t="str">
        <f t="shared" si="1"/>
        <v>bnco0942@signalschool.ac.th</v>
      </c>
      <c r="O43" s="12">
        <f t="shared" si="2"/>
        <v>1</v>
      </c>
      <c r="R43" s="6" t="s">
        <v>259</v>
      </c>
    </row>
    <row r="44">
      <c r="A44" s="8">
        <f>'1.4'!A:A</f>
        <v>46212.62155</v>
      </c>
      <c r="B44" s="2" t="str">
        <f>'1.4'!B:B</f>
        <v>bnco0927@signalschool.ac.th</v>
      </c>
      <c r="C44" s="2" t="str">
        <f>'1.4'!C:C</f>
        <v>ร.ท.ศุภรัชฎ หมอกสุข</v>
      </c>
      <c r="D44" s="9">
        <v>1.0</v>
      </c>
      <c r="E44" s="10">
        <f>IFERROR(vlookup('1.4'!D:D,lookup!$A$2:$B$4,2,false),0)</f>
        <v>5</v>
      </c>
      <c r="F44" s="10">
        <f>IFERROR(vlookup('1.4'!E:E,lookup!$A$6:$B$8,2,false),0)</f>
        <v>5</v>
      </c>
      <c r="G44" s="10">
        <f>IFERROR(vlookup('1.4'!F:F,lookup!$A$10:$B$12,2,false),0)</f>
        <v>5</v>
      </c>
      <c r="H44" s="10">
        <f>IFERROR(vlookup('1.4'!G:G,lookup!$A$14:$B$16,2,false),0)</f>
        <v>5</v>
      </c>
      <c r="I44" s="10">
        <f>IFERROR(vlookup('1.4'!H:H,lookup!$A$18:$B$20,2,false),0)</f>
        <v>5</v>
      </c>
      <c r="J44" s="10">
        <f>IFERROR(vlookup('1.4'!I:I,lookup!$A$22:$B$24,2,false),0)</f>
        <v>5</v>
      </c>
      <c r="K44" s="10">
        <f>IFERROR(vlookup('1.4'!J:J,lookup!$A$26:$B$28,2,false),0)</f>
        <v>5</v>
      </c>
      <c r="L44" s="2"/>
      <c r="M44" s="10">
        <v>43.0</v>
      </c>
      <c r="N44" s="11" t="str">
        <f t="shared" si="1"/>
        <v>bnco0943@signalschool.ac.th</v>
      </c>
      <c r="O44" s="12">
        <f t="shared" si="2"/>
        <v>1</v>
      </c>
      <c r="R44" s="6" t="s">
        <v>260</v>
      </c>
    </row>
    <row r="45">
      <c r="A45" s="8">
        <f>'1.4'!A:A</f>
        <v>46212.62169</v>
      </c>
      <c r="B45" s="2" t="str">
        <f>'1.4'!B:B</f>
        <v>bnco0942@signalschool.ac.th</v>
      </c>
      <c r="C45" s="2" t="str">
        <f>'1.4'!C:C</f>
        <v>ร.ท. ศุภรัชฎ  หมอกสุข</v>
      </c>
      <c r="D45" s="9">
        <v>1.0</v>
      </c>
      <c r="E45" s="10">
        <f>IFERROR(vlookup('1.4'!D:D,lookup!$A$2:$B$4,2,false),0)</f>
        <v>5</v>
      </c>
      <c r="F45" s="10">
        <f>IFERROR(vlookup('1.4'!E:E,lookup!$A$6:$B$8,2,false),0)</f>
        <v>5</v>
      </c>
      <c r="G45" s="10">
        <f>IFERROR(vlookup('1.4'!F:F,lookup!$A$10:$B$12,2,false),0)</f>
        <v>5</v>
      </c>
      <c r="H45" s="10">
        <f>IFERROR(vlookup('1.4'!G:G,lookup!$A$14:$B$16,2,false),0)</f>
        <v>5</v>
      </c>
      <c r="I45" s="10">
        <f>IFERROR(vlookup('1.4'!H:H,lookup!$A$18:$B$20,2,false),0)</f>
        <v>5</v>
      </c>
      <c r="J45" s="10">
        <f>IFERROR(vlookup('1.4'!I:I,lookup!$A$22:$B$24,2,false),0)</f>
        <v>5</v>
      </c>
      <c r="K45" s="10">
        <f>IFERROR(vlookup('1.4'!J:J,lookup!$A$26:$B$28,2,false),0)</f>
        <v>5</v>
      </c>
      <c r="L45" s="2"/>
      <c r="M45" s="10">
        <v>44.0</v>
      </c>
      <c r="N45" s="11" t="str">
        <f t="shared" si="1"/>
        <v>bnco0944@signalschool.ac.th</v>
      </c>
      <c r="O45" s="12">
        <f t="shared" si="2"/>
        <v>1</v>
      </c>
      <c r="R45" s="6" t="s">
        <v>261</v>
      </c>
    </row>
    <row r="46">
      <c r="A46" s="8">
        <f>'1.4'!A:A</f>
        <v>46212.62193</v>
      </c>
      <c r="B46" s="2" t="str">
        <f>'1.4'!B:B</f>
        <v>bnco0912@signalschool.ac.th</v>
      </c>
      <c r="C46" s="2" t="str">
        <f>'1.4'!C:C</f>
        <v>ร.ท. ศุภรัชฏ  หมอกสุข</v>
      </c>
      <c r="D46" s="9">
        <v>1.0</v>
      </c>
      <c r="E46" s="10">
        <f>IFERROR(vlookup('1.4'!D:D,lookup!$A$2:$B$4,2,false),0)</f>
        <v>5</v>
      </c>
      <c r="F46" s="10">
        <f>IFERROR(vlookup('1.4'!E:E,lookup!$A$6:$B$8,2,false),0)</f>
        <v>5</v>
      </c>
      <c r="G46" s="10">
        <f>IFERROR(vlookup('1.4'!F:F,lookup!$A$10:$B$12,2,false),0)</f>
        <v>5</v>
      </c>
      <c r="H46" s="10">
        <f>IFERROR(vlookup('1.4'!G:G,lookup!$A$14:$B$16,2,false),0)</f>
        <v>5</v>
      </c>
      <c r="I46" s="10">
        <f>IFERROR(vlookup('1.4'!H:H,lookup!$A$18:$B$20,2,false),0)</f>
        <v>5</v>
      </c>
      <c r="J46" s="10">
        <f>IFERROR(vlookup('1.4'!I:I,lookup!$A$22:$B$24,2,false),0)</f>
        <v>5</v>
      </c>
      <c r="K46" s="10">
        <f>IFERROR(vlookup('1.4'!J:J,lookup!$A$26:$B$28,2,false),0)</f>
        <v>5</v>
      </c>
      <c r="L46" s="2"/>
      <c r="M46" s="10">
        <v>45.0</v>
      </c>
      <c r="N46" s="11" t="str">
        <f t="shared" si="1"/>
        <v>bnco0945@signalschool.ac.th</v>
      </c>
      <c r="O46" s="12">
        <f t="shared" si="2"/>
        <v>1</v>
      </c>
      <c r="R46" s="6" t="s">
        <v>262</v>
      </c>
    </row>
    <row r="47">
      <c r="A47" s="8">
        <f>'1.4'!A:A</f>
        <v>46212.62196</v>
      </c>
      <c r="B47" s="2" t="str">
        <f>'1.4'!B:B</f>
        <v>bnco0952@signalschool.ac.th</v>
      </c>
      <c r="C47" s="2" t="str">
        <f>'1.4'!C:C</f>
        <v>ร.ท.ศุภรัชฎ  หมอกสุข</v>
      </c>
      <c r="D47" s="9">
        <v>1.0</v>
      </c>
      <c r="E47" s="10">
        <f>IFERROR(vlookup('1.4'!D:D,lookup!$A$2:$B$4,2,false),0)</f>
        <v>5</v>
      </c>
      <c r="F47" s="10">
        <f>IFERROR(vlookup('1.4'!E:E,lookup!$A$6:$B$8,2,false),0)</f>
        <v>5</v>
      </c>
      <c r="G47" s="10">
        <f>IFERROR(vlookup('1.4'!F:F,lookup!$A$10:$B$12,2,false),0)</f>
        <v>5</v>
      </c>
      <c r="H47" s="10">
        <f>IFERROR(vlookup('1.4'!G:G,lookup!$A$14:$B$16,2,false),0)</f>
        <v>5</v>
      </c>
      <c r="I47" s="10">
        <f>IFERROR(vlookup('1.4'!H:H,lookup!$A$18:$B$20,2,false),0)</f>
        <v>5</v>
      </c>
      <c r="J47" s="10">
        <f>IFERROR(vlookup('1.4'!I:I,lookup!$A$22:$B$24,2,false),0)</f>
        <v>5</v>
      </c>
      <c r="K47" s="10">
        <f>IFERROR(vlookup('1.4'!J:J,lookup!$A$26:$B$28,2,false),0)</f>
        <v>5</v>
      </c>
      <c r="L47" s="2"/>
      <c r="M47" s="10">
        <v>46.0</v>
      </c>
      <c r="N47" s="11" t="str">
        <f t="shared" si="1"/>
        <v>bnco0946@signalschool.ac.th</v>
      </c>
      <c r="O47" s="12">
        <f t="shared" si="2"/>
        <v>1</v>
      </c>
      <c r="R47" s="6" t="s">
        <v>263</v>
      </c>
    </row>
    <row r="48">
      <c r="A48" s="8">
        <f>'1.4'!A:A</f>
        <v>46212.62211</v>
      </c>
      <c r="B48" s="2" t="str">
        <f>'1.4'!B:B</f>
        <v>bnco0947@signalschool.ac.th</v>
      </c>
      <c r="C48" s="2" t="str">
        <f>'1.4'!C:C</f>
        <v>ร.ท. ศุภรัชฎ  หมอกสุข</v>
      </c>
      <c r="D48" s="9">
        <v>1.0</v>
      </c>
      <c r="E48" s="10">
        <f>IFERROR(vlookup('1.4'!D:D,lookup!$A$2:$B$4,2,false),0)</f>
        <v>5</v>
      </c>
      <c r="F48" s="10">
        <f>IFERROR(vlookup('1.4'!E:E,lookup!$A$6:$B$8,2,false),0)</f>
        <v>5</v>
      </c>
      <c r="G48" s="10">
        <f>IFERROR(vlookup('1.4'!F:F,lookup!$A$10:$B$12,2,false),0)</f>
        <v>5</v>
      </c>
      <c r="H48" s="10">
        <f>IFERROR(vlookup('1.4'!G:G,lookup!$A$14:$B$16,2,false),0)</f>
        <v>5</v>
      </c>
      <c r="I48" s="10">
        <f>IFERROR(vlookup('1.4'!H:H,lookup!$A$18:$B$20,2,false),0)</f>
        <v>5</v>
      </c>
      <c r="J48" s="10">
        <f>IFERROR(vlookup('1.4'!I:I,lookup!$A$22:$B$24,2,false),0)</f>
        <v>5</v>
      </c>
      <c r="K48" s="10">
        <f>IFERROR(vlookup('1.4'!J:J,lookup!$A$26:$B$28,2,false),0)</f>
        <v>5</v>
      </c>
      <c r="L48" s="2"/>
      <c r="M48" s="10">
        <v>47.0</v>
      </c>
      <c r="N48" s="11" t="str">
        <f t="shared" si="1"/>
        <v>bnco0947@signalschool.ac.th</v>
      </c>
      <c r="O48" s="12">
        <f t="shared" si="2"/>
        <v>1</v>
      </c>
      <c r="R48" s="6" t="s">
        <v>264</v>
      </c>
    </row>
    <row r="49">
      <c r="A49" s="8">
        <f>'1.4'!A:A</f>
        <v>46212.62232</v>
      </c>
      <c r="B49" s="2" t="str">
        <f>'1.4'!B:B</f>
        <v>bnco0943@signalschool.ac.th</v>
      </c>
      <c r="C49" s="2" t="str">
        <f>'1.4'!C:C</f>
        <v>ร.ท.ศุภรัชฎ หมอกสุข</v>
      </c>
      <c r="D49" s="9">
        <v>1.0</v>
      </c>
      <c r="E49" s="10">
        <f>IFERROR(vlookup('1.4'!D:D,lookup!$A$2:$B$4,2,false),0)</f>
        <v>5</v>
      </c>
      <c r="F49" s="10">
        <f>IFERROR(vlookup('1.4'!E:E,lookup!$A$6:$B$8,2,false),0)</f>
        <v>5</v>
      </c>
      <c r="G49" s="10">
        <f>IFERROR(vlookup('1.4'!F:F,lookup!$A$10:$B$12,2,false),0)</f>
        <v>5</v>
      </c>
      <c r="H49" s="10">
        <f>IFERROR(vlookup('1.4'!G:G,lookup!$A$14:$B$16,2,false),0)</f>
        <v>5</v>
      </c>
      <c r="I49" s="10">
        <f>IFERROR(vlookup('1.4'!H:H,lookup!$A$18:$B$20,2,false),0)</f>
        <v>5</v>
      </c>
      <c r="J49" s="10">
        <f>IFERROR(vlookup('1.4'!I:I,lookup!$A$22:$B$24,2,false),0)</f>
        <v>5</v>
      </c>
      <c r="K49" s="10">
        <f>IFERROR(vlookup('1.4'!J:J,lookup!$A$26:$B$28,2,false),0)</f>
        <v>5</v>
      </c>
      <c r="L49" s="2"/>
      <c r="M49" s="10">
        <v>48.0</v>
      </c>
      <c r="N49" s="11" t="str">
        <f t="shared" si="1"/>
        <v>bnco0948@signalschool.ac.th</v>
      </c>
      <c r="O49" s="12">
        <f t="shared" si="2"/>
        <v>1</v>
      </c>
      <c r="R49" s="6" t="s">
        <v>265</v>
      </c>
    </row>
    <row r="50">
      <c r="A50" s="8">
        <f>'1.4'!A:A</f>
        <v>46212.62261</v>
      </c>
      <c r="B50" s="2" t="str">
        <f>'1.4'!B:B</f>
        <v>bnco0957@signalschool.ac.th</v>
      </c>
      <c r="C50" s="2" t="str">
        <f>'1.4'!C:C</f>
        <v>ร.อ.ศุภรัชฎ หมอกสุข</v>
      </c>
      <c r="D50" s="9">
        <v>1.0</v>
      </c>
      <c r="E50" s="10">
        <f>IFERROR(vlookup('1.4'!D:D,lookup!$A$2:$B$4,2,false),0)</f>
        <v>5</v>
      </c>
      <c r="F50" s="10">
        <f>IFERROR(vlookup('1.4'!E:E,lookup!$A$6:$B$8,2,false),0)</f>
        <v>5</v>
      </c>
      <c r="G50" s="10">
        <f>IFERROR(vlookup('1.4'!F:F,lookup!$A$10:$B$12,2,false),0)</f>
        <v>5</v>
      </c>
      <c r="H50" s="10">
        <f>IFERROR(vlookup('1.4'!G:G,lookup!$A$14:$B$16,2,false),0)</f>
        <v>5</v>
      </c>
      <c r="I50" s="10">
        <f>IFERROR(vlookup('1.4'!H:H,lookup!$A$18:$B$20,2,false),0)</f>
        <v>5</v>
      </c>
      <c r="J50" s="10">
        <f>IFERROR(vlookup('1.4'!I:I,lookup!$A$22:$B$24,2,false),0)</f>
        <v>5</v>
      </c>
      <c r="K50" s="10">
        <f>IFERROR(vlookup('1.4'!J:J,lookup!$A$26:$B$28,2,false),0)</f>
        <v>5</v>
      </c>
      <c r="L50" s="2"/>
      <c r="M50" s="10">
        <v>49.0</v>
      </c>
      <c r="N50" s="11" t="str">
        <f t="shared" si="1"/>
        <v>bnco0949@signalschool.ac.th</v>
      </c>
      <c r="O50" s="12">
        <f t="shared" si="2"/>
        <v>1</v>
      </c>
      <c r="R50" s="6" t="s">
        <v>266</v>
      </c>
    </row>
    <row r="51">
      <c r="A51" s="8">
        <f>'1.4'!A:A</f>
        <v>46212.62276</v>
      </c>
      <c r="B51" s="2" t="str">
        <f>'1.4'!B:B</f>
        <v>bnco0948@signalschool.ac.th</v>
      </c>
      <c r="C51" s="2" t="str">
        <f>'1.4'!C:C</f>
        <v>ร.ท.ศุภรัชฎ หมอกสุข</v>
      </c>
      <c r="D51" s="9">
        <v>1.0</v>
      </c>
      <c r="E51" s="10">
        <f>IFERROR(vlookup('1.4'!D:D,lookup!$A$2:$B$4,2,false),0)</f>
        <v>5</v>
      </c>
      <c r="F51" s="10">
        <f>IFERROR(vlookup('1.4'!E:E,lookup!$A$6:$B$8,2,false),0)</f>
        <v>5</v>
      </c>
      <c r="G51" s="10">
        <f>IFERROR(vlookup('1.4'!F:F,lookup!$A$10:$B$12,2,false),0)</f>
        <v>5</v>
      </c>
      <c r="H51" s="10">
        <f>IFERROR(vlookup('1.4'!G:G,lookup!$A$14:$B$16,2,false),0)</f>
        <v>5</v>
      </c>
      <c r="I51" s="10">
        <f>IFERROR(vlookup('1.4'!H:H,lookup!$A$18:$B$20,2,false),0)</f>
        <v>5</v>
      </c>
      <c r="J51" s="10">
        <f>IFERROR(vlookup('1.4'!I:I,lookup!$A$22:$B$24,2,false),0)</f>
        <v>5</v>
      </c>
      <c r="K51" s="10">
        <f>IFERROR(vlookup('1.4'!J:J,lookup!$A$26:$B$28,2,false),0)</f>
        <v>5</v>
      </c>
      <c r="L51" s="2"/>
      <c r="M51" s="10">
        <v>50.0</v>
      </c>
      <c r="N51" s="11" t="str">
        <f t="shared" si="1"/>
        <v>bnco0950@signalschool.ac.th</v>
      </c>
      <c r="O51" s="12">
        <f t="shared" si="2"/>
        <v>1</v>
      </c>
      <c r="R51" s="6" t="s">
        <v>267</v>
      </c>
    </row>
    <row r="52">
      <c r="A52" s="8">
        <f>'1.4'!A:A</f>
        <v>46212.62276</v>
      </c>
      <c r="B52" s="2" t="str">
        <f>'1.4'!B:B</f>
        <v>bnco0929@signalschool.ac.th</v>
      </c>
      <c r="C52" s="2" t="str">
        <f>'1.4'!C:C</f>
        <v>ร.ท.ศุภรัชฎ หมอกสุข</v>
      </c>
      <c r="D52" s="9">
        <v>1.0</v>
      </c>
      <c r="E52" s="10">
        <f>IFERROR(vlookup('1.4'!D:D,lookup!$A$2:$B$4,2,false),0)</f>
        <v>5</v>
      </c>
      <c r="F52" s="10">
        <f>IFERROR(vlookup('1.4'!E:E,lookup!$A$6:$B$8,2,false),0)</f>
        <v>5</v>
      </c>
      <c r="G52" s="10">
        <f>IFERROR(vlookup('1.4'!F:F,lookup!$A$10:$B$12,2,false),0)</f>
        <v>5</v>
      </c>
      <c r="H52" s="10">
        <f>IFERROR(vlookup('1.4'!G:G,lookup!$A$14:$B$16,2,false),0)</f>
        <v>5</v>
      </c>
      <c r="I52" s="10">
        <f>IFERROR(vlookup('1.4'!H:H,lookup!$A$18:$B$20,2,false),0)</f>
        <v>5</v>
      </c>
      <c r="J52" s="10">
        <f>IFERROR(vlookup('1.4'!I:I,lookup!$A$22:$B$24,2,false),0)</f>
        <v>5</v>
      </c>
      <c r="K52" s="10">
        <f>IFERROR(vlookup('1.4'!J:J,lookup!$A$26:$B$28,2,false),0)</f>
        <v>5</v>
      </c>
      <c r="L52" s="2"/>
      <c r="M52" s="10">
        <v>51.0</v>
      </c>
      <c r="N52" s="11" t="str">
        <f t="shared" si="1"/>
        <v>bnco0951@signalschool.ac.th</v>
      </c>
      <c r="O52" s="12">
        <f t="shared" si="2"/>
        <v>1</v>
      </c>
      <c r="R52" s="6" t="s">
        <v>268</v>
      </c>
    </row>
    <row r="53">
      <c r="A53" s="8">
        <f>'1.4'!A:A</f>
        <v>46212.62284</v>
      </c>
      <c r="B53" s="2" t="str">
        <f>'1.4'!B:B</f>
        <v>bnco0903@signalschool.ac.th</v>
      </c>
      <c r="C53" s="2" t="str">
        <f>'1.4'!C:C</f>
        <v>ร.ท.ศุภรัชฎ หมอกสุข</v>
      </c>
      <c r="D53" s="9">
        <v>1.0</v>
      </c>
      <c r="E53" s="10">
        <f>IFERROR(vlookup('1.4'!D:D,lookup!$A$2:$B$4,2,false),0)</f>
        <v>5</v>
      </c>
      <c r="F53" s="10">
        <f>IFERROR(vlookup('1.4'!E:E,lookup!$A$6:$B$8,2,false),0)</f>
        <v>5</v>
      </c>
      <c r="G53" s="10">
        <f>IFERROR(vlookup('1.4'!F:F,lookup!$A$10:$B$12,2,false),0)</f>
        <v>5</v>
      </c>
      <c r="H53" s="10">
        <f>IFERROR(vlookup('1.4'!G:G,lookup!$A$14:$B$16,2,false),0)</f>
        <v>5</v>
      </c>
      <c r="I53" s="10">
        <f>IFERROR(vlookup('1.4'!H:H,lookup!$A$18:$B$20,2,false),0)</f>
        <v>5</v>
      </c>
      <c r="J53" s="10">
        <f>IFERROR(vlookup('1.4'!I:I,lookup!$A$22:$B$24,2,false),0)</f>
        <v>5</v>
      </c>
      <c r="K53" s="10">
        <f>IFERROR(vlookup('1.4'!J:J,lookup!$A$26:$B$28,2,false),0)</f>
        <v>5</v>
      </c>
      <c r="L53" s="2"/>
      <c r="M53" s="10">
        <v>52.0</v>
      </c>
      <c r="N53" s="11" t="str">
        <f t="shared" si="1"/>
        <v>bnco0952@signalschool.ac.th</v>
      </c>
      <c r="O53" s="12">
        <f t="shared" si="2"/>
        <v>1</v>
      </c>
      <c r="R53" s="6" t="s">
        <v>269</v>
      </c>
    </row>
    <row r="54">
      <c r="A54" s="8">
        <f>'1.4'!A:A</f>
        <v>46212.62301</v>
      </c>
      <c r="B54" s="2" t="str">
        <f>'1.4'!B:B</f>
        <v>bnco0905@signalschool.ac.th</v>
      </c>
      <c r="C54" s="2" t="str">
        <f>'1.4'!C:C</f>
        <v>ร.ท.ศุภรัชฎ หมอกสุข</v>
      </c>
      <c r="D54" s="9">
        <v>1.0</v>
      </c>
      <c r="E54" s="10">
        <f>IFERROR(vlookup('1.4'!D:D,lookup!$A$2:$B$4,2,false),0)</f>
        <v>5</v>
      </c>
      <c r="F54" s="10">
        <f>IFERROR(vlookup('1.4'!E:E,lookup!$A$6:$B$8,2,false),0)</f>
        <v>5</v>
      </c>
      <c r="G54" s="10">
        <f>IFERROR(vlookup('1.4'!F:F,lookup!$A$10:$B$12,2,false),0)</f>
        <v>5</v>
      </c>
      <c r="H54" s="10">
        <f>IFERROR(vlookup('1.4'!G:G,lookup!$A$14:$B$16,2,false),0)</f>
        <v>5</v>
      </c>
      <c r="I54" s="10">
        <f>IFERROR(vlookup('1.4'!H:H,lookup!$A$18:$B$20,2,false),0)</f>
        <v>5</v>
      </c>
      <c r="J54" s="10">
        <f>IFERROR(vlookup('1.4'!I:I,lookup!$A$22:$B$24,2,false),0)</f>
        <v>5</v>
      </c>
      <c r="K54" s="10">
        <f>IFERROR(vlookup('1.4'!J:J,lookup!$A$26:$B$28,2,false),0)</f>
        <v>5</v>
      </c>
      <c r="L54" s="2"/>
      <c r="M54" s="10">
        <v>53.0</v>
      </c>
      <c r="N54" s="11" t="str">
        <f t="shared" si="1"/>
        <v>bnco0953@signalschool.ac.th</v>
      </c>
      <c r="O54" s="12">
        <f t="shared" si="2"/>
        <v>1</v>
      </c>
      <c r="R54" s="6" t="s">
        <v>270</v>
      </c>
    </row>
    <row r="55">
      <c r="A55" s="8">
        <f>'1.4'!A:A</f>
        <v>46212.6231</v>
      </c>
      <c r="B55" s="2" t="str">
        <f>'1.4'!B:B</f>
        <v>bnco0937@signalschool.ac.th</v>
      </c>
      <c r="C55" s="2" t="str">
        <f>'1.4'!C:C</f>
        <v>ร.ท.ศุภรัชฎ  หมอกสุข</v>
      </c>
      <c r="D55" s="9">
        <v>1.0</v>
      </c>
      <c r="E55" s="10">
        <f>IFERROR(vlookup('1.4'!D:D,lookup!$A$2:$B$4,2,false),0)</f>
        <v>5</v>
      </c>
      <c r="F55" s="10">
        <f>IFERROR(vlookup('1.4'!E:E,lookup!$A$6:$B$8,2,false),0)</f>
        <v>5</v>
      </c>
      <c r="G55" s="10">
        <f>IFERROR(vlookup('1.4'!F:F,lookup!$A$10:$B$12,2,false),0)</f>
        <v>5</v>
      </c>
      <c r="H55" s="10">
        <f>IFERROR(vlookup('1.4'!G:G,lookup!$A$14:$B$16,2,false),0)</f>
        <v>5</v>
      </c>
      <c r="I55" s="10">
        <f>IFERROR(vlookup('1.4'!H:H,lookup!$A$18:$B$20,2,false),0)</f>
        <v>5</v>
      </c>
      <c r="J55" s="10">
        <f>IFERROR(vlookup('1.4'!I:I,lookup!$A$22:$B$24,2,false),0)</f>
        <v>5</v>
      </c>
      <c r="K55" s="10">
        <f>IFERROR(vlookup('1.4'!J:J,lookup!$A$26:$B$28,2,false),0)</f>
        <v>5</v>
      </c>
      <c r="L55" s="2"/>
      <c r="M55" s="10">
        <v>54.0</v>
      </c>
      <c r="N55" s="11" t="str">
        <f t="shared" si="1"/>
        <v>bnco0954@signalschool.ac.th</v>
      </c>
      <c r="O55" s="12">
        <f t="shared" si="2"/>
        <v>1</v>
      </c>
      <c r="R55" s="6" t="s">
        <v>271</v>
      </c>
    </row>
    <row r="56">
      <c r="A56" s="8">
        <f>'1.4'!A:A</f>
        <v>46212.6231</v>
      </c>
      <c r="B56" s="2" t="str">
        <f>'1.4'!B:B</f>
        <v>bnco0922@signalschool.ac.th</v>
      </c>
      <c r="C56" s="2" t="str">
        <f>'1.4'!C:C</f>
        <v>ร.ท.ศุภรัชฎ หมอกสุข</v>
      </c>
      <c r="D56" s="9">
        <v>1.0</v>
      </c>
      <c r="E56" s="10">
        <f>IFERROR(vlookup('1.4'!D:D,lookup!$A$2:$B$4,2,false),0)</f>
        <v>5</v>
      </c>
      <c r="F56" s="10">
        <f>IFERROR(vlookup('1.4'!E:E,lookup!$A$6:$B$8,2,false),0)</f>
        <v>5</v>
      </c>
      <c r="G56" s="10">
        <f>IFERROR(vlookup('1.4'!F:F,lookup!$A$10:$B$12,2,false),0)</f>
        <v>5</v>
      </c>
      <c r="H56" s="10">
        <f>IFERROR(vlookup('1.4'!G:G,lookup!$A$14:$B$16,2,false),0)</f>
        <v>5</v>
      </c>
      <c r="I56" s="10">
        <f>IFERROR(vlookup('1.4'!H:H,lookup!$A$18:$B$20,2,false),0)</f>
        <v>5</v>
      </c>
      <c r="J56" s="10">
        <f>IFERROR(vlookup('1.4'!I:I,lookup!$A$22:$B$24,2,false),0)</f>
        <v>5</v>
      </c>
      <c r="K56" s="10">
        <f>IFERROR(vlookup('1.4'!J:J,lookup!$A$26:$B$28,2,false),0)</f>
        <v>5</v>
      </c>
      <c r="L56" s="13"/>
      <c r="M56" s="10">
        <v>55.0</v>
      </c>
      <c r="N56" s="11" t="str">
        <f t="shared" si="1"/>
        <v>bnco0955@signalschool.ac.th</v>
      </c>
      <c r="O56" s="12">
        <f t="shared" si="2"/>
        <v>1</v>
      </c>
      <c r="R56" s="6" t="s">
        <v>272</v>
      </c>
    </row>
    <row r="57">
      <c r="A57" s="8">
        <f>'1.4'!A:A</f>
        <v>46212.62338</v>
      </c>
      <c r="B57" s="2" t="str">
        <f>'1.4'!B:B</f>
        <v>bnco0914@signalschool.ac.th</v>
      </c>
      <c r="C57" s="2" t="str">
        <f>'1.4'!C:C</f>
        <v>ร.ท.ศุภรัชฎ หมอกสุข</v>
      </c>
      <c r="D57" s="9">
        <v>1.0</v>
      </c>
      <c r="E57" s="10">
        <f>IFERROR(vlookup('1.4'!D:D,lookup!$A$2:$B$4,2,false),0)</f>
        <v>5</v>
      </c>
      <c r="F57" s="10">
        <f>IFERROR(vlookup('1.4'!E:E,lookup!$A$6:$B$8,2,false),0)</f>
        <v>5</v>
      </c>
      <c r="G57" s="10">
        <f>IFERROR(vlookup('1.4'!F:F,lookup!$A$10:$B$12,2,false),0)</f>
        <v>5</v>
      </c>
      <c r="H57" s="10">
        <f>IFERROR(vlookup('1.4'!G:G,lookup!$A$14:$B$16,2,false),0)</f>
        <v>5</v>
      </c>
      <c r="I57" s="10">
        <f>IFERROR(vlookup('1.4'!H:H,lookup!$A$18:$B$20,2,false),0)</f>
        <v>5</v>
      </c>
      <c r="J57" s="10">
        <f>IFERROR(vlookup('1.4'!I:I,lookup!$A$22:$B$24,2,false),0)</f>
        <v>5</v>
      </c>
      <c r="K57" s="10">
        <f>IFERROR(vlookup('1.4'!J:J,lookup!$A$26:$B$28,2,false),0)</f>
        <v>5</v>
      </c>
      <c r="L57" s="13"/>
      <c r="M57" s="10">
        <v>56.0</v>
      </c>
      <c r="N57" s="11" t="str">
        <f t="shared" si="1"/>
        <v>bnco0956@signalschool.ac.th</v>
      </c>
      <c r="O57" s="12">
        <f t="shared" si="2"/>
        <v>1</v>
      </c>
      <c r="R57" s="6" t="s">
        <v>273</v>
      </c>
    </row>
    <row r="58">
      <c r="A58" s="8">
        <f>'1.4'!A:A</f>
        <v>46212.62355</v>
      </c>
      <c r="B58" s="2" t="str">
        <f>'1.4'!B:B</f>
        <v>bnco0963@signalschool.ac.th</v>
      </c>
      <c r="C58" s="2" t="str">
        <f>'1.4'!C:C</f>
        <v>ร.ท.ศุภรัชฎ หมอกสุข</v>
      </c>
      <c r="D58" s="9">
        <v>1.0</v>
      </c>
      <c r="E58" s="10">
        <f>IFERROR(vlookup('1.4'!D:D,lookup!$A$2:$B$4,2,false),0)</f>
        <v>5</v>
      </c>
      <c r="F58" s="10">
        <f>IFERROR(vlookup('1.4'!E:E,lookup!$A$6:$B$8,2,false),0)</f>
        <v>5</v>
      </c>
      <c r="G58" s="10">
        <f>IFERROR(vlookup('1.4'!F:F,lookup!$A$10:$B$12,2,false),0)</f>
        <v>5</v>
      </c>
      <c r="H58" s="10">
        <f>IFERROR(vlookup('1.4'!G:G,lookup!$A$14:$B$16,2,false),0)</f>
        <v>5</v>
      </c>
      <c r="I58" s="10">
        <f>IFERROR(vlookup('1.4'!H:H,lookup!$A$18:$B$20,2,false),0)</f>
        <v>5</v>
      </c>
      <c r="J58" s="10">
        <f>IFERROR(vlookup('1.4'!I:I,lookup!$A$22:$B$24,2,false),0)</f>
        <v>5</v>
      </c>
      <c r="K58" s="10">
        <f>IFERROR(vlookup('1.4'!J:J,lookup!$A$26:$B$28,2,false),0)</f>
        <v>5</v>
      </c>
      <c r="L58" s="13"/>
      <c r="M58" s="10">
        <v>57.0</v>
      </c>
      <c r="N58" s="11" t="str">
        <f t="shared" si="1"/>
        <v>bnco0957@signalschool.ac.th</v>
      </c>
      <c r="O58" s="12">
        <f t="shared" si="2"/>
        <v>1</v>
      </c>
      <c r="R58" s="6" t="s">
        <v>274</v>
      </c>
    </row>
    <row r="59">
      <c r="A59" s="8">
        <f>'1.4'!A:A</f>
        <v>46212.62358</v>
      </c>
      <c r="B59" s="2" t="str">
        <f>'1.4'!B:B</f>
        <v>bnco0939@signalschool.ac.th</v>
      </c>
      <c r="C59" s="2" t="str">
        <f>'1.4'!C:C</f>
        <v>ร.ท.ศุภรัชฎ หมอกสุข</v>
      </c>
      <c r="D59" s="9">
        <v>1.0</v>
      </c>
      <c r="E59" s="10">
        <f>IFERROR(vlookup('1.4'!D:D,lookup!$A$2:$B$4,2,false),0)</f>
        <v>5</v>
      </c>
      <c r="F59" s="10">
        <f>IFERROR(vlookup('1.4'!E:E,lookup!$A$6:$B$8,2,false),0)</f>
        <v>5</v>
      </c>
      <c r="G59" s="10">
        <f>IFERROR(vlookup('1.4'!F:F,lookup!$A$10:$B$12,2,false),0)</f>
        <v>5</v>
      </c>
      <c r="H59" s="10">
        <f>IFERROR(vlookup('1.4'!G:G,lookup!$A$14:$B$16,2,false),0)</f>
        <v>5</v>
      </c>
      <c r="I59" s="10">
        <f>IFERROR(vlookup('1.4'!H:H,lookup!$A$18:$B$20,2,false),0)</f>
        <v>5</v>
      </c>
      <c r="J59" s="10">
        <f>IFERROR(vlookup('1.4'!I:I,lookup!$A$22:$B$24,2,false),0)</f>
        <v>5</v>
      </c>
      <c r="K59" s="10">
        <f>IFERROR(vlookup('1.4'!J:J,lookup!$A$26:$B$28,2,false),0)</f>
        <v>5</v>
      </c>
      <c r="L59" s="14"/>
      <c r="M59" s="10">
        <v>58.0</v>
      </c>
      <c r="N59" s="11" t="str">
        <f t="shared" si="1"/>
        <v>bnco0958@signalschool.ac.th</v>
      </c>
      <c r="O59" s="12">
        <f t="shared" si="2"/>
        <v>1</v>
      </c>
      <c r="R59" s="6" t="s">
        <v>275</v>
      </c>
    </row>
    <row r="60">
      <c r="A60" s="8">
        <f>'1.4'!A:A</f>
        <v>46212.6236</v>
      </c>
      <c r="B60" s="2" t="str">
        <f>'1.4'!B:B</f>
        <v>bnco0902@signalschool.ac.th</v>
      </c>
      <c r="C60" s="2" t="str">
        <f>'1.4'!C:C</f>
        <v>ร.ท.ศุภรัชฏ หมอกสุข</v>
      </c>
      <c r="D60" s="9">
        <v>1.0</v>
      </c>
      <c r="E60" s="10">
        <f>IFERROR(vlookup('1.4'!D:D,lookup!$A$2:$B$4,2,false),0)</f>
        <v>5</v>
      </c>
      <c r="F60" s="10">
        <f>IFERROR(vlookup('1.4'!E:E,lookup!$A$6:$B$8,2,false),0)</f>
        <v>5</v>
      </c>
      <c r="G60" s="10">
        <f>IFERROR(vlookup('1.4'!F:F,lookup!$A$10:$B$12,2,false),0)</f>
        <v>5</v>
      </c>
      <c r="H60" s="10">
        <f>IFERROR(vlookup('1.4'!G:G,lookup!$A$14:$B$16,2,false),0)</f>
        <v>5</v>
      </c>
      <c r="I60" s="10">
        <f>IFERROR(vlookup('1.4'!H:H,lookup!$A$18:$B$20,2,false),0)</f>
        <v>5</v>
      </c>
      <c r="J60" s="10">
        <f>IFERROR(vlookup('1.4'!I:I,lookup!$A$22:$B$24,2,false),0)</f>
        <v>5</v>
      </c>
      <c r="K60" s="10">
        <f>IFERROR(vlookup('1.4'!J:J,lookup!$A$26:$B$28,2,false),0)</f>
        <v>5</v>
      </c>
      <c r="L60" s="10"/>
      <c r="M60" s="10">
        <v>59.0</v>
      </c>
      <c r="N60" s="11" t="str">
        <f t="shared" si="1"/>
        <v>bnco0959@signalschool.ac.th</v>
      </c>
      <c r="O60" s="12">
        <f t="shared" si="2"/>
        <v>1</v>
      </c>
      <c r="R60" s="6" t="s">
        <v>276</v>
      </c>
    </row>
    <row r="61">
      <c r="A61" s="8">
        <f>'1.4'!A:A</f>
        <v>46212.62361</v>
      </c>
      <c r="B61" s="2" t="str">
        <f>'1.4'!B:B</f>
        <v>bnco0933@signalschool.ac.th</v>
      </c>
      <c r="C61" s="2" t="str">
        <f>'1.4'!C:C</f>
        <v>ร.ท.ศุภรัชฏ หมอกสุข</v>
      </c>
      <c r="D61" s="9">
        <v>1.0</v>
      </c>
      <c r="E61" s="10">
        <f>IFERROR(vlookup('1.4'!D:D,lookup!$A$2:$B$4,2,false),0)</f>
        <v>5</v>
      </c>
      <c r="F61" s="10">
        <f>IFERROR(vlookup('1.4'!E:E,lookup!$A$6:$B$8,2,false),0)</f>
        <v>5</v>
      </c>
      <c r="G61" s="10">
        <f>IFERROR(vlookup('1.4'!F:F,lookup!$A$10:$B$12,2,false),0)</f>
        <v>5</v>
      </c>
      <c r="H61" s="10">
        <f>IFERROR(vlookup('1.4'!G:G,lookup!$A$14:$B$16,2,false),0)</f>
        <v>5</v>
      </c>
      <c r="I61" s="10">
        <f>IFERROR(vlookup('1.4'!H:H,lookup!$A$18:$B$20,2,false),0)</f>
        <v>5</v>
      </c>
      <c r="J61" s="10">
        <f>IFERROR(vlookup('1.4'!I:I,lookup!$A$22:$B$24,2,false),0)</f>
        <v>5</v>
      </c>
      <c r="K61" s="10">
        <f>IFERROR(vlookup('1.4'!J:J,lookup!$A$26:$B$28,2,false),0)</f>
        <v>5</v>
      </c>
      <c r="M61" s="10">
        <v>60.0</v>
      </c>
      <c r="N61" s="11" t="str">
        <f t="shared" si="1"/>
        <v>bnco0960@signalschool.ac.th</v>
      </c>
      <c r="O61" s="12">
        <f t="shared" si="2"/>
        <v>1</v>
      </c>
      <c r="R61" s="6" t="s">
        <v>277</v>
      </c>
    </row>
    <row r="62">
      <c r="A62" s="8">
        <f>'1.4'!A:A</f>
        <v>46212.62362</v>
      </c>
      <c r="B62" s="2" t="str">
        <f>'1.4'!B:B</f>
        <v>bnco0946@signalschool.ac.th</v>
      </c>
      <c r="C62" s="2" t="str">
        <f>'1.4'!C:C</f>
        <v>ร.ท.ศุภรัชฎ หมอกสุข</v>
      </c>
      <c r="D62" s="9">
        <v>1.0</v>
      </c>
      <c r="E62" s="10">
        <f>IFERROR(vlookup('1.4'!D:D,lookup!$A$2:$B$4,2,false),0)</f>
        <v>5</v>
      </c>
      <c r="F62" s="10">
        <f>IFERROR(vlookup('1.4'!E:E,lookup!$A$6:$B$8,2,false),0)</f>
        <v>5</v>
      </c>
      <c r="G62" s="10">
        <f>IFERROR(vlookup('1.4'!F:F,lookup!$A$10:$B$12,2,false),0)</f>
        <v>5</v>
      </c>
      <c r="H62" s="10">
        <f>IFERROR(vlookup('1.4'!G:G,lookup!$A$14:$B$16,2,false),0)</f>
        <v>5</v>
      </c>
      <c r="I62" s="10">
        <f>IFERROR(vlookup('1.4'!H:H,lookup!$A$18:$B$20,2,false),0)</f>
        <v>5</v>
      </c>
      <c r="J62" s="10">
        <f>IFERROR(vlookup('1.4'!I:I,lookup!$A$22:$B$24,2,false),0)</f>
        <v>5</v>
      </c>
      <c r="K62" s="10">
        <f>IFERROR(vlookup('1.4'!J:J,lookup!$A$26:$B$28,2,false),0)</f>
        <v>5</v>
      </c>
      <c r="M62" s="10">
        <v>61.0</v>
      </c>
      <c r="N62" s="11" t="str">
        <f t="shared" si="1"/>
        <v>bnco0961@signalschool.ac.th</v>
      </c>
      <c r="O62" s="12">
        <f t="shared" si="2"/>
        <v>1</v>
      </c>
      <c r="R62" s="6" t="s">
        <v>278</v>
      </c>
    </row>
    <row r="63">
      <c r="A63" s="8">
        <f>'1.4'!A:A</f>
        <v>46212.62369</v>
      </c>
      <c r="B63" s="2" t="str">
        <f>'1.4'!B:B</f>
        <v>bnco0965@signalschool.ac.th</v>
      </c>
      <c r="C63" s="2" t="str">
        <f>'1.4'!C:C</f>
        <v>ร.ท. ศุภรัชฎ  หมอกสุข</v>
      </c>
      <c r="D63" s="9">
        <v>1.0</v>
      </c>
      <c r="E63" s="10">
        <f>IFERROR(vlookup('1.4'!D:D,lookup!$A$2:$B$4,2,false),0)</f>
        <v>5</v>
      </c>
      <c r="F63" s="10">
        <f>IFERROR(vlookup('1.4'!E:E,lookup!$A$6:$B$8,2,false),0)</f>
        <v>5</v>
      </c>
      <c r="G63" s="10">
        <f>IFERROR(vlookup('1.4'!F:F,lookup!$A$10:$B$12,2,false),0)</f>
        <v>3</v>
      </c>
      <c r="H63" s="10">
        <f>IFERROR(vlookup('1.4'!G:G,lookup!$A$14:$B$16,2,false),0)</f>
        <v>5</v>
      </c>
      <c r="I63" s="10">
        <f>IFERROR(vlookup('1.4'!H:H,lookup!$A$18:$B$20,2,false),0)</f>
        <v>5</v>
      </c>
      <c r="J63" s="10">
        <f>IFERROR(vlookup('1.4'!I:I,lookup!$A$22:$B$24,2,false),0)</f>
        <v>5</v>
      </c>
      <c r="K63" s="10">
        <f>IFERROR(vlookup('1.4'!J:J,lookup!$A$26:$B$28,2,false),0)</f>
        <v>5</v>
      </c>
      <c r="M63" s="10">
        <v>62.0</v>
      </c>
      <c r="N63" s="11" t="str">
        <f t="shared" si="1"/>
        <v>bnco0962@signalschool.ac.th</v>
      </c>
      <c r="O63" s="12">
        <f t="shared" si="2"/>
        <v>1</v>
      </c>
      <c r="R63" s="6" t="s">
        <v>279</v>
      </c>
    </row>
    <row r="64">
      <c r="A64" s="8">
        <f>'1.4'!A:A</f>
        <v>46212.6237</v>
      </c>
      <c r="B64" s="2" t="str">
        <f>'1.4'!B:B</f>
        <v>bnco0901@signalschool.ac.th</v>
      </c>
      <c r="C64" s="2" t="str">
        <f>'1.4'!C:C</f>
        <v>ร.ท.ศุภรัช หมอกสุข</v>
      </c>
      <c r="D64" s="9">
        <v>1.0</v>
      </c>
      <c r="E64" s="10">
        <f>IFERROR(vlookup('1.4'!D:D,lookup!$A$2:$B$4,2,false),0)</f>
        <v>5</v>
      </c>
      <c r="F64" s="10">
        <f>IFERROR(vlookup('1.4'!E:E,lookup!$A$6:$B$8,2,false),0)</f>
        <v>5</v>
      </c>
      <c r="G64" s="10">
        <f>IFERROR(vlookup('1.4'!F:F,lookup!$A$10:$B$12,2,false),0)</f>
        <v>5</v>
      </c>
      <c r="H64" s="10">
        <f>IFERROR(vlookup('1.4'!G:G,lookup!$A$14:$B$16,2,false),0)</f>
        <v>5</v>
      </c>
      <c r="I64" s="10">
        <f>IFERROR(vlookup('1.4'!H:H,lookup!$A$18:$B$20,2,false),0)</f>
        <v>5</v>
      </c>
      <c r="J64" s="10">
        <f>IFERROR(vlookup('1.4'!I:I,lookup!$A$22:$B$24,2,false),0)</f>
        <v>5</v>
      </c>
      <c r="K64" s="10">
        <f>IFERROR(vlookup('1.4'!J:J,lookup!$A$26:$B$28,2,false),0)</f>
        <v>5</v>
      </c>
      <c r="M64" s="10">
        <v>63.0</v>
      </c>
      <c r="N64" s="11" t="str">
        <f t="shared" si="1"/>
        <v>bnco0963@signalschool.ac.th</v>
      </c>
      <c r="O64" s="12">
        <f t="shared" si="2"/>
        <v>1</v>
      </c>
      <c r="R64" s="6" t="s">
        <v>280</v>
      </c>
    </row>
    <row r="65">
      <c r="A65" s="8">
        <f>'1.4'!A:A</f>
        <v>46212.62372</v>
      </c>
      <c r="B65" s="2" t="str">
        <f>'1.4'!B:B</f>
        <v>bnco0915@signalschool.ac.th</v>
      </c>
      <c r="C65" s="2" t="str">
        <f>'1.4'!C:C</f>
        <v>ร.ท.ศุภรัชฎ หมอกสุข</v>
      </c>
      <c r="D65" s="9">
        <v>1.0</v>
      </c>
      <c r="E65" s="10">
        <f>IFERROR(vlookup('1.4'!D:D,lookup!$A$2:$B$4,2,false),0)</f>
        <v>5</v>
      </c>
      <c r="F65" s="10">
        <f>IFERROR(vlookup('1.4'!E:E,lookup!$A$6:$B$8,2,false),0)</f>
        <v>5</v>
      </c>
      <c r="G65" s="10">
        <f>IFERROR(vlookup('1.4'!F:F,lookup!$A$10:$B$12,2,false),0)</f>
        <v>5</v>
      </c>
      <c r="H65" s="10">
        <f>IFERROR(vlookup('1.4'!G:G,lookup!$A$14:$B$16,2,false),0)</f>
        <v>5</v>
      </c>
      <c r="I65" s="10">
        <f>IFERROR(vlookup('1.4'!H:H,lookup!$A$18:$B$20,2,false),0)</f>
        <v>5</v>
      </c>
      <c r="J65" s="10">
        <f>IFERROR(vlookup('1.4'!I:I,lookup!$A$22:$B$24,2,false),0)</f>
        <v>5</v>
      </c>
      <c r="K65" s="10">
        <f>IFERROR(vlookup('1.4'!J:J,lookup!$A$26:$B$28,2,false),0)</f>
        <v>5</v>
      </c>
      <c r="M65" s="10">
        <v>64.0</v>
      </c>
      <c r="N65" s="11" t="str">
        <f t="shared" si="1"/>
        <v>bnco0964@signalschool.ac.th</v>
      </c>
      <c r="O65" s="12">
        <f t="shared" si="2"/>
        <v>1</v>
      </c>
      <c r="R65" s="6" t="s">
        <v>281</v>
      </c>
    </row>
    <row r="66">
      <c r="A66" s="8">
        <f>'1.4'!A:A</f>
        <v>46212.62379</v>
      </c>
      <c r="B66" s="2" t="str">
        <f>'1.4'!B:B</f>
        <v>bnco0956@signalschool.ac.th</v>
      </c>
      <c r="C66" s="2" t="str">
        <f>'1.4'!C:C</f>
        <v>ร.ท.ศุภรัชฎ หมอกสุข</v>
      </c>
      <c r="D66" s="9">
        <v>1.0</v>
      </c>
      <c r="E66" s="10">
        <f>IFERROR(vlookup('1.4'!D:D,lookup!$A$2:$B$4,2,false),0)</f>
        <v>5</v>
      </c>
      <c r="F66" s="10">
        <f>IFERROR(vlookup('1.4'!E:E,lookup!$A$6:$B$8,2,false),0)</f>
        <v>5</v>
      </c>
      <c r="G66" s="10">
        <f>IFERROR(vlookup('1.4'!F:F,lookup!$A$10:$B$12,2,false),0)</f>
        <v>5</v>
      </c>
      <c r="H66" s="10">
        <f>IFERROR(vlookup('1.4'!G:G,lookup!$A$14:$B$16,2,false),0)</f>
        <v>5</v>
      </c>
      <c r="I66" s="10">
        <f>IFERROR(vlookup('1.4'!H:H,lookup!$A$18:$B$20,2,false),0)</f>
        <v>5</v>
      </c>
      <c r="J66" s="10">
        <f>IFERROR(vlookup('1.4'!I:I,lookup!$A$22:$B$24,2,false),0)</f>
        <v>5</v>
      </c>
      <c r="K66" s="10">
        <f>IFERROR(vlookup('1.4'!J:J,lookup!$A$26:$B$28,2,false),0)</f>
        <v>5</v>
      </c>
      <c r="M66" s="10">
        <v>65.0</v>
      </c>
      <c r="N66" s="11" t="str">
        <f t="shared" si="1"/>
        <v>bnco0965@signalschool.ac.th</v>
      </c>
      <c r="O66" s="12">
        <f t="shared" si="2"/>
        <v>1</v>
      </c>
      <c r="R66" s="6" t="s">
        <v>282</v>
      </c>
    </row>
    <row r="67">
      <c r="A67" s="8">
        <f>'1.4'!A:A</f>
        <v>46212.62385</v>
      </c>
      <c r="B67" s="2" t="str">
        <f>'1.4'!B:B</f>
        <v>bnco0969@signalschool.ac.th</v>
      </c>
      <c r="C67" s="2" t="str">
        <f>'1.4'!C:C</f>
        <v>ร.ท.ศุภรัชฏ  หมอกสุข</v>
      </c>
      <c r="D67" s="9">
        <v>1.0</v>
      </c>
      <c r="E67" s="10">
        <f>IFERROR(vlookup('1.4'!D:D,lookup!$A$2:$B$4,2,false),0)</f>
        <v>5</v>
      </c>
      <c r="F67" s="10">
        <f>IFERROR(vlookup('1.4'!E:E,lookup!$A$6:$B$8,2,false),0)</f>
        <v>5</v>
      </c>
      <c r="G67" s="10">
        <f>IFERROR(vlookup('1.4'!F:F,lookup!$A$10:$B$12,2,false),0)</f>
        <v>5</v>
      </c>
      <c r="H67" s="10">
        <f>IFERROR(vlookup('1.4'!G:G,lookup!$A$14:$B$16,2,false),0)</f>
        <v>5</v>
      </c>
      <c r="I67" s="10">
        <f>IFERROR(vlookup('1.4'!H:H,lookup!$A$18:$B$20,2,false),0)</f>
        <v>5</v>
      </c>
      <c r="J67" s="10">
        <f>IFERROR(vlookup('1.4'!I:I,lookup!$A$22:$B$24,2,false),0)</f>
        <v>5</v>
      </c>
      <c r="K67" s="10">
        <f>IFERROR(vlookup('1.4'!J:J,lookup!$A$26:$B$28,2,false),0)</f>
        <v>5</v>
      </c>
      <c r="M67" s="10">
        <v>66.0</v>
      </c>
      <c r="N67" s="11" t="str">
        <f t="shared" si="1"/>
        <v>bnco0966@signalschool.ac.th</v>
      </c>
      <c r="O67" s="12">
        <f t="shared" si="2"/>
        <v>1</v>
      </c>
      <c r="R67" s="6" t="s">
        <v>283</v>
      </c>
    </row>
    <row r="68">
      <c r="A68" s="8">
        <f>'1.4'!A:A</f>
        <v>46212.62397</v>
      </c>
      <c r="B68" s="2" t="str">
        <f>'1.4'!B:B</f>
        <v>bnco0959@signalschool.ac.th</v>
      </c>
      <c r="C68" s="2" t="str">
        <f>'1.4'!C:C</f>
        <v>ร.ท.ศุภรัชฎ  หมอกสุข</v>
      </c>
      <c r="D68" s="9">
        <v>1.0</v>
      </c>
      <c r="E68" s="10">
        <f>IFERROR(vlookup('1.4'!D:D,lookup!$A$2:$B$4,2,false),0)</f>
        <v>5</v>
      </c>
      <c r="F68" s="10">
        <f>IFERROR(vlookup('1.4'!E:E,lookup!$A$6:$B$8,2,false),0)</f>
        <v>5</v>
      </c>
      <c r="G68" s="10">
        <f>IFERROR(vlookup('1.4'!F:F,lookup!$A$10:$B$12,2,false),0)</f>
        <v>5</v>
      </c>
      <c r="H68" s="10">
        <f>IFERROR(vlookup('1.4'!G:G,lookup!$A$14:$B$16,2,false),0)</f>
        <v>5</v>
      </c>
      <c r="I68" s="10">
        <f>IFERROR(vlookup('1.4'!H:H,lookup!$A$18:$B$20,2,false),0)</f>
        <v>5</v>
      </c>
      <c r="J68" s="10">
        <f>IFERROR(vlookup('1.4'!I:I,lookup!$A$22:$B$24,2,false),0)</f>
        <v>5</v>
      </c>
      <c r="K68" s="10">
        <f>IFERROR(vlookup('1.4'!J:J,lookup!$A$26:$B$28,2,false),0)</f>
        <v>5</v>
      </c>
      <c r="M68" s="10">
        <v>67.0</v>
      </c>
      <c r="N68" s="11" t="str">
        <f t="shared" si="1"/>
        <v>bnco0967@signalschool.ac.th</v>
      </c>
      <c r="O68" s="12">
        <f t="shared" si="2"/>
        <v>1</v>
      </c>
      <c r="R68" s="6" t="s">
        <v>284</v>
      </c>
    </row>
    <row r="69">
      <c r="A69" s="8">
        <f>'1.4'!A:A</f>
        <v>46212.62399</v>
      </c>
      <c r="B69" s="2" t="str">
        <f>'1.4'!B:B</f>
        <v>bnco0945@signalschool.ac.th</v>
      </c>
      <c r="C69" s="2" t="str">
        <f>'1.4'!C:C</f>
        <v>ร.ท.ศุภรัชฏ หมอกสุก</v>
      </c>
      <c r="D69" s="9">
        <v>1.0</v>
      </c>
      <c r="E69" s="10">
        <f>IFERROR(vlookup('1.4'!D:D,lookup!$A$2:$B$4,2,false),0)</f>
        <v>5</v>
      </c>
      <c r="F69" s="10">
        <f>IFERROR(vlookup('1.4'!E:E,lookup!$A$6:$B$8,2,false),0)</f>
        <v>5</v>
      </c>
      <c r="G69" s="10">
        <f>IFERROR(vlookup('1.4'!F:F,lookup!$A$10:$B$12,2,false),0)</f>
        <v>5</v>
      </c>
      <c r="H69" s="10">
        <f>IFERROR(vlookup('1.4'!G:G,lookup!$A$14:$B$16,2,false),0)</f>
        <v>5</v>
      </c>
      <c r="I69" s="10">
        <f>IFERROR(vlookup('1.4'!H:H,lookup!$A$18:$B$20,2,false),0)</f>
        <v>5</v>
      </c>
      <c r="J69" s="10">
        <f>IFERROR(vlookup('1.4'!I:I,lookup!$A$22:$B$24,2,false),0)</f>
        <v>5</v>
      </c>
      <c r="K69" s="10">
        <f>IFERROR(vlookup('1.4'!J:J,lookup!$A$26:$B$28,2,false),0)</f>
        <v>5</v>
      </c>
      <c r="M69" s="10">
        <v>68.0</v>
      </c>
      <c r="N69" s="11" t="str">
        <f t="shared" si="1"/>
        <v>bnco0968@signalschool.ac.th</v>
      </c>
      <c r="O69" s="12">
        <f t="shared" si="2"/>
        <v>1</v>
      </c>
      <c r="R69" s="6" t="s">
        <v>285</v>
      </c>
    </row>
    <row r="70">
      <c r="A70" s="8">
        <f>'1.4'!A:A</f>
        <v>46212.62404</v>
      </c>
      <c r="B70" s="2" t="str">
        <f>'1.4'!B:B</f>
        <v>bnco0960@signalschool.ac.th</v>
      </c>
      <c r="C70" s="2" t="str">
        <f>'1.4'!C:C</f>
        <v>ร.ท.ศุภรัชฎ หมอกสุข</v>
      </c>
      <c r="D70" s="9">
        <v>1.0</v>
      </c>
      <c r="E70" s="10">
        <f>IFERROR(vlookup('1.4'!D:D,lookup!$A$2:$B$4,2,false),0)</f>
        <v>5</v>
      </c>
      <c r="F70" s="10">
        <f>IFERROR(vlookup('1.4'!E:E,lookup!$A$6:$B$8,2,false),0)</f>
        <v>5</v>
      </c>
      <c r="G70" s="10">
        <f>IFERROR(vlookup('1.4'!F:F,lookup!$A$10:$B$12,2,false),0)</f>
        <v>5</v>
      </c>
      <c r="H70" s="10">
        <f>IFERROR(vlookup('1.4'!G:G,lookup!$A$14:$B$16,2,false),0)</f>
        <v>5</v>
      </c>
      <c r="I70" s="10">
        <f>IFERROR(vlookup('1.4'!H:H,lookup!$A$18:$B$20,2,false),0)</f>
        <v>5</v>
      </c>
      <c r="J70" s="10">
        <f>IFERROR(vlookup('1.4'!I:I,lookup!$A$22:$B$24,2,false),0)</f>
        <v>5</v>
      </c>
      <c r="K70" s="10">
        <f>IFERROR(vlookup('1.4'!J:J,lookup!$A$26:$B$28,2,false),0)</f>
        <v>5</v>
      </c>
      <c r="M70" s="10">
        <v>69.0</v>
      </c>
      <c r="N70" s="11" t="str">
        <f t="shared" si="1"/>
        <v>bnco0969@signalschool.ac.th</v>
      </c>
      <c r="O70" s="12">
        <f t="shared" si="2"/>
        <v>1</v>
      </c>
      <c r="R70" s="6" t="s">
        <v>286</v>
      </c>
    </row>
    <row r="71">
      <c r="A71" s="8">
        <f>'1.4'!A:A</f>
        <v>46212.62406</v>
      </c>
      <c r="B71" s="2" t="str">
        <f>'1.4'!B:B</f>
        <v>bnco0953@signalschool.ac.th</v>
      </c>
      <c r="C71" s="2" t="str">
        <f>'1.4'!C:C</f>
        <v>ร.ท.ศุภรัชฎ หมอกสุข</v>
      </c>
      <c r="D71" s="9">
        <v>1.0</v>
      </c>
      <c r="E71" s="10">
        <f>IFERROR(vlookup('1.4'!D:D,lookup!$A$2:$B$4,2,false),0)</f>
        <v>5</v>
      </c>
      <c r="F71" s="10">
        <f>IFERROR(vlookup('1.4'!E:E,lookup!$A$6:$B$8,2,false),0)</f>
        <v>5</v>
      </c>
      <c r="G71" s="10">
        <f>IFERROR(vlookup('1.4'!F:F,lookup!$A$10:$B$12,2,false),0)</f>
        <v>5</v>
      </c>
      <c r="H71" s="10">
        <f>IFERROR(vlookup('1.4'!G:G,lookup!$A$14:$B$16,2,false),0)</f>
        <v>5</v>
      </c>
      <c r="I71" s="10">
        <f>IFERROR(vlookup('1.4'!H:H,lookup!$A$18:$B$20,2,false),0)</f>
        <v>5</v>
      </c>
      <c r="J71" s="10">
        <f>IFERROR(vlookup('1.4'!I:I,lookup!$A$22:$B$24,2,false),0)</f>
        <v>5</v>
      </c>
      <c r="K71" s="10">
        <f>IFERROR(vlookup('1.4'!J:J,lookup!$A$26:$B$28,2,false),0)</f>
        <v>5</v>
      </c>
      <c r="M71" s="10">
        <v>70.0</v>
      </c>
      <c r="N71" s="11" t="str">
        <f t="shared" si="1"/>
        <v>bnco0970@signalschool.ac.th</v>
      </c>
      <c r="O71" s="12">
        <f t="shared" si="2"/>
        <v>1</v>
      </c>
      <c r="R71" s="6" t="s">
        <v>287</v>
      </c>
    </row>
    <row r="72">
      <c r="A72" s="8">
        <f>'1.4'!A:A</f>
        <v>46212.62431</v>
      </c>
      <c r="B72" s="2" t="str">
        <f>'1.4'!B:B</f>
        <v>bnco0961@signalschool.ac.th</v>
      </c>
      <c r="C72" s="2" t="str">
        <f>'1.4'!C:C</f>
        <v>ร.ท.ศุภรัชฎ หมอกสุข</v>
      </c>
      <c r="D72" s="9">
        <v>1.0</v>
      </c>
      <c r="E72" s="10">
        <f>IFERROR(vlookup('1.4'!D:D,lookup!$A$2:$B$4,2,false),0)</f>
        <v>5</v>
      </c>
      <c r="F72" s="10">
        <f>IFERROR(vlookup('1.4'!E:E,lookup!$A$6:$B$8,2,false),0)</f>
        <v>5</v>
      </c>
      <c r="G72" s="10">
        <f>IFERROR(vlookup('1.4'!F:F,lookup!$A$10:$B$12,2,false),0)</f>
        <v>5</v>
      </c>
      <c r="H72" s="10">
        <f>IFERROR(vlookup('1.4'!G:G,lookup!$A$14:$B$16,2,false),0)</f>
        <v>5</v>
      </c>
      <c r="I72" s="10">
        <f>IFERROR(vlookup('1.4'!H:H,lookup!$A$18:$B$20,2,false),0)</f>
        <v>5</v>
      </c>
      <c r="J72" s="10">
        <f>IFERROR(vlookup('1.4'!I:I,lookup!$A$22:$B$24,2,false),0)</f>
        <v>5</v>
      </c>
      <c r="K72" s="10">
        <f>IFERROR(vlookup('1.4'!J:J,lookup!$A$26:$B$28,2,false),0)</f>
        <v>5</v>
      </c>
      <c r="M72" s="10">
        <v>71.0</v>
      </c>
      <c r="N72" s="11" t="str">
        <f t="shared" si="1"/>
        <v>bnco0971@signalschool.ac.th</v>
      </c>
      <c r="O72" s="12">
        <f t="shared" si="2"/>
        <v>1</v>
      </c>
      <c r="R72" s="6" t="s">
        <v>288</v>
      </c>
    </row>
    <row r="73">
      <c r="A73" s="8">
        <f>'1.4'!A:A</f>
        <v>46212.62451</v>
      </c>
      <c r="B73" s="2" t="str">
        <f>'1.4'!B:B</f>
        <v>bnco0966@signalschool.ac.th</v>
      </c>
      <c r="C73" s="2" t="str">
        <f>'1.4'!C:C</f>
        <v>ร.ท.สุภรัชฎ หมอกสุข</v>
      </c>
      <c r="D73" s="9">
        <v>1.0</v>
      </c>
      <c r="E73" s="10">
        <f>IFERROR(vlookup('1.4'!D:D,lookup!$A$2:$B$4,2,false),0)</f>
        <v>5</v>
      </c>
      <c r="F73" s="10">
        <f>IFERROR(vlookup('1.4'!E:E,lookup!$A$6:$B$8,2,false),0)</f>
        <v>5</v>
      </c>
      <c r="G73" s="10">
        <f>IFERROR(vlookup('1.4'!F:F,lookup!$A$10:$B$12,2,false),0)</f>
        <v>5</v>
      </c>
      <c r="H73" s="10">
        <f>IFERROR(vlookup('1.4'!G:G,lookup!$A$14:$B$16,2,false),0)</f>
        <v>5</v>
      </c>
      <c r="I73" s="10">
        <f>IFERROR(vlookup('1.4'!H:H,lookup!$A$18:$B$20,2,false),0)</f>
        <v>5</v>
      </c>
      <c r="J73" s="10">
        <f>IFERROR(vlookup('1.4'!I:I,lookup!$A$22:$B$24,2,false),0)</f>
        <v>5</v>
      </c>
      <c r="K73" s="10">
        <f>IFERROR(vlookup('1.4'!J:J,lookup!$A$26:$B$28,2,false),0)</f>
        <v>5</v>
      </c>
      <c r="M73" s="10">
        <v>72.0</v>
      </c>
      <c r="N73" s="11" t="str">
        <f t="shared" si="1"/>
        <v>bnco0972@signalschool.ac.th</v>
      </c>
      <c r="O73" s="12">
        <f t="shared" si="2"/>
        <v>1</v>
      </c>
      <c r="R73" s="6" t="s">
        <v>289</v>
      </c>
    </row>
    <row r="74">
      <c r="A74" s="8">
        <f>'1.4'!A:A</f>
        <v>46212.62461</v>
      </c>
      <c r="B74" s="2" t="str">
        <f>'1.4'!B:B</f>
        <v>bnco0911@signalschool.ac.th</v>
      </c>
      <c r="C74" s="2" t="str">
        <f>'1.4'!C:C</f>
        <v>ร.ท.ศุภรัชฎ หมอกสุข</v>
      </c>
      <c r="D74" s="9">
        <v>1.0</v>
      </c>
      <c r="E74" s="10">
        <f>IFERROR(vlookup('1.4'!D:D,lookup!$A$2:$B$4,2,false),0)</f>
        <v>5</v>
      </c>
      <c r="F74" s="10">
        <f>IFERROR(vlookup('1.4'!E:E,lookup!$A$6:$B$8,2,false),0)</f>
        <v>5</v>
      </c>
      <c r="G74" s="10">
        <f>IFERROR(vlookup('1.4'!F:F,lookup!$A$10:$B$12,2,false),0)</f>
        <v>5</v>
      </c>
      <c r="H74" s="10">
        <f>IFERROR(vlookup('1.4'!G:G,lookup!$A$14:$B$16,2,false),0)</f>
        <v>5</v>
      </c>
      <c r="I74" s="10">
        <f>IFERROR(vlookup('1.4'!H:H,lookup!$A$18:$B$20,2,false),0)</f>
        <v>5</v>
      </c>
      <c r="J74" s="10">
        <f>IFERROR(vlookup('1.4'!I:I,lookup!$A$22:$B$24,2,false),0)</f>
        <v>5</v>
      </c>
      <c r="K74" s="10">
        <f>IFERROR(vlookup('1.4'!J:J,lookup!$A$26:$B$28,2,false),0)</f>
        <v>5</v>
      </c>
      <c r="M74" s="10">
        <v>73.0</v>
      </c>
      <c r="N74" s="11" t="str">
        <f t="shared" si="1"/>
        <v>bnco0973@signalschool.ac.th</v>
      </c>
      <c r="O74" s="12">
        <f t="shared" si="2"/>
        <v>1</v>
      </c>
      <c r="R74" s="6" t="s">
        <v>290</v>
      </c>
    </row>
    <row r="75">
      <c r="A75" s="8">
        <f>'1.4'!A:A</f>
        <v>46212.6257</v>
      </c>
      <c r="B75" s="2" t="str">
        <f>'1.4'!B:B</f>
        <v>bnco0941@signalschool.ac.th</v>
      </c>
      <c r="C75" s="2" t="str">
        <f>'1.4'!C:C</f>
        <v>ร.ท.ศุภรัชภ หมอกสุช</v>
      </c>
      <c r="D75" s="9">
        <v>1.0</v>
      </c>
      <c r="E75" s="10">
        <f>IFERROR(vlookup('1.4'!D:D,lookup!$A$2:$B$4,2,false),0)</f>
        <v>5</v>
      </c>
      <c r="F75" s="10">
        <f>IFERROR(vlookup('1.4'!E:E,lookup!$A$6:$B$8,2,false),0)</f>
        <v>5</v>
      </c>
      <c r="G75" s="10">
        <f>IFERROR(vlookup('1.4'!F:F,lookup!$A$10:$B$12,2,false),0)</f>
        <v>5</v>
      </c>
      <c r="H75" s="10">
        <f>IFERROR(vlookup('1.4'!G:G,lookup!$A$14:$B$16,2,false),0)</f>
        <v>5</v>
      </c>
      <c r="I75" s="10">
        <f>IFERROR(vlookup('1.4'!H:H,lookup!$A$18:$B$20,2,false),0)</f>
        <v>5</v>
      </c>
      <c r="J75" s="10">
        <f>IFERROR(vlookup('1.4'!I:I,lookup!$A$22:$B$24,2,false),0)</f>
        <v>5</v>
      </c>
      <c r="K75" s="10">
        <f>IFERROR(vlookup('1.4'!J:J,lookup!$A$26:$B$28,2,false),0)</f>
        <v>5</v>
      </c>
      <c r="M75" s="10">
        <v>74.0</v>
      </c>
      <c r="N75" s="11" t="str">
        <f t="shared" si="1"/>
        <v>bnco0974@signalschool.ac.th</v>
      </c>
      <c r="O75" s="12">
        <f t="shared" si="2"/>
        <v>1</v>
      </c>
      <c r="R75" s="6" t="s">
        <v>291</v>
      </c>
    </row>
    <row r="76">
      <c r="A76" s="8">
        <f>'1.4'!A:A</f>
        <v>46212.62586</v>
      </c>
      <c r="B76" s="2" t="str">
        <f>'1.4'!B:B</f>
        <v>bnco0976@signalschool.ac.th</v>
      </c>
      <c r="C76" s="2" t="str">
        <f>'1.4'!C:C</f>
        <v>ร.ท.ศุภรัชฎ หมอกสุข</v>
      </c>
      <c r="D76" s="9">
        <v>1.0</v>
      </c>
      <c r="E76" s="10">
        <f>IFERROR(vlookup('1.4'!D:D,lookup!$A$2:$B$4,2,false),0)</f>
        <v>5</v>
      </c>
      <c r="F76" s="10">
        <f>IFERROR(vlookup('1.4'!E:E,lookup!$A$6:$B$8,2,false),0)</f>
        <v>5</v>
      </c>
      <c r="G76" s="10">
        <f>IFERROR(vlookup('1.4'!F:F,lookup!$A$10:$B$12,2,false),0)</f>
        <v>5</v>
      </c>
      <c r="H76" s="10">
        <f>IFERROR(vlookup('1.4'!G:G,lookup!$A$14:$B$16,2,false),0)</f>
        <v>5</v>
      </c>
      <c r="I76" s="10">
        <f>IFERROR(vlookup('1.4'!H:H,lookup!$A$18:$B$20,2,false),0)</f>
        <v>5</v>
      </c>
      <c r="J76" s="10">
        <f>IFERROR(vlookup('1.4'!I:I,lookup!$A$22:$B$24,2,false),0)</f>
        <v>5</v>
      </c>
      <c r="K76" s="10">
        <f>IFERROR(vlookup('1.4'!J:J,lookup!$A$26:$B$28,2,false),0)</f>
        <v>5</v>
      </c>
      <c r="M76" s="10">
        <v>75.0</v>
      </c>
      <c r="N76" s="11" t="str">
        <f t="shared" si="1"/>
        <v>bnco0975@signalschool.ac.th</v>
      </c>
      <c r="O76" s="12">
        <f t="shared" si="2"/>
        <v>1</v>
      </c>
      <c r="R76" s="6" t="s">
        <v>292</v>
      </c>
    </row>
    <row r="77">
      <c r="A77" s="8">
        <f>'1.4'!A:A</f>
        <v>46212.63141</v>
      </c>
      <c r="B77" s="2" t="str">
        <f>'1.4'!B:B</f>
        <v>bnco0917@signalschool.ac.th</v>
      </c>
      <c r="C77" s="2" t="str">
        <f>'1.4'!C:C</f>
        <v>ร.ท.ศุภรัชฎ หมอกสุข</v>
      </c>
      <c r="D77" s="9">
        <v>1.0</v>
      </c>
      <c r="E77" s="10">
        <f>IFERROR(vlookup('1.4'!D:D,lookup!$A$2:$B$4,2,false),0)</f>
        <v>5</v>
      </c>
      <c r="F77" s="10">
        <f>IFERROR(vlookup('1.4'!E:E,lookup!$A$6:$B$8,2,false),0)</f>
        <v>5</v>
      </c>
      <c r="G77" s="10">
        <f>IFERROR(vlookup('1.4'!F:F,lookup!$A$10:$B$12,2,false),0)</f>
        <v>5</v>
      </c>
      <c r="H77" s="10">
        <f>IFERROR(vlookup('1.4'!G:G,lookup!$A$14:$B$16,2,false),0)</f>
        <v>5</v>
      </c>
      <c r="I77" s="10">
        <f>IFERROR(vlookup('1.4'!H:H,lookup!$A$18:$B$20,2,false),0)</f>
        <v>5</v>
      </c>
      <c r="J77" s="10">
        <f>IFERROR(vlookup('1.4'!I:I,lookup!$A$22:$B$24,2,false),0)</f>
        <v>5</v>
      </c>
      <c r="K77" s="10">
        <f>IFERROR(vlookup('1.4'!J:J,lookup!$A$26:$B$28,2,false),0)</f>
        <v>5</v>
      </c>
      <c r="M77" s="10">
        <v>76.0</v>
      </c>
      <c r="N77" s="11" t="str">
        <f t="shared" si="1"/>
        <v>bnco0976@signalschool.ac.th</v>
      </c>
      <c r="O77" s="12">
        <f t="shared" si="2"/>
        <v>1</v>
      </c>
      <c r="R77" s="6" t="s">
        <v>293</v>
      </c>
    </row>
    <row r="78">
      <c r="A78" s="8">
        <f>'1.4'!A:A</f>
        <v>46212.70981</v>
      </c>
      <c r="B78" s="2" t="str">
        <f>'1.4'!B:B</f>
        <v>bnco0954@signalschool.ac.th</v>
      </c>
      <c r="C78" s="2" t="str">
        <f>'1.4'!C:C</f>
        <v>ร.ท.ศุภรัชฎ หมอกสุข</v>
      </c>
      <c r="D78" s="9">
        <v>1.0</v>
      </c>
      <c r="E78" s="10">
        <f>IFERROR(vlookup('1.4'!D:D,lookup!$A$2:$B$4,2,false),0)</f>
        <v>3</v>
      </c>
      <c r="F78" s="10">
        <f>IFERROR(vlookup('1.4'!E:E,lookup!$A$6:$B$8,2,false),0)</f>
        <v>3</v>
      </c>
      <c r="G78" s="10">
        <f>IFERROR(vlookup('1.4'!F:F,lookup!$A$10:$B$12,2,false),0)</f>
        <v>3</v>
      </c>
      <c r="H78" s="10">
        <f>IFERROR(vlookup('1.4'!G:G,lookup!$A$14:$B$16,2,false),0)</f>
        <v>3</v>
      </c>
      <c r="I78" s="10">
        <f>IFERROR(vlookup('1.4'!H:H,lookup!$A$18:$B$20,2,false),0)</f>
        <v>3</v>
      </c>
      <c r="J78" s="10">
        <f>IFERROR(vlookup('1.4'!I:I,lookup!$A$22:$B$24,2,false),0)</f>
        <v>3</v>
      </c>
      <c r="K78" s="10">
        <f>IFERROR(vlookup('1.4'!J:J,lookup!$A$26:$B$28,2,false),0)</f>
        <v>3</v>
      </c>
      <c r="M78" s="10">
        <v>77.0</v>
      </c>
      <c r="N78" s="11" t="str">
        <f t="shared" si="1"/>
        <v>bnco0977@signalschool.ac.th</v>
      </c>
      <c r="O78" s="12">
        <f t="shared" si="2"/>
        <v>1</v>
      </c>
      <c r="R78" s="6" t="s">
        <v>294</v>
      </c>
    </row>
    <row r="79">
      <c r="A79" s="8">
        <f>'1.4'!A:A</f>
        <v>46212.83465</v>
      </c>
      <c r="B79" s="2" t="str">
        <f>'1.4'!B:B</f>
        <v>bnco0907@signalschool.ac.th</v>
      </c>
      <c r="C79" s="2" t="str">
        <f>'1.4'!C:C</f>
        <v>ร.ท.ศุภรัชฎ หมอกสุข</v>
      </c>
      <c r="D79" s="9">
        <v>1.0</v>
      </c>
      <c r="E79" s="10">
        <f>IFERROR(vlookup('1.4'!D:D,lookup!$A$2:$B$4,2,false),0)</f>
        <v>5</v>
      </c>
      <c r="F79" s="10">
        <f>IFERROR(vlookup('1.4'!E:E,lookup!$A$6:$B$8,2,false),0)</f>
        <v>5</v>
      </c>
      <c r="G79" s="10">
        <f>IFERROR(vlookup('1.4'!F:F,lookup!$A$10:$B$12,2,false),0)</f>
        <v>5</v>
      </c>
      <c r="H79" s="10">
        <f>IFERROR(vlookup('1.4'!G:G,lookup!$A$14:$B$16,2,false),0)</f>
        <v>5</v>
      </c>
      <c r="I79" s="10">
        <f>IFERROR(vlookup('1.4'!H:H,lookup!$A$18:$B$20,2,false),0)</f>
        <v>5</v>
      </c>
      <c r="J79" s="10">
        <f>IFERROR(vlookup('1.4'!I:I,lookup!$A$22:$B$24,2,false),0)</f>
        <v>5</v>
      </c>
      <c r="K79" s="10">
        <f>IFERROR(vlookup('1.4'!J:J,lookup!$A$26:$B$28,2,false),0)</f>
        <v>5</v>
      </c>
      <c r="M79" s="10">
        <v>78.0</v>
      </c>
      <c r="N79" s="11" t="str">
        <f t="shared" si="1"/>
        <v>bnco0978@signalschool.ac.th</v>
      </c>
      <c r="O79" s="12">
        <f t="shared" si="2"/>
        <v>1</v>
      </c>
      <c r="R79" s="6" t="s">
        <v>295</v>
      </c>
    </row>
    <row r="80">
      <c r="A80" s="8">
        <f>'1.4'!A:A</f>
        <v>46213.40529</v>
      </c>
      <c r="B80" s="2" t="str">
        <f>'1.4'!B:B</f>
        <v>bnco0931@signalschool.ac.th</v>
      </c>
      <c r="C80" s="2" t="str">
        <f>'1.4'!C:C</f>
        <v>ร.ท.ศุภรัชฏ หมอกสุข</v>
      </c>
      <c r="D80" s="9">
        <v>1.0</v>
      </c>
      <c r="E80" s="10">
        <f>IFERROR(vlookup('1.4'!D:D,lookup!$A$2:$B$4,2,false),0)</f>
        <v>5</v>
      </c>
      <c r="F80" s="10">
        <f>IFERROR(vlookup('1.4'!E:E,lookup!$A$6:$B$8,2,false),0)</f>
        <v>5</v>
      </c>
      <c r="G80" s="10">
        <f>IFERROR(vlookup('1.4'!F:F,lookup!$A$10:$B$12,2,false),0)</f>
        <v>5</v>
      </c>
      <c r="H80" s="10">
        <f>IFERROR(vlookup('1.4'!G:G,lookup!$A$14:$B$16,2,false),0)</f>
        <v>5</v>
      </c>
      <c r="I80" s="10">
        <f>IFERROR(vlookup('1.4'!H:H,lookup!$A$18:$B$20,2,false),0)</f>
        <v>5</v>
      </c>
      <c r="J80" s="10">
        <f>IFERROR(vlookup('1.4'!I:I,lookup!$A$22:$B$24,2,false),0)</f>
        <v>5</v>
      </c>
      <c r="K80" s="10">
        <f>IFERROR(vlookup('1.4'!J:J,lookup!$A$26:$B$28,2,false),0)</f>
        <v>5</v>
      </c>
      <c r="M80" s="10">
        <v>79.0</v>
      </c>
      <c r="N80" s="11" t="str">
        <f t="shared" si="1"/>
        <v>bnco0979@signalschool.ac.th</v>
      </c>
      <c r="O80" s="12">
        <f t="shared" si="2"/>
        <v>1</v>
      </c>
      <c r="R80" s="6" t="s">
        <v>296</v>
      </c>
    </row>
    <row r="81">
      <c r="A81" s="8">
        <f>'1.4'!A:A</f>
        <v>46213.45543</v>
      </c>
      <c r="B81" s="2" t="str">
        <f>'1.4'!B:B</f>
        <v>bnco0975@signalschool.ac.th</v>
      </c>
      <c r="C81" s="2" t="str">
        <f>'1.4'!C:C</f>
        <v>ร.ท.ศุภรัชฎ หมอกสุข</v>
      </c>
      <c r="D81" s="9">
        <v>1.0</v>
      </c>
      <c r="E81" s="10">
        <f>IFERROR(vlookup('1.4'!D:D,lookup!$A$2:$B$4,2,false),0)</f>
        <v>3</v>
      </c>
      <c r="F81" s="10">
        <f>IFERROR(vlookup('1.4'!E:E,lookup!$A$6:$B$8,2,false),0)</f>
        <v>3</v>
      </c>
      <c r="G81" s="10">
        <f>IFERROR(vlookup('1.4'!F:F,lookup!$A$10:$B$12,2,false),0)</f>
        <v>5</v>
      </c>
      <c r="H81" s="10">
        <f>IFERROR(vlookup('1.4'!G:G,lookup!$A$14:$B$16,2,false),0)</f>
        <v>3</v>
      </c>
      <c r="I81" s="10">
        <f>IFERROR(vlookup('1.4'!H:H,lookup!$A$18:$B$20,2,false),0)</f>
        <v>5</v>
      </c>
      <c r="J81" s="10">
        <f>IFERROR(vlookup('1.4'!I:I,lookup!$A$22:$B$24,2,false),0)</f>
        <v>5</v>
      </c>
      <c r="K81" s="10">
        <f>IFERROR(vlookup('1.4'!J:J,lookup!$A$26:$B$28,2,false),0)</f>
        <v>5</v>
      </c>
      <c r="M81" s="10">
        <v>80.0</v>
      </c>
      <c r="N81" s="11" t="str">
        <f t="shared" si="1"/>
        <v>bnco0980@signalschool.ac.th</v>
      </c>
      <c r="O81" s="12">
        <f t="shared" si="2"/>
        <v>1</v>
      </c>
      <c r="R81" s="6" t="s">
        <v>297</v>
      </c>
    </row>
    <row r="82">
      <c r="A82" s="8" t="str">
        <f>'1.4'!A:A</f>
        <v/>
      </c>
      <c r="B82" s="2" t="str">
        <f>'1.4'!B:B</f>
        <v/>
      </c>
      <c r="C82" s="2" t="str">
        <f>'1.4'!C:C</f>
        <v/>
      </c>
      <c r="E82" s="14">
        <f t="shared" ref="E82:K82" si="3">AVERAGE(E2:E81)</f>
        <v>4.875</v>
      </c>
      <c r="F82" s="14">
        <f t="shared" si="3"/>
        <v>4.9</v>
      </c>
      <c r="G82" s="14">
        <f t="shared" si="3"/>
        <v>4.875</v>
      </c>
      <c r="H82" s="14">
        <f t="shared" si="3"/>
        <v>4.9</v>
      </c>
      <c r="I82" s="14">
        <f t="shared" si="3"/>
        <v>4.9</v>
      </c>
      <c r="J82" s="14">
        <f t="shared" si="3"/>
        <v>4.875</v>
      </c>
      <c r="K82" s="14">
        <f t="shared" si="3"/>
        <v>4.9</v>
      </c>
      <c r="L82" s="15">
        <f>AVERAGE(E82:K82)</f>
        <v>4.889285714</v>
      </c>
      <c r="N82" s="2" t="s">
        <v>298</v>
      </c>
      <c r="O82" s="10">
        <f>SUM(O2:O81)</f>
        <v>80</v>
      </c>
    </row>
    <row r="83">
      <c r="A83" s="8" t="str">
        <f>'1.4'!A:A</f>
        <v/>
      </c>
      <c r="B83" s="2" t="str">
        <f>'1.4'!B:B</f>
        <v/>
      </c>
      <c r="C83" s="2" t="str">
        <f>'1.4'!C:C</f>
        <v/>
      </c>
      <c r="E83" s="10"/>
      <c r="F83" s="10"/>
      <c r="G83" s="10"/>
      <c r="H83" s="10"/>
      <c r="I83" s="10"/>
      <c r="J83" s="10"/>
      <c r="K83" s="10"/>
      <c r="N83" s="2" t="s">
        <v>299</v>
      </c>
      <c r="O83" s="10">
        <f>(O82*100)/80</f>
        <v>100</v>
      </c>
    </row>
    <row r="84">
      <c r="A84" s="8" t="str">
        <f>'1.4'!A:A</f>
        <v/>
      </c>
      <c r="B84" s="2" t="str">
        <f>'1.4'!B:B</f>
        <v/>
      </c>
      <c r="C84" s="2" t="str">
        <f>'1.4'!C:C</f>
        <v/>
      </c>
      <c r="E84" s="10"/>
      <c r="K84" s="10"/>
    </row>
    <row r="85">
      <c r="A85" s="8" t="str">
        <f>'1.4'!A:A</f>
        <v/>
      </c>
      <c r="B85" s="2" t="str">
        <f>'1.4'!B:B</f>
        <v/>
      </c>
      <c r="C85" s="2" t="str">
        <f>'1.4'!C:C</f>
        <v/>
      </c>
      <c r="E85" s="10"/>
    </row>
    <row r="86">
      <c r="A86" s="8" t="str">
        <f>'1.4'!A:A</f>
        <v/>
      </c>
      <c r="B86" s="2" t="str">
        <f>'1.4'!B:B</f>
        <v/>
      </c>
      <c r="C86" s="2" t="str">
        <f>'1.4'!C:C</f>
        <v/>
      </c>
      <c r="E86" s="10"/>
    </row>
    <row r="87">
      <c r="A87" s="8" t="str">
        <f>'1.4'!A:A</f>
        <v/>
      </c>
      <c r="B87" s="2" t="str">
        <f>'1.4'!B:B</f>
        <v/>
      </c>
      <c r="C87" s="2" t="str">
        <f>'1.4'!C:C</f>
        <v/>
      </c>
      <c r="E87" s="10"/>
    </row>
    <row r="88">
      <c r="A88" s="8" t="str">
        <f>'1.4'!A:A</f>
        <v/>
      </c>
      <c r="B88" s="2" t="str">
        <f>'1.4'!B:B</f>
        <v/>
      </c>
      <c r="C88" s="2" t="str">
        <f>'1.4'!C:C</f>
        <v/>
      </c>
      <c r="E88" s="10"/>
    </row>
    <row r="89">
      <c r="A89" s="8" t="str">
        <f>'1.4'!A:A</f>
        <v/>
      </c>
      <c r="B89" s="2" t="str">
        <f>'1.4'!B:B</f>
        <v/>
      </c>
      <c r="C89" s="2" t="str">
        <f>'1.4'!C:C</f>
        <v/>
      </c>
      <c r="E89" s="10"/>
    </row>
    <row r="90">
      <c r="A90" s="8" t="str">
        <f>'1.4'!A:A</f>
        <v/>
      </c>
      <c r="B90" s="2" t="str">
        <f>'1.4'!B:B</f>
        <v/>
      </c>
      <c r="C90" s="2" t="str">
        <f>'1.4'!C:C</f>
        <v/>
      </c>
      <c r="E90" s="10"/>
    </row>
    <row r="91">
      <c r="A91" s="8" t="str">
        <f>'1.4'!A:A</f>
        <v/>
      </c>
      <c r="B91" s="2" t="str">
        <f>'1.4'!B:B</f>
        <v/>
      </c>
      <c r="C91" s="2" t="str">
        <f>'1.4'!C:C</f>
        <v/>
      </c>
      <c r="E91" s="10"/>
    </row>
    <row r="92">
      <c r="A92" s="8" t="str">
        <f>'1.4'!A:A</f>
        <v/>
      </c>
      <c r="B92" s="2" t="str">
        <f>'1.4'!B:B</f>
        <v/>
      </c>
      <c r="C92" s="2" t="str">
        <f>'1.4'!C:C</f>
        <v/>
      </c>
      <c r="E92" s="10"/>
    </row>
    <row r="93">
      <c r="A93" s="8" t="str">
        <f t="shared" ref="A93:B93" si="4">'ศาสนาและศีลธรรม'!A:A</f>
        <v>#REF!</v>
      </c>
      <c r="B93" s="2" t="str">
        <f t="shared" si="4"/>
        <v>#REF!</v>
      </c>
      <c r="C93" s="2" t="str">
        <f>'1.4'!C:C</f>
        <v/>
      </c>
      <c r="E93" s="10"/>
    </row>
    <row r="94">
      <c r="A94" s="8" t="str">
        <f t="shared" ref="A94:A111" si="5">'ศาสนาและศีลธรรม'!A:A</f>
        <v>#REF!</v>
      </c>
      <c r="B94" s="2" t="str">
        <f t="shared" ref="B94:B96" si="6">'สงครามอิเล็กทรอนิกส์'!B:B</f>
        <v>#REF!</v>
      </c>
      <c r="C94" s="2" t="str">
        <f>'1.4'!C:C</f>
        <v/>
      </c>
      <c r="E94" s="10"/>
    </row>
    <row r="95">
      <c r="A95" s="8" t="str">
        <f t="shared" si="5"/>
        <v>#REF!</v>
      </c>
      <c r="B95" s="2" t="str">
        <f t="shared" si="6"/>
        <v>#REF!</v>
      </c>
      <c r="C95" s="2" t="str">
        <f>'1.4'!C:C</f>
        <v/>
      </c>
      <c r="E95" s="10"/>
    </row>
    <row r="96">
      <c r="A96" s="8" t="str">
        <f t="shared" si="5"/>
        <v>#REF!</v>
      </c>
      <c r="B96" s="2" t="str">
        <f t="shared" si="6"/>
        <v>#REF!</v>
      </c>
      <c r="C96" s="2" t="str">
        <f>'1.4'!C:C</f>
        <v/>
      </c>
      <c r="E96" s="10"/>
    </row>
    <row r="97">
      <c r="A97" s="8" t="str">
        <f t="shared" si="5"/>
        <v>#REF!</v>
      </c>
      <c r="B97" s="2" t="str">
        <f>'เอดส์ศึกษาและยาเสพติด'!B:B</f>
        <v>#REF!</v>
      </c>
      <c r="C97" s="2" t="str">
        <f>'1.4'!C:C</f>
        <v/>
      </c>
      <c r="E97" s="10"/>
    </row>
    <row r="98">
      <c r="A98" s="8" t="str">
        <f t="shared" si="5"/>
        <v>#REF!</v>
      </c>
      <c r="C98" s="2" t="str">
        <f>'1.4'!C:C</f>
        <v/>
      </c>
      <c r="E98" s="10"/>
    </row>
    <row r="99">
      <c r="A99" s="8" t="str">
        <f t="shared" si="5"/>
        <v>#REF!</v>
      </c>
      <c r="C99" s="2" t="str">
        <f>'1.4'!C:C</f>
        <v/>
      </c>
      <c r="E99" s="10"/>
    </row>
    <row r="100">
      <c r="A100" s="8" t="str">
        <f t="shared" si="5"/>
        <v>#REF!</v>
      </c>
      <c r="C100" s="2" t="str">
        <f>'1.4'!C:C</f>
        <v/>
      </c>
    </row>
    <row r="101">
      <c r="A101" s="8" t="str">
        <f t="shared" si="5"/>
        <v>#REF!</v>
      </c>
      <c r="C101" s="2" t="str">
        <f>'1.4'!C:C</f>
        <v/>
      </c>
    </row>
    <row r="102">
      <c r="A102" s="8" t="str">
        <f t="shared" si="5"/>
        <v>#REF!</v>
      </c>
      <c r="C102" s="2" t="str">
        <f>'1.4'!C:C</f>
        <v/>
      </c>
    </row>
    <row r="103">
      <c r="A103" s="8" t="str">
        <f t="shared" si="5"/>
        <v>#REF!</v>
      </c>
      <c r="C103" s="2" t="str">
        <f>'1.4'!C:C</f>
        <v/>
      </c>
    </row>
    <row r="104">
      <c r="A104" s="8" t="str">
        <f t="shared" si="5"/>
        <v>#REF!</v>
      </c>
      <c r="C104" s="2" t="str">
        <f>'1.4'!C:C</f>
        <v/>
      </c>
    </row>
    <row r="105">
      <c r="A105" s="8" t="str">
        <f t="shared" si="5"/>
        <v>#REF!</v>
      </c>
      <c r="C105" s="2" t="str">
        <f>'1.4'!C:C</f>
        <v/>
      </c>
    </row>
    <row r="106">
      <c r="A106" s="8" t="str">
        <f t="shared" si="5"/>
        <v>#REF!</v>
      </c>
      <c r="C106" s="2" t="str">
        <f>'1.4'!C:C</f>
        <v/>
      </c>
    </row>
    <row r="107">
      <c r="A107" s="8" t="str">
        <f t="shared" si="5"/>
        <v>#REF!</v>
      </c>
      <c r="C107" s="2" t="str">
        <f>'1.4'!C:C</f>
        <v/>
      </c>
    </row>
    <row r="108">
      <c r="A108" s="8" t="str">
        <f t="shared" si="5"/>
        <v>#REF!</v>
      </c>
      <c r="C108" s="2" t="str">
        <f>'1.4'!C:C</f>
        <v/>
      </c>
    </row>
    <row r="109">
      <c r="A109" s="8" t="str">
        <f t="shared" si="5"/>
        <v>#REF!</v>
      </c>
      <c r="C109" s="2" t="str">
        <f>'1.4'!C:C</f>
        <v/>
      </c>
    </row>
    <row r="110">
      <c r="A110" s="8" t="str">
        <f t="shared" si="5"/>
        <v>#REF!</v>
      </c>
      <c r="C110" s="2" t="str">
        <f>'1.4'!C:C</f>
        <v/>
      </c>
    </row>
    <row r="111">
      <c r="A111" s="8" t="str">
        <f t="shared" si="5"/>
        <v>#REF!</v>
      </c>
      <c r="C111" s="2" t="str">
        <f>'1.4'!C:C</f>
        <v/>
      </c>
    </row>
    <row r="112">
      <c r="C112" s="2" t="str">
        <f t="shared" ref="C112:C114" si="7">'ศาสนาและศีลธรรม'!C:C</f>
        <v>#REF!</v>
      </c>
    </row>
    <row r="113">
      <c r="C113" s="2" t="str">
        <f t="shared" si="7"/>
        <v>#REF!</v>
      </c>
    </row>
    <row r="114">
      <c r="C114" s="2" t="str">
        <f t="shared" si="7"/>
        <v>#REF!</v>
      </c>
    </row>
    <row r="115">
      <c r="C115" s="2" t="str">
        <f t="shared" ref="C115:C116" si="8">'เอดส์ศึกษาและยาเสพติด'!C:C</f>
        <v>#REF!</v>
      </c>
    </row>
    <row r="116">
      <c r="C116" s="2" t="str">
        <f t="shared" si="8"/>
        <v>#REF!</v>
      </c>
    </row>
  </sheetData>
  <mergeCells count="1">
    <mergeCell ref="M1:O1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7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4">
        <v>46192.341204490745</v>
      </c>
      <c r="B2" s="6" t="s">
        <v>27</v>
      </c>
      <c r="C2" s="6" t="s">
        <v>300</v>
      </c>
      <c r="D2" s="6" t="s">
        <v>15</v>
      </c>
      <c r="E2" s="6" t="s">
        <v>16</v>
      </c>
      <c r="F2" s="6" t="s">
        <v>17</v>
      </c>
      <c r="G2" s="6" t="s">
        <v>18</v>
      </c>
      <c r="H2" s="6" t="s">
        <v>19</v>
      </c>
      <c r="I2" s="6" t="s">
        <v>20</v>
      </c>
      <c r="J2" s="6" t="s">
        <v>21</v>
      </c>
      <c r="K2" s="6" t="s">
        <v>29</v>
      </c>
    </row>
    <row r="3">
      <c r="A3" s="4">
        <v>46195.351488009255</v>
      </c>
      <c r="B3" s="6" t="s">
        <v>166</v>
      </c>
      <c r="C3" s="6" t="s">
        <v>301</v>
      </c>
      <c r="D3" s="6" t="s">
        <v>15</v>
      </c>
      <c r="E3" s="6" t="s">
        <v>16</v>
      </c>
      <c r="F3" s="6" t="s">
        <v>17</v>
      </c>
      <c r="G3" s="6" t="s">
        <v>18</v>
      </c>
      <c r="H3" s="6" t="s">
        <v>19</v>
      </c>
      <c r="I3" s="6" t="s">
        <v>47</v>
      </c>
      <c r="J3" s="6" t="s">
        <v>48</v>
      </c>
    </row>
    <row r="4">
      <c r="A4" s="4">
        <v>46203.70613847222</v>
      </c>
      <c r="B4" s="6" t="s">
        <v>11</v>
      </c>
      <c r="C4" s="6" t="s">
        <v>302</v>
      </c>
      <c r="D4" s="6" t="s">
        <v>15</v>
      </c>
      <c r="E4" s="6" t="s">
        <v>16</v>
      </c>
      <c r="F4" s="6" t="s">
        <v>17</v>
      </c>
      <c r="G4" s="6" t="s">
        <v>18</v>
      </c>
      <c r="H4" s="6" t="s">
        <v>19</v>
      </c>
      <c r="I4" s="6" t="s">
        <v>20</v>
      </c>
      <c r="J4" s="6" t="s">
        <v>21</v>
      </c>
    </row>
    <row r="5">
      <c r="A5" s="4">
        <v>46204.35241914351</v>
      </c>
      <c r="B5" s="6" t="s">
        <v>30</v>
      </c>
      <c r="C5" s="6" t="s">
        <v>300</v>
      </c>
      <c r="D5" s="6" t="s">
        <v>15</v>
      </c>
      <c r="E5" s="6" t="s">
        <v>16</v>
      </c>
      <c r="F5" s="6" t="s">
        <v>17</v>
      </c>
      <c r="G5" s="6" t="s">
        <v>18</v>
      </c>
      <c r="H5" s="6" t="s">
        <v>19</v>
      </c>
      <c r="I5" s="6" t="s">
        <v>20</v>
      </c>
      <c r="J5" s="6" t="s">
        <v>21</v>
      </c>
      <c r="K5" s="6" t="s">
        <v>34</v>
      </c>
    </row>
    <row r="6">
      <c r="A6" s="4">
        <v>46204.46541388889</v>
      </c>
      <c r="B6" s="6" t="s">
        <v>35</v>
      </c>
      <c r="C6" s="6" t="s">
        <v>300</v>
      </c>
      <c r="D6" s="6" t="s">
        <v>15</v>
      </c>
      <c r="E6" s="6" t="s">
        <v>16</v>
      </c>
      <c r="F6" s="6" t="s">
        <v>17</v>
      </c>
      <c r="G6" s="6" t="s">
        <v>18</v>
      </c>
      <c r="H6" s="6" t="s">
        <v>19</v>
      </c>
      <c r="I6" s="6" t="s">
        <v>20</v>
      </c>
      <c r="J6" s="6" t="s">
        <v>21</v>
      </c>
    </row>
    <row r="7">
      <c r="A7" s="4">
        <v>46206.598049224536</v>
      </c>
      <c r="B7" s="6" t="s">
        <v>37</v>
      </c>
      <c r="C7" s="6" t="s">
        <v>303</v>
      </c>
      <c r="D7" s="6" t="s">
        <v>15</v>
      </c>
      <c r="E7" s="6" t="s">
        <v>16</v>
      </c>
      <c r="F7" s="6" t="s">
        <v>17</v>
      </c>
      <c r="G7" s="6" t="s">
        <v>18</v>
      </c>
      <c r="H7" s="6" t="s">
        <v>19</v>
      </c>
      <c r="I7" s="6" t="s">
        <v>20</v>
      </c>
      <c r="J7" s="6" t="s">
        <v>21</v>
      </c>
      <c r="K7" s="6" t="s">
        <v>219</v>
      </c>
    </row>
    <row r="8">
      <c r="A8" s="4">
        <v>46212.58564740741</v>
      </c>
      <c r="B8" s="6" t="s">
        <v>40</v>
      </c>
      <c r="C8" s="6" t="s">
        <v>304</v>
      </c>
      <c r="D8" s="6" t="s">
        <v>41</v>
      </c>
      <c r="E8" s="6" t="s">
        <v>33</v>
      </c>
      <c r="F8" s="6" t="s">
        <v>43</v>
      </c>
      <c r="G8" s="6" t="s">
        <v>44</v>
      </c>
      <c r="H8" s="6" t="s">
        <v>46</v>
      </c>
      <c r="I8" s="6" t="s">
        <v>47</v>
      </c>
      <c r="J8" s="6" t="s">
        <v>48</v>
      </c>
    </row>
    <row r="9">
      <c r="A9" s="4">
        <v>46212.61718534722</v>
      </c>
      <c r="B9" s="6" t="s">
        <v>49</v>
      </c>
      <c r="C9" s="6" t="s">
        <v>305</v>
      </c>
      <c r="D9" s="6" t="s">
        <v>15</v>
      </c>
      <c r="E9" s="6" t="s">
        <v>16</v>
      </c>
      <c r="F9" s="6" t="s">
        <v>17</v>
      </c>
      <c r="G9" s="6" t="s">
        <v>18</v>
      </c>
      <c r="H9" s="6" t="s">
        <v>19</v>
      </c>
      <c r="I9" s="6" t="s">
        <v>20</v>
      </c>
      <c r="J9" s="6" t="s">
        <v>21</v>
      </c>
    </row>
    <row r="10">
      <c r="A10" s="4">
        <v>46212.61893171296</v>
      </c>
      <c r="B10" s="6" t="s">
        <v>12</v>
      </c>
      <c r="C10" s="6" t="s">
        <v>306</v>
      </c>
      <c r="D10" s="6" t="s">
        <v>15</v>
      </c>
      <c r="E10" s="6" t="s">
        <v>16</v>
      </c>
      <c r="F10" s="6" t="s">
        <v>17</v>
      </c>
      <c r="G10" s="6" t="s">
        <v>18</v>
      </c>
      <c r="H10" s="6" t="s">
        <v>19</v>
      </c>
      <c r="I10" s="6" t="s">
        <v>20</v>
      </c>
      <c r="J10" s="6" t="s">
        <v>21</v>
      </c>
    </row>
    <row r="11">
      <c r="A11" s="4">
        <v>46212.61951895834</v>
      </c>
      <c r="B11" s="6" t="s">
        <v>54</v>
      </c>
      <c r="C11" s="6" t="s">
        <v>300</v>
      </c>
      <c r="D11" s="6" t="s">
        <v>15</v>
      </c>
      <c r="E11" s="6" t="s">
        <v>33</v>
      </c>
      <c r="F11" s="6" t="s">
        <v>17</v>
      </c>
      <c r="G11" s="6" t="s">
        <v>18</v>
      </c>
      <c r="H11" s="6" t="s">
        <v>19</v>
      </c>
      <c r="I11" s="6" t="s">
        <v>20</v>
      </c>
      <c r="J11" s="6" t="s">
        <v>21</v>
      </c>
    </row>
    <row r="12">
      <c r="A12" s="4">
        <v>46212.619978622686</v>
      </c>
      <c r="B12" s="6" t="s">
        <v>57</v>
      </c>
      <c r="C12" s="6" t="s">
        <v>300</v>
      </c>
      <c r="D12" s="6" t="s">
        <v>15</v>
      </c>
      <c r="E12" s="6" t="s">
        <v>16</v>
      </c>
      <c r="F12" s="6" t="s">
        <v>17</v>
      </c>
      <c r="G12" s="6" t="s">
        <v>18</v>
      </c>
      <c r="H12" s="6" t="s">
        <v>19</v>
      </c>
      <c r="I12" s="6" t="s">
        <v>20</v>
      </c>
      <c r="J12" s="6" t="s">
        <v>21</v>
      </c>
    </row>
    <row r="13">
      <c r="A13" s="4">
        <v>46212.62048254629</v>
      </c>
      <c r="B13" s="6" t="s">
        <v>119</v>
      </c>
      <c r="C13" s="6" t="s">
        <v>307</v>
      </c>
      <c r="D13" s="6" t="s">
        <v>15</v>
      </c>
      <c r="E13" s="6" t="s">
        <v>16</v>
      </c>
      <c r="F13" s="6" t="s">
        <v>17</v>
      </c>
      <c r="G13" s="6" t="s">
        <v>18</v>
      </c>
      <c r="H13" s="6" t="s">
        <v>19</v>
      </c>
      <c r="I13" s="6" t="s">
        <v>20</v>
      </c>
      <c r="J13" s="6" t="s">
        <v>21</v>
      </c>
    </row>
    <row r="14">
      <c r="A14" s="4">
        <v>46212.62063923611</v>
      </c>
      <c r="B14" s="6" t="s">
        <v>106</v>
      </c>
      <c r="C14" s="6" t="s">
        <v>301</v>
      </c>
      <c r="D14" s="6" t="s">
        <v>15</v>
      </c>
      <c r="E14" s="6" t="s">
        <v>16</v>
      </c>
      <c r="F14" s="6" t="s">
        <v>17</v>
      </c>
      <c r="G14" s="6" t="s">
        <v>18</v>
      </c>
      <c r="H14" s="6" t="s">
        <v>19</v>
      </c>
      <c r="I14" s="6" t="s">
        <v>20</v>
      </c>
      <c r="J14" s="6" t="s">
        <v>21</v>
      </c>
    </row>
    <row r="15">
      <c r="A15" s="4">
        <v>46212.62070655092</v>
      </c>
      <c r="B15" s="6" t="s">
        <v>65</v>
      </c>
      <c r="C15" s="6" t="s">
        <v>300</v>
      </c>
      <c r="D15" s="6" t="s">
        <v>15</v>
      </c>
      <c r="E15" s="6" t="s">
        <v>16</v>
      </c>
      <c r="F15" s="6" t="s">
        <v>17</v>
      </c>
      <c r="G15" s="6" t="s">
        <v>18</v>
      </c>
      <c r="H15" s="6" t="s">
        <v>19</v>
      </c>
      <c r="I15" s="6" t="s">
        <v>20</v>
      </c>
      <c r="J15" s="6" t="s">
        <v>21</v>
      </c>
    </row>
    <row r="16">
      <c r="A16" s="4">
        <v>46212.62090003472</v>
      </c>
      <c r="B16" s="6" t="s">
        <v>31</v>
      </c>
      <c r="C16" s="6" t="s">
        <v>300</v>
      </c>
      <c r="D16" s="6" t="s">
        <v>15</v>
      </c>
      <c r="E16" s="6" t="s">
        <v>16</v>
      </c>
      <c r="F16" s="6" t="s">
        <v>17</v>
      </c>
      <c r="G16" s="6" t="s">
        <v>18</v>
      </c>
      <c r="H16" s="6" t="s">
        <v>19</v>
      </c>
      <c r="I16" s="6" t="s">
        <v>20</v>
      </c>
      <c r="J16" s="6" t="s">
        <v>21</v>
      </c>
    </row>
    <row r="17">
      <c r="A17" s="4">
        <v>46212.621426631944</v>
      </c>
      <c r="B17" s="6" t="s">
        <v>133</v>
      </c>
      <c r="C17" s="6" t="s">
        <v>300</v>
      </c>
      <c r="D17" s="6" t="s">
        <v>15</v>
      </c>
      <c r="E17" s="6" t="s">
        <v>16</v>
      </c>
      <c r="F17" s="6" t="s">
        <v>17</v>
      </c>
      <c r="G17" s="6" t="s">
        <v>18</v>
      </c>
      <c r="H17" s="6" t="s">
        <v>19</v>
      </c>
      <c r="I17" s="6" t="s">
        <v>20</v>
      </c>
      <c r="J17" s="6" t="s">
        <v>21</v>
      </c>
    </row>
    <row r="18">
      <c r="A18" s="4">
        <v>46212.621654814815</v>
      </c>
      <c r="B18" s="6" t="s">
        <v>25</v>
      </c>
      <c r="C18" s="6" t="s">
        <v>300</v>
      </c>
      <c r="D18" s="6" t="s">
        <v>15</v>
      </c>
      <c r="E18" s="6" t="s">
        <v>16</v>
      </c>
      <c r="F18" s="6" t="s">
        <v>17</v>
      </c>
      <c r="G18" s="6" t="s">
        <v>18</v>
      </c>
      <c r="H18" s="6" t="s">
        <v>19</v>
      </c>
      <c r="I18" s="6" t="s">
        <v>20</v>
      </c>
      <c r="J18" s="6" t="s">
        <v>21</v>
      </c>
    </row>
    <row r="19">
      <c r="A19" s="4">
        <v>46212.621813148144</v>
      </c>
      <c r="B19" s="6" t="s">
        <v>93</v>
      </c>
      <c r="C19" s="6" t="s">
        <v>308</v>
      </c>
      <c r="D19" s="6" t="s">
        <v>15</v>
      </c>
      <c r="E19" s="6" t="s">
        <v>16</v>
      </c>
      <c r="F19" s="6" t="s">
        <v>17</v>
      </c>
      <c r="G19" s="6" t="s">
        <v>18</v>
      </c>
      <c r="H19" s="6" t="s">
        <v>19</v>
      </c>
      <c r="I19" s="6" t="s">
        <v>20</v>
      </c>
      <c r="J19" s="6" t="s">
        <v>21</v>
      </c>
    </row>
    <row r="20">
      <c r="A20" s="4">
        <v>46212.62193162037</v>
      </c>
      <c r="B20" s="6" t="s">
        <v>110</v>
      </c>
      <c r="C20" s="6" t="s">
        <v>309</v>
      </c>
      <c r="D20" s="6" t="s">
        <v>15</v>
      </c>
      <c r="E20" s="6" t="s">
        <v>16</v>
      </c>
      <c r="F20" s="6" t="s">
        <v>17</v>
      </c>
      <c r="G20" s="6" t="s">
        <v>18</v>
      </c>
      <c r="H20" s="6" t="s">
        <v>19</v>
      </c>
      <c r="I20" s="6" t="s">
        <v>20</v>
      </c>
      <c r="J20" s="6" t="s">
        <v>21</v>
      </c>
    </row>
    <row r="21">
      <c r="A21" s="4">
        <v>46212.62201229167</v>
      </c>
      <c r="B21" s="6" t="s">
        <v>100</v>
      </c>
      <c r="C21" s="6" t="s">
        <v>300</v>
      </c>
      <c r="D21" s="6" t="s">
        <v>15</v>
      </c>
      <c r="E21" s="6" t="s">
        <v>16</v>
      </c>
      <c r="F21" s="6" t="s">
        <v>17</v>
      </c>
      <c r="G21" s="6" t="s">
        <v>18</v>
      </c>
      <c r="H21" s="6" t="s">
        <v>19</v>
      </c>
      <c r="I21" s="6" t="s">
        <v>20</v>
      </c>
      <c r="J21" s="6" t="s">
        <v>21</v>
      </c>
    </row>
    <row r="22">
      <c r="A22" s="4">
        <v>46212.62215767361</v>
      </c>
      <c r="B22" s="6" t="s">
        <v>105</v>
      </c>
      <c r="C22" s="6" t="s">
        <v>310</v>
      </c>
      <c r="D22" s="6" t="s">
        <v>15</v>
      </c>
      <c r="E22" s="6" t="s">
        <v>16</v>
      </c>
      <c r="F22" s="6" t="s">
        <v>17</v>
      </c>
      <c r="G22" s="6" t="s">
        <v>18</v>
      </c>
      <c r="H22" s="6" t="s">
        <v>19</v>
      </c>
      <c r="I22" s="6" t="s">
        <v>20</v>
      </c>
      <c r="J22" s="6" t="s">
        <v>21</v>
      </c>
    </row>
    <row r="23">
      <c r="A23" s="4">
        <v>46212.62226335648</v>
      </c>
      <c r="B23" s="6" t="s">
        <v>75</v>
      </c>
      <c r="C23" s="6" t="s">
        <v>311</v>
      </c>
      <c r="D23" s="6" t="s">
        <v>15</v>
      </c>
      <c r="E23" s="6" t="s">
        <v>16</v>
      </c>
      <c r="F23" s="6" t="s">
        <v>17</v>
      </c>
      <c r="G23" s="6" t="s">
        <v>18</v>
      </c>
      <c r="H23" s="6" t="s">
        <v>19</v>
      </c>
      <c r="I23" s="6" t="s">
        <v>20</v>
      </c>
      <c r="J23" s="6" t="s">
        <v>21</v>
      </c>
    </row>
    <row r="24">
      <c r="A24" s="4">
        <v>46212.622384780094</v>
      </c>
      <c r="B24" s="6" t="s">
        <v>118</v>
      </c>
      <c r="C24" s="6" t="s">
        <v>300</v>
      </c>
      <c r="D24" s="6" t="s">
        <v>15</v>
      </c>
      <c r="E24" s="6" t="s">
        <v>16</v>
      </c>
      <c r="F24" s="6" t="s">
        <v>17</v>
      </c>
      <c r="G24" s="6" t="s">
        <v>18</v>
      </c>
      <c r="H24" s="6" t="s">
        <v>19</v>
      </c>
      <c r="I24" s="6" t="s">
        <v>20</v>
      </c>
      <c r="J24" s="6" t="s">
        <v>21</v>
      </c>
    </row>
    <row r="25">
      <c r="A25" s="4">
        <v>46212.62238693287</v>
      </c>
      <c r="B25" s="6" t="s">
        <v>59</v>
      </c>
      <c r="C25" s="6" t="s">
        <v>312</v>
      </c>
      <c r="D25" s="6" t="s">
        <v>15</v>
      </c>
      <c r="E25" s="6" t="s">
        <v>16</v>
      </c>
      <c r="F25" s="6" t="s">
        <v>17</v>
      </c>
      <c r="G25" s="6" t="s">
        <v>18</v>
      </c>
      <c r="H25" s="6" t="s">
        <v>19</v>
      </c>
      <c r="I25" s="6" t="s">
        <v>20</v>
      </c>
      <c r="J25" s="6" t="s">
        <v>21</v>
      </c>
    </row>
    <row r="26">
      <c r="A26" s="4">
        <v>46212.622386793984</v>
      </c>
      <c r="B26" s="6" t="s">
        <v>138</v>
      </c>
      <c r="C26" s="6" t="s">
        <v>300</v>
      </c>
      <c r="D26" s="6" t="s">
        <v>15</v>
      </c>
      <c r="E26" s="6" t="s">
        <v>16</v>
      </c>
      <c r="F26" s="6" t="s">
        <v>17</v>
      </c>
      <c r="G26" s="6" t="s">
        <v>18</v>
      </c>
      <c r="H26" s="6" t="s">
        <v>19</v>
      </c>
      <c r="I26" s="6" t="s">
        <v>20</v>
      </c>
      <c r="J26" s="6" t="s">
        <v>21</v>
      </c>
    </row>
    <row r="27">
      <c r="A27" s="4">
        <v>46212.62254193287</v>
      </c>
      <c r="B27" s="6" t="s">
        <v>142</v>
      </c>
      <c r="C27" s="6" t="s">
        <v>313</v>
      </c>
      <c r="D27" s="6" t="s">
        <v>15</v>
      </c>
      <c r="E27" s="6" t="s">
        <v>16</v>
      </c>
      <c r="F27" s="6" t="s">
        <v>17</v>
      </c>
      <c r="G27" s="6" t="s">
        <v>18</v>
      </c>
      <c r="H27" s="6" t="s">
        <v>19</v>
      </c>
      <c r="I27" s="6" t="s">
        <v>20</v>
      </c>
      <c r="J27" s="6" t="s">
        <v>21</v>
      </c>
    </row>
    <row r="28">
      <c r="A28" s="4">
        <v>46212.62254457176</v>
      </c>
      <c r="B28" s="6" t="s">
        <v>151</v>
      </c>
      <c r="C28" s="6" t="s">
        <v>300</v>
      </c>
      <c r="D28" s="6" t="s">
        <v>15</v>
      </c>
      <c r="E28" s="6" t="s">
        <v>16</v>
      </c>
      <c r="F28" s="6" t="s">
        <v>17</v>
      </c>
      <c r="G28" s="6" t="s">
        <v>18</v>
      </c>
      <c r="H28" s="6" t="s">
        <v>19</v>
      </c>
      <c r="I28" s="6" t="s">
        <v>20</v>
      </c>
      <c r="J28" s="6" t="s">
        <v>21</v>
      </c>
    </row>
    <row r="29">
      <c r="A29" s="4">
        <v>46212.62255215278</v>
      </c>
      <c r="B29" s="6" t="s">
        <v>42</v>
      </c>
      <c r="C29" s="6" t="s">
        <v>314</v>
      </c>
      <c r="D29" s="6" t="s">
        <v>15</v>
      </c>
      <c r="E29" s="6" t="s">
        <v>16</v>
      </c>
      <c r="F29" s="6" t="s">
        <v>17</v>
      </c>
      <c r="G29" s="6" t="s">
        <v>18</v>
      </c>
      <c r="H29" s="6" t="s">
        <v>19</v>
      </c>
      <c r="I29" s="6" t="s">
        <v>20</v>
      </c>
      <c r="J29" s="6" t="s">
        <v>21</v>
      </c>
    </row>
    <row r="30">
      <c r="A30" s="4">
        <v>46212.62264623842</v>
      </c>
      <c r="B30" s="6" t="s">
        <v>62</v>
      </c>
      <c r="C30" s="6" t="s">
        <v>315</v>
      </c>
      <c r="D30" s="6" t="s">
        <v>15</v>
      </c>
      <c r="E30" s="6" t="s">
        <v>16</v>
      </c>
      <c r="F30" s="6" t="s">
        <v>17</v>
      </c>
      <c r="G30" s="6" t="s">
        <v>18</v>
      </c>
      <c r="H30" s="6" t="s">
        <v>19</v>
      </c>
      <c r="I30" s="6" t="s">
        <v>20</v>
      </c>
      <c r="J30" s="6" t="s">
        <v>21</v>
      </c>
    </row>
    <row r="31">
      <c r="A31" s="4">
        <v>46212.62270010417</v>
      </c>
      <c r="B31" s="6" t="s">
        <v>63</v>
      </c>
      <c r="C31" s="6" t="s">
        <v>316</v>
      </c>
      <c r="D31" s="6" t="s">
        <v>15</v>
      </c>
      <c r="E31" s="6" t="s">
        <v>16</v>
      </c>
      <c r="F31" s="6" t="s">
        <v>17</v>
      </c>
      <c r="G31" s="6" t="s">
        <v>18</v>
      </c>
      <c r="H31" s="6" t="s">
        <v>19</v>
      </c>
      <c r="I31" s="6" t="s">
        <v>20</v>
      </c>
      <c r="J31" s="6" t="s">
        <v>21</v>
      </c>
    </row>
    <row r="32">
      <c r="A32" s="4">
        <v>46212.62270626157</v>
      </c>
      <c r="B32" s="6" t="s">
        <v>101</v>
      </c>
      <c r="C32" s="6" t="s">
        <v>316</v>
      </c>
      <c r="D32" s="6" t="s">
        <v>15</v>
      </c>
      <c r="E32" s="6" t="s">
        <v>16</v>
      </c>
      <c r="F32" s="6" t="s">
        <v>17</v>
      </c>
      <c r="G32" s="6" t="s">
        <v>18</v>
      </c>
      <c r="H32" s="6" t="s">
        <v>19</v>
      </c>
      <c r="I32" s="6" t="s">
        <v>20</v>
      </c>
      <c r="J32" s="6" t="s">
        <v>21</v>
      </c>
    </row>
    <row r="33">
      <c r="A33" s="4">
        <v>46212.62282336806</v>
      </c>
      <c r="B33" s="6" t="s">
        <v>92</v>
      </c>
      <c r="C33" s="6" t="s">
        <v>317</v>
      </c>
      <c r="D33" s="6" t="s">
        <v>15</v>
      </c>
      <c r="E33" s="6" t="s">
        <v>16</v>
      </c>
      <c r="F33" s="6" t="s">
        <v>17</v>
      </c>
      <c r="G33" s="6" t="s">
        <v>18</v>
      </c>
      <c r="H33" s="6" t="s">
        <v>19</v>
      </c>
      <c r="I33" s="6" t="s">
        <v>20</v>
      </c>
      <c r="J33" s="6" t="s">
        <v>21</v>
      </c>
    </row>
    <row r="34">
      <c r="A34" s="4">
        <v>46212.62287961805</v>
      </c>
      <c r="B34" s="6" t="s">
        <v>94</v>
      </c>
      <c r="C34" s="6" t="s">
        <v>318</v>
      </c>
      <c r="D34" s="6" t="s">
        <v>15</v>
      </c>
      <c r="E34" s="6" t="s">
        <v>16</v>
      </c>
      <c r="F34" s="6" t="s">
        <v>17</v>
      </c>
      <c r="G34" s="6" t="s">
        <v>18</v>
      </c>
      <c r="H34" s="6" t="s">
        <v>19</v>
      </c>
      <c r="I34" s="6" t="s">
        <v>20</v>
      </c>
      <c r="J34" s="6" t="s">
        <v>21</v>
      </c>
    </row>
    <row r="35">
      <c r="A35" s="4">
        <v>46212.623090636574</v>
      </c>
      <c r="B35" s="6" t="s">
        <v>144</v>
      </c>
      <c r="C35" s="6" t="s">
        <v>319</v>
      </c>
      <c r="D35" s="6" t="s">
        <v>15</v>
      </c>
      <c r="E35" s="6" t="s">
        <v>16</v>
      </c>
      <c r="F35" s="6" t="s">
        <v>17</v>
      </c>
      <c r="G35" s="6" t="s">
        <v>18</v>
      </c>
      <c r="H35" s="6" t="s">
        <v>19</v>
      </c>
      <c r="I35" s="6" t="s">
        <v>20</v>
      </c>
      <c r="J35" s="6" t="s">
        <v>21</v>
      </c>
    </row>
    <row r="36">
      <c r="A36" s="4">
        <v>46212.62309231481</v>
      </c>
      <c r="B36" s="6" t="s">
        <v>91</v>
      </c>
      <c r="C36" s="6" t="s">
        <v>320</v>
      </c>
      <c r="D36" s="6" t="s">
        <v>15</v>
      </c>
      <c r="E36" s="6" t="s">
        <v>16</v>
      </c>
      <c r="F36" s="6" t="s">
        <v>17</v>
      </c>
      <c r="G36" s="6" t="s">
        <v>18</v>
      </c>
      <c r="H36" s="6" t="s">
        <v>19</v>
      </c>
      <c r="I36" s="6" t="s">
        <v>20</v>
      </c>
      <c r="J36" s="6" t="s">
        <v>21</v>
      </c>
    </row>
    <row r="37">
      <c r="A37" s="4">
        <v>46212.62317373842</v>
      </c>
      <c r="B37" s="6" t="s">
        <v>73</v>
      </c>
      <c r="C37" s="6" t="s">
        <v>316</v>
      </c>
      <c r="D37" s="6" t="s">
        <v>15</v>
      </c>
      <c r="E37" s="6" t="s">
        <v>16</v>
      </c>
      <c r="F37" s="6" t="s">
        <v>17</v>
      </c>
      <c r="G37" s="6" t="s">
        <v>18</v>
      </c>
      <c r="H37" s="6" t="s">
        <v>19</v>
      </c>
      <c r="I37" s="6" t="s">
        <v>20</v>
      </c>
      <c r="J37" s="6" t="s">
        <v>21</v>
      </c>
    </row>
    <row r="38">
      <c r="A38" s="4">
        <v>46212.62320628473</v>
      </c>
      <c r="B38" s="6" t="s">
        <v>134</v>
      </c>
      <c r="C38" s="6" t="s">
        <v>321</v>
      </c>
      <c r="D38" s="6" t="s">
        <v>15</v>
      </c>
      <c r="E38" s="6" t="s">
        <v>16</v>
      </c>
      <c r="F38" s="6" t="s">
        <v>17</v>
      </c>
      <c r="G38" s="6" t="s">
        <v>18</v>
      </c>
      <c r="H38" s="6" t="s">
        <v>19</v>
      </c>
      <c r="I38" s="6" t="s">
        <v>20</v>
      </c>
      <c r="J38" s="6" t="s">
        <v>21</v>
      </c>
    </row>
    <row r="39">
      <c r="A39" s="4">
        <v>46212.623231157406</v>
      </c>
      <c r="B39" s="6" t="s">
        <v>53</v>
      </c>
      <c r="C39" s="6" t="s">
        <v>300</v>
      </c>
      <c r="D39" s="6" t="s">
        <v>15</v>
      </c>
      <c r="E39" s="6" t="s">
        <v>16</v>
      </c>
      <c r="F39" s="6" t="s">
        <v>17</v>
      </c>
      <c r="G39" s="6" t="s">
        <v>18</v>
      </c>
      <c r="H39" s="6" t="s">
        <v>19</v>
      </c>
      <c r="I39" s="6" t="s">
        <v>20</v>
      </c>
      <c r="J39" s="6" t="s">
        <v>21</v>
      </c>
    </row>
    <row r="40">
      <c r="A40" s="4">
        <v>46212.623363645835</v>
      </c>
      <c r="B40" s="6" t="s">
        <v>82</v>
      </c>
      <c r="C40" s="6" t="s">
        <v>83</v>
      </c>
      <c r="D40" s="6" t="s">
        <v>15</v>
      </c>
      <c r="E40" s="6" t="s">
        <v>16</v>
      </c>
      <c r="F40" s="6" t="s">
        <v>17</v>
      </c>
      <c r="G40" s="6" t="s">
        <v>18</v>
      </c>
      <c r="H40" s="6" t="s">
        <v>19</v>
      </c>
      <c r="I40" s="6" t="s">
        <v>20</v>
      </c>
      <c r="J40" s="6" t="s">
        <v>21</v>
      </c>
    </row>
    <row r="41">
      <c r="A41" s="4">
        <v>46212.62343891204</v>
      </c>
      <c r="B41" s="6" t="s">
        <v>125</v>
      </c>
      <c r="C41" s="6" t="s">
        <v>316</v>
      </c>
      <c r="D41" s="6" t="s">
        <v>15</v>
      </c>
      <c r="E41" s="6" t="s">
        <v>16</v>
      </c>
      <c r="F41" s="6" t="s">
        <v>17</v>
      </c>
      <c r="G41" s="6" t="s">
        <v>18</v>
      </c>
      <c r="H41" s="6" t="s">
        <v>19</v>
      </c>
      <c r="I41" s="6" t="s">
        <v>20</v>
      </c>
      <c r="J41" s="6" t="s">
        <v>21</v>
      </c>
    </row>
    <row r="42">
      <c r="A42" s="4">
        <v>46212.62354533565</v>
      </c>
      <c r="B42" s="6" t="s">
        <v>108</v>
      </c>
      <c r="C42" s="6" t="s">
        <v>316</v>
      </c>
      <c r="D42" s="6" t="s">
        <v>15</v>
      </c>
      <c r="E42" s="6" t="s">
        <v>16</v>
      </c>
      <c r="F42" s="6" t="s">
        <v>17</v>
      </c>
      <c r="G42" s="6" t="s">
        <v>18</v>
      </c>
      <c r="H42" s="6" t="s">
        <v>19</v>
      </c>
      <c r="I42" s="6" t="s">
        <v>20</v>
      </c>
      <c r="J42" s="6" t="s">
        <v>21</v>
      </c>
    </row>
    <row r="43">
      <c r="A43" s="4">
        <v>46212.62361861111</v>
      </c>
      <c r="B43" s="6" t="s">
        <v>79</v>
      </c>
      <c r="C43" s="6" t="s">
        <v>316</v>
      </c>
      <c r="D43" s="6" t="s">
        <v>15</v>
      </c>
      <c r="E43" s="6" t="s">
        <v>16</v>
      </c>
      <c r="F43" s="6" t="s">
        <v>17</v>
      </c>
      <c r="G43" s="6" t="s">
        <v>18</v>
      </c>
      <c r="H43" s="6" t="s">
        <v>19</v>
      </c>
      <c r="I43" s="6" t="s">
        <v>20</v>
      </c>
      <c r="J43" s="6" t="s">
        <v>21</v>
      </c>
    </row>
    <row r="44">
      <c r="A44" s="4">
        <v>46212.62368315972</v>
      </c>
      <c r="B44" s="6" t="s">
        <v>98</v>
      </c>
      <c r="C44" s="6" t="s">
        <v>300</v>
      </c>
      <c r="D44" s="6" t="s">
        <v>15</v>
      </c>
      <c r="E44" s="6" t="s">
        <v>16</v>
      </c>
      <c r="F44" s="6" t="s">
        <v>17</v>
      </c>
      <c r="G44" s="6" t="s">
        <v>18</v>
      </c>
      <c r="H44" s="6" t="s">
        <v>19</v>
      </c>
      <c r="I44" s="6" t="s">
        <v>20</v>
      </c>
      <c r="J44" s="6" t="s">
        <v>21</v>
      </c>
      <c r="K44" s="6" t="s">
        <v>34</v>
      </c>
    </row>
    <row r="45">
      <c r="A45" s="4">
        <v>46212.62378434028</v>
      </c>
      <c r="B45" s="6" t="s">
        <v>124</v>
      </c>
      <c r="C45" s="6" t="s">
        <v>316</v>
      </c>
      <c r="D45" s="6" t="s">
        <v>15</v>
      </c>
      <c r="E45" s="6" t="s">
        <v>16</v>
      </c>
      <c r="F45" s="6" t="s">
        <v>17</v>
      </c>
      <c r="G45" s="6" t="s">
        <v>18</v>
      </c>
      <c r="H45" s="6" t="s">
        <v>19</v>
      </c>
      <c r="I45" s="6" t="s">
        <v>20</v>
      </c>
      <c r="J45" s="6" t="s">
        <v>21</v>
      </c>
    </row>
    <row r="46">
      <c r="A46" s="4">
        <v>46212.62395274306</v>
      </c>
      <c r="B46" s="6" t="s">
        <v>74</v>
      </c>
      <c r="C46" s="6" t="s">
        <v>322</v>
      </c>
      <c r="D46" s="6" t="s">
        <v>15</v>
      </c>
      <c r="E46" s="6" t="s">
        <v>16</v>
      </c>
      <c r="F46" s="6" t="s">
        <v>17</v>
      </c>
      <c r="G46" s="6" t="s">
        <v>18</v>
      </c>
      <c r="H46" s="6" t="s">
        <v>19</v>
      </c>
      <c r="I46" s="6" t="s">
        <v>20</v>
      </c>
      <c r="J46" s="6" t="s">
        <v>21</v>
      </c>
    </row>
    <row r="47">
      <c r="A47" s="4">
        <v>46212.624039699076</v>
      </c>
      <c r="B47" s="6" t="s">
        <v>161</v>
      </c>
      <c r="C47" s="6" t="s">
        <v>300</v>
      </c>
      <c r="D47" s="6" t="s">
        <v>15</v>
      </c>
      <c r="E47" s="6" t="s">
        <v>16</v>
      </c>
      <c r="F47" s="6" t="s">
        <v>17</v>
      </c>
      <c r="G47" s="6" t="s">
        <v>18</v>
      </c>
      <c r="H47" s="6" t="s">
        <v>19</v>
      </c>
      <c r="I47" s="6" t="s">
        <v>20</v>
      </c>
      <c r="J47" s="6" t="s">
        <v>21</v>
      </c>
    </row>
    <row r="48">
      <c r="A48" s="4">
        <v>46212.62405496528</v>
      </c>
      <c r="B48" s="6" t="s">
        <v>22</v>
      </c>
      <c r="C48" s="6" t="s">
        <v>316</v>
      </c>
      <c r="D48" s="6" t="s">
        <v>15</v>
      </c>
      <c r="E48" s="6" t="s">
        <v>16</v>
      </c>
      <c r="F48" s="6" t="s">
        <v>17</v>
      </c>
      <c r="G48" s="6" t="s">
        <v>18</v>
      </c>
      <c r="H48" s="6" t="s">
        <v>19</v>
      </c>
      <c r="I48" s="6" t="s">
        <v>20</v>
      </c>
      <c r="J48" s="6" t="s">
        <v>21</v>
      </c>
    </row>
    <row r="49">
      <c r="A49" s="4">
        <v>46212.62418290509</v>
      </c>
      <c r="B49" s="6" t="s">
        <v>89</v>
      </c>
      <c r="C49" s="6" t="s">
        <v>316</v>
      </c>
      <c r="D49" s="6" t="s">
        <v>15</v>
      </c>
      <c r="E49" s="6" t="s">
        <v>16</v>
      </c>
      <c r="F49" s="6" t="s">
        <v>17</v>
      </c>
      <c r="G49" s="6" t="s">
        <v>18</v>
      </c>
      <c r="H49" s="6" t="s">
        <v>19</v>
      </c>
      <c r="I49" s="6" t="s">
        <v>20</v>
      </c>
      <c r="J49" s="6" t="s">
        <v>21</v>
      </c>
    </row>
    <row r="50">
      <c r="A50" s="4">
        <v>46212.624220150465</v>
      </c>
      <c r="B50" s="6" t="s">
        <v>123</v>
      </c>
      <c r="C50" s="6" t="s">
        <v>323</v>
      </c>
      <c r="D50" s="6" t="s">
        <v>15</v>
      </c>
      <c r="E50" s="6" t="s">
        <v>16</v>
      </c>
      <c r="F50" s="6" t="s">
        <v>17</v>
      </c>
      <c r="G50" s="6" t="s">
        <v>18</v>
      </c>
      <c r="H50" s="6" t="s">
        <v>19</v>
      </c>
      <c r="I50" s="6" t="s">
        <v>20</v>
      </c>
      <c r="J50" s="6" t="s">
        <v>21</v>
      </c>
    </row>
    <row r="51">
      <c r="A51" s="4">
        <v>46212.62423606482</v>
      </c>
      <c r="B51" s="6" t="s">
        <v>68</v>
      </c>
      <c r="C51" s="6" t="s">
        <v>300</v>
      </c>
      <c r="D51" s="6" t="s">
        <v>15</v>
      </c>
      <c r="E51" s="6" t="s">
        <v>16</v>
      </c>
      <c r="F51" s="6" t="s">
        <v>17</v>
      </c>
      <c r="G51" s="6" t="s">
        <v>18</v>
      </c>
      <c r="H51" s="6" t="s">
        <v>19</v>
      </c>
      <c r="I51" s="6" t="s">
        <v>20</v>
      </c>
      <c r="J51" s="6" t="s">
        <v>21</v>
      </c>
    </row>
    <row r="52">
      <c r="A52" s="4">
        <v>46212.6243359838</v>
      </c>
      <c r="B52" s="6" t="s">
        <v>51</v>
      </c>
      <c r="C52" s="6" t="s">
        <v>324</v>
      </c>
      <c r="D52" s="6" t="s">
        <v>15</v>
      </c>
      <c r="E52" s="6" t="s">
        <v>16</v>
      </c>
      <c r="F52" s="6" t="s">
        <v>17</v>
      </c>
      <c r="G52" s="6" t="s">
        <v>18</v>
      </c>
      <c r="H52" s="6" t="s">
        <v>19</v>
      </c>
      <c r="I52" s="6" t="s">
        <v>20</v>
      </c>
      <c r="J52" s="6" t="s">
        <v>21</v>
      </c>
    </row>
    <row r="53">
      <c r="A53" s="4">
        <v>46212.62453862268</v>
      </c>
      <c r="B53" s="6" t="s">
        <v>95</v>
      </c>
      <c r="C53" s="6" t="s">
        <v>316</v>
      </c>
      <c r="D53" s="6" t="s">
        <v>15</v>
      </c>
      <c r="E53" s="6" t="s">
        <v>16</v>
      </c>
      <c r="F53" s="6" t="s">
        <v>17</v>
      </c>
      <c r="G53" s="6" t="s">
        <v>18</v>
      </c>
      <c r="H53" s="6" t="s">
        <v>19</v>
      </c>
      <c r="I53" s="6" t="s">
        <v>20</v>
      </c>
      <c r="J53" s="6" t="s">
        <v>48</v>
      </c>
    </row>
    <row r="54">
      <c r="A54" s="4">
        <v>46212.62460664352</v>
      </c>
      <c r="B54" s="6" t="s">
        <v>121</v>
      </c>
      <c r="C54" s="6" t="s">
        <v>325</v>
      </c>
      <c r="D54" s="6" t="s">
        <v>15</v>
      </c>
      <c r="E54" s="6" t="s">
        <v>16</v>
      </c>
      <c r="F54" s="6" t="s">
        <v>43</v>
      </c>
      <c r="G54" s="6" t="s">
        <v>18</v>
      </c>
      <c r="H54" s="6" t="s">
        <v>19</v>
      </c>
      <c r="I54" s="6" t="s">
        <v>20</v>
      </c>
      <c r="J54" s="6" t="s">
        <v>21</v>
      </c>
    </row>
    <row r="55">
      <c r="A55" s="4">
        <v>46212.62468390046</v>
      </c>
      <c r="B55" s="6" t="s">
        <v>88</v>
      </c>
      <c r="C55" s="6" t="s">
        <v>300</v>
      </c>
      <c r="D55" s="6" t="s">
        <v>15</v>
      </c>
      <c r="E55" s="6" t="s">
        <v>16</v>
      </c>
      <c r="F55" s="6" t="s">
        <v>17</v>
      </c>
      <c r="G55" s="6" t="s">
        <v>18</v>
      </c>
      <c r="H55" s="6" t="s">
        <v>19</v>
      </c>
      <c r="I55" s="6" t="s">
        <v>20</v>
      </c>
      <c r="J55" s="6" t="s">
        <v>21</v>
      </c>
    </row>
    <row r="56">
      <c r="A56" s="4">
        <v>46212.62468633102</v>
      </c>
      <c r="B56" s="6" t="s">
        <v>102</v>
      </c>
      <c r="C56" s="6" t="s">
        <v>300</v>
      </c>
      <c r="D56" s="6" t="s">
        <v>15</v>
      </c>
      <c r="E56" s="6" t="s">
        <v>16</v>
      </c>
      <c r="F56" s="6" t="s">
        <v>17</v>
      </c>
      <c r="G56" s="6" t="s">
        <v>18</v>
      </c>
      <c r="H56" s="6" t="s">
        <v>19</v>
      </c>
      <c r="I56" s="6" t="s">
        <v>20</v>
      </c>
      <c r="J56" s="6" t="s">
        <v>21</v>
      </c>
    </row>
    <row r="57">
      <c r="A57" s="4">
        <v>46212.62472408565</v>
      </c>
      <c r="B57" s="6" t="s">
        <v>148</v>
      </c>
      <c r="C57" s="6" t="s">
        <v>316</v>
      </c>
      <c r="D57" s="6" t="s">
        <v>15</v>
      </c>
      <c r="E57" s="6" t="s">
        <v>16</v>
      </c>
      <c r="F57" s="6" t="s">
        <v>17</v>
      </c>
      <c r="G57" s="6" t="s">
        <v>18</v>
      </c>
      <c r="H57" s="6" t="s">
        <v>19</v>
      </c>
      <c r="I57" s="6" t="s">
        <v>20</v>
      </c>
      <c r="J57" s="6" t="s">
        <v>21</v>
      </c>
      <c r="K57" s="6" t="s">
        <v>326</v>
      </c>
    </row>
    <row r="58">
      <c r="A58" s="4">
        <v>46212.624822812504</v>
      </c>
      <c r="B58" s="6" t="s">
        <v>158</v>
      </c>
      <c r="C58" s="6" t="s">
        <v>327</v>
      </c>
      <c r="D58" s="6" t="s">
        <v>15</v>
      </c>
      <c r="E58" s="6" t="s">
        <v>16</v>
      </c>
      <c r="F58" s="6" t="s">
        <v>17</v>
      </c>
      <c r="G58" s="6" t="s">
        <v>18</v>
      </c>
      <c r="H58" s="6" t="s">
        <v>19</v>
      </c>
      <c r="I58" s="6" t="s">
        <v>20</v>
      </c>
      <c r="J58" s="6" t="s">
        <v>21</v>
      </c>
    </row>
    <row r="59">
      <c r="A59" s="4">
        <v>46212.62513136574</v>
      </c>
      <c r="B59" s="6" t="s">
        <v>147</v>
      </c>
      <c r="C59" s="6" t="s">
        <v>301</v>
      </c>
      <c r="D59" s="6" t="s">
        <v>15</v>
      </c>
      <c r="E59" s="6" t="s">
        <v>16</v>
      </c>
      <c r="F59" s="6" t="s">
        <v>17</v>
      </c>
      <c r="G59" s="6" t="s">
        <v>18</v>
      </c>
      <c r="H59" s="6" t="s">
        <v>19</v>
      </c>
      <c r="I59" s="6" t="s">
        <v>20</v>
      </c>
      <c r="J59" s="6" t="s">
        <v>21</v>
      </c>
    </row>
    <row r="60">
      <c r="A60" s="4">
        <v>46212.6256553125</v>
      </c>
      <c r="B60" s="6" t="s">
        <v>55</v>
      </c>
      <c r="C60" s="6" t="s">
        <v>328</v>
      </c>
      <c r="D60" s="6" t="s">
        <v>15</v>
      </c>
      <c r="E60" s="6" t="s">
        <v>16</v>
      </c>
      <c r="F60" s="6" t="s">
        <v>17</v>
      </c>
      <c r="G60" s="6" t="s">
        <v>18</v>
      </c>
      <c r="H60" s="6" t="s">
        <v>19</v>
      </c>
      <c r="I60" s="6" t="s">
        <v>20</v>
      </c>
      <c r="J60" s="6" t="s">
        <v>21</v>
      </c>
    </row>
    <row r="61">
      <c r="A61" s="4">
        <v>46212.626021944445</v>
      </c>
      <c r="B61" s="6" t="s">
        <v>71</v>
      </c>
      <c r="C61" s="6" t="s">
        <v>316</v>
      </c>
      <c r="D61" s="6" t="s">
        <v>15</v>
      </c>
      <c r="E61" s="6" t="s">
        <v>16</v>
      </c>
      <c r="F61" s="6" t="s">
        <v>17</v>
      </c>
      <c r="G61" s="6" t="s">
        <v>18</v>
      </c>
      <c r="H61" s="6" t="s">
        <v>19</v>
      </c>
      <c r="I61" s="6" t="s">
        <v>20</v>
      </c>
      <c r="J61" s="6" t="s">
        <v>21</v>
      </c>
    </row>
    <row r="62">
      <c r="A62" s="4">
        <v>46212.62608487268</v>
      </c>
      <c r="B62" s="6" t="s">
        <v>135</v>
      </c>
      <c r="C62" s="6" t="s">
        <v>316</v>
      </c>
      <c r="D62" s="6" t="s">
        <v>15</v>
      </c>
      <c r="E62" s="6" t="s">
        <v>16</v>
      </c>
      <c r="F62" s="6" t="s">
        <v>17</v>
      </c>
      <c r="G62" s="6" t="s">
        <v>18</v>
      </c>
      <c r="H62" s="6" t="s">
        <v>19</v>
      </c>
      <c r="I62" s="6" t="s">
        <v>20</v>
      </c>
      <c r="J62" s="6" t="s">
        <v>21</v>
      </c>
    </row>
    <row r="63">
      <c r="A63" s="4">
        <v>46212.62608984954</v>
      </c>
      <c r="B63" s="6" t="s">
        <v>86</v>
      </c>
      <c r="C63" s="6" t="s">
        <v>329</v>
      </c>
      <c r="D63" s="6" t="s">
        <v>15</v>
      </c>
      <c r="E63" s="6" t="s">
        <v>16</v>
      </c>
      <c r="F63" s="6" t="s">
        <v>17</v>
      </c>
      <c r="G63" s="6" t="s">
        <v>18</v>
      </c>
      <c r="H63" s="6" t="s">
        <v>19</v>
      </c>
      <c r="I63" s="6" t="s">
        <v>20</v>
      </c>
      <c r="J63" s="6" t="s">
        <v>21</v>
      </c>
    </row>
    <row r="64">
      <c r="A64" s="4">
        <v>46212.62609556713</v>
      </c>
      <c r="B64" s="6" t="s">
        <v>128</v>
      </c>
      <c r="C64" s="6" t="s">
        <v>316</v>
      </c>
      <c r="D64" s="6" t="s">
        <v>15</v>
      </c>
      <c r="E64" s="6" t="s">
        <v>16</v>
      </c>
      <c r="F64" s="6" t="s">
        <v>17</v>
      </c>
      <c r="G64" s="6" t="s">
        <v>18</v>
      </c>
      <c r="H64" s="6" t="s">
        <v>19</v>
      </c>
      <c r="I64" s="6" t="s">
        <v>20</v>
      </c>
      <c r="J64" s="6" t="s">
        <v>21</v>
      </c>
      <c r="K64" s="6" t="s">
        <v>29</v>
      </c>
    </row>
    <row r="65">
      <c r="A65" s="4">
        <v>46212.62609775463</v>
      </c>
      <c r="B65" s="6" t="s">
        <v>61</v>
      </c>
      <c r="C65" s="6" t="s">
        <v>316</v>
      </c>
      <c r="D65" s="6" t="s">
        <v>15</v>
      </c>
      <c r="E65" s="6" t="s">
        <v>16</v>
      </c>
      <c r="F65" s="6" t="s">
        <v>17</v>
      </c>
      <c r="G65" s="6" t="s">
        <v>18</v>
      </c>
      <c r="H65" s="6" t="s">
        <v>19</v>
      </c>
      <c r="I65" s="6" t="s">
        <v>20</v>
      </c>
      <c r="J65" s="6" t="s">
        <v>21</v>
      </c>
    </row>
    <row r="66">
      <c r="A66" s="4">
        <v>46212.62636415509</v>
      </c>
      <c r="B66" s="6" t="s">
        <v>81</v>
      </c>
      <c r="C66" s="6" t="s">
        <v>316</v>
      </c>
      <c r="D66" s="6" t="s">
        <v>15</v>
      </c>
      <c r="E66" s="6" t="s">
        <v>16</v>
      </c>
      <c r="F66" s="6" t="s">
        <v>17</v>
      </c>
      <c r="G66" s="6" t="s">
        <v>18</v>
      </c>
      <c r="H66" s="6" t="s">
        <v>19</v>
      </c>
      <c r="I66" s="6" t="s">
        <v>20</v>
      </c>
      <c r="J66" s="6" t="s">
        <v>21</v>
      </c>
    </row>
    <row r="67">
      <c r="A67" s="4">
        <v>46212.62637456019</v>
      </c>
      <c r="B67" s="6" t="s">
        <v>104</v>
      </c>
      <c r="C67" s="6" t="s">
        <v>316</v>
      </c>
      <c r="D67" s="6" t="s">
        <v>15</v>
      </c>
      <c r="E67" s="6" t="s">
        <v>16</v>
      </c>
      <c r="F67" s="6" t="s">
        <v>17</v>
      </c>
      <c r="G67" s="6" t="s">
        <v>18</v>
      </c>
      <c r="H67" s="6" t="s">
        <v>19</v>
      </c>
      <c r="I67" s="6" t="s">
        <v>20</v>
      </c>
      <c r="J67" s="6" t="s">
        <v>21</v>
      </c>
    </row>
    <row r="68">
      <c r="A68" s="4">
        <v>46212.62654409722</v>
      </c>
      <c r="B68" s="6" t="s">
        <v>67</v>
      </c>
      <c r="C68" s="6" t="s">
        <v>316</v>
      </c>
      <c r="D68" s="6" t="s">
        <v>15</v>
      </c>
      <c r="E68" s="6" t="s">
        <v>16</v>
      </c>
      <c r="F68" s="6" t="s">
        <v>17</v>
      </c>
      <c r="G68" s="6" t="s">
        <v>18</v>
      </c>
      <c r="H68" s="6" t="s">
        <v>19</v>
      </c>
      <c r="I68" s="6" t="s">
        <v>20</v>
      </c>
      <c r="J68" s="6" t="s">
        <v>21</v>
      </c>
    </row>
    <row r="69">
      <c r="A69" s="4">
        <v>46212.62667780093</v>
      </c>
      <c r="B69" s="6" t="s">
        <v>76</v>
      </c>
      <c r="C69" s="6" t="s">
        <v>300</v>
      </c>
      <c r="D69" s="6" t="s">
        <v>15</v>
      </c>
      <c r="E69" s="6" t="s">
        <v>16</v>
      </c>
      <c r="F69" s="6" t="s">
        <v>17</v>
      </c>
      <c r="G69" s="6" t="s">
        <v>18</v>
      </c>
      <c r="H69" s="6" t="s">
        <v>19</v>
      </c>
      <c r="I69" s="6" t="s">
        <v>20</v>
      </c>
      <c r="J69" s="6" t="s">
        <v>21</v>
      </c>
    </row>
    <row r="70">
      <c r="A70" s="4">
        <v>46212.62669082176</v>
      </c>
      <c r="B70" s="6" t="s">
        <v>114</v>
      </c>
      <c r="C70" s="6" t="s">
        <v>316</v>
      </c>
      <c r="D70" s="6" t="s">
        <v>15</v>
      </c>
      <c r="E70" s="6" t="s">
        <v>16</v>
      </c>
      <c r="F70" s="6" t="s">
        <v>17</v>
      </c>
      <c r="G70" s="6" t="s">
        <v>18</v>
      </c>
      <c r="H70" s="6" t="s">
        <v>19</v>
      </c>
      <c r="I70" s="6" t="s">
        <v>20</v>
      </c>
      <c r="J70" s="6" t="s">
        <v>21</v>
      </c>
    </row>
    <row r="71">
      <c r="A71" s="4">
        <v>46212.627028020834</v>
      </c>
      <c r="B71" s="6" t="s">
        <v>130</v>
      </c>
      <c r="C71" s="6" t="s">
        <v>330</v>
      </c>
      <c r="D71" s="6" t="s">
        <v>15</v>
      </c>
      <c r="E71" s="6" t="s">
        <v>16</v>
      </c>
      <c r="F71" s="6" t="s">
        <v>17</v>
      </c>
      <c r="G71" s="6" t="s">
        <v>18</v>
      </c>
      <c r="H71" s="6" t="s">
        <v>19</v>
      </c>
      <c r="I71" s="6" t="s">
        <v>20</v>
      </c>
      <c r="J71" s="6" t="s">
        <v>21</v>
      </c>
    </row>
    <row r="72">
      <c r="A72" s="4">
        <v>46212.627168356485</v>
      </c>
      <c r="B72" s="6" t="s">
        <v>126</v>
      </c>
      <c r="C72" s="6" t="s">
        <v>316</v>
      </c>
      <c r="D72" s="6" t="s">
        <v>15</v>
      </c>
      <c r="E72" s="6" t="s">
        <v>16</v>
      </c>
      <c r="F72" s="6" t="s">
        <v>17</v>
      </c>
      <c r="G72" s="6" t="s">
        <v>18</v>
      </c>
      <c r="H72" s="6" t="s">
        <v>19</v>
      </c>
      <c r="I72" s="6" t="s">
        <v>20</v>
      </c>
      <c r="J72" s="6" t="s">
        <v>21</v>
      </c>
    </row>
    <row r="73">
      <c r="A73" s="4">
        <v>46212.62763831019</v>
      </c>
      <c r="B73" s="6" t="s">
        <v>137</v>
      </c>
      <c r="C73" s="6" t="s">
        <v>331</v>
      </c>
      <c r="D73" s="6" t="s">
        <v>15</v>
      </c>
      <c r="E73" s="6" t="s">
        <v>16</v>
      </c>
      <c r="F73" s="6" t="s">
        <v>17</v>
      </c>
      <c r="G73" s="6" t="s">
        <v>18</v>
      </c>
      <c r="H73" s="6" t="s">
        <v>19</v>
      </c>
      <c r="I73" s="6" t="s">
        <v>20</v>
      </c>
      <c r="J73" s="6" t="s">
        <v>21</v>
      </c>
    </row>
    <row r="74">
      <c r="A74" s="4">
        <v>46212.628283645834</v>
      </c>
      <c r="B74" s="6" t="s">
        <v>162</v>
      </c>
      <c r="C74" s="6" t="s">
        <v>332</v>
      </c>
      <c r="D74" s="6" t="s">
        <v>15</v>
      </c>
      <c r="E74" s="6" t="s">
        <v>16</v>
      </c>
      <c r="F74" s="6" t="s">
        <v>17</v>
      </c>
      <c r="G74" s="6" t="s">
        <v>18</v>
      </c>
      <c r="H74" s="6" t="s">
        <v>19</v>
      </c>
      <c r="I74" s="6" t="s">
        <v>20</v>
      </c>
      <c r="J74" s="6" t="s">
        <v>21</v>
      </c>
    </row>
    <row r="75">
      <c r="A75" s="4">
        <v>46212.6289715162</v>
      </c>
      <c r="B75" s="6" t="s">
        <v>113</v>
      </c>
      <c r="C75" s="6" t="s">
        <v>333</v>
      </c>
      <c r="D75" s="6" t="s">
        <v>15</v>
      </c>
      <c r="E75" s="6" t="s">
        <v>16</v>
      </c>
      <c r="F75" s="6" t="s">
        <v>17</v>
      </c>
      <c r="G75" s="6" t="s">
        <v>18</v>
      </c>
      <c r="H75" s="6" t="s">
        <v>19</v>
      </c>
      <c r="I75" s="6" t="s">
        <v>20</v>
      </c>
      <c r="J75" s="6" t="s">
        <v>21</v>
      </c>
    </row>
    <row r="76">
      <c r="A76" s="4">
        <v>46212.62959243056</v>
      </c>
      <c r="B76" s="6" t="s">
        <v>150</v>
      </c>
      <c r="C76" s="6" t="s">
        <v>316</v>
      </c>
      <c r="D76" s="6" t="s">
        <v>15</v>
      </c>
      <c r="E76" s="6" t="s">
        <v>16</v>
      </c>
      <c r="F76" s="6" t="s">
        <v>17</v>
      </c>
      <c r="G76" s="6" t="s">
        <v>18</v>
      </c>
      <c r="H76" s="6" t="s">
        <v>19</v>
      </c>
      <c r="I76" s="6" t="s">
        <v>20</v>
      </c>
      <c r="J76" s="6" t="s">
        <v>21</v>
      </c>
    </row>
    <row r="77">
      <c r="A77" s="4">
        <v>46212.63262837963</v>
      </c>
      <c r="B77" s="6" t="s">
        <v>169</v>
      </c>
      <c r="C77" s="6" t="s">
        <v>334</v>
      </c>
      <c r="D77" s="6" t="s">
        <v>15</v>
      </c>
      <c r="E77" s="6" t="s">
        <v>16</v>
      </c>
      <c r="F77" s="6" t="s">
        <v>17</v>
      </c>
      <c r="G77" s="6" t="s">
        <v>18</v>
      </c>
      <c r="H77" s="6" t="s">
        <v>19</v>
      </c>
      <c r="I77" s="6" t="s">
        <v>20</v>
      </c>
      <c r="J77" s="6" t="s">
        <v>21</v>
      </c>
    </row>
    <row r="78">
      <c r="A78" s="4">
        <v>46212.71037947916</v>
      </c>
      <c r="B78" s="6" t="s">
        <v>70</v>
      </c>
      <c r="C78" s="6" t="s">
        <v>316</v>
      </c>
      <c r="D78" s="6" t="s">
        <v>15</v>
      </c>
      <c r="E78" s="6" t="s">
        <v>16</v>
      </c>
      <c r="F78" s="6" t="s">
        <v>17</v>
      </c>
      <c r="G78" s="6" t="s">
        <v>18</v>
      </c>
      <c r="H78" s="6" t="s">
        <v>19</v>
      </c>
      <c r="I78" s="6" t="s">
        <v>20</v>
      </c>
      <c r="J78" s="6" t="s">
        <v>21</v>
      </c>
    </row>
    <row r="79">
      <c r="A79" s="4">
        <v>46212.83582262731</v>
      </c>
      <c r="B79" s="6" t="s">
        <v>155</v>
      </c>
      <c r="C79" s="6" t="s">
        <v>316</v>
      </c>
      <c r="D79" s="6" t="s">
        <v>15</v>
      </c>
      <c r="E79" s="6" t="s">
        <v>16</v>
      </c>
      <c r="F79" s="6" t="s">
        <v>17</v>
      </c>
      <c r="G79" s="6" t="s">
        <v>18</v>
      </c>
      <c r="H79" s="6" t="s">
        <v>19</v>
      </c>
      <c r="I79" s="6" t="s">
        <v>20</v>
      </c>
      <c r="J79" s="6" t="s">
        <v>21</v>
      </c>
    </row>
    <row r="80">
      <c r="A80" s="4">
        <v>46213.40588866898</v>
      </c>
      <c r="B80" s="6" t="s">
        <v>171</v>
      </c>
      <c r="C80" s="6" t="s">
        <v>300</v>
      </c>
      <c r="D80" s="6" t="s">
        <v>15</v>
      </c>
      <c r="E80" s="6" t="s">
        <v>16</v>
      </c>
      <c r="F80" s="6" t="s">
        <v>17</v>
      </c>
      <c r="G80" s="6" t="s">
        <v>18</v>
      </c>
      <c r="H80" s="6" t="s">
        <v>19</v>
      </c>
      <c r="I80" s="6" t="s">
        <v>20</v>
      </c>
      <c r="J80" s="6" t="s">
        <v>21</v>
      </c>
    </row>
    <row r="81">
      <c r="A81" s="4">
        <v>46213.45648126157</v>
      </c>
      <c r="B81" s="6" t="s">
        <v>172</v>
      </c>
      <c r="C81" s="6" t="s">
        <v>316</v>
      </c>
      <c r="D81" s="6" t="s">
        <v>15</v>
      </c>
      <c r="E81" s="6" t="s">
        <v>16</v>
      </c>
      <c r="F81" s="6" t="s">
        <v>17</v>
      </c>
      <c r="G81" s="6" t="s">
        <v>18</v>
      </c>
      <c r="H81" s="6" t="s">
        <v>19</v>
      </c>
      <c r="I81" s="6" t="s">
        <v>20</v>
      </c>
      <c r="J81" s="6" t="s">
        <v>21</v>
      </c>
      <c r="K81" s="6" t="s">
        <v>115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4" max="4" width="2.13"/>
    <col customWidth="1" min="14" max="14" width="24.5"/>
  </cols>
  <sheetData>
    <row r="1">
      <c r="A1" s="2" t="s">
        <v>0</v>
      </c>
      <c r="B1" s="2" t="s">
        <v>1</v>
      </c>
      <c r="C1" s="3" t="s">
        <v>2</v>
      </c>
      <c r="D1" s="5"/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3" t="s">
        <v>9</v>
      </c>
      <c r="L1" s="2"/>
      <c r="M1" s="7" t="s">
        <v>24</v>
      </c>
    </row>
    <row r="2">
      <c r="A2" s="8">
        <f>'1.5'!A:A</f>
        <v>46192.3412</v>
      </c>
      <c r="B2" s="2" t="str">
        <f>'1.5'!B:B</f>
        <v>bnco0940@signalschool.ac.th</v>
      </c>
      <c r="C2" s="2" t="str">
        <f>'1.5'!C:C</f>
        <v>ร.ต.วสันต์ ทัศนามล</v>
      </c>
      <c r="D2" s="9">
        <v>1.0</v>
      </c>
      <c r="E2" s="10">
        <f>IFERROR(vlookup('1.5'!D:D,lookup!$A$2:$B$4,2,false),0)</f>
        <v>5</v>
      </c>
      <c r="F2" s="10">
        <f>IFERROR(vlookup('1.5'!E:E,lookup!$A$6:$B$8,2,false),0)</f>
        <v>5</v>
      </c>
      <c r="G2" s="10">
        <f>IFERROR(vlookup('1.5'!F:F,lookup!$A$10:$B$12,2,false),0)</f>
        <v>5</v>
      </c>
      <c r="H2" s="10">
        <f>IFERROR(vlookup('1.5'!G:G,lookup!$A$14:$B$16,2,false),0)</f>
        <v>5</v>
      </c>
      <c r="I2" s="10">
        <f>IFERROR(vlookup('1.5'!H:H,lookup!$A$18:$B$20,2,false),0)</f>
        <v>5</v>
      </c>
      <c r="J2" s="10">
        <f>IFERROR(vlookup('1.5'!I:I,lookup!$A$22:$B$24,2,false),0)</f>
        <v>5</v>
      </c>
      <c r="K2" s="10">
        <f>IFERROR(vlookup('1.5'!J:J,lookup!$A$26:$B$28,2,false),0)</f>
        <v>5</v>
      </c>
      <c r="L2" s="2"/>
      <c r="M2" s="10">
        <v>1.0</v>
      </c>
      <c r="N2" s="11" t="str">
        <f t="shared" ref="N2:N81" si="1">CONCAT(R2,"@signalschool.ac.th")</f>
        <v>bnco0901@signalschool.ac.th</v>
      </c>
      <c r="O2" s="12">
        <f t="shared" ref="O2:O81" si="2">IFERROR(VLOOKUP(N2,B$2:D$81,3,FALSE),0)</f>
        <v>1</v>
      </c>
      <c r="R2" s="17" t="s">
        <v>116</v>
      </c>
    </row>
    <row r="3">
      <c r="A3" s="8">
        <f>'1.5'!A:A</f>
        <v>46195.35149</v>
      </c>
      <c r="B3" s="2" t="str">
        <f>'1.5'!B:B</f>
        <v>bnco0980@signalschool.ac.th</v>
      </c>
      <c r="C3" s="2" t="str">
        <f>'1.5'!C:C</f>
        <v>ร.ต.วสันต์  ทัศนามล</v>
      </c>
      <c r="D3" s="9">
        <v>1.0</v>
      </c>
      <c r="E3" s="10">
        <f>IFERROR(vlookup('1.5'!D:D,lookup!$A$2:$B$4,2,false),0)</f>
        <v>5</v>
      </c>
      <c r="F3" s="10">
        <f>IFERROR(vlookup('1.5'!E:E,lookup!$A$6:$B$8,2,false),0)</f>
        <v>5</v>
      </c>
      <c r="G3" s="10">
        <f>IFERROR(vlookup('1.5'!F:F,lookup!$A$10:$B$12,2,false),0)</f>
        <v>5</v>
      </c>
      <c r="H3" s="10">
        <f>IFERROR(vlookup('1.5'!G:G,lookup!$A$14:$B$16,2,false),0)</f>
        <v>5</v>
      </c>
      <c r="I3" s="10">
        <f>IFERROR(vlookup('1.5'!H:H,lookup!$A$18:$B$20,2,false),0)</f>
        <v>5</v>
      </c>
      <c r="J3" s="10">
        <f>IFERROR(vlookup('1.5'!I:I,lookup!$A$22:$B$24,2,false),0)</f>
        <v>3</v>
      </c>
      <c r="K3" s="10">
        <f>IFERROR(vlookup('1.5'!J:J,lookup!$A$26:$B$28,2,false),0)</f>
        <v>3</v>
      </c>
      <c r="L3" s="2"/>
      <c r="M3" s="10">
        <v>2.0</v>
      </c>
      <c r="N3" s="11" t="str">
        <f t="shared" si="1"/>
        <v>bnco0902@signalschool.ac.th</v>
      </c>
      <c r="O3" s="12">
        <f t="shared" si="2"/>
        <v>1</v>
      </c>
      <c r="R3" s="17" t="s">
        <v>157</v>
      </c>
    </row>
    <row r="4">
      <c r="A4" s="8">
        <f>'1.5'!A:A</f>
        <v>46203.70614</v>
      </c>
      <c r="B4" s="2" t="str">
        <f>'1.5'!B:B</f>
        <v>bnco0910@signalschool.ac.th</v>
      </c>
      <c r="C4" s="2" t="str">
        <f>'1.5'!C:C</f>
        <v>ร.ค.วสันต์  ทัศนามล จ.ส.อ.ประกาศิต แซ่เจียม จ.ส.ท.ศุภกิตติ์ ปัญญาจักร จ.ส.อ.วรากร ไตรศัพท์</v>
      </c>
      <c r="D4" s="9">
        <v>1.0</v>
      </c>
      <c r="E4" s="10">
        <f>IFERROR(vlookup('1.5'!D:D,lookup!$A$2:$B$4,2,false),0)</f>
        <v>5</v>
      </c>
      <c r="F4" s="10">
        <f>IFERROR(vlookup('1.5'!E:E,lookup!$A$6:$B$8,2,false),0)</f>
        <v>5</v>
      </c>
      <c r="G4" s="10">
        <f>IFERROR(vlookup('1.5'!F:F,lookup!$A$10:$B$12,2,false),0)</f>
        <v>5</v>
      </c>
      <c r="H4" s="10">
        <f>IFERROR(vlookup('1.5'!G:G,lookup!$A$14:$B$16,2,false),0)</f>
        <v>5</v>
      </c>
      <c r="I4" s="10">
        <f>IFERROR(vlookup('1.5'!H:H,lookup!$A$18:$B$20,2,false),0)</f>
        <v>5</v>
      </c>
      <c r="J4" s="10">
        <f>IFERROR(vlookup('1.5'!I:I,lookup!$A$22:$B$24,2,false),0)</f>
        <v>5</v>
      </c>
      <c r="K4" s="10">
        <f>IFERROR(vlookup('1.5'!J:J,lookup!$A$26:$B$28,2,false),0)</f>
        <v>5</v>
      </c>
      <c r="L4" s="2"/>
      <c r="M4" s="10">
        <v>3.0</v>
      </c>
      <c r="N4" s="11" t="str">
        <f t="shared" si="1"/>
        <v>bnco0903@signalschool.ac.th</v>
      </c>
      <c r="O4" s="12">
        <f t="shared" si="2"/>
        <v>1</v>
      </c>
      <c r="R4" s="17" t="s">
        <v>182</v>
      </c>
    </row>
    <row r="5">
      <c r="A5" s="8">
        <f>'1.5'!A:A</f>
        <v>46204.35242</v>
      </c>
      <c r="B5" s="2" t="str">
        <f>'1.5'!B:B</f>
        <v>bnco0950@signalschool.ac.th</v>
      </c>
      <c r="C5" s="2" t="str">
        <f>'1.5'!C:C</f>
        <v>ร.ต.วสันต์ ทัศนามล</v>
      </c>
      <c r="D5" s="9">
        <v>1.0</v>
      </c>
      <c r="E5" s="10">
        <f>IFERROR(vlookup('1.5'!D:D,lookup!$A$2:$B$4,2,false),0)</f>
        <v>5</v>
      </c>
      <c r="F5" s="10">
        <f>IFERROR(vlookup('1.5'!E:E,lookup!$A$6:$B$8,2,false),0)</f>
        <v>5</v>
      </c>
      <c r="G5" s="10">
        <f>IFERROR(vlookup('1.5'!F:F,lookup!$A$10:$B$12,2,false),0)</f>
        <v>5</v>
      </c>
      <c r="H5" s="10">
        <f>IFERROR(vlookup('1.5'!G:G,lookup!$A$14:$B$16,2,false),0)</f>
        <v>5</v>
      </c>
      <c r="I5" s="10">
        <f>IFERROR(vlookup('1.5'!H:H,lookup!$A$18:$B$20,2,false),0)</f>
        <v>5</v>
      </c>
      <c r="J5" s="10">
        <f>IFERROR(vlookup('1.5'!I:I,lookup!$A$22:$B$24,2,false),0)</f>
        <v>5</v>
      </c>
      <c r="K5" s="10">
        <f>IFERROR(vlookup('1.5'!J:J,lookup!$A$26:$B$28,2,false),0)</f>
        <v>5</v>
      </c>
      <c r="L5" s="2"/>
      <c r="M5" s="10">
        <v>4.0</v>
      </c>
      <c r="N5" s="11" t="str">
        <f t="shared" si="1"/>
        <v>bnco0904@signalschool.ac.th</v>
      </c>
      <c r="O5" s="12">
        <f t="shared" si="2"/>
        <v>1</v>
      </c>
      <c r="R5" s="17" t="s">
        <v>193</v>
      </c>
    </row>
    <row r="6">
      <c r="A6" s="8">
        <f>'1.5'!A:A</f>
        <v>46204.46541</v>
      </c>
      <c r="B6" s="2" t="str">
        <f>'1.5'!B:B</f>
        <v>bnco0951@signalschool.ac.th</v>
      </c>
      <c r="C6" s="2" t="str">
        <f>'1.5'!C:C</f>
        <v>ร.ต.วสันต์ ทัศนามล</v>
      </c>
      <c r="D6" s="9">
        <v>1.0</v>
      </c>
      <c r="E6" s="10">
        <f>IFERROR(vlookup('1.5'!D:D,lookup!$A$2:$B$4,2,false),0)</f>
        <v>5</v>
      </c>
      <c r="F6" s="10">
        <f>IFERROR(vlookup('1.5'!E:E,lookup!$A$6:$B$8,2,false),0)</f>
        <v>5</v>
      </c>
      <c r="G6" s="10">
        <f>IFERROR(vlookup('1.5'!F:F,lookup!$A$10:$B$12,2,false),0)</f>
        <v>5</v>
      </c>
      <c r="H6" s="10">
        <f>IFERROR(vlookup('1.5'!G:G,lookup!$A$14:$B$16,2,false),0)</f>
        <v>5</v>
      </c>
      <c r="I6" s="10">
        <f>IFERROR(vlookup('1.5'!H:H,lookup!$A$18:$B$20,2,false),0)</f>
        <v>5</v>
      </c>
      <c r="J6" s="10">
        <f>IFERROR(vlookup('1.5'!I:I,lookup!$A$22:$B$24,2,false),0)</f>
        <v>5</v>
      </c>
      <c r="K6" s="10">
        <f>IFERROR(vlookup('1.5'!J:J,lookup!$A$26:$B$28,2,false),0)</f>
        <v>5</v>
      </c>
      <c r="L6" s="2"/>
      <c r="M6" s="10">
        <v>5.0</v>
      </c>
      <c r="N6" s="11" t="str">
        <f t="shared" si="1"/>
        <v>bnco0905@signalschool.ac.th</v>
      </c>
      <c r="O6" s="12">
        <f t="shared" si="2"/>
        <v>1</v>
      </c>
      <c r="R6" s="17" t="s">
        <v>197</v>
      </c>
    </row>
    <row r="7">
      <c r="A7" s="8">
        <f>'1.5'!A:A</f>
        <v>46206.59805</v>
      </c>
      <c r="B7" s="2" t="str">
        <f>'1.5'!B:B</f>
        <v>bnco0920@signalschool.ac.th</v>
      </c>
      <c r="C7" s="2" t="str">
        <f>'1.5'!C:C</f>
        <v>ร.ต.วสันต์ / จ.ส.อ.ประกาศิต / จ.ส.ท.ศุภกิตติ์ / จ.ส.อ.วรากร</v>
      </c>
      <c r="D7" s="9">
        <v>1.0</v>
      </c>
      <c r="E7" s="10">
        <f>IFERROR(vlookup('1.5'!D:D,lookup!$A$2:$B$4,2,false),0)</f>
        <v>5</v>
      </c>
      <c r="F7" s="10">
        <f>IFERROR(vlookup('1.5'!E:E,lookup!$A$6:$B$8,2,false),0)</f>
        <v>5</v>
      </c>
      <c r="G7" s="10">
        <f>IFERROR(vlookup('1.5'!F:F,lookup!$A$10:$B$12,2,false),0)</f>
        <v>5</v>
      </c>
      <c r="H7" s="10">
        <f>IFERROR(vlookup('1.5'!G:G,lookup!$A$14:$B$16,2,false),0)</f>
        <v>5</v>
      </c>
      <c r="I7" s="10">
        <f>IFERROR(vlookup('1.5'!H:H,lookup!$A$18:$B$20,2,false),0)</f>
        <v>5</v>
      </c>
      <c r="J7" s="10">
        <f>IFERROR(vlookup('1.5'!I:I,lookup!$A$22:$B$24,2,false),0)</f>
        <v>5</v>
      </c>
      <c r="K7" s="10">
        <f>IFERROR(vlookup('1.5'!J:J,lookup!$A$26:$B$28,2,false),0)</f>
        <v>5</v>
      </c>
      <c r="L7" s="2"/>
      <c r="M7" s="10">
        <v>6.0</v>
      </c>
      <c r="N7" s="11" t="str">
        <f t="shared" si="1"/>
        <v>bnco0906@signalschool.ac.th</v>
      </c>
      <c r="O7" s="12">
        <f t="shared" si="2"/>
        <v>1</v>
      </c>
      <c r="R7" s="17" t="s">
        <v>203</v>
      </c>
    </row>
    <row r="8">
      <c r="A8" s="8">
        <f>'1.5'!A:A</f>
        <v>46212.58565</v>
      </c>
      <c r="B8" s="2" t="str">
        <f>'1.5'!B:B</f>
        <v>bnco0906@signalschool.ac.th</v>
      </c>
      <c r="C8" s="2" t="str">
        <f>'1.5'!C:C</f>
        <v>จ.ส.ต.ศุภกิตติ์ ปัญญาจักร จ.ส.อ.วรากร ไตรศัพท์ จ.ส.อ.อนุชิต ทิพย์มณฑา จ.ส.อ.ประกาศิต แซ่เจียม</v>
      </c>
      <c r="D8" s="9">
        <v>1.0</v>
      </c>
      <c r="E8" s="10">
        <f>IFERROR(vlookup('1.5'!D:D,lookup!$A$2:$B$4,2,false),0)</f>
        <v>3</v>
      </c>
      <c r="F8" s="10">
        <f>IFERROR(vlookup('1.5'!E:E,lookup!$A$6:$B$8,2,false),0)</f>
        <v>3</v>
      </c>
      <c r="G8" s="10">
        <f>IFERROR(vlookup('1.5'!F:F,lookup!$A$10:$B$12,2,false),0)</f>
        <v>3</v>
      </c>
      <c r="H8" s="10">
        <f>IFERROR(vlookup('1.5'!G:G,lookup!$A$14:$B$16,2,false),0)</f>
        <v>3</v>
      </c>
      <c r="I8" s="10">
        <f>IFERROR(vlookup('1.5'!H:H,lookup!$A$18:$B$20,2,false),0)</f>
        <v>3</v>
      </c>
      <c r="J8" s="10">
        <f>IFERROR(vlookup('1.5'!I:I,lookup!$A$22:$B$24,2,false),0)</f>
        <v>3</v>
      </c>
      <c r="K8" s="10">
        <f>IFERROR(vlookup('1.5'!J:J,lookup!$A$26:$B$28,2,false),0)</f>
        <v>3</v>
      </c>
      <c r="L8" s="2"/>
      <c r="M8" s="10">
        <v>7.0</v>
      </c>
      <c r="N8" s="11" t="str">
        <f t="shared" si="1"/>
        <v>bnco0907@signalschool.ac.th</v>
      </c>
      <c r="O8" s="12">
        <f t="shared" si="2"/>
        <v>1</v>
      </c>
      <c r="R8" s="17" t="s">
        <v>206</v>
      </c>
    </row>
    <row r="9">
      <c r="A9" s="8">
        <f>'1.5'!A:A</f>
        <v>46212.61719</v>
      </c>
      <c r="B9" s="2" t="str">
        <f>'1.5'!B:B</f>
        <v>bnco0955@signalschool.ac.th</v>
      </c>
      <c r="C9" s="2" t="str">
        <f>'1.5'!C:C</f>
        <v>อาจารย์ประจำวิชาการสื่อสารประเภทวิทยุและการสงครามอิเล็กทรอนิกส์</v>
      </c>
      <c r="D9" s="9">
        <v>1.0</v>
      </c>
      <c r="E9" s="10">
        <f>IFERROR(vlookup('1.5'!D:D,lookup!$A$2:$B$4,2,false),0)</f>
        <v>5</v>
      </c>
      <c r="F9" s="10">
        <f>IFERROR(vlookup('1.5'!E:E,lookup!$A$6:$B$8,2,false),0)</f>
        <v>5</v>
      </c>
      <c r="G9" s="10">
        <f>IFERROR(vlookup('1.5'!F:F,lookup!$A$10:$B$12,2,false),0)</f>
        <v>5</v>
      </c>
      <c r="H9" s="10">
        <f>IFERROR(vlookup('1.5'!G:G,lookup!$A$14:$B$16,2,false),0)</f>
        <v>5</v>
      </c>
      <c r="I9" s="10">
        <f>IFERROR(vlookup('1.5'!H:H,lookup!$A$18:$B$20,2,false),0)</f>
        <v>5</v>
      </c>
      <c r="J9" s="10">
        <f>IFERROR(vlookup('1.5'!I:I,lookup!$A$22:$B$24,2,false),0)</f>
        <v>5</v>
      </c>
      <c r="K9" s="10">
        <f>IFERROR(vlookup('1.5'!J:J,lookup!$A$26:$B$28,2,false),0)</f>
        <v>5</v>
      </c>
      <c r="L9" s="2"/>
      <c r="M9" s="10">
        <v>8.0</v>
      </c>
      <c r="N9" s="11" t="str">
        <f t="shared" si="1"/>
        <v>bnco0908@signalschool.ac.th</v>
      </c>
      <c r="O9" s="12">
        <f t="shared" si="2"/>
        <v>1</v>
      </c>
      <c r="R9" s="17" t="s">
        <v>211</v>
      </c>
    </row>
    <row r="10">
      <c r="A10" s="8">
        <f>'1.5'!A:A</f>
        <v>46212.61893</v>
      </c>
      <c r="B10" s="2" t="str">
        <f>'1.5'!B:B</f>
        <v>bnco0958@signalschool.ac.th</v>
      </c>
      <c r="C10" s="2" t="str">
        <f>'1.5'!C:C</f>
        <v>ร.ต.วสันต์ ทัศนามล จ.ส.อ.ประกาศิต แซ่เจียม จ.ส.อ.วรากร ไตรศัพท์ ปัญญาจักร จ.ส.ท.ศุภกิตติ์</v>
      </c>
      <c r="D10" s="9">
        <v>1.0</v>
      </c>
      <c r="E10" s="10">
        <f>IFERROR(vlookup('1.5'!D:D,lookup!$A$2:$B$4,2,false),0)</f>
        <v>5</v>
      </c>
      <c r="F10" s="10">
        <f>IFERROR(vlookup('1.5'!E:E,lookup!$A$6:$B$8,2,false),0)</f>
        <v>5</v>
      </c>
      <c r="G10" s="10">
        <f>IFERROR(vlookup('1.5'!F:F,lookup!$A$10:$B$12,2,false),0)</f>
        <v>5</v>
      </c>
      <c r="H10" s="10">
        <f>IFERROR(vlookup('1.5'!G:G,lookup!$A$14:$B$16,2,false),0)</f>
        <v>5</v>
      </c>
      <c r="I10" s="10">
        <f>IFERROR(vlookup('1.5'!H:H,lookup!$A$18:$B$20,2,false),0)</f>
        <v>5</v>
      </c>
      <c r="J10" s="10">
        <f>IFERROR(vlookup('1.5'!I:I,lookup!$A$22:$B$24,2,false),0)</f>
        <v>5</v>
      </c>
      <c r="K10" s="10">
        <f>IFERROR(vlookup('1.5'!J:J,lookup!$A$26:$B$28,2,false),0)</f>
        <v>5</v>
      </c>
      <c r="L10" s="2"/>
      <c r="M10" s="10">
        <v>9.0</v>
      </c>
      <c r="N10" s="11" t="str">
        <f t="shared" si="1"/>
        <v>bnco0909@signalschool.ac.th</v>
      </c>
      <c r="O10" s="12">
        <f t="shared" si="2"/>
        <v>1</v>
      </c>
      <c r="R10" s="17" t="s">
        <v>212</v>
      </c>
    </row>
    <row r="11">
      <c r="A11" s="8">
        <f>'1.5'!A:A</f>
        <v>46212.61952</v>
      </c>
      <c r="B11" s="2" t="str">
        <f>'1.5'!B:B</f>
        <v>bnco0919@signalschool.ac.th</v>
      </c>
      <c r="C11" s="2" t="str">
        <f>'1.5'!C:C</f>
        <v>ร.ต.วสันต์ ทัศนามล</v>
      </c>
      <c r="D11" s="9">
        <v>1.0</v>
      </c>
      <c r="E11" s="10">
        <f>IFERROR(vlookup('1.5'!D:D,lookup!$A$2:$B$4,2,false),0)</f>
        <v>5</v>
      </c>
      <c r="F11" s="10">
        <f>IFERROR(vlookup('1.5'!E:E,lookup!$A$6:$B$8,2,false),0)</f>
        <v>3</v>
      </c>
      <c r="G11" s="10">
        <f>IFERROR(vlookup('1.5'!F:F,lookup!$A$10:$B$12,2,false),0)</f>
        <v>5</v>
      </c>
      <c r="H11" s="10">
        <f>IFERROR(vlookup('1.5'!G:G,lookup!$A$14:$B$16,2,false),0)</f>
        <v>5</v>
      </c>
      <c r="I11" s="10">
        <f>IFERROR(vlookup('1.5'!H:H,lookup!$A$18:$B$20,2,false),0)</f>
        <v>5</v>
      </c>
      <c r="J11" s="10">
        <f>IFERROR(vlookup('1.5'!I:I,lookup!$A$22:$B$24,2,false),0)</f>
        <v>5</v>
      </c>
      <c r="K11" s="10">
        <f>IFERROR(vlookup('1.5'!J:J,lookup!$A$26:$B$28,2,false),0)</f>
        <v>5</v>
      </c>
      <c r="L11" s="2"/>
      <c r="M11" s="10">
        <v>10.0</v>
      </c>
      <c r="N11" s="11" t="str">
        <f t="shared" si="1"/>
        <v>bnco0910@signalschool.ac.th</v>
      </c>
      <c r="O11" s="12">
        <f t="shared" si="2"/>
        <v>1</v>
      </c>
      <c r="R11" s="17" t="s">
        <v>213</v>
      </c>
    </row>
    <row r="12">
      <c r="A12" s="8">
        <f>'1.5'!A:A</f>
        <v>46212.61998</v>
      </c>
      <c r="B12" s="2" t="str">
        <f>'1.5'!B:B</f>
        <v>bnco0924@signalschool.ac.th</v>
      </c>
      <c r="C12" s="2" t="str">
        <f>'1.5'!C:C</f>
        <v>ร.ต.วสันต์ ทัศนามล</v>
      </c>
      <c r="D12" s="9">
        <v>1.0</v>
      </c>
      <c r="E12" s="10">
        <f>IFERROR(vlookup('1.5'!D:D,lookup!$A$2:$B$4,2,false),0)</f>
        <v>5</v>
      </c>
      <c r="F12" s="10">
        <f>IFERROR(vlookup('1.5'!E:E,lookup!$A$6:$B$8,2,false),0)</f>
        <v>5</v>
      </c>
      <c r="G12" s="10">
        <f>IFERROR(vlookup('1.5'!F:F,lookup!$A$10:$B$12,2,false),0)</f>
        <v>5</v>
      </c>
      <c r="H12" s="10">
        <f>IFERROR(vlookup('1.5'!G:G,lookup!$A$14:$B$16,2,false),0)</f>
        <v>5</v>
      </c>
      <c r="I12" s="10">
        <f>IFERROR(vlookup('1.5'!H:H,lookup!$A$18:$B$20,2,false),0)</f>
        <v>5</v>
      </c>
      <c r="J12" s="10">
        <f>IFERROR(vlookup('1.5'!I:I,lookup!$A$22:$B$24,2,false),0)</f>
        <v>5</v>
      </c>
      <c r="K12" s="10">
        <f>IFERROR(vlookup('1.5'!J:J,lookup!$A$26:$B$28,2,false),0)</f>
        <v>5</v>
      </c>
      <c r="L12" s="2"/>
      <c r="M12" s="10">
        <v>11.0</v>
      </c>
      <c r="N12" s="11" t="str">
        <f t="shared" si="1"/>
        <v>bnco0911@signalschool.ac.th</v>
      </c>
      <c r="O12" s="12">
        <f t="shared" si="2"/>
        <v>1</v>
      </c>
      <c r="R12" s="17" t="s">
        <v>214</v>
      </c>
    </row>
    <row r="13">
      <c r="A13" s="8">
        <f>'1.5'!A:A</f>
        <v>46212.62048</v>
      </c>
      <c r="B13" s="2" t="str">
        <f>'1.5'!B:B</f>
        <v>bnco0928@signalschool.ac.th</v>
      </c>
      <c r="C13" s="2" t="str">
        <f>'1.5'!C:C</f>
        <v>ร.ต.วสันต์. ทัศนามล</v>
      </c>
      <c r="D13" s="9">
        <v>1.0</v>
      </c>
      <c r="E13" s="10">
        <f>IFERROR(vlookup('1.5'!D:D,lookup!$A$2:$B$4,2,false),0)</f>
        <v>5</v>
      </c>
      <c r="F13" s="10">
        <f>IFERROR(vlookup('1.5'!E:E,lookup!$A$6:$B$8,2,false),0)</f>
        <v>5</v>
      </c>
      <c r="G13" s="10">
        <f>IFERROR(vlookup('1.5'!F:F,lookup!$A$10:$B$12,2,false),0)</f>
        <v>5</v>
      </c>
      <c r="H13" s="10">
        <f>IFERROR(vlookup('1.5'!G:G,lookup!$A$14:$B$16,2,false),0)</f>
        <v>5</v>
      </c>
      <c r="I13" s="10">
        <f>IFERROR(vlookup('1.5'!H:H,lookup!$A$18:$B$20,2,false),0)</f>
        <v>5</v>
      </c>
      <c r="J13" s="10">
        <f>IFERROR(vlookup('1.5'!I:I,lookup!$A$22:$B$24,2,false),0)</f>
        <v>5</v>
      </c>
      <c r="K13" s="10">
        <f>IFERROR(vlookup('1.5'!J:J,lookup!$A$26:$B$28,2,false),0)</f>
        <v>5</v>
      </c>
      <c r="L13" s="2"/>
      <c r="M13" s="10">
        <v>12.0</v>
      </c>
      <c r="N13" s="11" t="str">
        <f t="shared" si="1"/>
        <v>bnco0912@signalschool.ac.th</v>
      </c>
      <c r="O13" s="12">
        <f t="shared" si="2"/>
        <v>1</v>
      </c>
      <c r="R13" s="17" t="s">
        <v>222</v>
      </c>
    </row>
    <row r="14">
      <c r="A14" s="8">
        <f>'1.5'!A:A</f>
        <v>46212.62064</v>
      </c>
      <c r="B14" s="2" t="str">
        <f>'1.5'!B:B</f>
        <v>bnco0972@signalschool.ac.th</v>
      </c>
      <c r="C14" s="2" t="str">
        <f>'1.5'!C:C</f>
        <v>ร.ต.วสันต์  ทัศนามล</v>
      </c>
      <c r="D14" s="9">
        <v>1.0</v>
      </c>
      <c r="E14" s="10">
        <f>IFERROR(vlookup('1.5'!D:D,lookup!$A$2:$B$4,2,false),0)</f>
        <v>5</v>
      </c>
      <c r="F14" s="10">
        <f>IFERROR(vlookup('1.5'!E:E,lookup!$A$6:$B$8,2,false),0)</f>
        <v>5</v>
      </c>
      <c r="G14" s="10">
        <f>IFERROR(vlookup('1.5'!F:F,lookup!$A$10:$B$12,2,false),0)</f>
        <v>5</v>
      </c>
      <c r="H14" s="10">
        <f>IFERROR(vlookup('1.5'!G:G,lookup!$A$14:$B$16,2,false),0)</f>
        <v>5</v>
      </c>
      <c r="I14" s="10">
        <f>IFERROR(vlookup('1.5'!H:H,lookup!$A$18:$B$20,2,false),0)</f>
        <v>5</v>
      </c>
      <c r="J14" s="10">
        <f>IFERROR(vlookup('1.5'!I:I,lookup!$A$22:$B$24,2,false),0)</f>
        <v>5</v>
      </c>
      <c r="K14" s="10">
        <f>IFERROR(vlookup('1.5'!J:J,lookup!$A$26:$B$28,2,false),0)</f>
        <v>5</v>
      </c>
      <c r="L14" s="2"/>
      <c r="M14" s="10">
        <v>13.0</v>
      </c>
      <c r="N14" s="11" t="str">
        <f t="shared" si="1"/>
        <v>bnco0913@signalschool.ac.th</v>
      </c>
      <c r="O14" s="12">
        <f t="shared" si="2"/>
        <v>1</v>
      </c>
      <c r="R14" s="17" t="s">
        <v>227</v>
      </c>
    </row>
    <row r="15">
      <c r="A15" s="8">
        <f>'1.5'!A:A</f>
        <v>46212.62071</v>
      </c>
      <c r="B15" s="2" t="str">
        <f>'1.5'!B:B</f>
        <v>bnco0938@signalschool.ac.th</v>
      </c>
      <c r="C15" s="2" t="str">
        <f>'1.5'!C:C</f>
        <v>ร.ต.วสันต์ ทัศนามล</v>
      </c>
      <c r="D15" s="9">
        <v>1.0</v>
      </c>
      <c r="E15" s="10">
        <f>IFERROR(vlookup('1.5'!D:D,lookup!$A$2:$B$4,2,false),0)</f>
        <v>5</v>
      </c>
      <c r="F15" s="10">
        <f>IFERROR(vlookup('1.5'!E:E,lookup!$A$6:$B$8,2,false),0)</f>
        <v>5</v>
      </c>
      <c r="G15" s="10">
        <f>IFERROR(vlookup('1.5'!F:F,lookup!$A$10:$B$12,2,false),0)</f>
        <v>5</v>
      </c>
      <c r="H15" s="10">
        <f>IFERROR(vlookup('1.5'!G:G,lookup!$A$14:$B$16,2,false),0)</f>
        <v>5</v>
      </c>
      <c r="I15" s="10">
        <f>IFERROR(vlookup('1.5'!H:H,lookup!$A$18:$B$20,2,false),0)</f>
        <v>5</v>
      </c>
      <c r="J15" s="10">
        <f>IFERROR(vlookup('1.5'!I:I,lookup!$A$22:$B$24,2,false),0)</f>
        <v>5</v>
      </c>
      <c r="K15" s="10">
        <f>IFERROR(vlookup('1.5'!J:J,lookup!$A$26:$B$28,2,false),0)</f>
        <v>5</v>
      </c>
      <c r="L15" s="2"/>
      <c r="M15" s="10">
        <v>14.0</v>
      </c>
      <c r="N15" s="11" t="str">
        <f t="shared" si="1"/>
        <v>bnco0914@signalschool.ac.th</v>
      </c>
      <c r="O15" s="12">
        <f t="shared" si="2"/>
        <v>1</v>
      </c>
      <c r="R15" s="17" t="s">
        <v>230</v>
      </c>
    </row>
    <row r="16">
      <c r="A16" s="8">
        <f>'1.5'!A:A</f>
        <v>46212.6209</v>
      </c>
      <c r="B16" s="2" t="str">
        <f>'1.5'!B:B</f>
        <v>bnco0971@signalschool.ac.th</v>
      </c>
      <c r="C16" s="2" t="str">
        <f>'1.5'!C:C</f>
        <v>ร.ต.วสันต์ ทัศนามล</v>
      </c>
      <c r="D16" s="9">
        <v>1.0</v>
      </c>
      <c r="E16" s="10">
        <f>IFERROR(vlookup('1.5'!D:D,lookup!$A$2:$B$4,2,false),0)</f>
        <v>5</v>
      </c>
      <c r="F16" s="10">
        <f>IFERROR(vlookup('1.5'!E:E,lookup!$A$6:$B$8,2,false),0)</f>
        <v>5</v>
      </c>
      <c r="G16" s="10">
        <f>IFERROR(vlookup('1.5'!F:F,lookup!$A$10:$B$12,2,false),0)</f>
        <v>5</v>
      </c>
      <c r="H16" s="10">
        <f>IFERROR(vlookup('1.5'!G:G,lookup!$A$14:$B$16,2,false),0)</f>
        <v>5</v>
      </c>
      <c r="I16" s="10">
        <f>IFERROR(vlookup('1.5'!H:H,lookup!$A$18:$B$20,2,false),0)</f>
        <v>5</v>
      </c>
      <c r="J16" s="10">
        <f>IFERROR(vlookup('1.5'!I:I,lookup!$A$22:$B$24,2,false),0)</f>
        <v>5</v>
      </c>
      <c r="K16" s="10">
        <f>IFERROR(vlookup('1.5'!J:J,lookup!$A$26:$B$28,2,false),0)</f>
        <v>5</v>
      </c>
      <c r="L16" s="2"/>
      <c r="M16" s="10">
        <v>15.0</v>
      </c>
      <c r="N16" s="11" t="str">
        <f t="shared" si="1"/>
        <v>bnco0915@signalschool.ac.th</v>
      </c>
      <c r="O16" s="12">
        <f t="shared" si="2"/>
        <v>1</v>
      </c>
      <c r="R16" s="17" t="s">
        <v>232</v>
      </c>
    </row>
    <row r="17">
      <c r="A17" s="8">
        <f>'1.5'!A:A</f>
        <v>46212.62143</v>
      </c>
      <c r="B17" s="2" t="str">
        <f>'1.5'!B:B</f>
        <v>bnco0944@signalschool.ac.th</v>
      </c>
      <c r="C17" s="2" t="str">
        <f>'1.5'!C:C</f>
        <v>ร.ต.วสันต์ ทัศนามล</v>
      </c>
      <c r="D17" s="9">
        <v>1.0</v>
      </c>
      <c r="E17" s="10">
        <f>IFERROR(vlookup('1.5'!D:D,lookup!$A$2:$B$4,2,false),0)</f>
        <v>5</v>
      </c>
      <c r="F17" s="10">
        <f>IFERROR(vlookup('1.5'!E:E,lookup!$A$6:$B$8,2,false),0)</f>
        <v>5</v>
      </c>
      <c r="G17" s="10">
        <f>IFERROR(vlookup('1.5'!F:F,lookup!$A$10:$B$12,2,false),0)</f>
        <v>5</v>
      </c>
      <c r="H17" s="10">
        <f>IFERROR(vlookup('1.5'!G:G,lookup!$A$14:$B$16,2,false),0)</f>
        <v>5</v>
      </c>
      <c r="I17" s="10">
        <f>IFERROR(vlookup('1.5'!H:H,lookup!$A$18:$B$20,2,false),0)</f>
        <v>5</v>
      </c>
      <c r="J17" s="10">
        <f>IFERROR(vlookup('1.5'!I:I,lookup!$A$22:$B$24,2,false),0)</f>
        <v>5</v>
      </c>
      <c r="K17" s="10">
        <f>IFERROR(vlookup('1.5'!J:J,lookup!$A$26:$B$28,2,false),0)</f>
        <v>5</v>
      </c>
      <c r="L17" s="2"/>
      <c r="M17" s="10">
        <v>16.0</v>
      </c>
      <c r="N17" s="11" t="str">
        <f t="shared" si="1"/>
        <v>bnco0916@signalschool.ac.th</v>
      </c>
      <c r="O17" s="12">
        <f t="shared" si="2"/>
        <v>1</v>
      </c>
      <c r="R17" s="17" t="s">
        <v>233</v>
      </c>
    </row>
    <row r="18">
      <c r="A18" s="8">
        <f>'1.5'!A:A</f>
        <v>46212.62165</v>
      </c>
      <c r="B18" s="2" t="str">
        <f>'1.5'!B:B</f>
        <v>bnco0934@signalschool.ac.th</v>
      </c>
      <c r="C18" s="2" t="str">
        <f>'1.5'!C:C</f>
        <v>ร.ต.วสันต์ ทัศนามล</v>
      </c>
      <c r="D18" s="9">
        <v>1.0</v>
      </c>
      <c r="E18" s="10">
        <f>IFERROR(vlookup('1.5'!D:D,lookup!$A$2:$B$4,2,false),0)</f>
        <v>5</v>
      </c>
      <c r="F18" s="10">
        <f>IFERROR(vlookup('1.5'!E:E,lookup!$A$6:$B$8,2,false),0)</f>
        <v>5</v>
      </c>
      <c r="G18" s="10">
        <f>IFERROR(vlookup('1.5'!F:F,lookup!$A$10:$B$12,2,false),0)</f>
        <v>5</v>
      </c>
      <c r="H18" s="10">
        <f>IFERROR(vlookup('1.5'!G:G,lookup!$A$14:$B$16,2,false),0)</f>
        <v>5</v>
      </c>
      <c r="I18" s="10">
        <f>IFERROR(vlookup('1.5'!H:H,lookup!$A$18:$B$20,2,false),0)</f>
        <v>5</v>
      </c>
      <c r="J18" s="10">
        <f>IFERROR(vlookup('1.5'!I:I,lookup!$A$22:$B$24,2,false),0)</f>
        <v>5</v>
      </c>
      <c r="K18" s="10">
        <f>IFERROR(vlookup('1.5'!J:J,lookup!$A$26:$B$28,2,false),0)</f>
        <v>5</v>
      </c>
      <c r="L18" s="2"/>
      <c r="M18" s="10">
        <v>17.0</v>
      </c>
      <c r="N18" s="11" t="str">
        <f t="shared" si="1"/>
        <v>bnco0917@signalschool.ac.th</v>
      </c>
      <c r="O18" s="12">
        <f t="shared" si="2"/>
        <v>1</v>
      </c>
      <c r="R18" s="17" t="s">
        <v>234</v>
      </c>
    </row>
    <row r="19">
      <c r="A19" s="8">
        <f>'1.5'!A:A</f>
        <v>46212.62181</v>
      </c>
      <c r="B19" s="2" t="str">
        <f>'1.5'!B:B</f>
        <v>bnco0904@signalschool.ac.th</v>
      </c>
      <c r="C19" s="2" t="str">
        <f>'1.5'!C:C</f>
        <v>ร.ต.วสันต์  ทัศนามล จ.ส.อ.ประกาศิต  แซ่เจียม จ.ส.อ.วรากร  ไตรศัพท์ จ.ส.ท.ศุภกิตติ์  ปัญญาจักร</v>
      </c>
      <c r="D19" s="9">
        <v>1.0</v>
      </c>
      <c r="E19" s="10">
        <f>IFERROR(vlookup('1.5'!D:D,lookup!$A$2:$B$4,2,false),0)</f>
        <v>5</v>
      </c>
      <c r="F19" s="10">
        <f>IFERROR(vlookup('1.5'!E:E,lookup!$A$6:$B$8,2,false),0)</f>
        <v>5</v>
      </c>
      <c r="G19" s="10">
        <f>IFERROR(vlookup('1.5'!F:F,lookup!$A$10:$B$12,2,false),0)</f>
        <v>5</v>
      </c>
      <c r="H19" s="10">
        <f>IFERROR(vlookup('1.5'!G:G,lookup!$A$14:$B$16,2,false),0)</f>
        <v>5</v>
      </c>
      <c r="I19" s="10">
        <f>IFERROR(vlookup('1.5'!H:H,lookup!$A$18:$B$20,2,false),0)</f>
        <v>5</v>
      </c>
      <c r="J19" s="10">
        <f>IFERROR(vlookup('1.5'!I:I,lookup!$A$22:$B$24,2,false),0)</f>
        <v>5</v>
      </c>
      <c r="K19" s="10">
        <f>IFERROR(vlookup('1.5'!J:J,lookup!$A$26:$B$28,2,false),0)</f>
        <v>5</v>
      </c>
      <c r="L19" s="2"/>
      <c r="M19" s="10">
        <v>18.0</v>
      </c>
      <c r="N19" s="11" t="str">
        <f t="shared" si="1"/>
        <v>bnco0918@signalschool.ac.th</v>
      </c>
      <c r="O19" s="12">
        <f t="shared" si="2"/>
        <v>1</v>
      </c>
      <c r="R19" s="17" t="s">
        <v>235</v>
      </c>
    </row>
    <row r="20">
      <c r="A20" s="8">
        <f>'1.5'!A:A</f>
        <v>46212.62193</v>
      </c>
      <c r="B20" s="2" t="str">
        <f>'1.5'!B:B</f>
        <v>bnco0918@signalschool.ac.th</v>
      </c>
      <c r="C20" s="2" t="str">
        <f>'1.5'!C:C</f>
        <v>.ต.วสัน ทัศนามล</v>
      </c>
      <c r="D20" s="9">
        <v>1.0</v>
      </c>
      <c r="E20" s="10">
        <f>IFERROR(vlookup('1.5'!D:D,lookup!$A$2:$B$4,2,false),0)</f>
        <v>5</v>
      </c>
      <c r="F20" s="10">
        <f>IFERROR(vlookup('1.5'!E:E,lookup!$A$6:$B$8,2,false),0)</f>
        <v>5</v>
      </c>
      <c r="G20" s="10">
        <f>IFERROR(vlookup('1.5'!F:F,lookup!$A$10:$B$12,2,false),0)</f>
        <v>5</v>
      </c>
      <c r="H20" s="10">
        <f>IFERROR(vlookup('1.5'!G:G,lookup!$A$14:$B$16,2,false),0)</f>
        <v>5</v>
      </c>
      <c r="I20" s="10">
        <f>IFERROR(vlookup('1.5'!H:H,lookup!$A$18:$B$20,2,false),0)</f>
        <v>5</v>
      </c>
      <c r="J20" s="10">
        <f>IFERROR(vlookup('1.5'!I:I,lookup!$A$22:$B$24,2,false),0)</f>
        <v>5</v>
      </c>
      <c r="K20" s="10">
        <f>IFERROR(vlookup('1.5'!J:J,lookup!$A$26:$B$28,2,false),0)</f>
        <v>5</v>
      </c>
      <c r="L20" s="2"/>
      <c r="M20" s="10">
        <v>19.0</v>
      </c>
      <c r="N20" s="11" t="str">
        <f t="shared" si="1"/>
        <v>bnco0919@signalschool.ac.th</v>
      </c>
      <c r="O20" s="12">
        <f t="shared" si="2"/>
        <v>1</v>
      </c>
      <c r="R20" s="17" t="s">
        <v>236</v>
      </c>
    </row>
    <row r="21">
      <c r="A21" s="8">
        <f>'1.5'!A:A</f>
        <v>46212.62201</v>
      </c>
      <c r="B21" s="2" t="str">
        <f>'1.5'!B:B</f>
        <v>bnco0916@signalschool.ac.th</v>
      </c>
      <c r="C21" s="2" t="str">
        <f>'1.5'!C:C</f>
        <v>ร.ต.วสันต์ ทัศนามล</v>
      </c>
      <c r="D21" s="9">
        <v>1.0</v>
      </c>
      <c r="E21" s="10">
        <f>IFERROR(vlookup('1.5'!D:D,lookup!$A$2:$B$4,2,false),0)</f>
        <v>5</v>
      </c>
      <c r="F21" s="10">
        <f>IFERROR(vlookup('1.5'!E:E,lookup!$A$6:$B$8,2,false),0)</f>
        <v>5</v>
      </c>
      <c r="G21" s="10">
        <f>IFERROR(vlookup('1.5'!F:F,lookup!$A$10:$B$12,2,false),0)</f>
        <v>5</v>
      </c>
      <c r="H21" s="10">
        <f>IFERROR(vlookup('1.5'!G:G,lookup!$A$14:$B$16,2,false),0)</f>
        <v>5</v>
      </c>
      <c r="I21" s="10">
        <f>IFERROR(vlookup('1.5'!H:H,lookup!$A$18:$B$20,2,false),0)</f>
        <v>5</v>
      </c>
      <c r="J21" s="10">
        <f>IFERROR(vlookup('1.5'!I:I,lookup!$A$22:$B$24,2,false),0)</f>
        <v>5</v>
      </c>
      <c r="K21" s="10">
        <f>IFERROR(vlookup('1.5'!J:J,lookup!$A$26:$B$28,2,false),0)</f>
        <v>5</v>
      </c>
      <c r="L21" s="2"/>
      <c r="M21" s="10">
        <v>20.0</v>
      </c>
      <c r="N21" s="11" t="str">
        <f t="shared" si="1"/>
        <v>bnco0920@signalschool.ac.th</v>
      </c>
      <c r="O21" s="12">
        <f t="shared" si="2"/>
        <v>1</v>
      </c>
      <c r="R21" s="17" t="s">
        <v>237</v>
      </c>
    </row>
    <row r="22">
      <c r="A22" s="8">
        <f>'1.5'!A:A</f>
        <v>46212.62216</v>
      </c>
      <c r="B22" s="2" t="str">
        <f>'1.5'!B:B</f>
        <v>bnco0968@signalschool.ac.th</v>
      </c>
      <c r="C22" s="2" t="str">
        <f>'1.5'!C:C</f>
        <v>ร.ต.วัสันต์ ทัศนามล</v>
      </c>
      <c r="D22" s="9">
        <v>1.0</v>
      </c>
      <c r="E22" s="10">
        <f>IFERROR(vlookup('1.5'!D:D,lookup!$A$2:$B$4,2,false),0)</f>
        <v>5</v>
      </c>
      <c r="F22" s="10">
        <f>IFERROR(vlookup('1.5'!E:E,lookup!$A$6:$B$8,2,false),0)</f>
        <v>5</v>
      </c>
      <c r="G22" s="10">
        <f>IFERROR(vlookup('1.5'!F:F,lookup!$A$10:$B$12,2,false),0)</f>
        <v>5</v>
      </c>
      <c r="H22" s="10">
        <f>IFERROR(vlookup('1.5'!G:G,lookup!$A$14:$B$16,2,false),0)</f>
        <v>5</v>
      </c>
      <c r="I22" s="10">
        <f>IFERROR(vlookup('1.5'!H:H,lookup!$A$18:$B$20,2,false),0)</f>
        <v>5</v>
      </c>
      <c r="J22" s="10">
        <f>IFERROR(vlookup('1.5'!I:I,lookup!$A$22:$B$24,2,false),0)</f>
        <v>5</v>
      </c>
      <c r="K22" s="10">
        <f>IFERROR(vlookup('1.5'!J:J,lookup!$A$26:$B$28,2,false),0)</f>
        <v>5</v>
      </c>
      <c r="L22" s="2"/>
      <c r="M22" s="10">
        <v>21.0</v>
      </c>
      <c r="N22" s="11" t="str">
        <f t="shared" si="1"/>
        <v>bnco0921@signalschool.ac.th</v>
      </c>
      <c r="O22" s="12">
        <f t="shared" si="2"/>
        <v>1</v>
      </c>
      <c r="R22" s="17" t="s">
        <v>238</v>
      </c>
    </row>
    <row r="23">
      <c r="A23" s="8">
        <f>'1.5'!A:A</f>
        <v>46212.62226</v>
      </c>
      <c r="B23" s="2" t="str">
        <f>'1.5'!B:B</f>
        <v>bnco0923@signalschool.ac.th</v>
      </c>
      <c r="C23" s="2" t="str">
        <f>'1.5'!C:C</f>
        <v>ร.ต.วสันต์ ทัศนามล,จ.ส.อ.ประกาศิต แซ่เจียม,จ.ส.อ.วรากร ศัพท์,จ.ส.ท.ศุภกิตย์ ปัญญาจักร</v>
      </c>
      <c r="D23" s="9">
        <v>1.0</v>
      </c>
      <c r="E23" s="10">
        <f>IFERROR(vlookup('1.5'!D:D,lookup!$A$2:$B$4,2,false),0)</f>
        <v>5</v>
      </c>
      <c r="F23" s="10">
        <f>IFERROR(vlookup('1.5'!E:E,lookup!$A$6:$B$8,2,false),0)</f>
        <v>5</v>
      </c>
      <c r="G23" s="10">
        <f>IFERROR(vlookup('1.5'!F:F,lookup!$A$10:$B$12,2,false),0)</f>
        <v>5</v>
      </c>
      <c r="H23" s="10">
        <f>IFERROR(vlookup('1.5'!G:G,lookup!$A$14:$B$16,2,false),0)</f>
        <v>5</v>
      </c>
      <c r="I23" s="10">
        <f>IFERROR(vlookup('1.5'!H:H,lookup!$A$18:$B$20,2,false),0)</f>
        <v>5</v>
      </c>
      <c r="J23" s="10">
        <f>IFERROR(vlookup('1.5'!I:I,lookup!$A$22:$B$24,2,false),0)</f>
        <v>5</v>
      </c>
      <c r="K23" s="10">
        <f>IFERROR(vlookup('1.5'!J:J,lookup!$A$26:$B$28,2,false),0)</f>
        <v>5</v>
      </c>
      <c r="L23" s="2"/>
      <c r="M23" s="10">
        <v>22.0</v>
      </c>
      <c r="N23" s="11" t="str">
        <f t="shared" si="1"/>
        <v>bnco0922@signalschool.ac.th</v>
      </c>
      <c r="O23" s="12">
        <f t="shared" si="2"/>
        <v>1</v>
      </c>
      <c r="R23" s="17" t="s">
        <v>239</v>
      </c>
    </row>
    <row r="24">
      <c r="A24" s="8">
        <f>'1.5'!A:A</f>
        <v>46212.62238</v>
      </c>
      <c r="B24" s="2" t="str">
        <f>'1.5'!B:B</f>
        <v>bnco0921@signalschool.ac.th</v>
      </c>
      <c r="C24" s="2" t="str">
        <f>'1.5'!C:C</f>
        <v>ร.ต.วสันต์ ทัศนามล</v>
      </c>
      <c r="D24" s="9">
        <v>1.0</v>
      </c>
      <c r="E24" s="10">
        <f>IFERROR(vlookup('1.5'!D:D,lookup!$A$2:$B$4,2,false),0)</f>
        <v>5</v>
      </c>
      <c r="F24" s="10">
        <f>IFERROR(vlookup('1.5'!E:E,lookup!$A$6:$B$8,2,false),0)</f>
        <v>5</v>
      </c>
      <c r="G24" s="10">
        <f>IFERROR(vlookup('1.5'!F:F,lookup!$A$10:$B$12,2,false),0)</f>
        <v>5</v>
      </c>
      <c r="H24" s="10">
        <f>IFERROR(vlookup('1.5'!G:G,lookup!$A$14:$B$16,2,false),0)</f>
        <v>5</v>
      </c>
      <c r="I24" s="10">
        <f>IFERROR(vlookup('1.5'!H:H,lookup!$A$18:$B$20,2,false),0)</f>
        <v>5</v>
      </c>
      <c r="J24" s="10">
        <f>IFERROR(vlookup('1.5'!I:I,lookup!$A$22:$B$24,2,false),0)</f>
        <v>5</v>
      </c>
      <c r="K24" s="10">
        <f>IFERROR(vlookup('1.5'!J:J,lookup!$A$26:$B$28,2,false),0)</f>
        <v>5</v>
      </c>
      <c r="L24" s="2"/>
      <c r="M24" s="10">
        <v>23.0</v>
      </c>
      <c r="N24" s="11" t="str">
        <f t="shared" si="1"/>
        <v>bnco0923@signalschool.ac.th</v>
      </c>
      <c r="O24" s="12">
        <f t="shared" si="2"/>
        <v>1</v>
      </c>
      <c r="R24" s="17" t="s">
        <v>240</v>
      </c>
    </row>
    <row r="25">
      <c r="A25" s="8">
        <f>'1.5'!A:A</f>
        <v>46212.62239</v>
      </c>
      <c r="B25" s="2" t="str">
        <f>'1.5'!B:B</f>
        <v>bnco0970@signalschool.ac.th</v>
      </c>
      <c r="C25" s="2" t="str">
        <f>'1.5'!C:C</f>
        <v>ร.ต.วสันต์ ทศนามล</v>
      </c>
      <c r="D25" s="9">
        <v>1.0</v>
      </c>
      <c r="E25" s="10">
        <f>IFERROR(vlookup('1.5'!D:D,lookup!$A$2:$B$4,2,false),0)</f>
        <v>5</v>
      </c>
      <c r="F25" s="10">
        <f>IFERROR(vlookup('1.5'!E:E,lookup!$A$6:$B$8,2,false),0)</f>
        <v>5</v>
      </c>
      <c r="G25" s="10">
        <f>IFERROR(vlookup('1.5'!F:F,lookup!$A$10:$B$12,2,false),0)</f>
        <v>5</v>
      </c>
      <c r="H25" s="10">
        <f>IFERROR(vlookup('1.5'!G:G,lookup!$A$14:$B$16,2,false),0)</f>
        <v>5</v>
      </c>
      <c r="I25" s="10">
        <f>IFERROR(vlookup('1.5'!H:H,lookup!$A$18:$B$20,2,false),0)</f>
        <v>5</v>
      </c>
      <c r="J25" s="10">
        <f>IFERROR(vlookup('1.5'!I:I,lookup!$A$22:$B$24,2,false),0)</f>
        <v>5</v>
      </c>
      <c r="K25" s="10">
        <f>IFERROR(vlookup('1.5'!J:J,lookup!$A$26:$B$28,2,false),0)</f>
        <v>5</v>
      </c>
      <c r="L25" s="2"/>
      <c r="M25" s="10">
        <v>24.0</v>
      </c>
      <c r="N25" s="11" t="str">
        <f t="shared" si="1"/>
        <v>bnco0924@signalschool.ac.th</v>
      </c>
      <c r="O25" s="12">
        <f t="shared" si="2"/>
        <v>1</v>
      </c>
      <c r="R25" s="17" t="s">
        <v>241</v>
      </c>
    </row>
    <row r="26">
      <c r="A26" s="8">
        <f>'1.5'!A:A</f>
        <v>46212.62239</v>
      </c>
      <c r="B26" s="2" t="str">
        <f>'1.5'!B:B</f>
        <v>bnco0909@signalschool.ac.th</v>
      </c>
      <c r="C26" s="2" t="str">
        <f>'1.5'!C:C</f>
        <v>ร.ต.วสันต์ ทัศนามล</v>
      </c>
      <c r="D26" s="9">
        <v>1.0</v>
      </c>
      <c r="E26" s="10">
        <f>IFERROR(vlookup('1.5'!D:D,lookup!$A$2:$B$4,2,false),0)</f>
        <v>5</v>
      </c>
      <c r="F26" s="10">
        <f>IFERROR(vlookup('1.5'!E:E,lookup!$A$6:$B$8,2,false),0)</f>
        <v>5</v>
      </c>
      <c r="G26" s="10">
        <f>IFERROR(vlookup('1.5'!F:F,lookup!$A$10:$B$12,2,false),0)</f>
        <v>5</v>
      </c>
      <c r="H26" s="10">
        <f>IFERROR(vlookup('1.5'!G:G,lookup!$A$14:$B$16,2,false),0)</f>
        <v>5</v>
      </c>
      <c r="I26" s="10">
        <f>IFERROR(vlookup('1.5'!H:H,lookup!$A$18:$B$20,2,false),0)</f>
        <v>5</v>
      </c>
      <c r="J26" s="10">
        <f>IFERROR(vlookup('1.5'!I:I,lookup!$A$22:$B$24,2,false),0)</f>
        <v>5</v>
      </c>
      <c r="K26" s="10">
        <f>IFERROR(vlookup('1.5'!J:J,lookup!$A$26:$B$28,2,false),0)</f>
        <v>5</v>
      </c>
      <c r="L26" s="2"/>
      <c r="M26" s="10">
        <v>25.0</v>
      </c>
      <c r="N26" s="11" t="str">
        <f t="shared" si="1"/>
        <v>bnco0925@signalschool.ac.th</v>
      </c>
      <c r="O26" s="12">
        <f t="shared" si="2"/>
        <v>1</v>
      </c>
      <c r="R26" s="17" t="s">
        <v>242</v>
      </c>
    </row>
    <row r="27">
      <c r="A27" s="8">
        <f>'1.5'!A:A</f>
        <v>46212.62254</v>
      </c>
      <c r="B27" s="2" t="str">
        <f>'1.5'!B:B</f>
        <v>bnco0942@signalschool.ac.th</v>
      </c>
      <c r="C27" s="2" t="str">
        <f>'1.5'!C:C</f>
        <v>ร.ต.วสันต์   ทัศนามล</v>
      </c>
      <c r="D27" s="9">
        <v>1.0</v>
      </c>
      <c r="E27" s="10">
        <f>IFERROR(vlookup('1.5'!D:D,lookup!$A$2:$B$4,2,false),0)</f>
        <v>5</v>
      </c>
      <c r="F27" s="10">
        <f>IFERROR(vlookup('1.5'!E:E,lookup!$A$6:$B$8,2,false),0)</f>
        <v>5</v>
      </c>
      <c r="G27" s="10">
        <f>IFERROR(vlookup('1.5'!F:F,lookup!$A$10:$B$12,2,false),0)</f>
        <v>5</v>
      </c>
      <c r="H27" s="10">
        <f>IFERROR(vlookup('1.5'!G:G,lookup!$A$14:$B$16,2,false),0)</f>
        <v>5</v>
      </c>
      <c r="I27" s="10">
        <f>IFERROR(vlookup('1.5'!H:H,lookup!$A$18:$B$20,2,false),0)</f>
        <v>5</v>
      </c>
      <c r="J27" s="10">
        <f>IFERROR(vlookup('1.5'!I:I,lookup!$A$22:$B$24,2,false),0)</f>
        <v>5</v>
      </c>
      <c r="K27" s="10">
        <f>IFERROR(vlookup('1.5'!J:J,lookup!$A$26:$B$28,2,false),0)</f>
        <v>5</v>
      </c>
      <c r="L27" s="2"/>
      <c r="M27" s="10">
        <v>26.0</v>
      </c>
      <c r="N27" s="11" t="str">
        <f t="shared" si="1"/>
        <v>bnco0926@signalschool.ac.th</v>
      </c>
      <c r="O27" s="12">
        <f t="shared" si="2"/>
        <v>1</v>
      </c>
      <c r="R27" s="17" t="s">
        <v>243</v>
      </c>
    </row>
    <row r="28">
      <c r="A28" s="8">
        <f>'1.5'!A:A</f>
        <v>46212.62254</v>
      </c>
      <c r="B28" s="2" t="str">
        <f>'1.5'!B:B</f>
        <v>bnco0979@signalschool.ac.th</v>
      </c>
      <c r="C28" s="2" t="str">
        <f>'1.5'!C:C</f>
        <v>ร.ต.วสันต์ ทัศนามล</v>
      </c>
      <c r="D28" s="9">
        <v>1.0</v>
      </c>
      <c r="E28" s="10">
        <f>IFERROR(vlookup('1.5'!D:D,lookup!$A$2:$B$4,2,false),0)</f>
        <v>5</v>
      </c>
      <c r="F28" s="10">
        <f>IFERROR(vlookup('1.5'!E:E,lookup!$A$6:$B$8,2,false),0)</f>
        <v>5</v>
      </c>
      <c r="G28" s="10">
        <f>IFERROR(vlookup('1.5'!F:F,lookup!$A$10:$B$12,2,false),0)</f>
        <v>5</v>
      </c>
      <c r="H28" s="10">
        <f>IFERROR(vlookup('1.5'!G:G,lookup!$A$14:$B$16,2,false),0)</f>
        <v>5</v>
      </c>
      <c r="I28" s="10">
        <f>IFERROR(vlookup('1.5'!H:H,lookup!$A$18:$B$20,2,false),0)</f>
        <v>5</v>
      </c>
      <c r="J28" s="10">
        <f>IFERROR(vlookup('1.5'!I:I,lookup!$A$22:$B$24,2,false),0)</f>
        <v>5</v>
      </c>
      <c r="K28" s="10">
        <f>IFERROR(vlookup('1.5'!J:J,lookup!$A$26:$B$28,2,false),0)</f>
        <v>5</v>
      </c>
      <c r="L28" s="2"/>
      <c r="M28" s="10">
        <v>27.0</v>
      </c>
      <c r="N28" s="11" t="str">
        <f t="shared" si="1"/>
        <v>bnco0927@signalschool.ac.th</v>
      </c>
      <c r="O28" s="12">
        <f t="shared" si="2"/>
        <v>1</v>
      </c>
      <c r="R28" s="17" t="s">
        <v>244</v>
      </c>
    </row>
    <row r="29">
      <c r="A29" s="8">
        <f>'1.5'!A:A</f>
        <v>46212.62255</v>
      </c>
      <c r="B29" s="2" t="str">
        <f>'1.5'!B:B</f>
        <v>bnco0967@signalschool.ac.th</v>
      </c>
      <c r="C29" s="2" t="str">
        <f>'1.5'!C:C</f>
        <v>ร.ต.วสันต์ ทัศนามล / จ.ส.อ.ประกาศิต แซ่เจียม / จ.ส.อ.วรากร ไตรศัพท์ / จ.ส.ท.ศุภกิตติ์ ปัญญาจักร</v>
      </c>
      <c r="D29" s="9">
        <v>1.0</v>
      </c>
      <c r="E29" s="10">
        <f>IFERROR(vlookup('1.5'!D:D,lookup!$A$2:$B$4,2,false),0)</f>
        <v>5</v>
      </c>
      <c r="F29" s="10">
        <f>IFERROR(vlookup('1.5'!E:E,lookup!$A$6:$B$8,2,false),0)</f>
        <v>5</v>
      </c>
      <c r="G29" s="10">
        <f>IFERROR(vlookup('1.5'!F:F,lookup!$A$10:$B$12,2,false),0)</f>
        <v>5</v>
      </c>
      <c r="H29" s="10">
        <f>IFERROR(vlookup('1.5'!G:G,lookup!$A$14:$B$16,2,false),0)</f>
        <v>5</v>
      </c>
      <c r="I29" s="10">
        <f>IFERROR(vlookup('1.5'!H:H,lookup!$A$18:$B$20,2,false),0)</f>
        <v>5</v>
      </c>
      <c r="J29" s="10">
        <f>IFERROR(vlookup('1.5'!I:I,lookup!$A$22:$B$24,2,false),0)</f>
        <v>5</v>
      </c>
      <c r="K29" s="10">
        <f>IFERROR(vlookup('1.5'!J:J,lookup!$A$26:$B$28,2,false),0)</f>
        <v>5</v>
      </c>
      <c r="L29" s="2"/>
      <c r="M29" s="10">
        <v>28.0</v>
      </c>
      <c r="N29" s="11" t="str">
        <f t="shared" si="1"/>
        <v>bnco0928@signalschool.ac.th</v>
      </c>
      <c r="O29" s="12">
        <f t="shared" si="2"/>
        <v>1</v>
      </c>
      <c r="R29" s="17" t="s">
        <v>245</v>
      </c>
    </row>
    <row r="30">
      <c r="A30" s="8">
        <f>'1.5'!A:A</f>
        <v>46212.62265</v>
      </c>
      <c r="B30" s="2" t="str">
        <f>'1.5'!B:B</f>
        <v>bnco0973@signalschool.ac.th</v>
      </c>
      <c r="C30" s="2" t="str">
        <f>'1.5'!C:C</f>
        <v>.ต.วสันต์  จ.ส.อ.ประกาศิต จ.ส.อ.วรากร จ.ส.ท.ศุภกิตติ์ ทัศนามล แช่เจียม ไตรศัพท์ ปัญญาจักร</v>
      </c>
      <c r="D30" s="9">
        <v>1.0</v>
      </c>
      <c r="E30" s="10">
        <f>IFERROR(vlookup('1.5'!D:D,lookup!$A$2:$B$4,2,false),0)</f>
        <v>5</v>
      </c>
      <c r="F30" s="10">
        <f>IFERROR(vlookup('1.5'!E:E,lookup!$A$6:$B$8,2,false),0)</f>
        <v>5</v>
      </c>
      <c r="G30" s="10">
        <f>IFERROR(vlookup('1.5'!F:F,lookup!$A$10:$B$12,2,false),0)</f>
        <v>5</v>
      </c>
      <c r="H30" s="10">
        <f>IFERROR(vlookup('1.5'!G:G,lookup!$A$14:$B$16,2,false),0)</f>
        <v>5</v>
      </c>
      <c r="I30" s="10">
        <f>IFERROR(vlookup('1.5'!H:H,lookup!$A$18:$B$20,2,false),0)</f>
        <v>5</v>
      </c>
      <c r="J30" s="10">
        <f>IFERROR(vlookup('1.5'!I:I,lookup!$A$22:$B$24,2,false),0)</f>
        <v>5</v>
      </c>
      <c r="K30" s="10">
        <f>IFERROR(vlookup('1.5'!J:J,lookup!$A$26:$B$28,2,false),0)</f>
        <v>5</v>
      </c>
      <c r="L30" s="2"/>
      <c r="M30" s="10">
        <v>29.0</v>
      </c>
      <c r="N30" s="11" t="str">
        <f t="shared" si="1"/>
        <v>bnco0929@signalschool.ac.th</v>
      </c>
      <c r="O30" s="12">
        <f t="shared" si="2"/>
        <v>1</v>
      </c>
      <c r="R30" s="17" t="s">
        <v>246</v>
      </c>
    </row>
    <row r="31">
      <c r="A31" s="8">
        <f>'1.5'!A:A</f>
        <v>46212.6227</v>
      </c>
      <c r="B31" s="2" t="str">
        <f>'1.5'!B:B</f>
        <v>bnco0925@signalschool.ac.th</v>
      </c>
      <c r="C31" s="2" t="str">
        <f>'1.5'!C:C</f>
        <v>ร.ต.วสันต์ ทัศนามล , จ.ส.อ.ประกาศิต แช่เจียม , จ.ส.อ.วรากร ไตรศัพท์ , จ.ส.ท.ศุภกิตติ์ ปัญญาจักร</v>
      </c>
      <c r="D31" s="9">
        <v>1.0</v>
      </c>
      <c r="E31" s="10">
        <f>IFERROR(vlookup('1.5'!D:D,lookup!$A$2:$B$4,2,false),0)</f>
        <v>5</v>
      </c>
      <c r="F31" s="10">
        <f>IFERROR(vlookup('1.5'!E:E,lookup!$A$6:$B$8,2,false),0)</f>
        <v>5</v>
      </c>
      <c r="G31" s="10">
        <f>IFERROR(vlookup('1.5'!F:F,lookup!$A$10:$B$12,2,false),0)</f>
        <v>5</v>
      </c>
      <c r="H31" s="10">
        <f>IFERROR(vlookup('1.5'!G:G,lookup!$A$14:$B$16,2,false),0)</f>
        <v>5</v>
      </c>
      <c r="I31" s="10">
        <f>IFERROR(vlookup('1.5'!H:H,lookup!$A$18:$B$20,2,false),0)</f>
        <v>5</v>
      </c>
      <c r="J31" s="10">
        <f>IFERROR(vlookup('1.5'!I:I,lookup!$A$22:$B$24,2,false),0)</f>
        <v>5</v>
      </c>
      <c r="K31" s="10">
        <f>IFERROR(vlookup('1.5'!J:J,lookup!$A$26:$B$28,2,false),0)</f>
        <v>5</v>
      </c>
      <c r="L31" s="2"/>
      <c r="M31" s="10">
        <v>30.0</v>
      </c>
      <c r="N31" s="11" t="str">
        <f t="shared" si="1"/>
        <v>bnco0930@signalschool.ac.th</v>
      </c>
      <c r="O31" s="12">
        <f t="shared" si="2"/>
        <v>1</v>
      </c>
      <c r="R31" s="17" t="s">
        <v>247</v>
      </c>
    </row>
    <row r="32">
      <c r="A32" s="8">
        <f>'1.5'!A:A</f>
        <v>46212.62271</v>
      </c>
      <c r="B32" s="2" t="str">
        <f>'1.5'!B:B</f>
        <v>bnco0977@signalschool.ac.th</v>
      </c>
      <c r="C32" s="2" t="str">
        <f>'1.5'!C:C</f>
        <v>ร.ต.วสันต์ ทัศนามล , จ.ส.อ.ประกาศิต แช่เจียม , จ.ส.อ.วรากร ไตรศัพท์ , จ.ส.ท.ศุภกิตติ์ ปัญญาจักร</v>
      </c>
      <c r="D32" s="9">
        <v>1.0</v>
      </c>
      <c r="E32" s="10">
        <f>IFERROR(vlookup('1.5'!D:D,lookup!$A$2:$B$4,2,false),0)</f>
        <v>5</v>
      </c>
      <c r="F32" s="10">
        <f>IFERROR(vlookup('1.5'!E:E,lookup!$A$6:$B$8,2,false),0)</f>
        <v>5</v>
      </c>
      <c r="G32" s="10">
        <f>IFERROR(vlookup('1.5'!F:F,lookup!$A$10:$B$12,2,false),0)</f>
        <v>5</v>
      </c>
      <c r="H32" s="10">
        <f>IFERROR(vlookup('1.5'!G:G,lookup!$A$14:$B$16,2,false),0)</f>
        <v>5</v>
      </c>
      <c r="I32" s="10">
        <f>IFERROR(vlookup('1.5'!H:H,lookup!$A$18:$B$20,2,false),0)</f>
        <v>5</v>
      </c>
      <c r="J32" s="10">
        <f>IFERROR(vlookup('1.5'!I:I,lookup!$A$22:$B$24,2,false),0)</f>
        <v>5</v>
      </c>
      <c r="K32" s="10">
        <f>IFERROR(vlookup('1.5'!J:J,lookup!$A$26:$B$28,2,false),0)</f>
        <v>5</v>
      </c>
      <c r="L32" s="2"/>
      <c r="M32" s="10">
        <v>31.0</v>
      </c>
      <c r="N32" s="11" t="str">
        <f t="shared" si="1"/>
        <v>bnco0931@signalschool.ac.th</v>
      </c>
      <c r="O32" s="12">
        <f t="shared" si="2"/>
        <v>1</v>
      </c>
      <c r="R32" s="17" t="s">
        <v>248</v>
      </c>
    </row>
    <row r="33">
      <c r="A33" s="8">
        <f>'1.5'!A:A</f>
        <v>46212.62282</v>
      </c>
      <c r="B33" s="2" t="str">
        <f>'1.5'!B:B</f>
        <v>bnco0911@signalschool.ac.th</v>
      </c>
      <c r="C33" s="2" t="str">
        <f>'1.5'!C:C</f>
        <v>ร.ต.วสันต์ ทัศนามล จ.ส.อ.ประกาศิต แซ่เจียม จ.ส.อ.วรากร ไตรศัพท์ จ.ส.อ.ศุภกิตติ์ ปัญญาจักร</v>
      </c>
      <c r="D33" s="9">
        <v>1.0</v>
      </c>
      <c r="E33" s="10">
        <f>IFERROR(vlookup('1.5'!D:D,lookup!$A$2:$B$4,2,false),0)</f>
        <v>5</v>
      </c>
      <c r="F33" s="10">
        <f>IFERROR(vlookup('1.5'!E:E,lookup!$A$6:$B$8,2,false),0)</f>
        <v>5</v>
      </c>
      <c r="G33" s="10">
        <f>IFERROR(vlookup('1.5'!F:F,lookup!$A$10:$B$12,2,false),0)</f>
        <v>5</v>
      </c>
      <c r="H33" s="10">
        <f>IFERROR(vlookup('1.5'!G:G,lookup!$A$14:$B$16,2,false),0)</f>
        <v>5</v>
      </c>
      <c r="I33" s="10">
        <f>IFERROR(vlookup('1.5'!H:H,lookup!$A$18:$B$20,2,false),0)</f>
        <v>5</v>
      </c>
      <c r="J33" s="10">
        <f>IFERROR(vlookup('1.5'!I:I,lookup!$A$22:$B$24,2,false),0)</f>
        <v>5</v>
      </c>
      <c r="K33" s="10">
        <f>IFERROR(vlookup('1.5'!J:J,lookup!$A$26:$B$28,2,false),0)</f>
        <v>5</v>
      </c>
      <c r="L33" s="2"/>
      <c r="M33" s="10">
        <v>32.0</v>
      </c>
      <c r="N33" s="11" t="str">
        <f t="shared" si="1"/>
        <v>bnco0932@signalschool.ac.th</v>
      </c>
      <c r="O33" s="12">
        <f t="shared" si="2"/>
        <v>1</v>
      </c>
      <c r="R33" s="17" t="s">
        <v>249</v>
      </c>
    </row>
    <row r="34">
      <c r="A34" s="8">
        <f>'1.5'!A:A</f>
        <v>46212.62288</v>
      </c>
      <c r="B34" s="2" t="str">
        <f>'1.5'!B:B</f>
        <v>bnco0978@signalschool.ac.th</v>
      </c>
      <c r="C34" s="2" t="str">
        <f>'1.5'!C:C</f>
        <v>ร.ต.วสันต์  ทัศนามล  จ.ส.อ.ประกาศิต  แซ่เจียม  จ.ส.อ.วรากร  ไตรศัพท์  จ.ส.ท.ศุภกิตติ์  ปัญญาจักร</v>
      </c>
      <c r="D34" s="9">
        <v>1.0</v>
      </c>
      <c r="E34" s="10">
        <f>IFERROR(vlookup('1.5'!D:D,lookup!$A$2:$B$4,2,false),0)</f>
        <v>5</v>
      </c>
      <c r="F34" s="10">
        <f>IFERROR(vlookup('1.5'!E:E,lookup!$A$6:$B$8,2,false),0)</f>
        <v>5</v>
      </c>
      <c r="G34" s="10">
        <f>IFERROR(vlookup('1.5'!F:F,lookup!$A$10:$B$12,2,false),0)</f>
        <v>5</v>
      </c>
      <c r="H34" s="10">
        <f>IFERROR(vlookup('1.5'!G:G,lookup!$A$14:$B$16,2,false),0)</f>
        <v>5</v>
      </c>
      <c r="I34" s="10">
        <f>IFERROR(vlookup('1.5'!H:H,lookup!$A$18:$B$20,2,false),0)</f>
        <v>5</v>
      </c>
      <c r="J34" s="10">
        <f>IFERROR(vlookup('1.5'!I:I,lookup!$A$22:$B$24,2,false),0)</f>
        <v>5</v>
      </c>
      <c r="K34" s="10">
        <f>IFERROR(vlookup('1.5'!J:J,lookup!$A$26:$B$28,2,false),0)</f>
        <v>5</v>
      </c>
      <c r="L34" s="2"/>
      <c r="M34" s="10">
        <v>33.0</v>
      </c>
      <c r="N34" s="11" t="str">
        <f t="shared" si="1"/>
        <v>bnco0933@signalschool.ac.th</v>
      </c>
      <c r="O34" s="12">
        <f t="shared" si="2"/>
        <v>1</v>
      </c>
      <c r="R34" s="17" t="s">
        <v>250</v>
      </c>
    </row>
    <row r="35">
      <c r="A35" s="8">
        <f>'1.5'!A:A</f>
        <v>46212.62309</v>
      </c>
      <c r="B35" s="2" t="str">
        <f>'1.5'!B:B</f>
        <v>bnco0913@signalschool.ac.th</v>
      </c>
      <c r="C35" s="2" t="str">
        <f>'1.5'!C:C</f>
        <v>มร.ต.วสันต์ ทัศนามล จ.ส.อ.ประกาศิต แซ่เจียม จ.ส.อ.วรากร ไตรศัพท์ ปัญญาจักร จ.ส.ท.ศุภกิตติ์</v>
      </c>
      <c r="D35" s="9">
        <v>1.0</v>
      </c>
      <c r="E35" s="10">
        <f>IFERROR(vlookup('1.5'!D:D,lookup!$A$2:$B$4,2,false),0)</f>
        <v>5</v>
      </c>
      <c r="F35" s="10">
        <f>IFERROR(vlookup('1.5'!E:E,lookup!$A$6:$B$8,2,false),0)</f>
        <v>5</v>
      </c>
      <c r="G35" s="10">
        <f>IFERROR(vlookup('1.5'!F:F,lookup!$A$10:$B$12,2,false),0)</f>
        <v>5</v>
      </c>
      <c r="H35" s="10">
        <f>IFERROR(vlookup('1.5'!G:G,lookup!$A$14:$B$16,2,false),0)</f>
        <v>5</v>
      </c>
      <c r="I35" s="10">
        <f>IFERROR(vlookup('1.5'!H:H,lookup!$A$18:$B$20,2,false),0)</f>
        <v>5</v>
      </c>
      <c r="J35" s="10">
        <f>IFERROR(vlookup('1.5'!I:I,lookup!$A$22:$B$24,2,false),0)</f>
        <v>5</v>
      </c>
      <c r="K35" s="10">
        <f>IFERROR(vlookup('1.5'!J:J,lookup!$A$26:$B$28,2,false),0)</f>
        <v>5</v>
      </c>
      <c r="L35" s="2"/>
      <c r="M35" s="10">
        <v>34.0</v>
      </c>
      <c r="N35" s="11" t="str">
        <f t="shared" si="1"/>
        <v>bnco0934@signalschool.ac.th</v>
      </c>
      <c r="O35" s="12">
        <f t="shared" si="2"/>
        <v>1</v>
      </c>
      <c r="R35" s="17" t="s">
        <v>251</v>
      </c>
    </row>
    <row r="36">
      <c r="A36" s="8">
        <f>'1.5'!A:A</f>
        <v>46212.62309</v>
      </c>
      <c r="B36" s="2" t="str">
        <f>'1.5'!B:B</f>
        <v>bnco0949@signalschool.ac.th</v>
      </c>
      <c r="C36" s="2" t="str">
        <f>'1.5'!C:C</f>
        <v>ร.ต.วสันต์ ทัศนามล,จ.ส.อ.ประกาศิตาแซ่เจียม,จ.ส.อ.วรากร ไตรศัพท์ ,จ.ส.ท.ศุภกิตติ์ ปัญญาจักร</v>
      </c>
      <c r="D36" s="9">
        <v>1.0</v>
      </c>
      <c r="E36" s="10">
        <f>IFERROR(vlookup('1.5'!D:D,lookup!$A$2:$B$4,2,false),0)</f>
        <v>5</v>
      </c>
      <c r="F36" s="10">
        <f>IFERROR(vlookup('1.5'!E:E,lookup!$A$6:$B$8,2,false),0)</f>
        <v>5</v>
      </c>
      <c r="G36" s="10">
        <f>IFERROR(vlookup('1.5'!F:F,lookup!$A$10:$B$12,2,false),0)</f>
        <v>5</v>
      </c>
      <c r="H36" s="10">
        <f>IFERROR(vlookup('1.5'!G:G,lookup!$A$14:$B$16,2,false),0)</f>
        <v>5</v>
      </c>
      <c r="I36" s="10">
        <f>IFERROR(vlookup('1.5'!H:H,lookup!$A$18:$B$20,2,false),0)</f>
        <v>5</v>
      </c>
      <c r="J36" s="10">
        <f>IFERROR(vlookup('1.5'!I:I,lookup!$A$22:$B$24,2,false),0)</f>
        <v>5</v>
      </c>
      <c r="K36" s="10">
        <f>IFERROR(vlookup('1.5'!J:J,lookup!$A$26:$B$28,2,false),0)</f>
        <v>5</v>
      </c>
      <c r="L36" s="2"/>
      <c r="M36" s="10">
        <v>35.0</v>
      </c>
      <c r="N36" s="11" t="str">
        <f t="shared" si="1"/>
        <v>bnco0935@signalschool.ac.th</v>
      </c>
      <c r="O36" s="12">
        <f t="shared" si="2"/>
        <v>1</v>
      </c>
      <c r="R36" s="17" t="s">
        <v>252</v>
      </c>
    </row>
    <row r="37">
      <c r="A37" s="8">
        <f>'1.5'!A:A</f>
        <v>46212.62317</v>
      </c>
      <c r="B37" s="2" t="str">
        <f>'1.5'!B:B</f>
        <v>bnco0952@signalschool.ac.th</v>
      </c>
      <c r="C37" s="2" t="str">
        <f>'1.5'!C:C</f>
        <v>ร.ต.วสันต์ ทัศนามล , จ.ส.อ.ประกาศิต แช่เจียม , จ.ส.อ.วรากร ไตรศัพท์ , จ.ส.ท.ศุภกิตติ์ ปัญญาจักร</v>
      </c>
      <c r="D37" s="9">
        <v>1.0</v>
      </c>
      <c r="E37" s="10">
        <f>IFERROR(vlookup('1.5'!D:D,lookup!$A$2:$B$4,2,false),0)</f>
        <v>5</v>
      </c>
      <c r="F37" s="10">
        <f>IFERROR(vlookup('1.5'!E:E,lookup!$A$6:$B$8,2,false),0)</f>
        <v>5</v>
      </c>
      <c r="G37" s="10">
        <f>IFERROR(vlookup('1.5'!F:F,lookup!$A$10:$B$12,2,false),0)</f>
        <v>5</v>
      </c>
      <c r="H37" s="10">
        <f>IFERROR(vlookup('1.5'!G:G,lookup!$A$14:$B$16,2,false),0)</f>
        <v>5</v>
      </c>
      <c r="I37" s="10">
        <f>IFERROR(vlookup('1.5'!H:H,lookup!$A$18:$B$20,2,false),0)</f>
        <v>5</v>
      </c>
      <c r="J37" s="10">
        <f>IFERROR(vlookup('1.5'!I:I,lookup!$A$22:$B$24,2,false),0)</f>
        <v>5</v>
      </c>
      <c r="K37" s="10">
        <f>IFERROR(vlookup('1.5'!J:J,lookup!$A$26:$B$28,2,false),0)</f>
        <v>5</v>
      </c>
      <c r="L37" s="2"/>
      <c r="M37" s="10">
        <v>36.0</v>
      </c>
      <c r="N37" s="11" t="str">
        <f t="shared" si="1"/>
        <v>bnco0936@signalschool.ac.th</v>
      </c>
      <c r="O37" s="12">
        <f t="shared" si="2"/>
        <v>1</v>
      </c>
      <c r="R37" s="17" t="s">
        <v>253</v>
      </c>
    </row>
    <row r="38">
      <c r="A38" s="8">
        <f>'1.5'!A:A</f>
        <v>46212.62321</v>
      </c>
      <c r="B38" s="2" t="str">
        <f>'1.5'!B:B</f>
        <v>bnco0927@signalschool.ac.th</v>
      </c>
      <c r="C38" s="2" t="str">
        <f>'1.5'!C:C</f>
        <v>จ.ส.อ.วรากร ไตรศัพท์/จ.ส.อ.ประกาศิต แซ่เจียม</v>
      </c>
      <c r="D38" s="9">
        <v>1.0</v>
      </c>
      <c r="E38" s="10">
        <f>IFERROR(vlookup('1.5'!D:D,lookup!$A$2:$B$4,2,false),0)</f>
        <v>5</v>
      </c>
      <c r="F38" s="10">
        <f>IFERROR(vlookup('1.5'!E:E,lookup!$A$6:$B$8,2,false),0)</f>
        <v>5</v>
      </c>
      <c r="G38" s="10">
        <f>IFERROR(vlookup('1.5'!F:F,lookup!$A$10:$B$12,2,false),0)</f>
        <v>5</v>
      </c>
      <c r="H38" s="10">
        <f>IFERROR(vlookup('1.5'!G:G,lookup!$A$14:$B$16,2,false),0)</f>
        <v>5</v>
      </c>
      <c r="I38" s="10">
        <f>IFERROR(vlookup('1.5'!H:H,lookup!$A$18:$B$20,2,false),0)</f>
        <v>5</v>
      </c>
      <c r="J38" s="10">
        <f>IFERROR(vlookup('1.5'!I:I,lookup!$A$22:$B$24,2,false),0)</f>
        <v>5</v>
      </c>
      <c r="K38" s="10">
        <f>IFERROR(vlookup('1.5'!J:J,lookup!$A$26:$B$28,2,false),0)</f>
        <v>5</v>
      </c>
      <c r="L38" s="2"/>
      <c r="M38" s="10">
        <v>37.0</v>
      </c>
      <c r="N38" s="11" t="str">
        <f t="shared" si="1"/>
        <v>bnco0937@signalschool.ac.th</v>
      </c>
      <c r="O38" s="12">
        <f t="shared" si="2"/>
        <v>1</v>
      </c>
      <c r="R38" s="17" t="s">
        <v>254</v>
      </c>
    </row>
    <row r="39">
      <c r="A39" s="8">
        <f>'1.5'!A:A</f>
        <v>46212.62323</v>
      </c>
      <c r="B39" s="2" t="str">
        <f>'1.5'!B:B</f>
        <v>bnco0943@signalschool.ac.th</v>
      </c>
      <c r="C39" s="2" t="str">
        <f>'1.5'!C:C</f>
        <v>ร.ต.วสันต์ ทัศนามล</v>
      </c>
      <c r="D39" s="9">
        <v>1.0</v>
      </c>
      <c r="E39" s="10">
        <f>IFERROR(vlookup('1.5'!D:D,lookup!$A$2:$B$4,2,false),0)</f>
        <v>5</v>
      </c>
      <c r="F39" s="10">
        <f>IFERROR(vlookup('1.5'!E:E,lookup!$A$6:$B$8,2,false),0)</f>
        <v>5</v>
      </c>
      <c r="G39" s="10">
        <f>IFERROR(vlookup('1.5'!F:F,lookup!$A$10:$B$12,2,false),0)</f>
        <v>5</v>
      </c>
      <c r="H39" s="10">
        <f>IFERROR(vlookup('1.5'!G:G,lookup!$A$14:$B$16,2,false),0)</f>
        <v>5</v>
      </c>
      <c r="I39" s="10">
        <f>IFERROR(vlookup('1.5'!H:H,lookup!$A$18:$B$20,2,false),0)</f>
        <v>5</v>
      </c>
      <c r="J39" s="10">
        <f>IFERROR(vlookup('1.5'!I:I,lookup!$A$22:$B$24,2,false),0)</f>
        <v>5</v>
      </c>
      <c r="K39" s="10">
        <f>IFERROR(vlookup('1.5'!J:J,lookup!$A$26:$B$28,2,false),0)</f>
        <v>5</v>
      </c>
      <c r="L39" s="2"/>
      <c r="M39" s="10">
        <v>38.0</v>
      </c>
      <c r="N39" s="11" t="str">
        <f t="shared" si="1"/>
        <v>bnco0938@signalschool.ac.th</v>
      </c>
      <c r="O39" s="12">
        <f t="shared" si="2"/>
        <v>1</v>
      </c>
      <c r="R39" s="17" t="s">
        <v>255</v>
      </c>
    </row>
    <row r="40">
      <c r="A40" s="8">
        <f>'1.5'!A:A</f>
        <v>46212.62336</v>
      </c>
      <c r="B40" s="2" t="str">
        <f>'1.5'!B:B</f>
        <v>bnco0941@signalschool.ac.th</v>
      </c>
      <c r="C40" s="2" t="str">
        <f>'1.5'!C:C</f>
        <v>ร.ท.ศุภรัชภ หมอกสุช</v>
      </c>
      <c r="D40" s="9">
        <v>1.0</v>
      </c>
      <c r="E40" s="10">
        <f>IFERROR(vlookup('1.5'!D:D,lookup!$A$2:$B$4,2,false),0)</f>
        <v>5</v>
      </c>
      <c r="F40" s="10">
        <f>IFERROR(vlookup('1.5'!E:E,lookup!$A$6:$B$8,2,false),0)</f>
        <v>5</v>
      </c>
      <c r="G40" s="10">
        <f>IFERROR(vlookup('1.5'!F:F,lookup!$A$10:$B$12,2,false),0)</f>
        <v>5</v>
      </c>
      <c r="H40" s="10">
        <f>IFERROR(vlookup('1.5'!G:G,lookup!$A$14:$B$16,2,false),0)</f>
        <v>5</v>
      </c>
      <c r="I40" s="10">
        <f>IFERROR(vlookup('1.5'!H:H,lookup!$A$18:$B$20,2,false),0)</f>
        <v>5</v>
      </c>
      <c r="J40" s="10">
        <f>IFERROR(vlookup('1.5'!I:I,lookup!$A$22:$B$24,2,false),0)</f>
        <v>5</v>
      </c>
      <c r="K40" s="10">
        <f>IFERROR(vlookup('1.5'!J:J,lookup!$A$26:$B$28,2,false),0)</f>
        <v>5</v>
      </c>
      <c r="L40" s="2"/>
      <c r="M40" s="10">
        <v>39.0</v>
      </c>
      <c r="N40" s="11" t="str">
        <f t="shared" si="1"/>
        <v>bnco0939@signalschool.ac.th</v>
      </c>
      <c r="O40" s="12">
        <f t="shared" si="2"/>
        <v>1</v>
      </c>
      <c r="R40" s="17" t="s">
        <v>256</v>
      </c>
    </row>
    <row r="41">
      <c r="A41" s="8">
        <f>'1.5'!A:A</f>
        <v>46212.62344</v>
      </c>
      <c r="B41" s="2" t="str">
        <f>'1.5'!B:B</f>
        <v>bnco0930@signalschool.ac.th</v>
      </c>
      <c r="C41" s="2" t="str">
        <f>'1.5'!C:C</f>
        <v>ร.ต.วสันต์ ทัศนามล , จ.ส.อ.ประกาศิต แช่เจียม , จ.ส.อ.วรากร ไตรศัพท์ , จ.ส.ท.ศุภกิตติ์ ปัญญาจักร</v>
      </c>
      <c r="D41" s="9">
        <v>1.0</v>
      </c>
      <c r="E41" s="10">
        <f>IFERROR(vlookup('1.5'!D:D,lookup!$A$2:$B$4,2,false),0)</f>
        <v>5</v>
      </c>
      <c r="F41" s="10">
        <f>IFERROR(vlookup('1.5'!E:E,lookup!$A$6:$B$8,2,false),0)</f>
        <v>5</v>
      </c>
      <c r="G41" s="10">
        <f>IFERROR(vlookup('1.5'!F:F,lookup!$A$10:$B$12,2,false),0)</f>
        <v>5</v>
      </c>
      <c r="H41" s="10">
        <f>IFERROR(vlookup('1.5'!G:G,lookup!$A$14:$B$16,2,false),0)</f>
        <v>5</v>
      </c>
      <c r="I41" s="10">
        <f>IFERROR(vlookup('1.5'!H:H,lookup!$A$18:$B$20,2,false),0)</f>
        <v>5</v>
      </c>
      <c r="J41" s="10">
        <f>IFERROR(vlookup('1.5'!I:I,lookup!$A$22:$B$24,2,false),0)</f>
        <v>5</v>
      </c>
      <c r="K41" s="10">
        <f>IFERROR(vlookup('1.5'!J:J,lookup!$A$26:$B$28,2,false),0)</f>
        <v>5</v>
      </c>
      <c r="L41" s="2"/>
      <c r="M41" s="10">
        <v>40.0</v>
      </c>
      <c r="N41" s="11" t="str">
        <f t="shared" si="1"/>
        <v>bnco0940@signalschool.ac.th</v>
      </c>
      <c r="O41" s="12">
        <f t="shared" si="2"/>
        <v>1</v>
      </c>
      <c r="R41" s="17" t="s">
        <v>257</v>
      </c>
    </row>
    <row r="42">
      <c r="A42" s="8">
        <f>'1.5'!A:A</f>
        <v>46212.62355</v>
      </c>
      <c r="B42" s="2" t="str">
        <f>'1.5'!B:B</f>
        <v>bnco0926@signalschool.ac.th</v>
      </c>
      <c r="C42" s="2" t="str">
        <f>'1.5'!C:C</f>
        <v>ร.ต.วสันต์ ทัศนามล , จ.ส.อ.ประกาศิต แช่เจียม , จ.ส.อ.วรากร ไตรศัพท์ , จ.ส.ท.ศุภกิตติ์ ปัญญาจักร</v>
      </c>
      <c r="D42" s="9">
        <v>1.0</v>
      </c>
      <c r="E42" s="10">
        <f>IFERROR(vlookup('1.5'!D:D,lookup!$A$2:$B$4,2,false),0)</f>
        <v>5</v>
      </c>
      <c r="F42" s="10">
        <f>IFERROR(vlookup('1.5'!E:E,lookup!$A$6:$B$8,2,false),0)</f>
        <v>5</v>
      </c>
      <c r="G42" s="10">
        <f>IFERROR(vlookup('1.5'!F:F,lookup!$A$10:$B$12,2,false),0)</f>
        <v>5</v>
      </c>
      <c r="H42" s="10">
        <f>IFERROR(vlookup('1.5'!G:G,lookup!$A$14:$B$16,2,false),0)</f>
        <v>5</v>
      </c>
      <c r="I42" s="10">
        <f>IFERROR(vlookup('1.5'!H:H,lookup!$A$18:$B$20,2,false),0)</f>
        <v>5</v>
      </c>
      <c r="J42" s="10">
        <f>IFERROR(vlookup('1.5'!I:I,lookup!$A$22:$B$24,2,false),0)</f>
        <v>5</v>
      </c>
      <c r="K42" s="10">
        <f>IFERROR(vlookup('1.5'!J:J,lookup!$A$26:$B$28,2,false),0)</f>
        <v>5</v>
      </c>
      <c r="L42" s="2"/>
      <c r="M42" s="10">
        <v>41.0</v>
      </c>
      <c r="N42" s="11" t="str">
        <f t="shared" si="1"/>
        <v>bnco0941@signalschool.ac.th</v>
      </c>
      <c r="O42" s="12">
        <f t="shared" si="2"/>
        <v>1</v>
      </c>
      <c r="R42" s="17" t="s">
        <v>258</v>
      </c>
    </row>
    <row r="43">
      <c r="A43" s="8">
        <f>'1.5'!A:A</f>
        <v>46212.62362</v>
      </c>
      <c r="B43" s="2" t="str">
        <f>'1.5'!B:B</f>
        <v>bnco0932@signalschool.ac.th</v>
      </c>
      <c r="C43" s="2" t="str">
        <f>'1.5'!C:C</f>
        <v>ร.ต.วสันต์ ทัศนามล , จ.ส.อ.ประกาศิต แช่เจียม , จ.ส.อ.วรากร ไตรศัพท์ , จ.ส.ท.ศุภกิตติ์ ปัญญาจักร</v>
      </c>
      <c r="D43" s="9">
        <v>1.0</v>
      </c>
      <c r="E43" s="10">
        <f>IFERROR(vlookup('1.5'!D:D,lookup!$A$2:$B$4,2,false),0)</f>
        <v>5</v>
      </c>
      <c r="F43" s="10">
        <f>IFERROR(vlookup('1.5'!E:E,lookup!$A$6:$B$8,2,false),0)</f>
        <v>5</v>
      </c>
      <c r="G43" s="10">
        <f>IFERROR(vlookup('1.5'!F:F,lookup!$A$10:$B$12,2,false),0)</f>
        <v>5</v>
      </c>
      <c r="H43" s="10">
        <f>IFERROR(vlookup('1.5'!G:G,lookup!$A$14:$B$16,2,false),0)</f>
        <v>5</v>
      </c>
      <c r="I43" s="10">
        <f>IFERROR(vlookup('1.5'!H:H,lookup!$A$18:$B$20,2,false),0)</f>
        <v>5</v>
      </c>
      <c r="J43" s="10">
        <f>IFERROR(vlookup('1.5'!I:I,lookup!$A$22:$B$24,2,false),0)</f>
        <v>5</v>
      </c>
      <c r="K43" s="10">
        <f>IFERROR(vlookup('1.5'!J:J,lookup!$A$26:$B$28,2,false),0)</f>
        <v>5</v>
      </c>
      <c r="L43" s="2"/>
      <c r="M43" s="10">
        <v>42.0</v>
      </c>
      <c r="N43" s="11" t="str">
        <f t="shared" si="1"/>
        <v>bnco0942@signalschool.ac.th</v>
      </c>
      <c r="O43" s="12">
        <f t="shared" si="2"/>
        <v>1</v>
      </c>
      <c r="R43" s="17" t="s">
        <v>259</v>
      </c>
    </row>
    <row r="44">
      <c r="A44" s="8">
        <f>'1.5'!A:A</f>
        <v>46212.62368</v>
      </c>
      <c r="B44" s="2" t="str">
        <f>'1.5'!B:B</f>
        <v>bnco0948@signalschool.ac.th</v>
      </c>
      <c r="C44" s="2" t="str">
        <f>'1.5'!C:C</f>
        <v>ร.ต.วสันต์ ทัศนามล</v>
      </c>
      <c r="D44" s="9">
        <v>1.0</v>
      </c>
      <c r="E44" s="10">
        <f>IFERROR(vlookup('1.5'!D:D,lookup!$A$2:$B$4,2,false),0)</f>
        <v>5</v>
      </c>
      <c r="F44" s="10">
        <f>IFERROR(vlookup('1.5'!E:E,lookup!$A$6:$B$8,2,false),0)</f>
        <v>5</v>
      </c>
      <c r="G44" s="10">
        <f>IFERROR(vlookup('1.5'!F:F,lookup!$A$10:$B$12,2,false),0)</f>
        <v>5</v>
      </c>
      <c r="H44" s="10">
        <f>IFERROR(vlookup('1.5'!G:G,lookup!$A$14:$B$16,2,false),0)</f>
        <v>5</v>
      </c>
      <c r="I44" s="10">
        <f>IFERROR(vlookup('1.5'!H:H,lookup!$A$18:$B$20,2,false),0)</f>
        <v>5</v>
      </c>
      <c r="J44" s="10">
        <f>IFERROR(vlookup('1.5'!I:I,lookup!$A$22:$B$24,2,false),0)</f>
        <v>5</v>
      </c>
      <c r="K44" s="10">
        <f>IFERROR(vlookup('1.5'!J:J,lookup!$A$26:$B$28,2,false),0)</f>
        <v>5</v>
      </c>
      <c r="L44" s="2"/>
      <c r="M44" s="10">
        <v>43.0</v>
      </c>
      <c r="N44" s="11" t="str">
        <f t="shared" si="1"/>
        <v>bnco0943@signalschool.ac.th</v>
      </c>
      <c r="O44" s="12">
        <f t="shared" si="2"/>
        <v>1</v>
      </c>
      <c r="R44" s="17" t="s">
        <v>260</v>
      </c>
    </row>
    <row r="45">
      <c r="A45" s="8">
        <f>'1.5'!A:A</f>
        <v>46212.62378</v>
      </c>
      <c r="B45" s="2" t="str">
        <f>'1.5'!B:B</f>
        <v>bnco0908@signalschool.ac.th</v>
      </c>
      <c r="C45" s="2" t="str">
        <f>'1.5'!C:C</f>
        <v>ร.ต.วสันต์ ทัศนามล , จ.ส.อ.ประกาศิต แช่เจียม , จ.ส.อ.วรากร ไตรศัพท์ , จ.ส.ท.ศุภกิตติ์ ปัญญาจักร</v>
      </c>
      <c r="D45" s="9">
        <v>1.0</v>
      </c>
      <c r="E45" s="10">
        <f>IFERROR(vlookup('1.5'!D:D,lookup!$A$2:$B$4,2,false),0)</f>
        <v>5</v>
      </c>
      <c r="F45" s="10">
        <f>IFERROR(vlookup('1.5'!E:E,lookup!$A$6:$B$8,2,false),0)</f>
        <v>5</v>
      </c>
      <c r="G45" s="10">
        <f>IFERROR(vlookup('1.5'!F:F,lookup!$A$10:$B$12,2,false),0)</f>
        <v>5</v>
      </c>
      <c r="H45" s="10">
        <f>IFERROR(vlookup('1.5'!G:G,lookup!$A$14:$B$16,2,false),0)</f>
        <v>5</v>
      </c>
      <c r="I45" s="10">
        <f>IFERROR(vlookup('1.5'!H:H,lookup!$A$18:$B$20,2,false),0)</f>
        <v>5</v>
      </c>
      <c r="J45" s="10">
        <f>IFERROR(vlookup('1.5'!I:I,lookup!$A$22:$B$24,2,false),0)</f>
        <v>5</v>
      </c>
      <c r="K45" s="10">
        <f>IFERROR(vlookup('1.5'!J:J,lookup!$A$26:$B$28,2,false),0)</f>
        <v>5</v>
      </c>
      <c r="L45" s="2"/>
      <c r="M45" s="10">
        <v>44.0</v>
      </c>
      <c r="N45" s="11" t="str">
        <f t="shared" si="1"/>
        <v>bnco0944@signalschool.ac.th</v>
      </c>
      <c r="O45" s="12">
        <f t="shared" si="2"/>
        <v>1</v>
      </c>
      <c r="R45" s="17" t="s">
        <v>261</v>
      </c>
    </row>
    <row r="46">
      <c r="A46" s="8">
        <f>'1.5'!A:A</f>
        <v>46212.62395</v>
      </c>
      <c r="B46" s="2" t="str">
        <f>'1.5'!B:B</f>
        <v>bnco0903@signalschool.ac.th</v>
      </c>
      <c r="C46" s="2" t="str">
        <f>'1.5'!C:C</f>
        <v>จ.ส.อ.ประกาศิต แซ่เจียม</v>
      </c>
      <c r="D46" s="9">
        <v>1.0</v>
      </c>
      <c r="E46" s="10">
        <f>IFERROR(vlookup('1.5'!D:D,lookup!$A$2:$B$4,2,false),0)</f>
        <v>5</v>
      </c>
      <c r="F46" s="10">
        <f>IFERROR(vlookup('1.5'!E:E,lookup!$A$6:$B$8,2,false),0)</f>
        <v>5</v>
      </c>
      <c r="G46" s="10">
        <f>IFERROR(vlookup('1.5'!F:F,lookup!$A$10:$B$12,2,false),0)</f>
        <v>5</v>
      </c>
      <c r="H46" s="10">
        <f>IFERROR(vlookup('1.5'!G:G,lookup!$A$14:$B$16,2,false),0)</f>
        <v>5</v>
      </c>
      <c r="I46" s="10">
        <f>IFERROR(vlookup('1.5'!H:H,lookup!$A$18:$B$20,2,false),0)</f>
        <v>5</v>
      </c>
      <c r="J46" s="10">
        <f>IFERROR(vlookup('1.5'!I:I,lookup!$A$22:$B$24,2,false),0)</f>
        <v>5</v>
      </c>
      <c r="K46" s="10">
        <f>IFERROR(vlookup('1.5'!J:J,lookup!$A$26:$B$28,2,false),0)</f>
        <v>5</v>
      </c>
      <c r="L46" s="2"/>
      <c r="M46" s="10">
        <v>45.0</v>
      </c>
      <c r="N46" s="11" t="str">
        <f t="shared" si="1"/>
        <v>bnco0945@signalschool.ac.th</v>
      </c>
      <c r="O46" s="12">
        <f t="shared" si="2"/>
        <v>1</v>
      </c>
      <c r="R46" s="17" t="s">
        <v>262</v>
      </c>
    </row>
    <row r="47">
      <c r="A47" s="8">
        <f>'1.5'!A:A</f>
        <v>46212.62404</v>
      </c>
      <c r="B47" s="2" t="str">
        <f>'1.5'!B:B</f>
        <v>bnco0929@signalschool.ac.th</v>
      </c>
      <c r="C47" s="2" t="str">
        <f>'1.5'!C:C</f>
        <v>ร.ต.วสันต์ ทัศนามล</v>
      </c>
      <c r="D47" s="9">
        <v>1.0</v>
      </c>
      <c r="E47" s="10">
        <f>IFERROR(vlookup('1.5'!D:D,lookup!$A$2:$B$4,2,false),0)</f>
        <v>5</v>
      </c>
      <c r="F47" s="10">
        <f>IFERROR(vlookup('1.5'!E:E,lookup!$A$6:$B$8,2,false),0)</f>
        <v>5</v>
      </c>
      <c r="G47" s="10">
        <f>IFERROR(vlookup('1.5'!F:F,lookup!$A$10:$B$12,2,false),0)</f>
        <v>5</v>
      </c>
      <c r="H47" s="10">
        <f>IFERROR(vlookup('1.5'!G:G,lookup!$A$14:$B$16,2,false),0)</f>
        <v>5</v>
      </c>
      <c r="I47" s="10">
        <f>IFERROR(vlookup('1.5'!H:H,lookup!$A$18:$B$20,2,false),0)</f>
        <v>5</v>
      </c>
      <c r="J47" s="10">
        <f>IFERROR(vlookup('1.5'!I:I,lookup!$A$22:$B$24,2,false),0)</f>
        <v>5</v>
      </c>
      <c r="K47" s="10">
        <f>IFERROR(vlookup('1.5'!J:J,lookup!$A$26:$B$28,2,false),0)</f>
        <v>5</v>
      </c>
      <c r="L47" s="2"/>
      <c r="M47" s="10">
        <v>46.0</v>
      </c>
      <c r="N47" s="11" t="str">
        <f t="shared" si="1"/>
        <v>bnco0946@signalschool.ac.th</v>
      </c>
      <c r="O47" s="12">
        <f t="shared" si="2"/>
        <v>1</v>
      </c>
      <c r="R47" s="17" t="s">
        <v>263</v>
      </c>
    </row>
    <row r="48">
      <c r="A48" s="8">
        <f>'1.5'!A:A</f>
        <v>46212.62405</v>
      </c>
      <c r="B48" s="2" t="str">
        <f>'1.5'!B:B</f>
        <v>bnco0936@signalschool.ac.th</v>
      </c>
      <c r="C48" s="2" t="str">
        <f>'1.5'!C:C</f>
        <v>ร.ต.วสันต์ ทัศนามล , จ.ส.อ.ประกาศิต แช่เจียม , จ.ส.อ.วรากร ไตรศัพท์ , จ.ส.ท.ศุภกิตติ์ ปัญญาจักร</v>
      </c>
      <c r="D48" s="9">
        <v>1.0</v>
      </c>
      <c r="E48" s="10">
        <f>IFERROR(vlookup('1.5'!D:D,lookup!$A$2:$B$4,2,false),0)</f>
        <v>5</v>
      </c>
      <c r="F48" s="10">
        <f>IFERROR(vlookup('1.5'!E:E,lookup!$A$6:$B$8,2,false),0)</f>
        <v>5</v>
      </c>
      <c r="G48" s="10">
        <f>IFERROR(vlookup('1.5'!F:F,lookup!$A$10:$B$12,2,false),0)</f>
        <v>5</v>
      </c>
      <c r="H48" s="10">
        <f>IFERROR(vlookup('1.5'!G:G,lookup!$A$14:$B$16,2,false),0)</f>
        <v>5</v>
      </c>
      <c r="I48" s="10">
        <f>IFERROR(vlookup('1.5'!H:H,lookup!$A$18:$B$20,2,false),0)</f>
        <v>5</v>
      </c>
      <c r="J48" s="10">
        <f>IFERROR(vlookup('1.5'!I:I,lookup!$A$22:$B$24,2,false),0)</f>
        <v>5</v>
      </c>
      <c r="K48" s="10">
        <f>IFERROR(vlookup('1.5'!J:J,lookup!$A$26:$B$28,2,false),0)</f>
        <v>5</v>
      </c>
      <c r="L48" s="2"/>
      <c r="M48" s="10">
        <v>47.0</v>
      </c>
      <c r="N48" s="11" t="str">
        <f t="shared" si="1"/>
        <v>bnco0947@signalschool.ac.th</v>
      </c>
      <c r="O48" s="12">
        <f t="shared" si="2"/>
        <v>1</v>
      </c>
      <c r="R48" s="17" t="s">
        <v>264</v>
      </c>
    </row>
    <row r="49">
      <c r="A49" s="8">
        <f>'1.5'!A:A</f>
        <v>46212.62418</v>
      </c>
      <c r="B49" s="2" t="str">
        <f>'1.5'!B:B</f>
        <v>bnco0922@signalschool.ac.th</v>
      </c>
      <c r="C49" s="2" t="str">
        <f>'1.5'!C:C</f>
        <v>ร.ต.วสันต์ ทัศนามล , จ.ส.อ.ประกาศิต แช่เจียม , จ.ส.อ.วรากร ไตรศัพท์ , จ.ส.ท.ศุภกิตติ์ ปัญญาจักร</v>
      </c>
      <c r="D49" s="9">
        <v>1.0</v>
      </c>
      <c r="E49" s="10">
        <f>IFERROR(vlookup('1.5'!D:D,lookup!$A$2:$B$4,2,false),0)</f>
        <v>5</v>
      </c>
      <c r="F49" s="10">
        <f>IFERROR(vlookup('1.5'!E:E,lookup!$A$6:$B$8,2,false),0)</f>
        <v>5</v>
      </c>
      <c r="G49" s="10">
        <f>IFERROR(vlookup('1.5'!F:F,lookup!$A$10:$B$12,2,false),0)</f>
        <v>5</v>
      </c>
      <c r="H49" s="10">
        <f>IFERROR(vlookup('1.5'!G:G,lookup!$A$14:$B$16,2,false),0)</f>
        <v>5</v>
      </c>
      <c r="I49" s="10">
        <f>IFERROR(vlookup('1.5'!H:H,lookup!$A$18:$B$20,2,false),0)</f>
        <v>5</v>
      </c>
      <c r="J49" s="10">
        <f>IFERROR(vlookup('1.5'!I:I,lookup!$A$22:$B$24,2,false),0)</f>
        <v>5</v>
      </c>
      <c r="K49" s="10">
        <f>IFERROR(vlookup('1.5'!J:J,lookup!$A$26:$B$28,2,false),0)</f>
        <v>5</v>
      </c>
      <c r="L49" s="2"/>
      <c r="M49" s="10">
        <v>48.0</v>
      </c>
      <c r="N49" s="11" t="str">
        <f t="shared" si="1"/>
        <v>bnco0948@signalschool.ac.th</v>
      </c>
      <c r="O49" s="12">
        <f t="shared" si="2"/>
        <v>1</v>
      </c>
      <c r="R49" s="17" t="s">
        <v>265</v>
      </c>
    </row>
    <row r="50">
      <c r="A50" s="8">
        <f>'1.5'!A:A</f>
        <v>46212.62422</v>
      </c>
      <c r="B50" s="2" t="str">
        <f>'1.5'!B:B</f>
        <v>bnco0964@signalschool.ac.th</v>
      </c>
      <c r="C50" s="2" t="str">
        <f>'1.5'!C:C</f>
        <v>ร.ต.วสันต์ ทัศนามล จ.ส.อ.ประกาศิต แซ่เจียม จ.ส.อ.วรากร ไตรศัพท์ จ.ส.ท.ศุกภกิตติ์ ปัญญาจักร</v>
      </c>
      <c r="D50" s="9">
        <v>1.0</v>
      </c>
      <c r="E50" s="10">
        <f>IFERROR(vlookup('1.5'!D:D,lookup!$A$2:$B$4,2,false),0)</f>
        <v>5</v>
      </c>
      <c r="F50" s="10">
        <f>IFERROR(vlookup('1.5'!E:E,lookup!$A$6:$B$8,2,false),0)</f>
        <v>5</v>
      </c>
      <c r="G50" s="10">
        <f>IFERROR(vlookup('1.5'!F:F,lookup!$A$10:$B$12,2,false),0)</f>
        <v>5</v>
      </c>
      <c r="H50" s="10">
        <f>IFERROR(vlookup('1.5'!G:G,lookup!$A$14:$B$16,2,false),0)</f>
        <v>5</v>
      </c>
      <c r="I50" s="10">
        <f>IFERROR(vlookup('1.5'!H:H,lookup!$A$18:$B$20,2,false),0)</f>
        <v>5</v>
      </c>
      <c r="J50" s="10">
        <f>IFERROR(vlookup('1.5'!I:I,lookup!$A$22:$B$24,2,false),0)</f>
        <v>5</v>
      </c>
      <c r="K50" s="10">
        <f>IFERROR(vlookup('1.5'!J:J,lookup!$A$26:$B$28,2,false),0)</f>
        <v>5</v>
      </c>
      <c r="L50" s="2"/>
      <c r="M50" s="10">
        <v>49.0</v>
      </c>
      <c r="N50" s="11" t="str">
        <f t="shared" si="1"/>
        <v>bnco0949@signalschool.ac.th</v>
      </c>
      <c r="O50" s="12">
        <f t="shared" si="2"/>
        <v>1</v>
      </c>
      <c r="R50" s="17" t="s">
        <v>266</v>
      </c>
    </row>
    <row r="51">
      <c r="A51" s="8">
        <f>'1.5'!A:A</f>
        <v>46212.62424</v>
      </c>
      <c r="B51" s="2" t="str">
        <f>'1.5'!B:B</f>
        <v>bnco0905@signalschool.ac.th</v>
      </c>
      <c r="C51" s="2" t="str">
        <f>'1.5'!C:C</f>
        <v>ร.ต.วสันต์ ทัศนามล</v>
      </c>
      <c r="D51" s="9">
        <v>1.0</v>
      </c>
      <c r="E51" s="10">
        <f>IFERROR(vlookup('1.5'!D:D,lookup!$A$2:$B$4,2,false),0)</f>
        <v>5</v>
      </c>
      <c r="F51" s="10">
        <f>IFERROR(vlookup('1.5'!E:E,lookup!$A$6:$B$8,2,false),0)</f>
        <v>5</v>
      </c>
      <c r="G51" s="10">
        <f>IFERROR(vlookup('1.5'!F:F,lookup!$A$10:$B$12,2,false),0)</f>
        <v>5</v>
      </c>
      <c r="H51" s="10">
        <f>IFERROR(vlookup('1.5'!G:G,lookup!$A$14:$B$16,2,false),0)</f>
        <v>5</v>
      </c>
      <c r="I51" s="10">
        <f>IFERROR(vlookup('1.5'!H:H,lookup!$A$18:$B$20,2,false),0)</f>
        <v>5</v>
      </c>
      <c r="J51" s="10">
        <f>IFERROR(vlookup('1.5'!I:I,lookup!$A$22:$B$24,2,false),0)</f>
        <v>5</v>
      </c>
      <c r="K51" s="10">
        <f>IFERROR(vlookup('1.5'!J:J,lookup!$A$26:$B$28,2,false),0)</f>
        <v>5</v>
      </c>
      <c r="L51" s="2"/>
      <c r="M51" s="10">
        <v>50.0</v>
      </c>
      <c r="N51" s="11" t="str">
        <f t="shared" si="1"/>
        <v>bnco0950@signalschool.ac.th</v>
      </c>
      <c r="O51" s="12">
        <f t="shared" si="2"/>
        <v>1</v>
      </c>
      <c r="R51" s="17" t="s">
        <v>267</v>
      </c>
    </row>
    <row r="52">
      <c r="A52" s="8">
        <f>'1.5'!A:A</f>
        <v>46212.62434</v>
      </c>
      <c r="B52" s="2" t="str">
        <f>'1.5'!B:B</f>
        <v>bnco0974@signalschool.ac.th</v>
      </c>
      <c r="C52" s="2" t="str">
        <f>'1.5'!C:C</f>
        <v>จ.ส.อ.พงศภัค อุ่นอนันต์</v>
      </c>
      <c r="D52" s="9">
        <v>1.0</v>
      </c>
      <c r="E52" s="10">
        <f>IFERROR(vlookup('1.5'!D:D,lookup!$A$2:$B$4,2,false),0)</f>
        <v>5</v>
      </c>
      <c r="F52" s="10">
        <f>IFERROR(vlookup('1.5'!E:E,lookup!$A$6:$B$8,2,false),0)</f>
        <v>5</v>
      </c>
      <c r="G52" s="10">
        <f>IFERROR(vlookup('1.5'!F:F,lookup!$A$10:$B$12,2,false),0)</f>
        <v>5</v>
      </c>
      <c r="H52" s="10">
        <f>IFERROR(vlookup('1.5'!G:G,lookup!$A$14:$B$16,2,false),0)</f>
        <v>5</v>
      </c>
      <c r="I52" s="10">
        <f>IFERROR(vlookup('1.5'!H:H,lookup!$A$18:$B$20,2,false),0)</f>
        <v>5</v>
      </c>
      <c r="J52" s="10">
        <f>IFERROR(vlookup('1.5'!I:I,lookup!$A$22:$B$24,2,false),0)</f>
        <v>5</v>
      </c>
      <c r="K52" s="10">
        <f>IFERROR(vlookup('1.5'!J:J,lookup!$A$26:$B$28,2,false),0)</f>
        <v>5</v>
      </c>
      <c r="L52" s="2"/>
      <c r="M52" s="10">
        <v>51.0</v>
      </c>
      <c r="N52" s="11" t="str">
        <f t="shared" si="1"/>
        <v>bnco0951@signalschool.ac.th</v>
      </c>
      <c r="O52" s="12">
        <f t="shared" si="2"/>
        <v>1</v>
      </c>
      <c r="R52" s="17" t="s">
        <v>268</v>
      </c>
    </row>
    <row r="53">
      <c r="A53" s="8">
        <f>'1.5'!A:A</f>
        <v>46212.62454</v>
      </c>
      <c r="B53" s="2" t="str">
        <f>'1.5'!B:B</f>
        <v>bnco0965@signalschool.ac.th</v>
      </c>
      <c r="C53" s="2" t="str">
        <f>'1.5'!C:C</f>
        <v>ร.ต.วสันต์ ทัศนามล , จ.ส.อ.ประกาศิต แช่เจียม , จ.ส.อ.วรากร ไตรศัพท์ , จ.ส.ท.ศุภกิตติ์ ปัญญาจักร</v>
      </c>
      <c r="D53" s="9">
        <v>1.0</v>
      </c>
      <c r="E53" s="10">
        <f>IFERROR(vlookup('1.5'!D:D,lookup!$A$2:$B$4,2,false),0)</f>
        <v>5</v>
      </c>
      <c r="F53" s="10">
        <f>IFERROR(vlookup('1.5'!E:E,lookup!$A$6:$B$8,2,false),0)</f>
        <v>5</v>
      </c>
      <c r="G53" s="10">
        <f>IFERROR(vlookup('1.5'!F:F,lookup!$A$10:$B$12,2,false),0)</f>
        <v>5</v>
      </c>
      <c r="H53" s="10">
        <f>IFERROR(vlookup('1.5'!G:G,lookup!$A$14:$B$16,2,false),0)</f>
        <v>5</v>
      </c>
      <c r="I53" s="10">
        <f>IFERROR(vlookup('1.5'!H:H,lookup!$A$18:$B$20,2,false),0)</f>
        <v>5</v>
      </c>
      <c r="J53" s="10">
        <f>IFERROR(vlookup('1.5'!I:I,lookup!$A$22:$B$24,2,false),0)</f>
        <v>5</v>
      </c>
      <c r="K53" s="10">
        <f>IFERROR(vlookup('1.5'!J:J,lookup!$A$26:$B$28,2,false),0)</f>
        <v>3</v>
      </c>
      <c r="L53" s="2"/>
      <c r="M53" s="10">
        <v>52.0</v>
      </c>
      <c r="N53" s="11" t="str">
        <f t="shared" si="1"/>
        <v>bnco0952@signalschool.ac.th</v>
      </c>
      <c r="O53" s="12">
        <f t="shared" si="2"/>
        <v>1</v>
      </c>
      <c r="R53" s="17" t="s">
        <v>269</v>
      </c>
    </row>
    <row r="54">
      <c r="A54" s="8">
        <f>'1.5'!A:A</f>
        <v>46212.62461</v>
      </c>
      <c r="B54" s="2" t="str">
        <f>'1.5'!B:B</f>
        <v>bnco0915@signalschool.ac.th</v>
      </c>
      <c r="C54" s="2" t="str">
        <f>'1.5'!C:C</f>
        <v>ร.ต.วสันต์​  ทัศนามล</v>
      </c>
      <c r="D54" s="9">
        <v>1.0</v>
      </c>
      <c r="E54" s="10">
        <f>IFERROR(vlookup('1.5'!D:D,lookup!$A$2:$B$4,2,false),0)</f>
        <v>5</v>
      </c>
      <c r="F54" s="10">
        <f>IFERROR(vlookup('1.5'!E:E,lookup!$A$6:$B$8,2,false),0)</f>
        <v>5</v>
      </c>
      <c r="G54" s="10">
        <f>IFERROR(vlookup('1.5'!F:F,lookup!$A$10:$B$12,2,false),0)</f>
        <v>3</v>
      </c>
      <c r="H54" s="10">
        <f>IFERROR(vlookup('1.5'!G:G,lookup!$A$14:$B$16,2,false),0)</f>
        <v>5</v>
      </c>
      <c r="I54" s="10">
        <f>IFERROR(vlookup('1.5'!H:H,lookup!$A$18:$B$20,2,false),0)</f>
        <v>5</v>
      </c>
      <c r="J54" s="10">
        <f>IFERROR(vlookup('1.5'!I:I,lookup!$A$22:$B$24,2,false),0)</f>
        <v>5</v>
      </c>
      <c r="K54" s="10">
        <f>IFERROR(vlookup('1.5'!J:J,lookup!$A$26:$B$28,2,false),0)</f>
        <v>5</v>
      </c>
      <c r="L54" s="2"/>
      <c r="M54" s="10">
        <v>53.0</v>
      </c>
      <c r="N54" s="11" t="str">
        <f t="shared" si="1"/>
        <v>bnco0953@signalschool.ac.th</v>
      </c>
      <c r="O54" s="12">
        <f t="shared" si="2"/>
        <v>1</v>
      </c>
      <c r="R54" s="17" t="s">
        <v>270</v>
      </c>
    </row>
    <row r="55">
      <c r="A55" s="8">
        <f>'1.5'!A:A</f>
        <v>46212.62468</v>
      </c>
      <c r="B55" s="2" t="str">
        <f>'1.5'!B:B</f>
        <v>bnco0963@signalschool.ac.th</v>
      </c>
      <c r="C55" s="2" t="str">
        <f>'1.5'!C:C</f>
        <v>ร.ต.วสันต์ ทัศนามล</v>
      </c>
      <c r="D55" s="9">
        <v>1.0</v>
      </c>
      <c r="E55" s="10">
        <f>IFERROR(vlookup('1.5'!D:D,lookup!$A$2:$B$4,2,false),0)</f>
        <v>5</v>
      </c>
      <c r="F55" s="10">
        <f>IFERROR(vlookup('1.5'!E:E,lookup!$A$6:$B$8,2,false),0)</f>
        <v>5</v>
      </c>
      <c r="G55" s="10">
        <f>IFERROR(vlookup('1.5'!F:F,lookup!$A$10:$B$12,2,false),0)</f>
        <v>5</v>
      </c>
      <c r="H55" s="10">
        <f>IFERROR(vlookup('1.5'!G:G,lookup!$A$14:$B$16,2,false),0)</f>
        <v>5</v>
      </c>
      <c r="I55" s="10">
        <f>IFERROR(vlookup('1.5'!H:H,lookup!$A$18:$B$20,2,false),0)</f>
        <v>5</v>
      </c>
      <c r="J55" s="10">
        <f>IFERROR(vlookup('1.5'!I:I,lookup!$A$22:$B$24,2,false),0)</f>
        <v>5</v>
      </c>
      <c r="K55" s="10">
        <f>IFERROR(vlookup('1.5'!J:J,lookup!$A$26:$B$28,2,false),0)</f>
        <v>5</v>
      </c>
      <c r="L55" s="2"/>
      <c r="M55" s="10">
        <v>54.0</v>
      </c>
      <c r="N55" s="11" t="str">
        <f t="shared" si="1"/>
        <v>bnco0954@signalschool.ac.th</v>
      </c>
      <c r="O55" s="12">
        <f t="shared" si="2"/>
        <v>1</v>
      </c>
      <c r="R55" s="17" t="s">
        <v>271</v>
      </c>
    </row>
    <row r="56">
      <c r="A56" s="8">
        <f>'1.5'!A:A</f>
        <v>46212.62469</v>
      </c>
      <c r="B56" s="2" t="str">
        <f>'1.5'!B:B</f>
        <v>bnco0914@signalschool.ac.th</v>
      </c>
      <c r="C56" s="2" t="str">
        <f>'1.5'!C:C</f>
        <v>ร.ต.วสันต์ ทัศนามล</v>
      </c>
      <c r="D56" s="9">
        <v>1.0</v>
      </c>
      <c r="E56" s="10">
        <f>IFERROR(vlookup('1.5'!D:D,lookup!$A$2:$B$4,2,false),0)</f>
        <v>5</v>
      </c>
      <c r="F56" s="10">
        <f>IFERROR(vlookup('1.5'!E:E,lookup!$A$6:$B$8,2,false),0)</f>
        <v>5</v>
      </c>
      <c r="G56" s="10">
        <f>IFERROR(vlookup('1.5'!F:F,lookup!$A$10:$B$12,2,false),0)</f>
        <v>5</v>
      </c>
      <c r="H56" s="10">
        <f>IFERROR(vlookup('1.5'!G:G,lookup!$A$14:$B$16,2,false),0)</f>
        <v>5</v>
      </c>
      <c r="I56" s="10">
        <f>IFERROR(vlookup('1.5'!H:H,lookup!$A$18:$B$20,2,false),0)</f>
        <v>5</v>
      </c>
      <c r="J56" s="10">
        <f>IFERROR(vlookup('1.5'!I:I,lookup!$A$22:$B$24,2,false),0)</f>
        <v>5</v>
      </c>
      <c r="K56" s="10">
        <f>IFERROR(vlookup('1.5'!J:J,lookup!$A$26:$B$28,2,false),0)</f>
        <v>5</v>
      </c>
      <c r="L56" s="13"/>
      <c r="M56" s="10">
        <v>55.0</v>
      </c>
      <c r="N56" s="11" t="str">
        <f t="shared" si="1"/>
        <v>bnco0955@signalschool.ac.th</v>
      </c>
      <c r="O56" s="12">
        <f t="shared" si="2"/>
        <v>1</v>
      </c>
      <c r="R56" s="17" t="s">
        <v>272</v>
      </c>
    </row>
    <row r="57">
      <c r="A57" s="8">
        <f>'1.5'!A:A</f>
        <v>46212.62472</v>
      </c>
      <c r="B57" s="2" t="str">
        <f>'1.5'!B:B</f>
        <v>bnco0912@signalschool.ac.th</v>
      </c>
      <c r="C57" s="2" t="str">
        <f>'1.5'!C:C</f>
        <v>ร.ต.วสันต์ ทัศนามล , จ.ส.อ.ประกาศิต แช่เจียม , จ.ส.อ.วรากร ไตรศัพท์ , จ.ส.ท.ศุภกิตติ์ ปัญญาจักร</v>
      </c>
      <c r="D57" s="9">
        <v>1.0</v>
      </c>
      <c r="E57" s="10">
        <f>IFERROR(vlookup('1.5'!D:D,lookup!$A$2:$B$4,2,false),0)</f>
        <v>5</v>
      </c>
      <c r="F57" s="10">
        <f>IFERROR(vlookup('1.5'!E:E,lookup!$A$6:$B$8,2,false),0)</f>
        <v>5</v>
      </c>
      <c r="G57" s="10">
        <f>IFERROR(vlookup('1.5'!F:F,lookup!$A$10:$B$12,2,false),0)</f>
        <v>5</v>
      </c>
      <c r="H57" s="10">
        <f>IFERROR(vlookup('1.5'!G:G,lookup!$A$14:$B$16,2,false),0)</f>
        <v>5</v>
      </c>
      <c r="I57" s="10">
        <f>IFERROR(vlookup('1.5'!H:H,lookup!$A$18:$B$20,2,false),0)</f>
        <v>5</v>
      </c>
      <c r="J57" s="10">
        <f>IFERROR(vlookup('1.5'!I:I,lookup!$A$22:$B$24,2,false),0)</f>
        <v>5</v>
      </c>
      <c r="K57" s="10">
        <f>IFERROR(vlookup('1.5'!J:J,lookup!$A$26:$B$28,2,false),0)</f>
        <v>5</v>
      </c>
      <c r="L57" s="13"/>
      <c r="M57" s="10">
        <v>56.0</v>
      </c>
      <c r="N57" s="11" t="str">
        <f t="shared" si="1"/>
        <v>bnco0956@signalschool.ac.th</v>
      </c>
      <c r="O57" s="12">
        <f t="shared" si="2"/>
        <v>1</v>
      </c>
      <c r="R57" s="17" t="s">
        <v>273</v>
      </c>
    </row>
    <row r="58">
      <c r="A58" s="8">
        <f>'1.5'!A:A</f>
        <v>46212.62482</v>
      </c>
      <c r="B58" s="2" t="str">
        <f>'1.5'!B:B</f>
        <v>bnco0947@signalschool.ac.th</v>
      </c>
      <c r="C58" s="2" t="str">
        <f>'1.5'!C:C</f>
        <v>ร.ต. วสันต์  ทัศนามล  จ.ส.อ.ประกาศิต  แซ่เจียม  จ.ส.อ วรากร  ไตรศัพท์  จ.ส.ท. ศุภกิตติ์  ปัญญาจักร</v>
      </c>
      <c r="D58" s="9">
        <v>1.0</v>
      </c>
      <c r="E58" s="10">
        <f>IFERROR(vlookup('1.5'!D:D,lookup!$A$2:$B$4,2,false),0)</f>
        <v>5</v>
      </c>
      <c r="F58" s="10">
        <f>IFERROR(vlookup('1.5'!E:E,lookup!$A$6:$B$8,2,false),0)</f>
        <v>5</v>
      </c>
      <c r="G58" s="10">
        <f>IFERROR(vlookup('1.5'!F:F,lookup!$A$10:$B$12,2,false),0)</f>
        <v>5</v>
      </c>
      <c r="H58" s="10">
        <f>IFERROR(vlookup('1.5'!G:G,lookup!$A$14:$B$16,2,false),0)</f>
        <v>5</v>
      </c>
      <c r="I58" s="10">
        <f>IFERROR(vlookup('1.5'!H:H,lookup!$A$18:$B$20,2,false),0)</f>
        <v>5</v>
      </c>
      <c r="J58" s="10">
        <f>IFERROR(vlookup('1.5'!I:I,lookup!$A$22:$B$24,2,false),0)</f>
        <v>5</v>
      </c>
      <c r="K58" s="10">
        <f>IFERROR(vlookup('1.5'!J:J,lookup!$A$26:$B$28,2,false),0)</f>
        <v>5</v>
      </c>
      <c r="L58" s="13"/>
      <c r="M58" s="10">
        <v>57.0</v>
      </c>
      <c r="N58" s="11" t="str">
        <f t="shared" si="1"/>
        <v>bnco0957@signalschool.ac.th</v>
      </c>
      <c r="O58" s="12">
        <f t="shared" si="2"/>
        <v>1</v>
      </c>
      <c r="R58" s="17" t="s">
        <v>274</v>
      </c>
    </row>
    <row r="59">
      <c r="A59" s="8">
        <f>'1.5'!A:A</f>
        <v>46212.62513</v>
      </c>
      <c r="B59" s="2" t="str">
        <f>'1.5'!B:B</f>
        <v>bnco0902@signalschool.ac.th</v>
      </c>
      <c r="C59" s="2" t="str">
        <f>'1.5'!C:C</f>
        <v>ร.ต.วสันต์  ทัศนามล</v>
      </c>
      <c r="D59" s="9">
        <v>1.0</v>
      </c>
      <c r="E59" s="10">
        <f>IFERROR(vlookup('1.5'!D:D,lookup!$A$2:$B$4,2,false),0)</f>
        <v>5</v>
      </c>
      <c r="F59" s="10">
        <f>IFERROR(vlookup('1.5'!E:E,lookup!$A$6:$B$8,2,false),0)</f>
        <v>5</v>
      </c>
      <c r="G59" s="10">
        <f>IFERROR(vlookup('1.5'!F:F,lookup!$A$10:$B$12,2,false),0)</f>
        <v>5</v>
      </c>
      <c r="H59" s="10">
        <f>IFERROR(vlookup('1.5'!G:G,lookup!$A$14:$B$16,2,false),0)</f>
        <v>5</v>
      </c>
      <c r="I59" s="10">
        <f>IFERROR(vlookup('1.5'!H:H,lookup!$A$18:$B$20,2,false),0)</f>
        <v>5</v>
      </c>
      <c r="J59" s="10">
        <f>IFERROR(vlookup('1.5'!I:I,lookup!$A$22:$B$24,2,false),0)</f>
        <v>5</v>
      </c>
      <c r="K59" s="10">
        <f>IFERROR(vlookup('1.5'!J:J,lookup!$A$26:$B$28,2,false),0)</f>
        <v>5</v>
      </c>
      <c r="L59" s="14"/>
      <c r="M59" s="10">
        <v>58.0</v>
      </c>
      <c r="N59" s="11" t="str">
        <f t="shared" si="1"/>
        <v>bnco0958@signalschool.ac.th</v>
      </c>
      <c r="O59" s="12">
        <f t="shared" si="2"/>
        <v>1</v>
      </c>
      <c r="R59" s="17" t="s">
        <v>275</v>
      </c>
    </row>
    <row r="60">
      <c r="A60" s="8">
        <f>'1.5'!A:A</f>
        <v>46212.62566</v>
      </c>
      <c r="B60" s="2" t="str">
        <f>'1.5'!B:B</f>
        <v>bnco0937@signalschool.ac.th</v>
      </c>
      <c r="C60" s="2" t="str">
        <f>'1.5'!C:C</f>
        <v>ร.ต.วสันต์  ทัศนามล จ.ส.อ.ประกาศิต  แซ่เจียม จ.ส.อ.วรากร  ไตรศัพท์ จ.ส.อ.ศุภกิตต์  ปัญญาจักร</v>
      </c>
      <c r="D60" s="9">
        <v>1.0</v>
      </c>
      <c r="E60" s="10">
        <f>IFERROR(vlookup('1.5'!D:D,lookup!$A$2:$B$4,2,false),0)</f>
        <v>5</v>
      </c>
      <c r="F60" s="10">
        <f>IFERROR(vlookup('1.5'!E:E,lookup!$A$6:$B$8,2,false),0)</f>
        <v>5</v>
      </c>
      <c r="G60" s="10">
        <f>IFERROR(vlookup('1.5'!F:F,lookup!$A$10:$B$12,2,false),0)</f>
        <v>5</v>
      </c>
      <c r="H60" s="10">
        <f>IFERROR(vlookup('1.5'!G:G,lookup!$A$14:$B$16,2,false),0)</f>
        <v>5</v>
      </c>
      <c r="I60" s="10">
        <f>IFERROR(vlookup('1.5'!H:H,lookup!$A$18:$B$20,2,false),0)</f>
        <v>5</v>
      </c>
      <c r="J60" s="10">
        <f>IFERROR(vlookup('1.5'!I:I,lookup!$A$22:$B$24,2,false),0)</f>
        <v>5</v>
      </c>
      <c r="K60" s="10">
        <f>IFERROR(vlookup('1.5'!J:J,lookup!$A$26:$B$28,2,false),0)</f>
        <v>5</v>
      </c>
      <c r="L60" s="10"/>
      <c r="M60" s="10">
        <v>59.0</v>
      </c>
      <c r="N60" s="11" t="str">
        <f t="shared" si="1"/>
        <v>bnco0959@signalschool.ac.th</v>
      </c>
      <c r="O60" s="12">
        <f t="shared" si="2"/>
        <v>1</v>
      </c>
      <c r="R60" s="17" t="s">
        <v>276</v>
      </c>
    </row>
    <row r="61">
      <c r="A61" s="8">
        <f>'1.5'!A:A</f>
        <v>46212.62602</v>
      </c>
      <c r="B61" s="2" t="str">
        <f>'1.5'!B:B</f>
        <v>bnco0933@signalschool.ac.th</v>
      </c>
      <c r="C61" s="2" t="str">
        <f>'1.5'!C:C</f>
        <v>ร.ต.วสันต์ ทัศนามล , จ.ส.อ.ประกาศิต แช่เจียม , จ.ส.อ.วรากร ไตรศัพท์ , จ.ส.ท.ศุภกิตติ์ ปัญญาจักร</v>
      </c>
      <c r="D61" s="9">
        <v>1.0</v>
      </c>
      <c r="E61" s="10">
        <f>IFERROR(vlookup('1.5'!D:D,lookup!$A$2:$B$4,2,false),0)</f>
        <v>5</v>
      </c>
      <c r="F61" s="10">
        <f>IFERROR(vlookup('1.5'!E:E,lookup!$A$6:$B$8,2,false),0)</f>
        <v>5</v>
      </c>
      <c r="G61" s="10">
        <f>IFERROR(vlookup('1.5'!F:F,lookup!$A$10:$B$12,2,false),0)</f>
        <v>5</v>
      </c>
      <c r="H61" s="10">
        <f>IFERROR(vlookup('1.5'!G:G,lookup!$A$14:$B$16,2,false),0)</f>
        <v>5</v>
      </c>
      <c r="I61" s="10">
        <f>IFERROR(vlookup('1.5'!H:H,lookup!$A$18:$B$20,2,false),0)</f>
        <v>5</v>
      </c>
      <c r="J61" s="10">
        <f>IFERROR(vlookup('1.5'!I:I,lookup!$A$22:$B$24,2,false),0)</f>
        <v>5</v>
      </c>
      <c r="K61" s="10">
        <f>IFERROR(vlookup('1.5'!J:J,lookup!$A$26:$B$28,2,false),0)</f>
        <v>5</v>
      </c>
      <c r="M61" s="10">
        <v>60.0</v>
      </c>
      <c r="N61" s="11" t="str">
        <f t="shared" si="1"/>
        <v>bnco0960@signalschool.ac.th</v>
      </c>
      <c r="O61" s="12">
        <f t="shared" si="2"/>
        <v>1</v>
      </c>
      <c r="R61" s="17" t="s">
        <v>277</v>
      </c>
    </row>
    <row r="62">
      <c r="A62" s="8">
        <f>'1.5'!A:A</f>
        <v>46212.62608</v>
      </c>
      <c r="B62" s="2" t="str">
        <f>'1.5'!B:B</f>
        <v>bnco0969@signalschool.ac.th</v>
      </c>
      <c r="C62" s="2" t="str">
        <f>'1.5'!C:C</f>
        <v>ร.ต.วสันต์ ทัศนามล , จ.ส.อ.ประกาศิต แช่เจียม , จ.ส.อ.วรากร ไตรศัพท์ , จ.ส.ท.ศุภกิตติ์ ปัญญาจักร</v>
      </c>
      <c r="D62" s="9">
        <v>1.0</v>
      </c>
      <c r="E62" s="10">
        <f>IFERROR(vlookup('1.5'!D:D,lookup!$A$2:$B$4,2,false),0)</f>
        <v>5</v>
      </c>
      <c r="F62" s="10">
        <f>IFERROR(vlookup('1.5'!E:E,lookup!$A$6:$B$8,2,false),0)</f>
        <v>5</v>
      </c>
      <c r="G62" s="10">
        <f>IFERROR(vlookup('1.5'!F:F,lookup!$A$10:$B$12,2,false),0)</f>
        <v>5</v>
      </c>
      <c r="H62" s="10">
        <f>IFERROR(vlookup('1.5'!G:G,lookup!$A$14:$B$16,2,false),0)</f>
        <v>5</v>
      </c>
      <c r="I62" s="10">
        <f>IFERROR(vlookup('1.5'!H:H,lookup!$A$18:$B$20,2,false),0)</f>
        <v>5</v>
      </c>
      <c r="J62" s="10">
        <f>IFERROR(vlookup('1.5'!I:I,lookup!$A$22:$B$24,2,false),0)</f>
        <v>5</v>
      </c>
      <c r="K62" s="10">
        <f>IFERROR(vlookup('1.5'!J:J,lookup!$A$26:$B$28,2,false),0)</f>
        <v>5</v>
      </c>
      <c r="M62" s="10">
        <v>61.0</v>
      </c>
      <c r="N62" s="11" t="str">
        <f t="shared" si="1"/>
        <v>bnco0961@signalschool.ac.th</v>
      </c>
      <c r="O62" s="12">
        <f t="shared" si="2"/>
        <v>1</v>
      </c>
      <c r="R62" s="17" t="s">
        <v>278</v>
      </c>
    </row>
    <row r="63">
      <c r="A63" s="8">
        <f>'1.5'!A:A</f>
        <v>46212.62609</v>
      </c>
      <c r="B63" s="2" t="str">
        <f>'1.5'!B:B</f>
        <v>bnco0956@signalschool.ac.th</v>
      </c>
      <c r="C63" s="2" t="str">
        <f>'1.5'!C:C</f>
        <v>ร.ต.วสันต์ อิเล็กทรอนิกส์ จ.ส.อ.ประกาศิต จ.ส.อ.วรากร จ.ส.ท.ศุภกิตติ์ ทัศนามล แช่เจียม ไตรศัพท์ ปัญญาจักร</v>
      </c>
      <c r="D63" s="9">
        <v>1.0</v>
      </c>
      <c r="E63" s="10">
        <f>IFERROR(vlookup('1.5'!D:D,lookup!$A$2:$B$4,2,false),0)</f>
        <v>5</v>
      </c>
      <c r="F63" s="10">
        <f>IFERROR(vlookup('1.5'!E:E,lookup!$A$6:$B$8,2,false),0)</f>
        <v>5</v>
      </c>
      <c r="G63" s="10">
        <f>IFERROR(vlookup('1.5'!F:F,lookup!$A$10:$B$12,2,false),0)</f>
        <v>5</v>
      </c>
      <c r="H63" s="10">
        <f>IFERROR(vlookup('1.5'!G:G,lookup!$A$14:$B$16,2,false),0)</f>
        <v>5</v>
      </c>
      <c r="I63" s="10">
        <f>IFERROR(vlookup('1.5'!H:H,lookup!$A$18:$B$20,2,false),0)</f>
        <v>5</v>
      </c>
      <c r="J63" s="10">
        <f>IFERROR(vlookup('1.5'!I:I,lookup!$A$22:$B$24,2,false),0)</f>
        <v>5</v>
      </c>
      <c r="K63" s="10">
        <f>IFERROR(vlookup('1.5'!J:J,lookup!$A$26:$B$28,2,false),0)</f>
        <v>5</v>
      </c>
      <c r="M63" s="10">
        <v>62.0</v>
      </c>
      <c r="N63" s="11" t="str">
        <f t="shared" si="1"/>
        <v>bnco0962@signalschool.ac.th</v>
      </c>
      <c r="O63" s="12">
        <f t="shared" si="2"/>
        <v>1</v>
      </c>
      <c r="R63" s="17" t="s">
        <v>279</v>
      </c>
    </row>
    <row r="64">
      <c r="A64" s="8">
        <f>'1.5'!A:A</f>
        <v>46212.6261</v>
      </c>
      <c r="B64" s="2" t="str">
        <f>'1.5'!B:B</f>
        <v>bnco0957@signalschool.ac.th</v>
      </c>
      <c r="C64" s="2" t="str">
        <f>'1.5'!C:C</f>
        <v>ร.ต.วสันต์ ทัศนามล , จ.ส.อ.ประกาศิต แช่เจียม , จ.ส.อ.วรากร ไตรศัพท์ , จ.ส.ท.ศุภกิตติ์ ปัญญาจักร</v>
      </c>
      <c r="D64" s="9">
        <v>1.0</v>
      </c>
      <c r="E64" s="10">
        <f>IFERROR(vlookup('1.5'!D:D,lookup!$A$2:$B$4,2,false),0)</f>
        <v>5</v>
      </c>
      <c r="F64" s="10">
        <f>IFERROR(vlookup('1.5'!E:E,lookup!$A$6:$B$8,2,false),0)</f>
        <v>5</v>
      </c>
      <c r="G64" s="10">
        <f>IFERROR(vlookup('1.5'!F:F,lookup!$A$10:$B$12,2,false),0)</f>
        <v>5</v>
      </c>
      <c r="H64" s="10">
        <f>IFERROR(vlookup('1.5'!G:G,lookup!$A$14:$B$16,2,false),0)</f>
        <v>5</v>
      </c>
      <c r="I64" s="10">
        <f>IFERROR(vlookup('1.5'!H:H,lookup!$A$18:$B$20,2,false),0)</f>
        <v>5</v>
      </c>
      <c r="J64" s="10">
        <f>IFERROR(vlookup('1.5'!I:I,lookup!$A$22:$B$24,2,false),0)</f>
        <v>5</v>
      </c>
      <c r="K64" s="10">
        <f>IFERROR(vlookup('1.5'!J:J,lookup!$A$26:$B$28,2,false),0)</f>
        <v>5</v>
      </c>
      <c r="M64" s="10">
        <v>63.0</v>
      </c>
      <c r="N64" s="11" t="str">
        <f t="shared" si="1"/>
        <v>bnco0963@signalschool.ac.th</v>
      </c>
      <c r="O64" s="12">
        <f t="shared" si="2"/>
        <v>1</v>
      </c>
      <c r="R64" s="17" t="s">
        <v>280</v>
      </c>
    </row>
    <row r="65">
      <c r="A65" s="8">
        <f>'1.5'!A:A</f>
        <v>46212.6261</v>
      </c>
      <c r="B65" s="2" t="str">
        <f>'1.5'!B:B</f>
        <v>bnco0939@signalschool.ac.th</v>
      </c>
      <c r="C65" s="2" t="str">
        <f>'1.5'!C:C</f>
        <v>ร.ต.วสันต์ ทัศนามล , จ.ส.อ.ประกาศิต แช่เจียม , จ.ส.อ.วรากร ไตรศัพท์ , จ.ส.ท.ศุภกิตติ์ ปัญญาจักร</v>
      </c>
      <c r="D65" s="9">
        <v>1.0</v>
      </c>
      <c r="E65" s="10">
        <f>IFERROR(vlookup('1.5'!D:D,lookup!$A$2:$B$4,2,false),0)</f>
        <v>5</v>
      </c>
      <c r="F65" s="10">
        <f>IFERROR(vlookup('1.5'!E:E,lookup!$A$6:$B$8,2,false),0)</f>
        <v>5</v>
      </c>
      <c r="G65" s="10">
        <f>IFERROR(vlookup('1.5'!F:F,lookup!$A$10:$B$12,2,false),0)</f>
        <v>5</v>
      </c>
      <c r="H65" s="10">
        <f>IFERROR(vlookup('1.5'!G:G,lookup!$A$14:$B$16,2,false),0)</f>
        <v>5</v>
      </c>
      <c r="I65" s="10">
        <f>IFERROR(vlookup('1.5'!H:H,lookup!$A$18:$B$20,2,false),0)</f>
        <v>5</v>
      </c>
      <c r="J65" s="10">
        <f>IFERROR(vlookup('1.5'!I:I,lookup!$A$22:$B$24,2,false),0)</f>
        <v>5</v>
      </c>
      <c r="K65" s="10">
        <f>IFERROR(vlookup('1.5'!J:J,lookup!$A$26:$B$28,2,false),0)</f>
        <v>5</v>
      </c>
      <c r="M65" s="10">
        <v>64.0</v>
      </c>
      <c r="N65" s="11" t="str">
        <f t="shared" si="1"/>
        <v>bnco0964@signalschool.ac.th</v>
      </c>
      <c r="O65" s="12">
        <f t="shared" si="2"/>
        <v>1</v>
      </c>
      <c r="R65" s="17" t="s">
        <v>281</v>
      </c>
    </row>
    <row r="66">
      <c r="A66" s="8">
        <f>'1.5'!A:A</f>
        <v>46212.62636</v>
      </c>
      <c r="B66" s="2" t="str">
        <f>'1.5'!B:B</f>
        <v>bnco0901@signalschool.ac.th</v>
      </c>
      <c r="C66" s="2" t="str">
        <f>'1.5'!C:C</f>
        <v>ร.ต.วสันต์ ทัศนามล , จ.ส.อ.ประกาศิต แช่เจียม , จ.ส.อ.วรากร ไตรศัพท์ , จ.ส.ท.ศุภกิตติ์ ปัญญาจักร</v>
      </c>
      <c r="D66" s="9">
        <v>1.0</v>
      </c>
      <c r="E66" s="10">
        <f>IFERROR(vlookup('1.5'!D:D,lookup!$A$2:$B$4,2,false),0)</f>
        <v>5</v>
      </c>
      <c r="F66" s="10">
        <f>IFERROR(vlookup('1.5'!E:E,lookup!$A$6:$B$8,2,false),0)</f>
        <v>5</v>
      </c>
      <c r="G66" s="10">
        <f>IFERROR(vlookup('1.5'!F:F,lookup!$A$10:$B$12,2,false),0)</f>
        <v>5</v>
      </c>
      <c r="H66" s="10">
        <f>IFERROR(vlookup('1.5'!G:G,lookup!$A$14:$B$16,2,false),0)</f>
        <v>5</v>
      </c>
      <c r="I66" s="10">
        <f>IFERROR(vlookup('1.5'!H:H,lookup!$A$18:$B$20,2,false),0)</f>
        <v>5</v>
      </c>
      <c r="J66" s="10">
        <f>IFERROR(vlookup('1.5'!I:I,lookup!$A$22:$B$24,2,false),0)</f>
        <v>5</v>
      </c>
      <c r="K66" s="10">
        <f>IFERROR(vlookup('1.5'!J:J,lookup!$A$26:$B$28,2,false),0)</f>
        <v>5</v>
      </c>
      <c r="M66" s="10">
        <v>65.0</v>
      </c>
      <c r="N66" s="11" t="str">
        <f t="shared" si="1"/>
        <v>bnco0965@signalschool.ac.th</v>
      </c>
      <c r="O66" s="12">
        <f t="shared" si="2"/>
        <v>1</v>
      </c>
      <c r="R66" s="17" t="s">
        <v>282</v>
      </c>
    </row>
    <row r="67">
      <c r="A67" s="8">
        <f>'1.5'!A:A</f>
        <v>46212.62637</v>
      </c>
      <c r="B67" s="2" t="str">
        <f>'1.5'!B:B</f>
        <v>bnco0960@signalschool.ac.th</v>
      </c>
      <c r="C67" s="2" t="str">
        <f>'1.5'!C:C</f>
        <v>ร.ต.วสันต์ ทัศนามล , จ.ส.อ.ประกาศิต แช่เจียม , จ.ส.อ.วรากร ไตรศัพท์ , จ.ส.ท.ศุภกิตติ์ ปัญญาจักร</v>
      </c>
      <c r="D67" s="9">
        <v>1.0</v>
      </c>
      <c r="E67" s="10">
        <f>IFERROR(vlookup('1.5'!D:D,lookup!$A$2:$B$4,2,false),0)</f>
        <v>5</v>
      </c>
      <c r="F67" s="10">
        <f>IFERROR(vlookup('1.5'!E:E,lookup!$A$6:$B$8,2,false),0)</f>
        <v>5</v>
      </c>
      <c r="G67" s="10">
        <f>IFERROR(vlookup('1.5'!F:F,lookup!$A$10:$B$12,2,false),0)</f>
        <v>5</v>
      </c>
      <c r="H67" s="10">
        <f>IFERROR(vlookup('1.5'!G:G,lookup!$A$14:$B$16,2,false),0)</f>
        <v>5</v>
      </c>
      <c r="I67" s="10">
        <f>IFERROR(vlookup('1.5'!H:H,lookup!$A$18:$B$20,2,false),0)</f>
        <v>5</v>
      </c>
      <c r="J67" s="10">
        <f>IFERROR(vlookup('1.5'!I:I,lookup!$A$22:$B$24,2,false),0)</f>
        <v>5</v>
      </c>
      <c r="K67" s="10">
        <f>IFERROR(vlookup('1.5'!J:J,lookup!$A$26:$B$28,2,false),0)</f>
        <v>5</v>
      </c>
      <c r="M67" s="10">
        <v>66.0</v>
      </c>
      <c r="N67" s="11" t="str">
        <f t="shared" si="1"/>
        <v>bnco0966@signalschool.ac.th</v>
      </c>
      <c r="O67" s="12">
        <f t="shared" si="2"/>
        <v>1</v>
      </c>
      <c r="R67" s="17" t="s">
        <v>283</v>
      </c>
    </row>
    <row r="68">
      <c r="A68" s="8">
        <f>'1.5'!A:A</f>
        <v>46212.62654</v>
      </c>
      <c r="B68" s="2" t="str">
        <f>'1.5'!B:B</f>
        <v>bnco0935@signalschool.ac.th</v>
      </c>
      <c r="C68" s="2" t="str">
        <f>'1.5'!C:C</f>
        <v>ร.ต.วสันต์ ทัศนามล , จ.ส.อ.ประกาศิต แช่เจียม , จ.ส.อ.วรากร ไตรศัพท์ , จ.ส.ท.ศุภกิตติ์ ปัญญาจักร</v>
      </c>
      <c r="D68" s="9">
        <v>1.0</v>
      </c>
      <c r="E68" s="10">
        <f>IFERROR(vlookup('1.5'!D:D,lookup!$A$2:$B$4,2,false),0)</f>
        <v>5</v>
      </c>
      <c r="F68" s="10">
        <f>IFERROR(vlookup('1.5'!E:E,lookup!$A$6:$B$8,2,false),0)</f>
        <v>5</v>
      </c>
      <c r="G68" s="10">
        <f>IFERROR(vlookup('1.5'!F:F,lookup!$A$10:$B$12,2,false),0)</f>
        <v>5</v>
      </c>
      <c r="H68" s="10">
        <f>IFERROR(vlookup('1.5'!G:G,lookup!$A$14:$B$16,2,false),0)</f>
        <v>5</v>
      </c>
      <c r="I68" s="10">
        <f>IFERROR(vlookup('1.5'!H:H,lookup!$A$18:$B$20,2,false),0)</f>
        <v>5</v>
      </c>
      <c r="J68" s="10">
        <f>IFERROR(vlookup('1.5'!I:I,lookup!$A$22:$B$24,2,false),0)</f>
        <v>5</v>
      </c>
      <c r="K68" s="10">
        <f>IFERROR(vlookup('1.5'!J:J,lookup!$A$26:$B$28,2,false),0)</f>
        <v>5</v>
      </c>
      <c r="M68" s="10">
        <v>67.0</v>
      </c>
      <c r="N68" s="11" t="str">
        <f t="shared" si="1"/>
        <v>bnco0967@signalschool.ac.th</v>
      </c>
      <c r="O68" s="12">
        <f t="shared" si="2"/>
        <v>1</v>
      </c>
      <c r="R68" s="17" t="s">
        <v>284</v>
      </c>
    </row>
    <row r="69">
      <c r="A69" s="8">
        <f>'1.5'!A:A</f>
        <v>46212.62668</v>
      </c>
      <c r="B69" s="2" t="str">
        <f>'1.5'!B:B</f>
        <v>bnco0962@signalschool.ac.th</v>
      </c>
      <c r="C69" s="2" t="str">
        <f>'1.5'!C:C</f>
        <v>ร.ต.วสันต์ ทัศนามล</v>
      </c>
      <c r="D69" s="9">
        <v>1.0</v>
      </c>
      <c r="E69" s="10">
        <f>IFERROR(vlookup('1.5'!D:D,lookup!$A$2:$B$4,2,false),0)</f>
        <v>5</v>
      </c>
      <c r="F69" s="10">
        <f>IFERROR(vlookup('1.5'!E:E,lookup!$A$6:$B$8,2,false),0)</f>
        <v>5</v>
      </c>
      <c r="G69" s="10">
        <f>IFERROR(vlookup('1.5'!F:F,lookup!$A$10:$B$12,2,false),0)</f>
        <v>5</v>
      </c>
      <c r="H69" s="10">
        <f>IFERROR(vlookup('1.5'!G:G,lookup!$A$14:$B$16,2,false),0)</f>
        <v>5</v>
      </c>
      <c r="I69" s="10">
        <f>IFERROR(vlookup('1.5'!H:H,lookup!$A$18:$B$20,2,false),0)</f>
        <v>5</v>
      </c>
      <c r="J69" s="10">
        <f>IFERROR(vlookup('1.5'!I:I,lookup!$A$22:$B$24,2,false),0)</f>
        <v>5</v>
      </c>
      <c r="K69" s="10">
        <f>IFERROR(vlookup('1.5'!J:J,lookup!$A$26:$B$28,2,false),0)</f>
        <v>5</v>
      </c>
      <c r="M69" s="10">
        <v>68.0</v>
      </c>
      <c r="N69" s="11" t="str">
        <f t="shared" si="1"/>
        <v>bnco0968@signalschool.ac.th</v>
      </c>
      <c r="O69" s="12">
        <f t="shared" si="2"/>
        <v>1</v>
      </c>
      <c r="R69" s="17" t="s">
        <v>285</v>
      </c>
    </row>
    <row r="70">
      <c r="A70" s="8">
        <f>'1.5'!A:A</f>
        <v>46212.62669</v>
      </c>
      <c r="B70" s="2" t="str">
        <f>'1.5'!B:B</f>
        <v>bnco0959@signalschool.ac.th</v>
      </c>
      <c r="C70" s="2" t="str">
        <f>'1.5'!C:C</f>
        <v>ร.ต.วสันต์ ทัศนามล , จ.ส.อ.ประกาศิต แช่เจียม , จ.ส.อ.วรากร ไตรศัพท์ , จ.ส.ท.ศุภกิตติ์ ปัญญาจักร</v>
      </c>
      <c r="D70" s="9">
        <v>1.0</v>
      </c>
      <c r="E70" s="10">
        <f>IFERROR(vlookup('1.5'!D:D,lookup!$A$2:$B$4,2,false),0)</f>
        <v>5</v>
      </c>
      <c r="F70" s="10">
        <f>IFERROR(vlookup('1.5'!E:E,lookup!$A$6:$B$8,2,false),0)</f>
        <v>5</v>
      </c>
      <c r="G70" s="10">
        <f>IFERROR(vlookup('1.5'!F:F,lookup!$A$10:$B$12,2,false),0)</f>
        <v>5</v>
      </c>
      <c r="H70" s="10">
        <f>IFERROR(vlookup('1.5'!G:G,lookup!$A$14:$B$16,2,false),0)</f>
        <v>5</v>
      </c>
      <c r="I70" s="10">
        <f>IFERROR(vlookup('1.5'!H:H,lookup!$A$18:$B$20,2,false),0)</f>
        <v>5</v>
      </c>
      <c r="J70" s="10">
        <f>IFERROR(vlookup('1.5'!I:I,lookup!$A$22:$B$24,2,false),0)</f>
        <v>5</v>
      </c>
      <c r="K70" s="10">
        <f>IFERROR(vlookup('1.5'!J:J,lookup!$A$26:$B$28,2,false),0)</f>
        <v>5</v>
      </c>
      <c r="M70" s="10">
        <v>69.0</v>
      </c>
      <c r="N70" s="11" t="str">
        <f t="shared" si="1"/>
        <v>bnco0969@signalschool.ac.th</v>
      </c>
      <c r="O70" s="12">
        <f t="shared" si="2"/>
        <v>1</v>
      </c>
      <c r="R70" s="17" t="s">
        <v>286</v>
      </c>
    </row>
    <row r="71">
      <c r="A71" s="8">
        <f>'1.5'!A:A</f>
        <v>46212.62703</v>
      </c>
      <c r="B71" s="2" t="str">
        <f>'1.5'!B:B</f>
        <v>bnco0976@signalschool.ac.th</v>
      </c>
      <c r="C71" s="2" t="str">
        <f>'1.5'!C:C</f>
        <v>ร.ต.วสันต์  ทีศนามล</v>
      </c>
      <c r="D71" s="9">
        <v>1.0</v>
      </c>
      <c r="E71" s="10">
        <f>IFERROR(vlookup('1.5'!D:D,lookup!$A$2:$B$4,2,false),0)</f>
        <v>5</v>
      </c>
      <c r="F71" s="10">
        <f>IFERROR(vlookup('1.5'!E:E,lookup!$A$6:$B$8,2,false),0)</f>
        <v>5</v>
      </c>
      <c r="G71" s="10">
        <f>IFERROR(vlookup('1.5'!F:F,lookup!$A$10:$B$12,2,false),0)</f>
        <v>5</v>
      </c>
      <c r="H71" s="10">
        <f>IFERROR(vlookup('1.5'!G:G,lookup!$A$14:$B$16,2,false),0)</f>
        <v>5</v>
      </c>
      <c r="I71" s="10">
        <f>IFERROR(vlookup('1.5'!H:H,lookup!$A$18:$B$20,2,false),0)</f>
        <v>5</v>
      </c>
      <c r="J71" s="10">
        <f>IFERROR(vlookup('1.5'!I:I,lookup!$A$22:$B$24,2,false),0)</f>
        <v>5</v>
      </c>
      <c r="K71" s="10">
        <f>IFERROR(vlookup('1.5'!J:J,lookup!$A$26:$B$28,2,false),0)</f>
        <v>5</v>
      </c>
      <c r="M71" s="10">
        <v>70.0</v>
      </c>
      <c r="N71" s="11" t="str">
        <f t="shared" si="1"/>
        <v>bnco0970@signalschool.ac.th</v>
      </c>
      <c r="O71" s="12">
        <f t="shared" si="2"/>
        <v>1</v>
      </c>
      <c r="R71" s="17" t="s">
        <v>287</v>
      </c>
    </row>
    <row r="72">
      <c r="A72" s="8">
        <f>'1.5'!A:A</f>
        <v>46212.62717</v>
      </c>
      <c r="B72" s="2" t="str">
        <f>'1.5'!B:B</f>
        <v>bnco0966@signalschool.ac.th</v>
      </c>
      <c r="C72" s="2" t="str">
        <f>'1.5'!C:C</f>
        <v>ร.ต.วสันต์ ทัศนามล , จ.ส.อ.ประกาศิต แช่เจียม , จ.ส.อ.วรากร ไตรศัพท์ , จ.ส.ท.ศุภกิตติ์ ปัญญาจักร</v>
      </c>
      <c r="D72" s="9">
        <v>1.0</v>
      </c>
      <c r="E72" s="10">
        <f>IFERROR(vlookup('1.5'!D:D,lookup!$A$2:$B$4,2,false),0)</f>
        <v>5</v>
      </c>
      <c r="F72" s="10">
        <f>IFERROR(vlookup('1.5'!E:E,lookup!$A$6:$B$8,2,false),0)</f>
        <v>5</v>
      </c>
      <c r="G72" s="10">
        <f>IFERROR(vlookup('1.5'!F:F,lookup!$A$10:$B$12,2,false),0)</f>
        <v>5</v>
      </c>
      <c r="H72" s="10">
        <f>IFERROR(vlookup('1.5'!G:G,lookup!$A$14:$B$16,2,false),0)</f>
        <v>5</v>
      </c>
      <c r="I72" s="10">
        <f>IFERROR(vlookup('1.5'!H:H,lookup!$A$18:$B$20,2,false),0)</f>
        <v>5</v>
      </c>
      <c r="J72" s="10">
        <f>IFERROR(vlookup('1.5'!I:I,lookup!$A$22:$B$24,2,false),0)</f>
        <v>5</v>
      </c>
      <c r="K72" s="10">
        <f>IFERROR(vlookup('1.5'!J:J,lookup!$A$26:$B$28,2,false),0)</f>
        <v>5</v>
      </c>
      <c r="M72" s="10">
        <v>71.0</v>
      </c>
      <c r="N72" s="11" t="str">
        <f t="shared" si="1"/>
        <v>bnco0971@signalschool.ac.th</v>
      </c>
      <c r="O72" s="12">
        <f t="shared" si="2"/>
        <v>1</v>
      </c>
      <c r="R72" s="17" t="s">
        <v>288</v>
      </c>
    </row>
    <row r="73">
      <c r="A73" s="8">
        <f>'1.5'!A:A</f>
        <v>46212.62764</v>
      </c>
      <c r="B73" s="2" t="str">
        <f>'1.5'!B:B</f>
        <v>bnco0945@signalschool.ac.th</v>
      </c>
      <c r="C73" s="2" t="str">
        <f>'1.5'!C:C</f>
        <v>ร.ต.วสันต์  ทัศนามล จ.ส.อ. ประกาศิต  แซ่เจียม จ.ส.อ. วรากร  ไตรศัพท์ จ.ส.ท.ศุภกิตติ์  ปัญญาจักร</v>
      </c>
      <c r="D73" s="9">
        <v>1.0</v>
      </c>
      <c r="E73" s="10">
        <f>IFERROR(vlookup('1.5'!D:D,lookup!$A$2:$B$4,2,false),0)</f>
        <v>5</v>
      </c>
      <c r="F73" s="10">
        <f>IFERROR(vlookup('1.5'!E:E,lookup!$A$6:$B$8,2,false),0)</f>
        <v>5</v>
      </c>
      <c r="G73" s="10">
        <f>IFERROR(vlookup('1.5'!F:F,lookup!$A$10:$B$12,2,false),0)</f>
        <v>5</v>
      </c>
      <c r="H73" s="10">
        <f>IFERROR(vlookup('1.5'!G:G,lookup!$A$14:$B$16,2,false),0)</f>
        <v>5</v>
      </c>
      <c r="I73" s="10">
        <f>IFERROR(vlookup('1.5'!H:H,lookup!$A$18:$B$20,2,false),0)</f>
        <v>5</v>
      </c>
      <c r="J73" s="10">
        <f>IFERROR(vlookup('1.5'!I:I,lookup!$A$22:$B$24,2,false),0)</f>
        <v>5</v>
      </c>
      <c r="K73" s="10">
        <f>IFERROR(vlookup('1.5'!J:J,lookup!$A$26:$B$28,2,false),0)</f>
        <v>5</v>
      </c>
      <c r="M73" s="10">
        <v>72.0</v>
      </c>
      <c r="N73" s="11" t="str">
        <f t="shared" si="1"/>
        <v>bnco0972@signalschool.ac.th</v>
      </c>
      <c r="O73" s="12">
        <f t="shared" si="2"/>
        <v>1</v>
      </c>
      <c r="R73" s="17" t="s">
        <v>289</v>
      </c>
    </row>
    <row r="74">
      <c r="A74" s="8">
        <f>'1.5'!A:A</f>
        <v>46212.62828</v>
      </c>
      <c r="B74" s="2" t="str">
        <f>'1.5'!B:B</f>
        <v>bnco0961@signalschool.ac.th</v>
      </c>
      <c r="C74" s="2" t="str">
        <f>'1.5'!C:C</f>
        <v>ร.ต.วสันต์ ทัศนามล จ.ส.อ.ประกาศิต แช่เจียม จ.ส.อ.วรากร ไตรศัพท์ จ.ส.ท.ศุภกิตติ์ ปัญญาจัก</v>
      </c>
      <c r="D74" s="9">
        <v>1.0</v>
      </c>
      <c r="E74" s="10">
        <f>IFERROR(vlookup('1.5'!D:D,lookup!$A$2:$B$4,2,false),0)</f>
        <v>5</v>
      </c>
      <c r="F74" s="10">
        <f>IFERROR(vlookup('1.5'!E:E,lookup!$A$6:$B$8,2,false),0)</f>
        <v>5</v>
      </c>
      <c r="G74" s="10">
        <f>IFERROR(vlookup('1.5'!F:F,lookup!$A$10:$B$12,2,false),0)</f>
        <v>5</v>
      </c>
      <c r="H74" s="10">
        <f>IFERROR(vlookup('1.5'!G:G,lookup!$A$14:$B$16,2,false),0)</f>
        <v>5</v>
      </c>
      <c r="I74" s="10">
        <f>IFERROR(vlookup('1.5'!H:H,lookup!$A$18:$B$20,2,false),0)</f>
        <v>5</v>
      </c>
      <c r="J74" s="10">
        <f>IFERROR(vlookup('1.5'!I:I,lookup!$A$22:$B$24,2,false),0)</f>
        <v>5</v>
      </c>
      <c r="K74" s="10">
        <f>IFERROR(vlookup('1.5'!J:J,lookup!$A$26:$B$28,2,false),0)</f>
        <v>5</v>
      </c>
      <c r="M74" s="10">
        <v>73.0</v>
      </c>
      <c r="N74" s="11" t="str">
        <f t="shared" si="1"/>
        <v>bnco0973@signalschool.ac.th</v>
      </c>
      <c r="O74" s="12">
        <f t="shared" si="2"/>
        <v>1</v>
      </c>
      <c r="R74" s="17" t="s">
        <v>290</v>
      </c>
    </row>
    <row r="75">
      <c r="A75" s="8">
        <f>'1.5'!A:A</f>
        <v>46212.62897</v>
      </c>
      <c r="B75" s="2" t="str">
        <f>'1.5'!B:B</f>
        <v>bnco0953@signalschool.ac.th</v>
      </c>
      <c r="C75" s="2" t="str">
        <f>'1.5'!C:C</f>
        <v>ร.ต.วสันต์ ทัศนามล , จ.ส.อ.ประกาศิต แซ่เจียม ,จ.ส.อ.วราดร ไตรศัพท์,จ.ส.ท.ศุภกิตติ์ ปัญญาจักร</v>
      </c>
      <c r="D75" s="9">
        <v>1.0</v>
      </c>
      <c r="E75" s="10">
        <f>IFERROR(vlookup('1.5'!D:D,lookup!$A$2:$B$4,2,false),0)</f>
        <v>5</v>
      </c>
      <c r="F75" s="10">
        <f>IFERROR(vlookup('1.5'!E:E,lookup!$A$6:$B$8,2,false),0)</f>
        <v>5</v>
      </c>
      <c r="G75" s="10">
        <f>IFERROR(vlookup('1.5'!F:F,lookup!$A$10:$B$12,2,false),0)</f>
        <v>5</v>
      </c>
      <c r="H75" s="10">
        <f>IFERROR(vlookup('1.5'!G:G,lookup!$A$14:$B$16,2,false),0)</f>
        <v>5</v>
      </c>
      <c r="I75" s="10">
        <f>IFERROR(vlookup('1.5'!H:H,lookup!$A$18:$B$20,2,false),0)</f>
        <v>5</v>
      </c>
      <c r="J75" s="10">
        <f>IFERROR(vlookup('1.5'!I:I,lookup!$A$22:$B$24,2,false),0)</f>
        <v>5</v>
      </c>
      <c r="K75" s="10">
        <f>IFERROR(vlookup('1.5'!J:J,lookup!$A$26:$B$28,2,false),0)</f>
        <v>5</v>
      </c>
      <c r="M75" s="10">
        <v>74.0</v>
      </c>
      <c r="N75" s="11" t="str">
        <f t="shared" si="1"/>
        <v>bnco0974@signalschool.ac.th</v>
      </c>
      <c r="O75" s="12">
        <f t="shared" si="2"/>
        <v>1</v>
      </c>
      <c r="R75" s="17" t="s">
        <v>291</v>
      </c>
    </row>
    <row r="76">
      <c r="A76" s="8">
        <f>'1.5'!A:A</f>
        <v>46212.62959</v>
      </c>
      <c r="B76" s="2" t="str">
        <f>'1.5'!B:B</f>
        <v>bnco0946@signalschool.ac.th</v>
      </c>
      <c r="C76" s="2" t="str">
        <f>'1.5'!C:C</f>
        <v>ร.ต.วสันต์ ทัศนามล , จ.ส.อ.ประกาศิต แช่เจียม , จ.ส.อ.วรากร ไตรศัพท์ , จ.ส.ท.ศุภกิตติ์ ปัญญาจักร</v>
      </c>
      <c r="D76" s="9">
        <v>1.0</v>
      </c>
      <c r="E76" s="10">
        <f>IFERROR(vlookup('1.5'!D:D,lookup!$A$2:$B$4,2,false),0)</f>
        <v>5</v>
      </c>
      <c r="F76" s="10">
        <f>IFERROR(vlookup('1.5'!E:E,lookup!$A$6:$B$8,2,false),0)</f>
        <v>5</v>
      </c>
      <c r="G76" s="10">
        <f>IFERROR(vlookup('1.5'!F:F,lookup!$A$10:$B$12,2,false),0)</f>
        <v>5</v>
      </c>
      <c r="H76" s="10">
        <f>IFERROR(vlookup('1.5'!G:G,lookup!$A$14:$B$16,2,false),0)</f>
        <v>5</v>
      </c>
      <c r="I76" s="10">
        <f>IFERROR(vlookup('1.5'!H:H,lookup!$A$18:$B$20,2,false),0)</f>
        <v>5</v>
      </c>
      <c r="J76" s="10">
        <f>IFERROR(vlookup('1.5'!I:I,lookup!$A$22:$B$24,2,false),0)</f>
        <v>5</v>
      </c>
      <c r="K76" s="10">
        <f>IFERROR(vlookup('1.5'!J:J,lookup!$A$26:$B$28,2,false),0)</f>
        <v>5</v>
      </c>
      <c r="M76" s="10">
        <v>75.0</v>
      </c>
      <c r="N76" s="11" t="str">
        <f t="shared" si="1"/>
        <v>bnco0975@signalschool.ac.th</v>
      </c>
      <c r="O76" s="12">
        <f t="shared" si="2"/>
        <v>1</v>
      </c>
      <c r="R76" s="17" t="s">
        <v>292</v>
      </c>
    </row>
    <row r="77">
      <c r="A77" s="8">
        <f>'1.5'!A:A</f>
        <v>46212.63263</v>
      </c>
      <c r="B77" s="2" t="str">
        <f>'1.5'!B:B</f>
        <v>bnco0917@signalschool.ac.th</v>
      </c>
      <c r="C77" s="2" t="str">
        <f>'1.5'!C:C</f>
        <v>ร.ต.วสันต์ ทัศนะนามล</v>
      </c>
      <c r="D77" s="9">
        <v>1.0</v>
      </c>
      <c r="E77" s="10">
        <f>IFERROR(vlookup('1.5'!D:D,lookup!$A$2:$B$4,2,false),0)</f>
        <v>5</v>
      </c>
      <c r="F77" s="10">
        <f>IFERROR(vlookup('1.5'!E:E,lookup!$A$6:$B$8,2,false),0)</f>
        <v>5</v>
      </c>
      <c r="G77" s="10">
        <f>IFERROR(vlookup('1.5'!F:F,lookup!$A$10:$B$12,2,false),0)</f>
        <v>5</v>
      </c>
      <c r="H77" s="10">
        <f>IFERROR(vlookup('1.5'!G:G,lookup!$A$14:$B$16,2,false),0)</f>
        <v>5</v>
      </c>
      <c r="I77" s="10">
        <f>IFERROR(vlookup('1.5'!H:H,lookup!$A$18:$B$20,2,false),0)</f>
        <v>5</v>
      </c>
      <c r="J77" s="10">
        <f>IFERROR(vlookup('1.5'!I:I,lookup!$A$22:$B$24,2,false),0)</f>
        <v>5</v>
      </c>
      <c r="K77" s="10">
        <f>IFERROR(vlookup('1.5'!J:J,lookup!$A$26:$B$28,2,false),0)</f>
        <v>5</v>
      </c>
      <c r="M77" s="10">
        <v>76.0</v>
      </c>
      <c r="N77" s="11" t="str">
        <f t="shared" si="1"/>
        <v>bnco0976@signalschool.ac.th</v>
      </c>
      <c r="O77" s="12">
        <f t="shared" si="2"/>
        <v>1</v>
      </c>
      <c r="R77" s="17" t="s">
        <v>293</v>
      </c>
    </row>
    <row r="78">
      <c r="A78" s="8">
        <f>'1.5'!A:A</f>
        <v>46212.71038</v>
      </c>
      <c r="B78" s="2" t="str">
        <f>'1.5'!B:B</f>
        <v>bnco0954@signalschool.ac.th</v>
      </c>
      <c r="C78" s="2" t="str">
        <f>'1.5'!C:C</f>
        <v>ร.ต.วสันต์ ทัศนามล , จ.ส.อ.ประกาศิต แช่เจียม , จ.ส.อ.วรากร ไตรศัพท์ , จ.ส.ท.ศุภกิตติ์ ปัญญาจักร</v>
      </c>
      <c r="D78" s="9">
        <v>1.0</v>
      </c>
      <c r="E78" s="10">
        <f>IFERROR(vlookup('1.5'!D:D,lookup!$A$2:$B$4,2,false),0)</f>
        <v>5</v>
      </c>
      <c r="F78" s="10">
        <f>IFERROR(vlookup('1.5'!E:E,lookup!$A$6:$B$8,2,false),0)</f>
        <v>5</v>
      </c>
      <c r="G78" s="10">
        <f>IFERROR(vlookup('1.5'!F:F,lookup!$A$10:$B$12,2,false),0)</f>
        <v>5</v>
      </c>
      <c r="H78" s="10">
        <f>IFERROR(vlookup('1.5'!G:G,lookup!$A$14:$B$16,2,false),0)</f>
        <v>5</v>
      </c>
      <c r="I78" s="10">
        <f>IFERROR(vlookup('1.5'!H:H,lookup!$A$18:$B$20,2,false),0)</f>
        <v>5</v>
      </c>
      <c r="J78" s="10">
        <f>IFERROR(vlookup('1.5'!I:I,lookup!$A$22:$B$24,2,false),0)</f>
        <v>5</v>
      </c>
      <c r="K78" s="10">
        <f>IFERROR(vlookup('1.5'!J:J,lookup!$A$26:$B$28,2,false),0)</f>
        <v>5</v>
      </c>
      <c r="M78" s="10">
        <v>77.0</v>
      </c>
      <c r="N78" s="11" t="str">
        <f t="shared" si="1"/>
        <v>bnco0977@signalschool.ac.th</v>
      </c>
      <c r="O78" s="12">
        <f t="shared" si="2"/>
        <v>1</v>
      </c>
      <c r="R78" s="17" t="s">
        <v>294</v>
      </c>
    </row>
    <row r="79">
      <c r="A79" s="8">
        <f>'1.5'!A:A</f>
        <v>46212.83582</v>
      </c>
      <c r="B79" s="2" t="str">
        <f>'1.5'!B:B</f>
        <v>bnco0907@signalschool.ac.th</v>
      </c>
      <c r="C79" s="2" t="str">
        <f>'1.5'!C:C</f>
        <v>ร.ต.วสันต์ ทัศนามล , จ.ส.อ.ประกาศิต แช่เจียม , จ.ส.อ.วรากร ไตรศัพท์ , จ.ส.ท.ศุภกิตติ์ ปัญญาจักร</v>
      </c>
      <c r="D79" s="9">
        <v>1.0</v>
      </c>
      <c r="E79" s="10">
        <f>IFERROR(vlookup('1.5'!D:D,lookup!$A$2:$B$4,2,false),0)</f>
        <v>5</v>
      </c>
      <c r="F79" s="10">
        <f>IFERROR(vlookup('1.5'!E:E,lookup!$A$6:$B$8,2,false),0)</f>
        <v>5</v>
      </c>
      <c r="G79" s="10">
        <f>IFERROR(vlookup('1.5'!F:F,lookup!$A$10:$B$12,2,false),0)</f>
        <v>5</v>
      </c>
      <c r="H79" s="10">
        <f>IFERROR(vlookup('1.5'!G:G,lookup!$A$14:$B$16,2,false),0)</f>
        <v>5</v>
      </c>
      <c r="I79" s="10">
        <f>IFERROR(vlookup('1.5'!H:H,lookup!$A$18:$B$20,2,false),0)</f>
        <v>5</v>
      </c>
      <c r="J79" s="10">
        <f>IFERROR(vlookup('1.5'!I:I,lookup!$A$22:$B$24,2,false),0)</f>
        <v>5</v>
      </c>
      <c r="K79" s="10">
        <f>IFERROR(vlookup('1.5'!J:J,lookup!$A$26:$B$28,2,false),0)</f>
        <v>5</v>
      </c>
      <c r="M79" s="10">
        <v>78.0</v>
      </c>
      <c r="N79" s="11" t="str">
        <f t="shared" si="1"/>
        <v>bnco0978@signalschool.ac.th</v>
      </c>
      <c r="O79" s="12">
        <f t="shared" si="2"/>
        <v>1</v>
      </c>
      <c r="R79" s="17" t="s">
        <v>295</v>
      </c>
    </row>
    <row r="80">
      <c r="A80" s="8">
        <f>'1.5'!A:A</f>
        <v>46213.40589</v>
      </c>
      <c r="B80" s="2" t="str">
        <f>'1.5'!B:B</f>
        <v>bnco0931@signalschool.ac.th</v>
      </c>
      <c r="C80" s="2" t="str">
        <f>'1.5'!C:C</f>
        <v>ร.ต.วสันต์ ทัศนามล</v>
      </c>
      <c r="D80" s="9">
        <v>1.0</v>
      </c>
      <c r="E80" s="10">
        <f>IFERROR(vlookup('1.5'!D:D,lookup!$A$2:$B$4,2,false),0)</f>
        <v>5</v>
      </c>
      <c r="F80" s="10">
        <f>IFERROR(vlookup('1.5'!E:E,lookup!$A$6:$B$8,2,false),0)</f>
        <v>5</v>
      </c>
      <c r="G80" s="10">
        <f>IFERROR(vlookup('1.5'!F:F,lookup!$A$10:$B$12,2,false),0)</f>
        <v>5</v>
      </c>
      <c r="H80" s="10">
        <f>IFERROR(vlookup('1.5'!G:G,lookup!$A$14:$B$16,2,false),0)</f>
        <v>5</v>
      </c>
      <c r="I80" s="10">
        <f>IFERROR(vlookup('1.5'!H:H,lookup!$A$18:$B$20,2,false),0)</f>
        <v>5</v>
      </c>
      <c r="J80" s="10">
        <f>IFERROR(vlookup('1.5'!I:I,lookup!$A$22:$B$24,2,false),0)</f>
        <v>5</v>
      </c>
      <c r="K80" s="10">
        <f>IFERROR(vlookup('1.5'!J:J,lookup!$A$26:$B$28,2,false),0)</f>
        <v>5</v>
      </c>
      <c r="M80" s="10">
        <v>79.0</v>
      </c>
      <c r="N80" s="11" t="str">
        <f t="shared" si="1"/>
        <v>bnco0979@signalschool.ac.th</v>
      </c>
      <c r="O80" s="12">
        <f t="shared" si="2"/>
        <v>1</v>
      </c>
      <c r="R80" s="17" t="s">
        <v>296</v>
      </c>
    </row>
    <row r="81">
      <c r="A81" s="8">
        <f>'1.5'!A:A</f>
        <v>46213.45648</v>
      </c>
      <c r="B81" s="2" t="str">
        <f>'1.5'!B:B</f>
        <v>bnco0975@signalschool.ac.th</v>
      </c>
      <c r="C81" s="2" t="str">
        <f>'1.5'!C:C</f>
        <v>ร.ต.วสันต์ ทัศนามล , จ.ส.อ.ประกาศิต แช่เจียม , จ.ส.อ.วรากร ไตรศัพท์ , จ.ส.ท.ศุภกิตติ์ ปัญญาจักร</v>
      </c>
      <c r="D81" s="9">
        <v>1.0</v>
      </c>
      <c r="E81" s="10">
        <f>IFERROR(vlookup('1.5'!D:D,lookup!$A$2:$B$4,2,false),0)</f>
        <v>5</v>
      </c>
      <c r="F81" s="10">
        <f>IFERROR(vlookup('1.5'!E:E,lookup!$A$6:$B$8,2,false),0)</f>
        <v>5</v>
      </c>
      <c r="G81" s="10">
        <f>IFERROR(vlookup('1.5'!F:F,lookup!$A$10:$B$12,2,false),0)</f>
        <v>5</v>
      </c>
      <c r="H81" s="10">
        <f>IFERROR(vlookup('1.5'!G:G,lookup!$A$14:$B$16,2,false),0)</f>
        <v>5</v>
      </c>
      <c r="I81" s="10">
        <f>IFERROR(vlookup('1.5'!H:H,lookup!$A$18:$B$20,2,false),0)</f>
        <v>5</v>
      </c>
      <c r="J81" s="10">
        <f>IFERROR(vlookup('1.5'!I:I,lookup!$A$22:$B$24,2,false),0)</f>
        <v>5</v>
      </c>
      <c r="K81" s="10">
        <f>IFERROR(vlookup('1.5'!J:J,lookup!$A$26:$B$28,2,false),0)</f>
        <v>5</v>
      </c>
      <c r="M81" s="10">
        <v>80.0</v>
      </c>
      <c r="N81" s="11" t="str">
        <f t="shared" si="1"/>
        <v>bnco0980@signalschool.ac.th</v>
      </c>
      <c r="O81" s="12">
        <f t="shared" si="2"/>
        <v>1</v>
      </c>
      <c r="R81" s="17" t="s">
        <v>297</v>
      </c>
    </row>
    <row r="82">
      <c r="A82" s="8"/>
      <c r="B82" s="2"/>
      <c r="C82" s="2"/>
      <c r="E82" s="14">
        <f t="shared" ref="E82:K82" si="3">AVERAGE(E2:E81)</f>
        <v>4.975</v>
      </c>
      <c r="F82" s="14">
        <f t="shared" si="3"/>
        <v>4.95</v>
      </c>
      <c r="G82" s="14">
        <f t="shared" si="3"/>
        <v>4.95</v>
      </c>
      <c r="H82" s="14">
        <f t="shared" si="3"/>
        <v>4.975</v>
      </c>
      <c r="I82" s="14">
        <f t="shared" si="3"/>
        <v>4.975</v>
      </c>
      <c r="J82" s="14">
        <f t="shared" si="3"/>
        <v>4.95</v>
      </c>
      <c r="K82" s="14">
        <f t="shared" si="3"/>
        <v>4.925</v>
      </c>
      <c r="L82" s="15">
        <f>AVERAGE(E82:K82)</f>
        <v>4.957142857</v>
      </c>
      <c r="N82" s="2" t="s">
        <v>298</v>
      </c>
      <c r="O82" s="10">
        <f>SUM(O2:O81)</f>
        <v>80</v>
      </c>
    </row>
    <row r="83">
      <c r="A83" s="8"/>
      <c r="B83" s="2"/>
      <c r="C83" s="2"/>
      <c r="E83" s="10"/>
      <c r="F83" s="10"/>
      <c r="G83" s="10"/>
      <c r="H83" s="10"/>
      <c r="I83" s="10"/>
      <c r="J83" s="10"/>
      <c r="K83" s="10"/>
      <c r="N83" s="2" t="s">
        <v>299</v>
      </c>
      <c r="O83" s="10">
        <f>(O82*100)/80</f>
        <v>100</v>
      </c>
    </row>
    <row r="84">
      <c r="A84" s="8"/>
      <c r="B84" s="2"/>
      <c r="C84" s="2"/>
      <c r="E84" s="10"/>
      <c r="K84" s="10"/>
    </row>
    <row r="85">
      <c r="A85" s="8"/>
      <c r="B85" s="2"/>
      <c r="C85" s="2"/>
      <c r="E85" s="10"/>
    </row>
    <row r="86">
      <c r="A86" s="8"/>
      <c r="B86" s="2"/>
      <c r="C86" s="2"/>
      <c r="E86" s="10"/>
    </row>
    <row r="87">
      <c r="A87" s="8"/>
      <c r="B87" s="2"/>
      <c r="C87" s="2"/>
      <c r="E87" s="10"/>
    </row>
    <row r="88">
      <c r="A88" s="8"/>
      <c r="B88" s="2"/>
      <c r="C88" s="2"/>
      <c r="E88" s="10"/>
    </row>
    <row r="89">
      <c r="A89" s="8"/>
      <c r="B89" s="2"/>
      <c r="C89" s="2"/>
      <c r="E89" s="10"/>
    </row>
    <row r="90">
      <c r="A90" s="8"/>
      <c r="B90" s="2"/>
      <c r="C90" s="2"/>
      <c r="E90" s="10"/>
    </row>
    <row r="91">
      <c r="A91" s="8"/>
      <c r="B91" s="2"/>
      <c r="C91" s="2"/>
      <c r="E91" s="10"/>
    </row>
    <row r="92">
      <c r="A92" s="8"/>
      <c r="B92" s="2"/>
      <c r="C92" s="2"/>
      <c r="E92" s="10"/>
    </row>
    <row r="93">
      <c r="A93" s="8"/>
      <c r="B93" s="2"/>
      <c r="C93" s="2"/>
      <c r="E93" s="10"/>
    </row>
    <row r="94">
      <c r="A94" s="8"/>
      <c r="B94" s="2"/>
      <c r="C94" s="2"/>
      <c r="E94" s="10"/>
    </row>
    <row r="95">
      <c r="A95" s="8"/>
      <c r="B95" s="2"/>
      <c r="C95" s="2"/>
      <c r="E95" s="10"/>
    </row>
    <row r="96">
      <c r="A96" s="8"/>
      <c r="B96" s="2"/>
      <c r="C96" s="2"/>
      <c r="E96" s="10"/>
    </row>
    <row r="97">
      <c r="A97" s="8"/>
      <c r="B97" s="2"/>
      <c r="C97" s="2"/>
      <c r="E97" s="10"/>
    </row>
    <row r="98">
      <c r="A98" s="8"/>
      <c r="C98" s="2"/>
      <c r="E98" s="10"/>
    </row>
    <row r="99">
      <c r="A99" s="8"/>
      <c r="C99" s="2"/>
      <c r="E99" s="10"/>
    </row>
    <row r="100">
      <c r="A100" s="8"/>
      <c r="C100" s="2"/>
    </row>
    <row r="101">
      <c r="A101" s="8"/>
      <c r="C101" s="2"/>
    </row>
    <row r="102">
      <c r="A102" s="8"/>
      <c r="C102" s="2"/>
    </row>
    <row r="103">
      <c r="A103" s="8"/>
      <c r="C103" s="2"/>
    </row>
    <row r="104">
      <c r="A104" s="8"/>
      <c r="C104" s="2"/>
    </row>
    <row r="105">
      <c r="A105" s="8"/>
      <c r="C105" s="2"/>
    </row>
    <row r="106">
      <c r="A106" s="8"/>
      <c r="C106" s="2"/>
    </row>
    <row r="107">
      <c r="A107" s="8"/>
      <c r="C107" s="2"/>
    </row>
    <row r="108">
      <c r="A108" s="8"/>
      <c r="C108" s="2"/>
    </row>
    <row r="109">
      <c r="A109" s="8"/>
      <c r="C109" s="2"/>
    </row>
    <row r="110">
      <c r="A110" s="8"/>
      <c r="C110" s="2"/>
    </row>
    <row r="111">
      <c r="A111" s="8"/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</sheetData>
  <mergeCells count="1">
    <mergeCell ref="M1:O1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7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4">
        <v>46181.35667037037</v>
      </c>
      <c r="B2" s="6" t="s">
        <v>27</v>
      </c>
      <c r="C2" s="6" t="s">
        <v>335</v>
      </c>
      <c r="D2" s="6" t="s">
        <v>15</v>
      </c>
      <c r="E2" s="6" t="s">
        <v>16</v>
      </c>
      <c r="F2" s="6" t="s">
        <v>17</v>
      </c>
      <c r="G2" s="6" t="s">
        <v>18</v>
      </c>
      <c r="H2" s="6" t="s">
        <v>19</v>
      </c>
      <c r="I2" s="6" t="s">
        <v>20</v>
      </c>
      <c r="J2" s="6" t="s">
        <v>21</v>
      </c>
      <c r="K2" s="6" t="s">
        <v>336</v>
      </c>
    </row>
    <row r="3">
      <c r="A3" s="4">
        <v>46181.39916060185</v>
      </c>
      <c r="B3" s="6" t="s">
        <v>30</v>
      </c>
      <c r="C3" s="6" t="s">
        <v>337</v>
      </c>
      <c r="D3" s="6" t="s">
        <v>15</v>
      </c>
      <c r="E3" s="6" t="s">
        <v>16</v>
      </c>
      <c r="F3" s="6" t="s">
        <v>17</v>
      </c>
      <c r="G3" s="6" t="s">
        <v>18</v>
      </c>
      <c r="H3" s="6" t="s">
        <v>19</v>
      </c>
      <c r="I3" s="6" t="s">
        <v>20</v>
      </c>
      <c r="J3" s="6" t="s">
        <v>21</v>
      </c>
      <c r="K3" s="6" t="s">
        <v>34</v>
      </c>
    </row>
    <row r="4">
      <c r="A4" s="4">
        <v>46181.39929079861</v>
      </c>
      <c r="B4" s="6" t="s">
        <v>35</v>
      </c>
      <c r="C4" s="6" t="s">
        <v>338</v>
      </c>
      <c r="D4" s="6" t="s">
        <v>15</v>
      </c>
      <c r="E4" s="6" t="s">
        <v>16</v>
      </c>
      <c r="F4" s="6" t="s">
        <v>17</v>
      </c>
      <c r="G4" s="6" t="s">
        <v>18</v>
      </c>
      <c r="H4" s="6" t="s">
        <v>19</v>
      </c>
      <c r="I4" s="6" t="s">
        <v>20</v>
      </c>
      <c r="J4" s="6" t="s">
        <v>21</v>
      </c>
    </row>
    <row r="5">
      <c r="A5" s="4">
        <v>46181.399662129625</v>
      </c>
      <c r="B5" s="6" t="s">
        <v>106</v>
      </c>
      <c r="C5" s="6" t="s">
        <v>339</v>
      </c>
      <c r="D5" s="6" t="s">
        <v>41</v>
      </c>
      <c r="E5" s="6" t="s">
        <v>16</v>
      </c>
      <c r="F5" s="6" t="s">
        <v>17</v>
      </c>
      <c r="G5" s="6" t="s">
        <v>18</v>
      </c>
      <c r="H5" s="6" t="s">
        <v>19</v>
      </c>
      <c r="I5" s="6" t="s">
        <v>20</v>
      </c>
      <c r="J5" s="6" t="s">
        <v>21</v>
      </c>
    </row>
    <row r="6">
      <c r="A6" s="4">
        <v>46181.400355844904</v>
      </c>
      <c r="B6" s="6" t="s">
        <v>42</v>
      </c>
      <c r="C6" s="6" t="s">
        <v>337</v>
      </c>
      <c r="D6" s="6" t="s">
        <v>15</v>
      </c>
      <c r="E6" s="6" t="s">
        <v>16</v>
      </c>
      <c r="F6" s="6" t="s">
        <v>17</v>
      </c>
      <c r="G6" s="6" t="s">
        <v>18</v>
      </c>
      <c r="H6" s="6" t="s">
        <v>19</v>
      </c>
      <c r="I6" s="6" t="s">
        <v>20</v>
      </c>
      <c r="J6" s="6" t="s">
        <v>21</v>
      </c>
    </row>
    <row r="7">
      <c r="A7" s="4">
        <v>46181.40370206018</v>
      </c>
      <c r="B7" s="6" t="s">
        <v>121</v>
      </c>
      <c r="C7" s="6" t="s">
        <v>337</v>
      </c>
      <c r="D7" s="6" t="s">
        <v>41</v>
      </c>
      <c r="E7" s="6" t="s">
        <v>33</v>
      </c>
      <c r="F7" s="6" t="s">
        <v>17</v>
      </c>
      <c r="G7" s="6" t="s">
        <v>18</v>
      </c>
      <c r="H7" s="6" t="s">
        <v>46</v>
      </c>
      <c r="I7" s="6" t="s">
        <v>20</v>
      </c>
      <c r="J7" s="6" t="s">
        <v>48</v>
      </c>
    </row>
    <row r="8">
      <c r="A8" s="4">
        <v>46181.415207592596</v>
      </c>
      <c r="B8" s="6" t="s">
        <v>88</v>
      </c>
      <c r="C8" s="6" t="s">
        <v>337</v>
      </c>
      <c r="D8" s="6" t="s">
        <v>15</v>
      </c>
      <c r="E8" s="6" t="s">
        <v>16</v>
      </c>
      <c r="F8" s="6" t="s">
        <v>17</v>
      </c>
      <c r="G8" s="6" t="s">
        <v>18</v>
      </c>
      <c r="H8" s="6" t="s">
        <v>19</v>
      </c>
      <c r="I8" s="6" t="s">
        <v>20</v>
      </c>
      <c r="J8" s="6" t="s">
        <v>21</v>
      </c>
    </row>
    <row r="9">
      <c r="A9" s="4">
        <v>46181.41566133102</v>
      </c>
      <c r="B9" s="6" t="s">
        <v>82</v>
      </c>
      <c r="C9" s="6" t="s">
        <v>337</v>
      </c>
      <c r="D9" s="6" t="s">
        <v>15</v>
      </c>
      <c r="E9" s="6" t="s">
        <v>16</v>
      </c>
      <c r="F9" s="6" t="s">
        <v>17</v>
      </c>
      <c r="G9" s="6" t="s">
        <v>18</v>
      </c>
      <c r="H9" s="6" t="s">
        <v>19</v>
      </c>
      <c r="I9" s="6" t="s">
        <v>20</v>
      </c>
      <c r="J9" s="6" t="s">
        <v>21</v>
      </c>
    </row>
    <row r="10">
      <c r="A10" s="4">
        <v>46181.41570564815</v>
      </c>
      <c r="B10" s="6" t="s">
        <v>86</v>
      </c>
      <c r="C10" s="6" t="s">
        <v>340</v>
      </c>
      <c r="D10" s="6" t="s">
        <v>15</v>
      </c>
      <c r="E10" s="6" t="s">
        <v>16</v>
      </c>
      <c r="F10" s="6" t="s">
        <v>17</v>
      </c>
      <c r="G10" s="6" t="s">
        <v>18</v>
      </c>
      <c r="H10" s="6" t="s">
        <v>19</v>
      </c>
      <c r="I10" s="6" t="s">
        <v>20</v>
      </c>
      <c r="J10" s="6" t="s">
        <v>21</v>
      </c>
      <c r="K10" s="6" t="s">
        <v>97</v>
      </c>
    </row>
    <row r="11">
      <c r="A11" s="4">
        <v>46181.415745798615</v>
      </c>
      <c r="B11" s="6" t="s">
        <v>94</v>
      </c>
      <c r="C11" s="6" t="s">
        <v>341</v>
      </c>
      <c r="D11" s="6" t="s">
        <v>15</v>
      </c>
      <c r="E11" s="6" t="s">
        <v>16</v>
      </c>
      <c r="F11" s="6" t="s">
        <v>17</v>
      </c>
      <c r="G11" s="6" t="s">
        <v>18</v>
      </c>
      <c r="H11" s="6" t="s">
        <v>19</v>
      </c>
      <c r="I11" s="6" t="s">
        <v>20</v>
      </c>
      <c r="J11" s="6" t="s">
        <v>21</v>
      </c>
    </row>
    <row r="12">
      <c r="A12" s="4">
        <v>46181.41577712963</v>
      </c>
      <c r="B12" s="6" t="s">
        <v>70</v>
      </c>
      <c r="C12" s="6" t="s">
        <v>337</v>
      </c>
      <c r="D12" s="6" t="s">
        <v>41</v>
      </c>
      <c r="E12" s="6" t="s">
        <v>16</v>
      </c>
      <c r="F12" s="6" t="s">
        <v>17</v>
      </c>
      <c r="G12" s="6" t="s">
        <v>18</v>
      </c>
      <c r="H12" s="6" t="s">
        <v>19</v>
      </c>
      <c r="I12" s="6" t="s">
        <v>20</v>
      </c>
      <c r="J12" s="6" t="s">
        <v>21</v>
      </c>
    </row>
    <row r="13">
      <c r="A13" s="4">
        <v>46181.416431550926</v>
      </c>
      <c r="B13" s="6" t="s">
        <v>137</v>
      </c>
      <c r="C13" s="6" t="s">
        <v>337</v>
      </c>
      <c r="D13" s="6" t="s">
        <v>15</v>
      </c>
      <c r="E13" s="6" t="s">
        <v>16</v>
      </c>
      <c r="F13" s="6" t="s">
        <v>17</v>
      </c>
      <c r="G13" s="6" t="s">
        <v>18</v>
      </c>
      <c r="H13" s="6" t="s">
        <v>19</v>
      </c>
      <c r="I13" s="6" t="s">
        <v>20</v>
      </c>
      <c r="J13" s="6" t="s">
        <v>21</v>
      </c>
    </row>
    <row r="14">
      <c r="A14" s="4">
        <v>46181.41660881945</v>
      </c>
      <c r="B14" s="6" t="s">
        <v>37</v>
      </c>
      <c r="C14" s="6" t="s">
        <v>337</v>
      </c>
      <c r="D14" s="6" t="s">
        <v>15</v>
      </c>
      <c r="E14" s="6" t="s">
        <v>16</v>
      </c>
      <c r="F14" s="6" t="s">
        <v>17</v>
      </c>
      <c r="G14" s="6" t="s">
        <v>18</v>
      </c>
      <c r="H14" s="6" t="s">
        <v>19</v>
      </c>
      <c r="I14" s="6" t="s">
        <v>20</v>
      </c>
      <c r="J14" s="6" t="s">
        <v>21</v>
      </c>
      <c r="K14" s="6" t="s">
        <v>342</v>
      </c>
    </row>
    <row r="15">
      <c r="A15" s="4">
        <v>46181.41714265046</v>
      </c>
      <c r="B15" s="6" t="s">
        <v>166</v>
      </c>
      <c r="C15" s="6" t="s">
        <v>343</v>
      </c>
      <c r="D15" s="6" t="s">
        <v>15</v>
      </c>
      <c r="E15" s="6" t="s">
        <v>16</v>
      </c>
      <c r="F15" s="6" t="s">
        <v>17</v>
      </c>
      <c r="G15" s="6" t="s">
        <v>18</v>
      </c>
      <c r="H15" s="6" t="s">
        <v>19</v>
      </c>
      <c r="I15" s="6" t="s">
        <v>47</v>
      </c>
      <c r="J15" s="6" t="s">
        <v>21</v>
      </c>
    </row>
    <row r="16">
      <c r="A16" s="4">
        <v>46181.4173178125</v>
      </c>
      <c r="B16" s="6" t="s">
        <v>172</v>
      </c>
      <c r="C16" s="6" t="s">
        <v>344</v>
      </c>
      <c r="D16" s="6" t="s">
        <v>15</v>
      </c>
      <c r="E16" s="6" t="s">
        <v>16</v>
      </c>
      <c r="F16" s="6" t="s">
        <v>17</v>
      </c>
      <c r="G16" s="6" t="s">
        <v>18</v>
      </c>
      <c r="H16" s="6" t="s">
        <v>19</v>
      </c>
      <c r="I16" s="6" t="s">
        <v>20</v>
      </c>
      <c r="J16" s="6" t="s">
        <v>21</v>
      </c>
      <c r="K16" s="6" t="s">
        <v>115</v>
      </c>
    </row>
    <row r="17">
      <c r="A17" s="4">
        <v>46181.41741834491</v>
      </c>
      <c r="B17" s="6" t="s">
        <v>98</v>
      </c>
      <c r="C17" s="6" t="s">
        <v>339</v>
      </c>
      <c r="D17" s="6" t="s">
        <v>15</v>
      </c>
      <c r="E17" s="6" t="s">
        <v>16</v>
      </c>
      <c r="F17" s="6" t="s">
        <v>17</v>
      </c>
      <c r="G17" s="6" t="s">
        <v>18</v>
      </c>
      <c r="H17" s="6" t="s">
        <v>19</v>
      </c>
      <c r="I17" s="6" t="s">
        <v>20</v>
      </c>
      <c r="J17" s="6" t="s">
        <v>21</v>
      </c>
    </row>
    <row r="18">
      <c r="A18" s="4">
        <v>46181.41764864583</v>
      </c>
      <c r="B18" s="6" t="s">
        <v>51</v>
      </c>
      <c r="C18" s="6" t="s">
        <v>345</v>
      </c>
      <c r="D18" s="6" t="s">
        <v>15</v>
      </c>
      <c r="E18" s="6" t="s">
        <v>33</v>
      </c>
      <c r="F18" s="6" t="s">
        <v>17</v>
      </c>
      <c r="G18" s="6" t="s">
        <v>18</v>
      </c>
      <c r="H18" s="6" t="s">
        <v>19</v>
      </c>
      <c r="I18" s="6" t="s">
        <v>20</v>
      </c>
      <c r="J18" s="6" t="s">
        <v>48</v>
      </c>
      <c r="K18" s="6" t="s">
        <v>346</v>
      </c>
    </row>
    <row r="19">
      <c r="A19" s="4">
        <v>46181.41810956018</v>
      </c>
      <c r="B19" s="6" t="s">
        <v>113</v>
      </c>
      <c r="C19" s="6" t="s">
        <v>347</v>
      </c>
      <c r="D19" s="6" t="s">
        <v>15</v>
      </c>
      <c r="E19" s="6" t="s">
        <v>16</v>
      </c>
      <c r="F19" s="6" t="s">
        <v>17</v>
      </c>
      <c r="G19" s="6" t="s">
        <v>18</v>
      </c>
      <c r="H19" s="6" t="s">
        <v>19</v>
      </c>
      <c r="I19" s="6" t="s">
        <v>20</v>
      </c>
      <c r="J19" s="6" t="s">
        <v>21</v>
      </c>
    </row>
    <row r="20">
      <c r="A20" s="4">
        <v>46181.41824221065</v>
      </c>
      <c r="B20" s="6" t="s">
        <v>151</v>
      </c>
      <c r="C20" s="6" t="s">
        <v>348</v>
      </c>
      <c r="D20" s="6" t="s">
        <v>15</v>
      </c>
      <c r="E20" s="6" t="s">
        <v>16</v>
      </c>
      <c r="F20" s="6" t="s">
        <v>17</v>
      </c>
      <c r="G20" s="6" t="s">
        <v>18</v>
      </c>
      <c r="H20" s="6" t="s">
        <v>19</v>
      </c>
      <c r="I20" s="6" t="s">
        <v>20</v>
      </c>
      <c r="J20" s="6" t="s">
        <v>21</v>
      </c>
      <c r="K20" s="6" t="s">
        <v>349</v>
      </c>
    </row>
    <row r="21">
      <c r="A21" s="4">
        <v>46181.4185612963</v>
      </c>
      <c r="B21" s="6" t="s">
        <v>130</v>
      </c>
      <c r="C21" s="6" t="s">
        <v>337</v>
      </c>
      <c r="D21" s="6" t="s">
        <v>15</v>
      </c>
      <c r="E21" s="6" t="s">
        <v>16</v>
      </c>
      <c r="F21" s="6" t="s">
        <v>17</v>
      </c>
      <c r="G21" s="6" t="s">
        <v>18</v>
      </c>
      <c r="H21" s="6" t="s">
        <v>19</v>
      </c>
      <c r="I21" s="6" t="s">
        <v>20</v>
      </c>
      <c r="J21" s="6" t="s">
        <v>21</v>
      </c>
      <c r="K21" s="6" t="s">
        <v>350</v>
      </c>
    </row>
    <row r="22">
      <c r="A22" s="4">
        <v>46181.418562280094</v>
      </c>
      <c r="B22" s="6" t="s">
        <v>89</v>
      </c>
      <c r="C22" s="18" t="s">
        <v>351</v>
      </c>
      <c r="D22" s="6" t="s">
        <v>15</v>
      </c>
      <c r="E22" s="6" t="s">
        <v>16</v>
      </c>
      <c r="F22" s="6" t="s">
        <v>17</v>
      </c>
      <c r="G22" s="6" t="s">
        <v>18</v>
      </c>
      <c r="H22" s="6" t="s">
        <v>19</v>
      </c>
      <c r="I22" s="6" t="s">
        <v>20</v>
      </c>
      <c r="J22" s="6" t="s">
        <v>21</v>
      </c>
      <c r="K22" s="6" t="s">
        <v>29</v>
      </c>
    </row>
    <row r="23">
      <c r="A23" s="4">
        <v>46181.41895946759</v>
      </c>
      <c r="B23" s="6" t="s">
        <v>104</v>
      </c>
      <c r="C23" s="6" t="s">
        <v>337</v>
      </c>
      <c r="D23" s="6" t="s">
        <v>15</v>
      </c>
      <c r="E23" s="6" t="s">
        <v>16</v>
      </c>
      <c r="F23" s="6" t="s">
        <v>17</v>
      </c>
      <c r="G23" s="6" t="s">
        <v>18</v>
      </c>
      <c r="H23" s="6" t="s">
        <v>19</v>
      </c>
      <c r="I23" s="6" t="s">
        <v>20</v>
      </c>
      <c r="J23" s="6" t="s">
        <v>21</v>
      </c>
    </row>
    <row r="24">
      <c r="A24" s="4">
        <v>46181.41896476852</v>
      </c>
      <c r="B24" s="6" t="s">
        <v>49</v>
      </c>
      <c r="C24" s="6" t="s">
        <v>337</v>
      </c>
      <c r="D24" s="6" t="s">
        <v>15</v>
      </c>
      <c r="E24" s="6" t="s">
        <v>16</v>
      </c>
      <c r="F24" s="6" t="s">
        <v>17</v>
      </c>
      <c r="G24" s="6" t="s">
        <v>18</v>
      </c>
      <c r="H24" s="6" t="s">
        <v>19</v>
      </c>
      <c r="I24" s="6" t="s">
        <v>20</v>
      </c>
      <c r="J24" s="6" t="s">
        <v>21</v>
      </c>
    </row>
    <row r="25">
      <c r="A25" s="4">
        <v>46181.418985428245</v>
      </c>
      <c r="B25" s="6" t="s">
        <v>114</v>
      </c>
      <c r="C25" s="6" t="s">
        <v>352</v>
      </c>
      <c r="D25" s="6" t="s">
        <v>15</v>
      </c>
      <c r="E25" s="6" t="s">
        <v>16</v>
      </c>
      <c r="F25" s="6" t="s">
        <v>17</v>
      </c>
      <c r="G25" s="6" t="s">
        <v>18</v>
      </c>
      <c r="H25" s="6" t="s">
        <v>19</v>
      </c>
      <c r="I25" s="6" t="s">
        <v>20</v>
      </c>
      <c r="J25" s="6" t="s">
        <v>21</v>
      </c>
      <c r="K25" s="6" t="s">
        <v>29</v>
      </c>
    </row>
    <row r="26">
      <c r="A26" s="4">
        <v>46181.42005207176</v>
      </c>
      <c r="B26" s="6" t="s">
        <v>74</v>
      </c>
      <c r="C26" s="6" t="s">
        <v>337</v>
      </c>
      <c r="D26" s="6" t="s">
        <v>15</v>
      </c>
      <c r="E26" s="6" t="s">
        <v>16</v>
      </c>
      <c r="F26" s="6" t="s">
        <v>17</v>
      </c>
      <c r="G26" s="6" t="s">
        <v>18</v>
      </c>
      <c r="H26" s="6" t="s">
        <v>19</v>
      </c>
      <c r="I26" s="6" t="s">
        <v>20</v>
      </c>
      <c r="J26" s="6" t="s">
        <v>21</v>
      </c>
    </row>
    <row r="27">
      <c r="A27" s="4">
        <v>46181.42210576389</v>
      </c>
      <c r="B27" s="6" t="s">
        <v>150</v>
      </c>
      <c r="C27" s="6" t="s">
        <v>337</v>
      </c>
      <c r="D27" s="6" t="s">
        <v>15</v>
      </c>
      <c r="E27" s="6" t="s">
        <v>16</v>
      </c>
      <c r="F27" s="6" t="s">
        <v>17</v>
      </c>
      <c r="G27" s="6" t="s">
        <v>18</v>
      </c>
      <c r="H27" s="6" t="s">
        <v>19</v>
      </c>
      <c r="I27" s="6" t="s">
        <v>20</v>
      </c>
      <c r="J27" s="6" t="s">
        <v>21</v>
      </c>
    </row>
    <row r="28">
      <c r="A28" s="4">
        <v>46181.42282162037</v>
      </c>
      <c r="B28" s="6" t="s">
        <v>53</v>
      </c>
      <c r="C28" s="6" t="s">
        <v>337</v>
      </c>
      <c r="D28" s="6" t="s">
        <v>15</v>
      </c>
      <c r="E28" s="6" t="s">
        <v>16</v>
      </c>
      <c r="F28" s="6" t="s">
        <v>17</v>
      </c>
      <c r="G28" s="6" t="s">
        <v>18</v>
      </c>
      <c r="H28" s="6" t="s">
        <v>19</v>
      </c>
      <c r="I28" s="6" t="s">
        <v>20</v>
      </c>
      <c r="J28" s="6" t="s">
        <v>21</v>
      </c>
    </row>
    <row r="29">
      <c r="A29" s="4">
        <v>46181.4229283912</v>
      </c>
      <c r="B29" s="6" t="s">
        <v>101</v>
      </c>
      <c r="C29" s="6" t="s">
        <v>337</v>
      </c>
      <c r="D29" s="6" t="s">
        <v>15</v>
      </c>
      <c r="E29" s="6" t="s">
        <v>16</v>
      </c>
      <c r="F29" s="6" t="s">
        <v>17</v>
      </c>
      <c r="G29" s="6" t="s">
        <v>18</v>
      </c>
      <c r="H29" s="6" t="s">
        <v>19</v>
      </c>
      <c r="I29" s="6" t="s">
        <v>20</v>
      </c>
      <c r="J29" s="6" t="s">
        <v>21</v>
      </c>
    </row>
    <row r="30">
      <c r="A30" s="4">
        <v>46181.4242250463</v>
      </c>
      <c r="B30" s="6" t="s">
        <v>105</v>
      </c>
      <c r="C30" s="6" t="s">
        <v>337</v>
      </c>
      <c r="D30" s="6" t="s">
        <v>41</v>
      </c>
      <c r="E30" s="6" t="s">
        <v>16</v>
      </c>
      <c r="F30" s="6" t="s">
        <v>17</v>
      </c>
      <c r="G30" s="6" t="s">
        <v>18</v>
      </c>
      <c r="H30" s="6" t="s">
        <v>19</v>
      </c>
      <c r="I30" s="6" t="s">
        <v>20</v>
      </c>
      <c r="J30" s="6" t="s">
        <v>21</v>
      </c>
    </row>
    <row r="31">
      <c r="A31" s="4">
        <v>46181.42476181713</v>
      </c>
      <c r="B31" s="6" t="s">
        <v>148</v>
      </c>
      <c r="C31" s="6" t="s">
        <v>337</v>
      </c>
      <c r="D31" s="6" t="s">
        <v>15</v>
      </c>
      <c r="E31" s="6" t="s">
        <v>16</v>
      </c>
      <c r="F31" s="6" t="s">
        <v>17</v>
      </c>
      <c r="G31" s="6" t="s">
        <v>18</v>
      </c>
      <c r="H31" s="6" t="s">
        <v>19</v>
      </c>
      <c r="I31" s="6" t="s">
        <v>20</v>
      </c>
      <c r="J31" s="6" t="s">
        <v>21</v>
      </c>
    </row>
    <row r="32">
      <c r="A32" s="4">
        <v>46181.425297696755</v>
      </c>
      <c r="B32" s="6" t="s">
        <v>155</v>
      </c>
      <c r="C32" s="6" t="s">
        <v>337</v>
      </c>
      <c r="D32" s="6" t="s">
        <v>15</v>
      </c>
      <c r="E32" s="6" t="s">
        <v>16</v>
      </c>
      <c r="F32" s="6" t="s">
        <v>17</v>
      </c>
      <c r="G32" s="6" t="s">
        <v>18</v>
      </c>
      <c r="H32" s="6" t="s">
        <v>19</v>
      </c>
      <c r="I32" s="6" t="s">
        <v>20</v>
      </c>
      <c r="J32" s="6" t="s">
        <v>21</v>
      </c>
    </row>
    <row r="33">
      <c r="A33" s="4">
        <v>46181.42565125</v>
      </c>
      <c r="B33" s="6" t="s">
        <v>75</v>
      </c>
      <c r="C33" s="6" t="s">
        <v>337</v>
      </c>
      <c r="D33" s="6" t="s">
        <v>15</v>
      </c>
      <c r="E33" s="6" t="s">
        <v>16</v>
      </c>
      <c r="F33" s="6" t="s">
        <v>17</v>
      </c>
      <c r="G33" s="6" t="s">
        <v>18</v>
      </c>
      <c r="H33" s="6" t="s">
        <v>19</v>
      </c>
      <c r="I33" s="6" t="s">
        <v>20</v>
      </c>
      <c r="J33" s="6" t="s">
        <v>21</v>
      </c>
    </row>
    <row r="34">
      <c r="A34" s="4">
        <v>46181.42968325231</v>
      </c>
      <c r="B34" s="6" t="s">
        <v>100</v>
      </c>
      <c r="C34" s="6" t="s">
        <v>337</v>
      </c>
      <c r="D34" s="6" t="s">
        <v>15</v>
      </c>
      <c r="E34" s="6" t="s">
        <v>16</v>
      </c>
      <c r="F34" s="6" t="s">
        <v>17</v>
      </c>
      <c r="G34" s="6" t="s">
        <v>18</v>
      </c>
      <c r="H34" s="6" t="s">
        <v>19</v>
      </c>
      <c r="I34" s="6" t="s">
        <v>20</v>
      </c>
      <c r="J34" s="6" t="s">
        <v>21</v>
      </c>
    </row>
    <row r="35">
      <c r="A35" s="4">
        <v>46181.43503440972</v>
      </c>
      <c r="B35" s="6" t="s">
        <v>142</v>
      </c>
      <c r="C35" s="6" t="s">
        <v>353</v>
      </c>
      <c r="D35" s="6" t="s">
        <v>15</v>
      </c>
      <c r="E35" s="6" t="s">
        <v>16</v>
      </c>
      <c r="F35" s="6" t="s">
        <v>17</v>
      </c>
      <c r="G35" s="6" t="s">
        <v>18</v>
      </c>
      <c r="H35" s="6" t="s">
        <v>19</v>
      </c>
      <c r="I35" s="6" t="s">
        <v>20</v>
      </c>
      <c r="J35" s="6" t="s">
        <v>21</v>
      </c>
    </row>
    <row r="36">
      <c r="A36" s="4">
        <v>46181.44170149305</v>
      </c>
      <c r="B36" s="6" t="s">
        <v>92</v>
      </c>
      <c r="C36" s="6" t="s">
        <v>354</v>
      </c>
      <c r="D36" s="6" t="s">
        <v>15</v>
      </c>
      <c r="E36" s="6" t="s">
        <v>16</v>
      </c>
      <c r="F36" s="6" t="s">
        <v>17</v>
      </c>
      <c r="G36" s="6" t="s">
        <v>18</v>
      </c>
      <c r="H36" s="6" t="s">
        <v>19</v>
      </c>
      <c r="I36" s="6" t="s">
        <v>20</v>
      </c>
      <c r="J36" s="6" t="s">
        <v>21</v>
      </c>
    </row>
    <row r="37">
      <c r="A37" s="4">
        <v>46181.44566479167</v>
      </c>
      <c r="B37" s="6" t="s">
        <v>71</v>
      </c>
      <c r="C37" s="6" t="s">
        <v>337</v>
      </c>
      <c r="D37" s="6" t="s">
        <v>15</v>
      </c>
      <c r="E37" s="6" t="s">
        <v>16</v>
      </c>
      <c r="F37" s="6" t="s">
        <v>17</v>
      </c>
      <c r="G37" s="6" t="s">
        <v>18</v>
      </c>
      <c r="H37" s="6" t="s">
        <v>19</v>
      </c>
      <c r="I37" s="6" t="s">
        <v>20</v>
      </c>
      <c r="J37" s="6" t="s">
        <v>21</v>
      </c>
    </row>
    <row r="38">
      <c r="A38" s="4">
        <v>46181.46547268519</v>
      </c>
      <c r="B38" s="6" t="s">
        <v>144</v>
      </c>
      <c r="C38" s="6" t="s">
        <v>337</v>
      </c>
      <c r="D38" s="6" t="s">
        <v>15</v>
      </c>
      <c r="E38" s="6" t="s">
        <v>33</v>
      </c>
      <c r="F38" s="6" t="s">
        <v>17</v>
      </c>
      <c r="G38" s="6" t="s">
        <v>18</v>
      </c>
      <c r="H38" s="6" t="s">
        <v>19</v>
      </c>
      <c r="I38" s="6" t="s">
        <v>20</v>
      </c>
      <c r="J38" s="6" t="s">
        <v>21</v>
      </c>
    </row>
    <row r="39">
      <c r="A39" s="4">
        <v>46181.46583784722</v>
      </c>
      <c r="B39" s="6" t="s">
        <v>110</v>
      </c>
      <c r="C39" s="6" t="s">
        <v>337</v>
      </c>
      <c r="D39" s="6" t="s">
        <v>15</v>
      </c>
      <c r="E39" s="6" t="s">
        <v>16</v>
      </c>
      <c r="F39" s="6" t="s">
        <v>17</v>
      </c>
      <c r="G39" s="6" t="s">
        <v>18</v>
      </c>
      <c r="H39" s="6" t="s">
        <v>19</v>
      </c>
      <c r="I39" s="6" t="s">
        <v>20</v>
      </c>
      <c r="J39" s="6" t="s">
        <v>21</v>
      </c>
    </row>
    <row r="40">
      <c r="A40" s="4">
        <v>46181.48392003472</v>
      </c>
      <c r="B40" s="6" t="s">
        <v>54</v>
      </c>
      <c r="C40" s="6" t="s">
        <v>337</v>
      </c>
      <c r="D40" s="6" t="s">
        <v>15</v>
      </c>
      <c r="E40" s="6" t="s">
        <v>16</v>
      </c>
      <c r="F40" s="6" t="s">
        <v>17</v>
      </c>
      <c r="G40" s="6" t="s">
        <v>18</v>
      </c>
      <c r="H40" s="6" t="s">
        <v>19</v>
      </c>
      <c r="I40" s="6" t="s">
        <v>20</v>
      </c>
      <c r="J40" s="6" t="s">
        <v>21</v>
      </c>
    </row>
    <row r="41">
      <c r="A41" s="4">
        <v>46181.516065104166</v>
      </c>
      <c r="B41" s="6" t="s">
        <v>95</v>
      </c>
      <c r="C41" s="6" t="s">
        <v>355</v>
      </c>
      <c r="D41" s="6" t="s">
        <v>15</v>
      </c>
      <c r="E41" s="6" t="s">
        <v>16</v>
      </c>
      <c r="F41" s="6" t="s">
        <v>17</v>
      </c>
      <c r="G41" s="6" t="s">
        <v>18</v>
      </c>
      <c r="H41" s="6" t="s">
        <v>19</v>
      </c>
      <c r="I41" s="6" t="s">
        <v>20</v>
      </c>
      <c r="J41" s="6" t="s">
        <v>21</v>
      </c>
    </row>
    <row r="42">
      <c r="A42" s="4">
        <v>46181.51782894676</v>
      </c>
      <c r="B42" s="6" t="s">
        <v>11</v>
      </c>
      <c r="C42" s="6" t="s">
        <v>337</v>
      </c>
      <c r="D42" s="6" t="s">
        <v>15</v>
      </c>
      <c r="E42" s="6" t="s">
        <v>16</v>
      </c>
      <c r="F42" s="6" t="s">
        <v>17</v>
      </c>
      <c r="G42" s="6" t="s">
        <v>18</v>
      </c>
      <c r="H42" s="6" t="s">
        <v>19</v>
      </c>
      <c r="I42" s="6" t="s">
        <v>20</v>
      </c>
      <c r="J42" s="6" t="s">
        <v>21</v>
      </c>
    </row>
    <row r="43">
      <c r="A43" s="4">
        <v>46181.53318125</v>
      </c>
      <c r="B43" s="6" t="s">
        <v>158</v>
      </c>
      <c r="C43" s="6" t="s">
        <v>337</v>
      </c>
      <c r="D43" s="6" t="s">
        <v>15</v>
      </c>
      <c r="E43" s="6" t="s">
        <v>16</v>
      </c>
      <c r="F43" s="6" t="s">
        <v>17</v>
      </c>
      <c r="G43" s="6" t="s">
        <v>18</v>
      </c>
      <c r="H43" s="6" t="s">
        <v>19</v>
      </c>
      <c r="I43" s="6" t="s">
        <v>20</v>
      </c>
      <c r="J43" s="6" t="s">
        <v>21</v>
      </c>
    </row>
    <row r="44">
      <c r="A44" s="4">
        <v>46181.53983606481</v>
      </c>
      <c r="B44" s="6" t="s">
        <v>81</v>
      </c>
      <c r="C44" s="6" t="s">
        <v>348</v>
      </c>
      <c r="D44" s="6" t="s">
        <v>41</v>
      </c>
      <c r="E44" s="6" t="s">
        <v>16</v>
      </c>
      <c r="F44" s="6" t="s">
        <v>17</v>
      </c>
      <c r="G44" s="6" t="s">
        <v>18</v>
      </c>
      <c r="H44" s="6" t="s">
        <v>19</v>
      </c>
      <c r="I44" s="6" t="s">
        <v>20</v>
      </c>
      <c r="J44" s="6" t="s">
        <v>21</v>
      </c>
    </row>
    <row r="45">
      <c r="A45" s="4">
        <v>46181.540575543986</v>
      </c>
      <c r="B45" s="6" t="s">
        <v>67</v>
      </c>
      <c r="C45" s="6" t="s">
        <v>337</v>
      </c>
      <c r="D45" s="6" t="s">
        <v>15</v>
      </c>
      <c r="E45" s="6" t="s">
        <v>16</v>
      </c>
      <c r="F45" s="6" t="s">
        <v>17</v>
      </c>
      <c r="G45" s="6" t="s">
        <v>18</v>
      </c>
      <c r="H45" s="6" t="s">
        <v>19</v>
      </c>
      <c r="I45" s="6" t="s">
        <v>20</v>
      </c>
      <c r="J45" s="6" t="s">
        <v>21</v>
      </c>
      <c r="K45" s="6" t="s">
        <v>29</v>
      </c>
    </row>
    <row r="46">
      <c r="A46" s="4">
        <v>46181.58095819445</v>
      </c>
      <c r="B46" s="6" t="s">
        <v>125</v>
      </c>
      <c r="C46" s="6" t="s">
        <v>356</v>
      </c>
      <c r="D46" s="6" t="s">
        <v>15</v>
      </c>
      <c r="E46" s="6" t="s">
        <v>16</v>
      </c>
      <c r="F46" s="6" t="s">
        <v>17</v>
      </c>
      <c r="G46" s="6" t="s">
        <v>18</v>
      </c>
      <c r="H46" s="6" t="s">
        <v>19</v>
      </c>
      <c r="I46" s="6" t="s">
        <v>20</v>
      </c>
      <c r="J46" s="6" t="s">
        <v>21</v>
      </c>
    </row>
    <row r="47">
      <c r="A47" s="4">
        <v>46181.7878666551</v>
      </c>
      <c r="B47" s="6" t="s">
        <v>102</v>
      </c>
      <c r="C47" s="6" t="s">
        <v>337</v>
      </c>
      <c r="D47" s="6" t="s">
        <v>15</v>
      </c>
      <c r="E47" s="6" t="s">
        <v>16</v>
      </c>
      <c r="F47" s="6" t="s">
        <v>17</v>
      </c>
      <c r="G47" s="6" t="s">
        <v>18</v>
      </c>
      <c r="H47" s="6" t="s">
        <v>19</v>
      </c>
      <c r="I47" s="6" t="s">
        <v>20</v>
      </c>
      <c r="J47" s="6" t="s">
        <v>21</v>
      </c>
      <c r="K47" s="6" t="s">
        <v>357</v>
      </c>
    </row>
    <row r="48">
      <c r="A48" s="4">
        <v>46181.81370608797</v>
      </c>
      <c r="B48" s="6" t="s">
        <v>123</v>
      </c>
      <c r="C48" s="6" t="s">
        <v>337</v>
      </c>
      <c r="D48" s="6" t="s">
        <v>15</v>
      </c>
      <c r="E48" s="6" t="s">
        <v>16</v>
      </c>
      <c r="F48" s="6" t="s">
        <v>17</v>
      </c>
      <c r="G48" s="6" t="s">
        <v>18</v>
      </c>
      <c r="H48" s="6" t="s">
        <v>19</v>
      </c>
      <c r="I48" s="6" t="s">
        <v>20</v>
      </c>
      <c r="J48" s="6" t="s">
        <v>21</v>
      </c>
    </row>
    <row r="49">
      <c r="A49" s="4">
        <v>46181.81699422454</v>
      </c>
      <c r="B49" s="6" t="s">
        <v>124</v>
      </c>
      <c r="C49" s="6" t="s">
        <v>354</v>
      </c>
      <c r="D49" s="6" t="s">
        <v>15</v>
      </c>
      <c r="E49" s="6" t="s">
        <v>16</v>
      </c>
      <c r="F49" s="6" t="s">
        <v>17</v>
      </c>
      <c r="G49" s="6" t="s">
        <v>18</v>
      </c>
      <c r="H49" s="6" t="s">
        <v>19</v>
      </c>
      <c r="I49" s="6" t="s">
        <v>20</v>
      </c>
      <c r="J49" s="6" t="s">
        <v>21</v>
      </c>
    </row>
    <row r="50">
      <c r="A50" s="4">
        <v>46181.83461077546</v>
      </c>
      <c r="B50" s="6" t="s">
        <v>128</v>
      </c>
      <c r="C50" s="6" t="s">
        <v>348</v>
      </c>
      <c r="D50" s="6" t="s">
        <v>15</v>
      </c>
      <c r="E50" s="6" t="s">
        <v>16</v>
      </c>
      <c r="F50" s="6" t="s">
        <v>17</v>
      </c>
      <c r="G50" s="6" t="s">
        <v>18</v>
      </c>
      <c r="H50" s="6" t="s">
        <v>19</v>
      </c>
      <c r="I50" s="6" t="s">
        <v>20</v>
      </c>
      <c r="J50" s="6" t="s">
        <v>21</v>
      </c>
      <c r="K50" s="6" t="s">
        <v>29</v>
      </c>
    </row>
    <row r="51">
      <c r="A51" s="4">
        <v>46182.38135387731</v>
      </c>
      <c r="B51" s="6" t="s">
        <v>169</v>
      </c>
      <c r="C51" s="6" t="s">
        <v>337</v>
      </c>
      <c r="D51" s="6" t="s">
        <v>15</v>
      </c>
      <c r="E51" s="6" t="s">
        <v>16</v>
      </c>
      <c r="F51" s="6" t="s">
        <v>17</v>
      </c>
      <c r="G51" s="6" t="s">
        <v>18</v>
      </c>
      <c r="H51" s="6" t="s">
        <v>19</v>
      </c>
      <c r="I51" s="6" t="s">
        <v>20</v>
      </c>
      <c r="J51" s="6" t="s">
        <v>21</v>
      </c>
    </row>
    <row r="52">
      <c r="A52" s="4">
        <v>46184.53820297454</v>
      </c>
      <c r="B52" s="6" t="s">
        <v>76</v>
      </c>
      <c r="C52" s="6" t="s">
        <v>358</v>
      </c>
      <c r="D52" s="6" t="s">
        <v>15</v>
      </c>
      <c r="E52" s="6" t="s">
        <v>16</v>
      </c>
      <c r="F52" s="6" t="s">
        <v>17</v>
      </c>
      <c r="G52" s="6" t="s">
        <v>18</v>
      </c>
      <c r="H52" s="6" t="s">
        <v>19</v>
      </c>
      <c r="I52" s="6" t="s">
        <v>20</v>
      </c>
      <c r="J52" s="6" t="s">
        <v>21</v>
      </c>
    </row>
    <row r="53">
      <c r="A53" s="4">
        <v>46184.544721342594</v>
      </c>
      <c r="B53" s="6" t="s">
        <v>162</v>
      </c>
      <c r="C53" s="6" t="s">
        <v>358</v>
      </c>
      <c r="D53" s="6" t="s">
        <v>41</v>
      </c>
      <c r="E53" s="6" t="s">
        <v>16</v>
      </c>
      <c r="F53" s="6" t="s">
        <v>17</v>
      </c>
      <c r="G53" s="6" t="s">
        <v>18</v>
      </c>
      <c r="H53" s="6" t="s">
        <v>19</v>
      </c>
      <c r="I53" s="6" t="s">
        <v>20</v>
      </c>
      <c r="J53" s="6" t="s">
        <v>48</v>
      </c>
    </row>
    <row r="54">
      <c r="A54" s="4">
        <v>46188.89777582176</v>
      </c>
      <c r="B54" s="6" t="s">
        <v>171</v>
      </c>
      <c r="C54" s="6" t="s">
        <v>337</v>
      </c>
      <c r="D54" s="6" t="s">
        <v>41</v>
      </c>
      <c r="E54" s="6" t="s">
        <v>33</v>
      </c>
      <c r="F54" s="6" t="s">
        <v>17</v>
      </c>
      <c r="G54" s="6" t="s">
        <v>18</v>
      </c>
      <c r="H54" s="6" t="s">
        <v>19</v>
      </c>
      <c r="I54" s="6" t="s">
        <v>20</v>
      </c>
      <c r="J54" s="6" t="s">
        <v>21</v>
      </c>
    </row>
    <row r="55">
      <c r="A55" s="4">
        <v>46190.41416346065</v>
      </c>
      <c r="B55" s="6" t="s">
        <v>55</v>
      </c>
      <c r="C55" s="6" t="s">
        <v>337</v>
      </c>
      <c r="D55" s="6" t="s">
        <v>15</v>
      </c>
      <c r="E55" s="6" t="s">
        <v>16</v>
      </c>
      <c r="F55" s="6" t="s">
        <v>17</v>
      </c>
      <c r="G55" s="6" t="s">
        <v>18</v>
      </c>
      <c r="H55" s="6" t="s">
        <v>19</v>
      </c>
      <c r="I55" s="6" t="s">
        <v>20</v>
      </c>
      <c r="J55" s="6" t="s">
        <v>21</v>
      </c>
    </row>
    <row r="56">
      <c r="A56" s="4">
        <v>46199.37659832176</v>
      </c>
      <c r="B56" s="6" t="s">
        <v>40</v>
      </c>
      <c r="C56" s="6" t="s">
        <v>359</v>
      </c>
      <c r="D56" s="6" t="s">
        <v>41</v>
      </c>
      <c r="E56" s="6" t="s">
        <v>33</v>
      </c>
      <c r="F56" s="6" t="s">
        <v>43</v>
      </c>
      <c r="G56" s="6" t="s">
        <v>44</v>
      </c>
      <c r="H56" s="6" t="s">
        <v>46</v>
      </c>
      <c r="I56" s="6" t="s">
        <v>47</v>
      </c>
      <c r="J56" s="6" t="s">
        <v>48</v>
      </c>
    </row>
    <row r="57">
      <c r="A57" s="4">
        <v>46200.44330363426</v>
      </c>
      <c r="B57" s="6" t="s">
        <v>12</v>
      </c>
      <c r="C57" s="6" t="s">
        <v>360</v>
      </c>
      <c r="D57" s="6" t="s">
        <v>15</v>
      </c>
      <c r="E57" s="6" t="s">
        <v>16</v>
      </c>
      <c r="F57" s="6" t="s">
        <v>17</v>
      </c>
      <c r="G57" s="6" t="s">
        <v>18</v>
      </c>
      <c r="H57" s="6" t="s">
        <v>19</v>
      </c>
      <c r="I57" s="6" t="s">
        <v>20</v>
      </c>
      <c r="J57" s="6" t="s">
        <v>21</v>
      </c>
    </row>
    <row r="58">
      <c r="A58" s="4">
        <v>46212.62069733796</v>
      </c>
      <c r="B58" s="6" t="s">
        <v>57</v>
      </c>
      <c r="C58" s="6" t="s">
        <v>361</v>
      </c>
      <c r="D58" s="6" t="s">
        <v>15</v>
      </c>
      <c r="E58" s="6" t="s">
        <v>16</v>
      </c>
      <c r="F58" s="6" t="s">
        <v>17</v>
      </c>
      <c r="G58" s="6" t="s">
        <v>18</v>
      </c>
      <c r="H58" s="6" t="s">
        <v>19</v>
      </c>
      <c r="I58" s="6" t="s">
        <v>20</v>
      </c>
      <c r="J58" s="6" t="s">
        <v>21</v>
      </c>
    </row>
    <row r="59">
      <c r="A59" s="4">
        <v>46212.62129384259</v>
      </c>
      <c r="B59" s="6" t="s">
        <v>31</v>
      </c>
      <c r="C59" s="6" t="s">
        <v>361</v>
      </c>
      <c r="D59" s="6" t="s">
        <v>15</v>
      </c>
      <c r="E59" s="6" t="s">
        <v>16</v>
      </c>
      <c r="F59" s="6" t="s">
        <v>17</v>
      </c>
      <c r="G59" s="6" t="s">
        <v>18</v>
      </c>
      <c r="H59" s="6" t="s">
        <v>19</v>
      </c>
      <c r="I59" s="6" t="s">
        <v>20</v>
      </c>
      <c r="J59" s="6" t="s">
        <v>21</v>
      </c>
    </row>
    <row r="60">
      <c r="A60" s="4">
        <v>46212.621495983796</v>
      </c>
      <c r="B60" s="6" t="s">
        <v>119</v>
      </c>
      <c r="C60" s="6" t="s">
        <v>362</v>
      </c>
      <c r="D60" s="6" t="s">
        <v>15</v>
      </c>
      <c r="E60" s="6" t="s">
        <v>16</v>
      </c>
      <c r="F60" s="6" t="s">
        <v>17</v>
      </c>
      <c r="G60" s="6" t="s">
        <v>18</v>
      </c>
      <c r="H60" s="6" t="s">
        <v>19</v>
      </c>
      <c r="I60" s="6" t="s">
        <v>20</v>
      </c>
      <c r="J60" s="6" t="s">
        <v>21</v>
      </c>
    </row>
    <row r="61">
      <c r="A61" s="4">
        <v>46212.623077951386</v>
      </c>
      <c r="B61" s="6" t="s">
        <v>93</v>
      </c>
      <c r="C61" s="6" t="s">
        <v>363</v>
      </c>
      <c r="D61" s="6" t="s">
        <v>15</v>
      </c>
      <c r="E61" s="6" t="s">
        <v>16</v>
      </c>
      <c r="F61" s="6" t="s">
        <v>17</v>
      </c>
      <c r="G61" s="6" t="s">
        <v>18</v>
      </c>
      <c r="H61" s="6" t="s">
        <v>19</v>
      </c>
      <c r="I61" s="6" t="s">
        <v>20</v>
      </c>
      <c r="J61" s="6" t="s">
        <v>21</v>
      </c>
    </row>
    <row r="62">
      <c r="A62" s="4">
        <v>46212.62308640046</v>
      </c>
      <c r="B62" s="6" t="s">
        <v>133</v>
      </c>
      <c r="C62" s="6" t="s">
        <v>364</v>
      </c>
      <c r="D62" s="6" t="s">
        <v>15</v>
      </c>
      <c r="E62" s="6" t="s">
        <v>16</v>
      </c>
      <c r="F62" s="6" t="s">
        <v>17</v>
      </c>
      <c r="G62" s="6" t="s">
        <v>18</v>
      </c>
      <c r="H62" s="6" t="s">
        <v>19</v>
      </c>
      <c r="I62" s="6" t="s">
        <v>20</v>
      </c>
      <c r="J62" s="6" t="s">
        <v>21</v>
      </c>
    </row>
    <row r="63">
      <c r="A63" s="4">
        <v>46212.623134814814</v>
      </c>
      <c r="B63" s="6" t="s">
        <v>118</v>
      </c>
      <c r="C63" s="6" t="s">
        <v>361</v>
      </c>
      <c r="D63" s="6" t="s">
        <v>15</v>
      </c>
      <c r="E63" s="6" t="s">
        <v>16</v>
      </c>
      <c r="F63" s="6" t="s">
        <v>17</v>
      </c>
      <c r="G63" s="6" t="s">
        <v>18</v>
      </c>
      <c r="H63" s="6" t="s">
        <v>19</v>
      </c>
      <c r="I63" s="6" t="s">
        <v>20</v>
      </c>
      <c r="J63" s="6" t="s">
        <v>21</v>
      </c>
    </row>
    <row r="64">
      <c r="A64" s="4">
        <v>46212.62328165509</v>
      </c>
      <c r="B64" s="6" t="s">
        <v>63</v>
      </c>
      <c r="C64" s="6" t="s">
        <v>365</v>
      </c>
      <c r="D64" s="6" t="s">
        <v>15</v>
      </c>
      <c r="E64" s="6" t="s">
        <v>16</v>
      </c>
      <c r="F64" s="6" t="s">
        <v>17</v>
      </c>
      <c r="G64" s="6" t="s">
        <v>18</v>
      </c>
      <c r="H64" s="6" t="s">
        <v>19</v>
      </c>
      <c r="I64" s="6" t="s">
        <v>20</v>
      </c>
      <c r="J64" s="6" t="s">
        <v>21</v>
      </c>
    </row>
    <row r="65">
      <c r="A65" s="4">
        <v>46212.62338355324</v>
      </c>
      <c r="B65" s="6" t="s">
        <v>25</v>
      </c>
      <c r="C65" s="6" t="s">
        <v>366</v>
      </c>
      <c r="D65" s="6" t="s">
        <v>15</v>
      </c>
      <c r="E65" s="6" t="s">
        <v>16</v>
      </c>
      <c r="F65" s="6" t="s">
        <v>17</v>
      </c>
      <c r="G65" s="6" t="s">
        <v>18</v>
      </c>
      <c r="H65" s="6" t="s">
        <v>19</v>
      </c>
      <c r="I65" s="6" t="s">
        <v>20</v>
      </c>
      <c r="J65" s="6" t="s">
        <v>21</v>
      </c>
    </row>
    <row r="66">
      <c r="A66" s="4">
        <v>46212.62364452546</v>
      </c>
      <c r="B66" s="6" t="s">
        <v>62</v>
      </c>
      <c r="C66" s="6" t="s">
        <v>367</v>
      </c>
      <c r="D66" s="6" t="s">
        <v>15</v>
      </c>
      <c r="E66" s="6" t="s">
        <v>16</v>
      </c>
      <c r="F66" s="6" t="s">
        <v>17</v>
      </c>
      <c r="G66" s="6" t="s">
        <v>18</v>
      </c>
      <c r="H66" s="6" t="s">
        <v>19</v>
      </c>
      <c r="I66" s="6" t="s">
        <v>20</v>
      </c>
      <c r="J66" s="6" t="s">
        <v>21</v>
      </c>
    </row>
    <row r="67">
      <c r="A67" s="4">
        <v>46212.623719814816</v>
      </c>
      <c r="B67" s="6" t="s">
        <v>59</v>
      </c>
      <c r="C67" s="6" t="s">
        <v>368</v>
      </c>
      <c r="D67" s="6" t="s">
        <v>15</v>
      </c>
      <c r="E67" s="6" t="s">
        <v>16</v>
      </c>
      <c r="F67" s="6" t="s">
        <v>17</v>
      </c>
      <c r="G67" s="6" t="s">
        <v>18</v>
      </c>
      <c r="H67" s="6" t="s">
        <v>19</v>
      </c>
      <c r="I67" s="6" t="s">
        <v>20</v>
      </c>
      <c r="J67" s="6" t="s">
        <v>21</v>
      </c>
    </row>
    <row r="68">
      <c r="A68" s="4">
        <v>46212.6240250463</v>
      </c>
      <c r="B68" s="6" t="s">
        <v>108</v>
      </c>
      <c r="C68" s="6" t="s">
        <v>365</v>
      </c>
      <c r="D68" s="6" t="s">
        <v>15</v>
      </c>
      <c r="E68" s="6" t="s">
        <v>16</v>
      </c>
      <c r="F68" s="6" t="s">
        <v>17</v>
      </c>
      <c r="G68" s="6" t="s">
        <v>18</v>
      </c>
      <c r="H68" s="6" t="s">
        <v>19</v>
      </c>
      <c r="I68" s="6" t="s">
        <v>20</v>
      </c>
      <c r="J68" s="6" t="s">
        <v>21</v>
      </c>
    </row>
    <row r="69">
      <c r="A69" s="4">
        <v>46212.62411574074</v>
      </c>
      <c r="B69" s="6" t="s">
        <v>138</v>
      </c>
      <c r="C69" s="6" t="s">
        <v>369</v>
      </c>
      <c r="D69" s="6" t="s">
        <v>15</v>
      </c>
      <c r="E69" s="6" t="s">
        <v>16</v>
      </c>
      <c r="F69" s="6" t="s">
        <v>17</v>
      </c>
      <c r="G69" s="6" t="s">
        <v>18</v>
      </c>
      <c r="H69" s="6" t="s">
        <v>19</v>
      </c>
      <c r="I69" s="6" t="s">
        <v>20</v>
      </c>
      <c r="J69" s="6" t="s">
        <v>21</v>
      </c>
    </row>
    <row r="70">
      <c r="A70" s="4">
        <v>46212.6241877662</v>
      </c>
      <c r="B70" s="6" t="s">
        <v>91</v>
      </c>
      <c r="C70" s="6" t="s">
        <v>365</v>
      </c>
      <c r="D70" s="6" t="s">
        <v>15</v>
      </c>
      <c r="E70" s="6" t="s">
        <v>16</v>
      </c>
      <c r="F70" s="6" t="s">
        <v>17</v>
      </c>
      <c r="G70" s="6" t="s">
        <v>18</v>
      </c>
      <c r="H70" s="6" t="s">
        <v>19</v>
      </c>
      <c r="I70" s="6" t="s">
        <v>20</v>
      </c>
      <c r="J70" s="6" t="s">
        <v>21</v>
      </c>
    </row>
    <row r="71">
      <c r="A71" s="4">
        <v>46212.62449662037</v>
      </c>
      <c r="B71" s="6" t="s">
        <v>22</v>
      </c>
      <c r="C71" s="6" t="s">
        <v>365</v>
      </c>
      <c r="D71" s="6" t="s">
        <v>15</v>
      </c>
      <c r="E71" s="6" t="s">
        <v>16</v>
      </c>
      <c r="F71" s="6" t="s">
        <v>17</v>
      </c>
      <c r="G71" s="6" t="s">
        <v>18</v>
      </c>
      <c r="H71" s="6" t="s">
        <v>19</v>
      </c>
      <c r="I71" s="6" t="s">
        <v>20</v>
      </c>
      <c r="J71" s="6" t="s">
        <v>21</v>
      </c>
    </row>
    <row r="72">
      <c r="A72" s="4">
        <v>46212.6246297801</v>
      </c>
      <c r="B72" s="6" t="s">
        <v>65</v>
      </c>
      <c r="C72" s="6" t="s">
        <v>361</v>
      </c>
      <c r="D72" s="6" t="s">
        <v>41</v>
      </c>
      <c r="E72" s="6" t="s">
        <v>16</v>
      </c>
      <c r="F72" s="6" t="s">
        <v>17</v>
      </c>
      <c r="G72" s="6" t="s">
        <v>18</v>
      </c>
      <c r="H72" s="6" t="s">
        <v>19</v>
      </c>
      <c r="I72" s="6" t="s">
        <v>20</v>
      </c>
      <c r="J72" s="6" t="s">
        <v>21</v>
      </c>
    </row>
    <row r="73">
      <c r="A73" s="4">
        <v>46212.62525866898</v>
      </c>
      <c r="B73" s="6" t="s">
        <v>161</v>
      </c>
      <c r="C73" s="6" t="s">
        <v>370</v>
      </c>
      <c r="D73" s="6" t="s">
        <v>15</v>
      </c>
      <c r="E73" s="6" t="s">
        <v>16</v>
      </c>
      <c r="F73" s="6" t="s">
        <v>17</v>
      </c>
      <c r="G73" s="6" t="s">
        <v>18</v>
      </c>
      <c r="H73" s="6" t="s">
        <v>19</v>
      </c>
      <c r="I73" s="6" t="s">
        <v>20</v>
      </c>
      <c r="J73" s="6" t="s">
        <v>21</v>
      </c>
    </row>
    <row r="74">
      <c r="A74" s="4">
        <v>46212.62547962963</v>
      </c>
      <c r="B74" s="6" t="s">
        <v>73</v>
      </c>
      <c r="C74" s="6" t="s">
        <v>365</v>
      </c>
      <c r="D74" s="6" t="s">
        <v>15</v>
      </c>
      <c r="E74" s="6" t="s">
        <v>16</v>
      </c>
      <c r="F74" s="6" t="s">
        <v>17</v>
      </c>
      <c r="G74" s="6" t="s">
        <v>18</v>
      </c>
      <c r="H74" s="6" t="s">
        <v>19</v>
      </c>
      <c r="I74" s="6" t="s">
        <v>20</v>
      </c>
      <c r="J74" s="6" t="s">
        <v>21</v>
      </c>
    </row>
    <row r="75">
      <c r="A75" s="4">
        <v>46212.62608959491</v>
      </c>
      <c r="B75" s="6" t="s">
        <v>68</v>
      </c>
      <c r="C75" s="6" t="s">
        <v>371</v>
      </c>
      <c r="D75" s="6" t="s">
        <v>15</v>
      </c>
      <c r="E75" s="6" t="s">
        <v>16</v>
      </c>
      <c r="F75" s="6" t="s">
        <v>17</v>
      </c>
      <c r="G75" s="6" t="s">
        <v>18</v>
      </c>
      <c r="H75" s="6" t="s">
        <v>19</v>
      </c>
      <c r="I75" s="6" t="s">
        <v>20</v>
      </c>
      <c r="J75" s="6" t="s">
        <v>21</v>
      </c>
    </row>
    <row r="76">
      <c r="A76" s="4">
        <v>46212.62670133101</v>
      </c>
      <c r="B76" s="6" t="s">
        <v>147</v>
      </c>
      <c r="C76" s="6" t="s">
        <v>365</v>
      </c>
      <c r="D76" s="6" t="s">
        <v>15</v>
      </c>
      <c r="E76" s="6" t="s">
        <v>16</v>
      </c>
      <c r="F76" s="6" t="s">
        <v>17</v>
      </c>
      <c r="G76" s="6" t="s">
        <v>18</v>
      </c>
      <c r="H76" s="6" t="s">
        <v>19</v>
      </c>
      <c r="I76" s="6" t="s">
        <v>20</v>
      </c>
      <c r="J76" s="6" t="s">
        <v>21</v>
      </c>
    </row>
    <row r="77">
      <c r="A77" s="4">
        <v>46212.62677898148</v>
      </c>
      <c r="B77" s="6" t="s">
        <v>135</v>
      </c>
      <c r="C77" s="6" t="s">
        <v>365</v>
      </c>
      <c r="D77" s="6" t="s">
        <v>15</v>
      </c>
      <c r="E77" s="6" t="s">
        <v>16</v>
      </c>
      <c r="F77" s="6" t="s">
        <v>17</v>
      </c>
      <c r="G77" s="6" t="s">
        <v>18</v>
      </c>
      <c r="H77" s="6" t="s">
        <v>19</v>
      </c>
      <c r="I77" s="6" t="s">
        <v>20</v>
      </c>
      <c r="J77" s="6" t="s">
        <v>21</v>
      </c>
    </row>
    <row r="78">
      <c r="A78" s="4">
        <v>46212.62704872685</v>
      </c>
      <c r="B78" s="6" t="s">
        <v>61</v>
      </c>
      <c r="C78" s="6" t="s">
        <v>365</v>
      </c>
      <c r="D78" s="6" t="s">
        <v>15</v>
      </c>
      <c r="E78" s="6" t="s">
        <v>16</v>
      </c>
      <c r="F78" s="6" t="s">
        <v>17</v>
      </c>
      <c r="G78" s="6" t="s">
        <v>18</v>
      </c>
      <c r="H78" s="6" t="s">
        <v>19</v>
      </c>
      <c r="I78" s="6" t="s">
        <v>20</v>
      </c>
      <c r="J78" s="6" t="s">
        <v>21</v>
      </c>
    </row>
    <row r="79">
      <c r="A79" s="4">
        <v>46212.628516666664</v>
      </c>
      <c r="B79" s="6" t="s">
        <v>126</v>
      </c>
      <c r="C79" s="6" t="s">
        <v>365</v>
      </c>
      <c r="D79" s="6" t="s">
        <v>15</v>
      </c>
      <c r="E79" s="6" t="s">
        <v>16</v>
      </c>
      <c r="F79" s="6" t="s">
        <v>17</v>
      </c>
      <c r="G79" s="6" t="s">
        <v>18</v>
      </c>
      <c r="H79" s="6" t="s">
        <v>19</v>
      </c>
      <c r="I79" s="6" t="s">
        <v>20</v>
      </c>
      <c r="J79" s="6" t="s">
        <v>21</v>
      </c>
    </row>
    <row r="80">
      <c r="A80" s="4">
        <v>46212.63339375</v>
      </c>
      <c r="B80" s="6" t="s">
        <v>79</v>
      </c>
      <c r="C80" s="6" t="s">
        <v>365</v>
      </c>
      <c r="D80" s="6" t="s">
        <v>15</v>
      </c>
      <c r="E80" s="6" t="s">
        <v>16</v>
      </c>
      <c r="F80" s="6" t="s">
        <v>17</v>
      </c>
      <c r="G80" s="6" t="s">
        <v>18</v>
      </c>
      <c r="H80" s="6" t="s">
        <v>19</v>
      </c>
      <c r="I80" s="6" t="s">
        <v>20</v>
      </c>
      <c r="J80" s="6" t="s">
        <v>21</v>
      </c>
    </row>
    <row r="81">
      <c r="A81" s="4">
        <v>46213.458094953705</v>
      </c>
      <c r="B81" s="6" t="s">
        <v>134</v>
      </c>
      <c r="C81" s="6" t="s">
        <v>365</v>
      </c>
      <c r="D81" s="6" t="s">
        <v>15</v>
      </c>
      <c r="E81" s="6" t="s">
        <v>16</v>
      </c>
      <c r="F81" s="6" t="s">
        <v>17</v>
      </c>
      <c r="G81" s="6" t="s">
        <v>18</v>
      </c>
      <c r="H81" s="6" t="s">
        <v>19</v>
      </c>
      <c r="I81" s="6" t="s">
        <v>20</v>
      </c>
      <c r="J81" s="6" t="s">
        <v>21</v>
      </c>
    </row>
  </sheetData>
  <hyperlinks>
    <hyperlink r:id="rId1" ref="C22"/>
  </hyperlin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4" max="4" width="2.13"/>
    <col customWidth="1" min="14" max="14" width="24.5"/>
  </cols>
  <sheetData>
    <row r="1">
      <c r="A1" s="2" t="s">
        <v>0</v>
      </c>
      <c r="B1" s="2" t="s">
        <v>1</v>
      </c>
      <c r="C1" s="3" t="s">
        <v>2</v>
      </c>
      <c r="D1" s="5"/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3" t="s">
        <v>9</v>
      </c>
      <c r="L1" s="2"/>
      <c r="M1" s="7" t="s">
        <v>24</v>
      </c>
    </row>
    <row r="2">
      <c r="A2" s="8">
        <f>'1.6'!A:A</f>
        <v>46181.35667</v>
      </c>
      <c r="B2" s="2" t="str">
        <f>'1.6'!B:B</f>
        <v>bnco0940@signalschool.ac.th</v>
      </c>
      <c r="C2" s="2" t="str">
        <f>'1.6'!C:C</f>
        <v>ส.อ.พงษ์พัฒน์  บำรุงนา</v>
      </c>
      <c r="D2" s="9">
        <v>1.0</v>
      </c>
      <c r="E2" s="10">
        <f>IFERROR(vlookup('1.6'!D:D,lookup!$A$2:$B$4,2,false),0)</f>
        <v>5</v>
      </c>
      <c r="F2" s="10">
        <f>IFERROR(vlookup('1.6'!E:E,lookup!$A$6:$B$8,2,false),0)</f>
        <v>5</v>
      </c>
      <c r="G2" s="10">
        <f>IFERROR(vlookup('1.6'!F:F,lookup!$A$10:$B$12,2,false),0)</f>
        <v>5</v>
      </c>
      <c r="H2" s="10">
        <f>IFERROR(vlookup('1.6'!G:G,lookup!$A$14:$B$16,2,false),0)</f>
        <v>5</v>
      </c>
      <c r="I2" s="10">
        <f>IFERROR(vlookup('1.6'!H:H,lookup!$A$18:$B$20,2,false),0)</f>
        <v>5</v>
      </c>
      <c r="J2" s="10">
        <f>IFERROR(vlookup('1.6'!I:I,lookup!$A$22:$B$24,2,false),0)</f>
        <v>5</v>
      </c>
      <c r="K2" s="10">
        <f>IFERROR(vlookup('1.6'!J:J,lookup!$A$26:$B$28,2,false),0)</f>
        <v>5</v>
      </c>
      <c r="L2" s="2"/>
      <c r="M2" s="10">
        <v>1.0</v>
      </c>
      <c r="N2" s="11" t="str">
        <f t="shared" ref="N2:N81" si="1">CONCAT(R2,"@signalschool.ac.th")</f>
        <v>bnco0901@signalschool.ac.th</v>
      </c>
      <c r="O2" s="12">
        <f t="shared" ref="O2:O81" si="2">IFERROR(VLOOKUP(N2,B$2:D$81,3,FALSE),0)</f>
        <v>1</v>
      </c>
      <c r="R2" s="17" t="s">
        <v>116</v>
      </c>
    </row>
    <row r="3">
      <c r="A3" s="8">
        <f>'1.6'!A:A</f>
        <v>46181.39916</v>
      </c>
      <c r="B3" s="2" t="str">
        <f>'1.6'!B:B</f>
        <v>bnco0950@signalschool.ac.th</v>
      </c>
      <c r="C3" s="2" t="str">
        <f>'1.6'!C:C</f>
        <v>ส.อ.พจนันท์ ประสิทธิ์สัชฌุกร</v>
      </c>
      <c r="D3" s="9">
        <v>1.0</v>
      </c>
      <c r="E3" s="10">
        <f>IFERROR(vlookup('1.6'!D:D,lookup!$A$2:$B$4,2,false),0)</f>
        <v>5</v>
      </c>
      <c r="F3" s="10">
        <f>IFERROR(vlookup('1.6'!E:E,lookup!$A$6:$B$8,2,false),0)</f>
        <v>5</v>
      </c>
      <c r="G3" s="10">
        <f>IFERROR(vlookup('1.6'!F:F,lookup!$A$10:$B$12,2,false),0)</f>
        <v>5</v>
      </c>
      <c r="H3" s="10">
        <f>IFERROR(vlookup('1.6'!G:G,lookup!$A$14:$B$16,2,false),0)</f>
        <v>5</v>
      </c>
      <c r="I3" s="10">
        <f>IFERROR(vlookup('1.6'!H:H,lookup!$A$18:$B$20,2,false),0)</f>
        <v>5</v>
      </c>
      <c r="J3" s="10">
        <f>IFERROR(vlookup('1.6'!I:I,lookup!$A$22:$B$24,2,false),0)</f>
        <v>5</v>
      </c>
      <c r="K3" s="10">
        <f>IFERROR(vlookup('1.6'!J:J,lookup!$A$26:$B$28,2,false),0)</f>
        <v>5</v>
      </c>
      <c r="L3" s="2"/>
      <c r="M3" s="10">
        <v>2.0</v>
      </c>
      <c r="N3" s="11" t="str">
        <f t="shared" si="1"/>
        <v>bnco0902@signalschool.ac.th</v>
      </c>
      <c r="O3" s="12">
        <f t="shared" si="2"/>
        <v>1</v>
      </c>
      <c r="R3" s="17" t="s">
        <v>157</v>
      </c>
    </row>
    <row r="4">
      <c r="A4" s="8">
        <f>'1.6'!A:A</f>
        <v>46181.39929</v>
      </c>
      <c r="B4" s="2" t="str">
        <f>'1.6'!B:B</f>
        <v>bnco0951@signalschool.ac.th</v>
      </c>
      <c r="C4" s="2" t="str">
        <f>'1.6'!C:C</f>
        <v>51 ส.อ.อธิพัฒน์ เสงี่ยมพันธ์ , ส.อ.พจนันท์ ประสิทธิ์สัชฌุกร</v>
      </c>
      <c r="D4" s="9">
        <v>1.0</v>
      </c>
      <c r="E4" s="10">
        <f>IFERROR(vlookup('1.6'!D:D,lookup!$A$2:$B$4,2,false),0)</f>
        <v>5</v>
      </c>
      <c r="F4" s="10">
        <f>IFERROR(vlookup('1.6'!E:E,lookup!$A$6:$B$8,2,false),0)</f>
        <v>5</v>
      </c>
      <c r="G4" s="10">
        <f>IFERROR(vlookup('1.6'!F:F,lookup!$A$10:$B$12,2,false),0)</f>
        <v>5</v>
      </c>
      <c r="H4" s="10">
        <f>IFERROR(vlookup('1.6'!G:G,lookup!$A$14:$B$16,2,false),0)</f>
        <v>5</v>
      </c>
      <c r="I4" s="10">
        <f>IFERROR(vlookup('1.6'!H:H,lookup!$A$18:$B$20,2,false),0)</f>
        <v>5</v>
      </c>
      <c r="J4" s="10">
        <f>IFERROR(vlookup('1.6'!I:I,lookup!$A$22:$B$24,2,false),0)</f>
        <v>5</v>
      </c>
      <c r="K4" s="10">
        <f>IFERROR(vlookup('1.6'!J:J,lookup!$A$26:$B$28,2,false),0)</f>
        <v>5</v>
      </c>
      <c r="L4" s="2"/>
      <c r="M4" s="10">
        <v>3.0</v>
      </c>
      <c r="N4" s="11" t="str">
        <f t="shared" si="1"/>
        <v>bnco0903@signalschool.ac.th</v>
      </c>
      <c r="O4" s="12">
        <f t="shared" si="2"/>
        <v>1</v>
      </c>
      <c r="R4" s="17" t="s">
        <v>182</v>
      </c>
    </row>
    <row r="5">
      <c r="A5" s="8">
        <f>'1.6'!A:A</f>
        <v>46181.39966</v>
      </c>
      <c r="B5" s="2" t="str">
        <f>'1.6'!B:B</f>
        <v>bnco0972@signalschool.ac.th</v>
      </c>
      <c r="C5" s="2" t="str">
        <f>'1.6'!C:C</f>
        <v>ส.อ.พจนันท์  ประสิทธิ์สัชฌุกร</v>
      </c>
      <c r="D5" s="9">
        <v>1.0</v>
      </c>
      <c r="E5" s="10">
        <f>IFERROR(vlookup('1.6'!D:D,lookup!$A$2:$B$4,2,false),0)</f>
        <v>3</v>
      </c>
      <c r="F5" s="10">
        <f>IFERROR(vlookup('1.6'!E:E,lookup!$A$6:$B$8,2,false),0)</f>
        <v>5</v>
      </c>
      <c r="G5" s="10">
        <f>IFERROR(vlookup('1.6'!F:F,lookup!$A$10:$B$12,2,false),0)</f>
        <v>5</v>
      </c>
      <c r="H5" s="10">
        <f>IFERROR(vlookup('1.6'!G:G,lookup!$A$14:$B$16,2,false),0)</f>
        <v>5</v>
      </c>
      <c r="I5" s="10">
        <f>IFERROR(vlookup('1.6'!H:H,lookup!$A$18:$B$20,2,false),0)</f>
        <v>5</v>
      </c>
      <c r="J5" s="10">
        <f>IFERROR(vlookup('1.6'!I:I,lookup!$A$22:$B$24,2,false),0)</f>
        <v>5</v>
      </c>
      <c r="K5" s="10">
        <f>IFERROR(vlookup('1.6'!J:J,lookup!$A$26:$B$28,2,false),0)</f>
        <v>5</v>
      </c>
      <c r="L5" s="2"/>
      <c r="M5" s="10">
        <v>4.0</v>
      </c>
      <c r="N5" s="11" t="str">
        <f t="shared" si="1"/>
        <v>bnco0904@signalschool.ac.th</v>
      </c>
      <c r="O5" s="12">
        <f t="shared" si="2"/>
        <v>1</v>
      </c>
      <c r="R5" s="17" t="s">
        <v>193</v>
      </c>
    </row>
    <row r="6">
      <c r="A6" s="8">
        <f>'1.6'!A:A</f>
        <v>46181.40036</v>
      </c>
      <c r="B6" s="2" t="str">
        <f>'1.6'!B:B</f>
        <v>bnco0967@signalschool.ac.th</v>
      </c>
      <c r="C6" s="2" t="str">
        <f>'1.6'!C:C</f>
        <v>ส.อ.พจนันท์ ประสิทธิ์สัชฌุกร</v>
      </c>
      <c r="D6" s="9">
        <v>1.0</v>
      </c>
      <c r="E6" s="10">
        <f>IFERROR(vlookup('1.6'!D:D,lookup!$A$2:$B$4,2,false),0)</f>
        <v>5</v>
      </c>
      <c r="F6" s="10">
        <f>IFERROR(vlookup('1.6'!E:E,lookup!$A$6:$B$8,2,false),0)</f>
        <v>5</v>
      </c>
      <c r="G6" s="10">
        <f>IFERROR(vlookup('1.6'!F:F,lookup!$A$10:$B$12,2,false),0)</f>
        <v>5</v>
      </c>
      <c r="H6" s="10">
        <f>IFERROR(vlookup('1.6'!G:G,lookup!$A$14:$B$16,2,false),0)</f>
        <v>5</v>
      </c>
      <c r="I6" s="10">
        <f>IFERROR(vlookup('1.6'!H:H,lookup!$A$18:$B$20,2,false),0)</f>
        <v>5</v>
      </c>
      <c r="J6" s="10">
        <f>IFERROR(vlookup('1.6'!I:I,lookup!$A$22:$B$24,2,false),0)</f>
        <v>5</v>
      </c>
      <c r="K6" s="10">
        <f>IFERROR(vlookup('1.6'!J:J,lookup!$A$26:$B$28,2,false),0)</f>
        <v>5</v>
      </c>
      <c r="L6" s="2"/>
      <c r="M6" s="10">
        <v>5.0</v>
      </c>
      <c r="N6" s="11" t="str">
        <f t="shared" si="1"/>
        <v>bnco0905@signalschool.ac.th</v>
      </c>
      <c r="O6" s="12">
        <f t="shared" si="2"/>
        <v>1</v>
      </c>
      <c r="R6" s="17" t="s">
        <v>197</v>
      </c>
    </row>
    <row r="7">
      <c r="A7" s="8">
        <f>'1.6'!A:A</f>
        <v>46181.4037</v>
      </c>
      <c r="B7" s="2" t="str">
        <f>'1.6'!B:B</f>
        <v>bnco0915@signalschool.ac.th</v>
      </c>
      <c r="C7" s="2" t="str">
        <f>'1.6'!C:C</f>
        <v>ส.อ.พจนันท์ ประสิทธิ์สัชฌุกร</v>
      </c>
      <c r="D7" s="9">
        <v>1.0</v>
      </c>
      <c r="E7" s="10">
        <f>IFERROR(vlookup('1.6'!D:D,lookup!$A$2:$B$4,2,false),0)</f>
        <v>3</v>
      </c>
      <c r="F7" s="10">
        <f>IFERROR(vlookup('1.6'!E:E,lookup!$A$6:$B$8,2,false),0)</f>
        <v>3</v>
      </c>
      <c r="G7" s="10">
        <f>IFERROR(vlookup('1.6'!F:F,lookup!$A$10:$B$12,2,false),0)</f>
        <v>5</v>
      </c>
      <c r="H7" s="10">
        <f>IFERROR(vlookup('1.6'!G:G,lookup!$A$14:$B$16,2,false),0)</f>
        <v>5</v>
      </c>
      <c r="I7" s="10">
        <f>IFERROR(vlookup('1.6'!H:H,lookup!$A$18:$B$20,2,false),0)</f>
        <v>3</v>
      </c>
      <c r="J7" s="10">
        <f>IFERROR(vlookup('1.6'!I:I,lookup!$A$22:$B$24,2,false),0)</f>
        <v>5</v>
      </c>
      <c r="K7" s="10">
        <f>IFERROR(vlookup('1.6'!J:J,lookup!$A$26:$B$28,2,false),0)</f>
        <v>3</v>
      </c>
      <c r="L7" s="2"/>
      <c r="M7" s="10">
        <v>6.0</v>
      </c>
      <c r="N7" s="11" t="str">
        <f t="shared" si="1"/>
        <v>bnco0906@signalschool.ac.th</v>
      </c>
      <c r="O7" s="12">
        <f t="shared" si="2"/>
        <v>1</v>
      </c>
      <c r="R7" s="17" t="s">
        <v>203</v>
      </c>
    </row>
    <row r="8">
      <c r="A8" s="8">
        <f>'1.6'!A:A</f>
        <v>46181.41521</v>
      </c>
      <c r="B8" s="2" t="str">
        <f>'1.6'!B:B</f>
        <v>bnco0963@signalschool.ac.th</v>
      </c>
      <c r="C8" s="2" t="str">
        <f>'1.6'!C:C</f>
        <v>ส.อ.พจนันท์ ประสิทธิ์สัชฌุกร</v>
      </c>
      <c r="D8" s="9">
        <v>1.0</v>
      </c>
      <c r="E8" s="10">
        <f>IFERROR(vlookup('1.6'!D:D,lookup!$A$2:$B$4,2,false),0)</f>
        <v>5</v>
      </c>
      <c r="F8" s="10">
        <f>IFERROR(vlookup('1.6'!E:E,lookup!$A$6:$B$8,2,false),0)</f>
        <v>5</v>
      </c>
      <c r="G8" s="10">
        <f>IFERROR(vlookup('1.6'!F:F,lookup!$A$10:$B$12,2,false),0)</f>
        <v>5</v>
      </c>
      <c r="H8" s="10">
        <f>IFERROR(vlookup('1.6'!G:G,lookup!$A$14:$B$16,2,false),0)</f>
        <v>5</v>
      </c>
      <c r="I8" s="10">
        <f>IFERROR(vlookup('1.6'!H:H,lookup!$A$18:$B$20,2,false),0)</f>
        <v>5</v>
      </c>
      <c r="J8" s="10">
        <f>IFERROR(vlookup('1.6'!I:I,lookup!$A$22:$B$24,2,false),0)</f>
        <v>5</v>
      </c>
      <c r="K8" s="10">
        <f>IFERROR(vlookup('1.6'!J:J,lookup!$A$26:$B$28,2,false),0)</f>
        <v>5</v>
      </c>
      <c r="L8" s="2"/>
      <c r="M8" s="10">
        <v>7.0</v>
      </c>
      <c r="N8" s="11" t="str">
        <f t="shared" si="1"/>
        <v>bnco0907@signalschool.ac.th</v>
      </c>
      <c r="O8" s="12">
        <f t="shared" si="2"/>
        <v>1</v>
      </c>
      <c r="R8" s="17" t="s">
        <v>206</v>
      </c>
    </row>
    <row r="9">
      <c r="A9" s="8">
        <f>'1.6'!A:A</f>
        <v>46181.41566</v>
      </c>
      <c r="B9" s="2" t="str">
        <f>'1.6'!B:B</f>
        <v>bnco0941@signalschool.ac.th</v>
      </c>
      <c r="C9" s="2" t="str">
        <f>'1.6'!C:C</f>
        <v>ส.อ.พจนันท์ ประสิทธิ์สัชฌุกร</v>
      </c>
      <c r="D9" s="9">
        <v>1.0</v>
      </c>
      <c r="E9" s="10">
        <f>IFERROR(vlookup('1.6'!D:D,lookup!$A$2:$B$4,2,false),0)</f>
        <v>5</v>
      </c>
      <c r="F9" s="10">
        <f>IFERROR(vlookup('1.6'!E:E,lookup!$A$6:$B$8,2,false),0)</f>
        <v>5</v>
      </c>
      <c r="G9" s="10">
        <f>IFERROR(vlookup('1.6'!F:F,lookup!$A$10:$B$12,2,false),0)</f>
        <v>5</v>
      </c>
      <c r="H9" s="10">
        <f>IFERROR(vlookup('1.6'!G:G,lookup!$A$14:$B$16,2,false),0)</f>
        <v>5</v>
      </c>
      <c r="I9" s="10">
        <f>IFERROR(vlookup('1.6'!H:H,lookup!$A$18:$B$20,2,false),0)</f>
        <v>5</v>
      </c>
      <c r="J9" s="10">
        <f>IFERROR(vlookup('1.6'!I:I,lookup!$A$22:$B$24,2,false),0)</f>
        <v>5</v>
      </c>
      <c r="K9" s="10">
        <f>IFERROR(vlookup('1.6'!J:J,lookup!$A$26:$B$28,2,false),0)</f>
        <v>5</v>
      </c>
      <c r="L9" s="2"/>
      <c r="M9" s="10">
        <v>8.0</v>
      </c>
      <c r="N9" s="11" t="str">
        <f t="shared" si="1"/>
        <v>bnco0908@signalschool.ac.th</v>
      </c>
      <c r="O9" s="12">
        <f t="shared" si="2"/>
        <v>1</v>
      </c>
      <c r="R9" s="17" t="s">
        <v>211</v>
      </c>
    </row>
    <row r="10">
      <c r="A10" s="8">
        <f>'1.6'!A:A</f>
        <v>46181.41571</v>
      </c>
      <c r="B10" s="2" t="str">
        <f>'1.6'!B:B</f>
        <v>bnco0956@signalschool.ac.th</v>
      </c>
      <c r="C10" s="2" t="str">
        <f>'1.6'!C:C</f>
        <v>ส.อ.ชกร นิตยบูรณ์</v>
      </c>
      <c r="D10" s="9">
        <v>1.0</v>
      </c>
      <c r="E10" s="10">
        <f>IFERROR(vlookup('1.6'!D:D,lookup!$A$2:$B$4,2,false),0)</f>
        <v>5</v>
      </c>
      <c r="F10" s="10">
        <f>IFERROR(vlookup('1.6'!E:E,lookup!$A$6:$B$8,2,false),0)</f>
        <v>5</v>
      </c>
      <c r="G10" s="10">
        <f>IFERROR(vlookup('1.6'!F:F,lookup!$A$10:$B$12,2,false),0)</f>
        <v>5</v>
      </c>
      <c r="H10" s="10">
        <f>IFERROR(vlookup('1.6'!G:G,lookup!$A$14:$B$16,2,false),0)</f>
        <v>5</v>
      </c>
      <c r="I10" s="10">
        <f>IFERROR(vlookup('1.6'!H:H,lookup!$A$18:$B$20,2,false),0)</f>
        <v>5</v>
      </c>
      <c r="J10" s="10">
        <f>IFERROR(vlookup('1.6'!I:I,lookup!$A$22:$B$24,2,false),0)</f>
        <v>5</v>
      </c>
      <c r="K10" s="10">
        <f>IFERROR(vlookup('1.6'!J:J,lookup!$A$26:$B$28,2,false),0)</f>
        <v>5</v>
      </c>
      <c r="L10" s="2"/>
      <c r="M10" s="10">
        <v>9.0</v>
      </c>
      <c r="N10" s="11" t="str">
        <f t="shared" si="1"/>
        <v>bnco0909@signalschool.ac.th</v>
      </c>
      <c r="O10" s="12">
        <f t="shared" si="2"/>
        <v>1</v>
      </c>
      <c r="R10" s="17" t="s">
        <v>212</v>
      </c>
    </row>
    <row r="11">
      <c r="A11" s="8">
        <f>'1.6'!A:A</f>
        <v>46181.41575</v>
      </c>
      <c r="B11" s="2" t="str">
        <f>'1.6'!B:B</f>
        <v>bnco0978@signalschool.ac.th</v>
      </c>
      <c r="C11" s="2" t="str">
        <f>'1.6'!C:C</f>
        <v>ส.อ.ธนพนธ์  เคยพุดซา</v>
      </c>
      <c r="D11" s="9">
        <v>1.0</v>
      </c>
      <c r="E11" s="10">
        <f>IFERROR(vlookup('1.6'!D:D,lookup!$A$2:$B$4,2,false),0)</f>
        <v>5</v>
      </c>
      <c r="F11" s="10">
        <f>IFERROR(vlookup('1.6'!E:E,lookup!$A$6:$B$8,2,false),0)</f>
        <v>5</v>
      </c>
      <c r="G11" s="10">
        <f>IFERROR(vlookup('1.6'!F:F,lookup!$A$10:$B$12,2,false),0)</f>
        <v>5</v>
      </c>
      <c r="H11" s="10">
        <f>IFERROR(vlookup('1.6'!G:G,lookup!$A$14:$B$16,2,false),0)</f>
        <v>5</v>
      </c>
      <c r="I11" s="10">
        <f>IFERROR(vlookup('1.6'!H:H,lookup!$A$18:$B$20,2,false),0)</f>
        <v>5</v>
      </c>
      <c r="J11" s="10">
        <f>IFERROR(vlookup('1.6'!I:I,lookup!$A$22:$B$24,2,false),0)</f>
        <v>5</v>
      </c>
      <c r="K11" s="10">
        <f>IFERROR(vlookup('1.6'!J:J,lookup!$A$26:$B$28,2,false),0)</f>
        <v>5</v>
      </c>
      <c r="L11" s="2"/>
      <c r="M11" s="10">
        <v>10.0</v>
      </c>
      <c r="N11" s="11" t="str">
        <f t="shared" si="1"/>
        <v>bnco0910@signalschool.ac.th</v>
      </c>
      <c r="O11" s="12">
        <f t="shared" si="2"/>
        <v>1</v>
      </c>
      <c r="R11" s="17" t="s">
        <v>213</v>
      </c>
    </row>
    <row r="12">
      <c r="A12" s="8">
        <f>'1.6'!A:A</f>
        <v>46181.41578</v>
      </c>
      <c r="B12" s="2" t="str">
        <f>'1.6'!B:B</f>
        <v>bnco0954@signalschool.ac.th</v>
      </c>
      <c r="C12" s="2" t="str">
        <f>'1.6'!C:C</f>
        <v>ส.อ.พจนันท์ ประสิทธิ์สัชฌุกร</v>
      </c>
      <c r="D12" s="9">
        <v>1.0</v>
      </c>
      <c r="E12" s="10">
        <f>IFERROR(vlookup('1.6'!D:D,lookup!$A$2:$B$4,2,false),0)</f>
        <v>3</v>
      </c>
      <c r="F12" s="10">
        <f>IFERROR(vlookup('1.6'!E:E,lookup!$A$6:$B$8,2,false),0)</f>
        <v>5</v>
      </c>
      <c r="G12" s="10">
        <f>IFERROR(vlookup('1.6'!F:F,lookup!$A$10:$B$12,2,false),0)</f>
        <v>5</v>
      </c>
      <c r="H12" s="10">
        <f>IFERROR(vlookup('1.6'!G:G,lookup!$A$14:$B$16,2,false),0)</f>
        <v>5</v>
      </c>
      <c r="I12" s="10">
        <f>IFERROR(vlookup('1.6'!H:H,lookup!$A$18:$B$20,2,false),0)</f>
        <v>5</v>
      </c>
      <c r="J12" s="10">
        <f>IFERROR(vlookup('1.6'!I:I,lookup!$A$22:$B$24,2,false),0)</f>
        <v>5</v>
      </c>
      <c r="K12" s="10">
        <f>IFERROR(vlookup('1.6'!J:J,lookup!$A$26:$B$28,2,false),0)</f>
        <v>5</v>
      </c>
      <c r="L12" s="2"/>
      <c r="M12" s="10">
        <v>11.0</v>
      </c>
      <c r="N12" s="11" t="str">
        <f t="shared" si="1"/>
        <v>bnco0911@signalschool.ac.th</v>
      </c>
      <c r="O12" s="12">
        <f t="shared" si="2"/>
        <v>1</v>
      </c>
      <c r="R12" s="17" t="s">
        <v>214</v>
      </c>
    </row>
    <row r="13">
      <c r="A13" s="8">
        <f>'1.6'!A:A</f>
        <v>46181.41643</v>
      </c>
      <c r="B13" s="2" t="str">
        <f>'1.6'!B:B</f>
        <v>bnco0945@signalschool.ac.th</v>
      </c>
      <c r="C13" s="2" t="str">
        <f>'1.6'!C:C</f>
        <v>ส.อ.พจนันท์ ประสิทธิ์สัชฌุกร</v>
      </c>
      <c r="D13" s="9">
        <v>1.0</v>
      </c>
      <c r="E13" s="10">
        <f>IFERROR(vlookup('1.6'!D:D,lookup!$A$2:$B$4,2,false),0)</f>
        <v>5</v>
      </c>
      <c r="F13" s="10">
        <f>IFERROR(vlookup('1.6'!E:E,lookup!$A$6:$B$8,2,false),0)</f>
        <v>5</v>
      </c>
      <c r="G13" s="10">
        <f>IFERROR(vlookup('1.6'!F:F,lookup!$A$10:$B$12,2,false),0)</f>
        <v>5</v>
      </c>
      <c r="H13" s="10">
        <f>IFERROR(vlookup('1.6'!G:G,lookup!$A$14:$B$16,2,false),0)</f>
        <v>5</v>
      </c>
      <c r="I13" s="10">
        <f>IFERROR(vlookup('1.6'!H:H,lookup!$A$18:$B$20,2,false),0)</f>
        <v>5</v>
      </c>
      <c r="J13" s="10">
        <f>IFERROR(vlookup('1.6'!I:I,lookup!$A$22:$B$24,2,false),0)</f>
        <v>5</v>
      </c>
      <c r="K13" s="10">
        <f>IFERROR(vlookup('1.6'!J:J,lookup!$A$26:$B$28,2,false),0)</f>
        <v>5</v>
      </c>
      <c r="L13" s="2"/>
      <c r="M13" s="10">
        <v>12.0</v>
      </c>
      <c r="N13" s="11" t="str">
        <f t="shared" si="1"/>
        <v>bnco0912@signalschool.ac.th</v>
      </c>
      <c r="O13" s="12">
        <f t="shared" si="2"/>
        <v>1</v>
      </c>
      <c r="R13" s="17" t="s">
        <v>222</v>
      </c>
    </row>
    <row r="14">
      <c r="A14" s="8">
        <f>'1.6'!A:A</f>
        <v>46181.41661</v>
      </c>
      <c r="B14" s="2" t="str">
        <f>'1.6'!B:B</f>
        <v>bnco0920@signalschool.ac.th</v>
      </c>
      <c r="C14" s="2" t="str">
        <f>'1.6'!C:C</f>
        <v>ส.อ.พจนันท์ ประสิทธิ์สัชฌุกร</v>
      </c>
      <c r="D14" s="9">
        <v>1.0</v>
      </c>
      <c r="E14" s="10">
        <f>IFERROR(vlookup('1.6'!D:D,lookup!$A$2:$B$4,2,false),0)</f>
        <v>5</v>
      </c>
      <c r="F14" s="10">
        <f>IFERROR(vlookup('1.6'!E:E,lookup!$A$6:$B$8,2,false),0)</f>
        <v>5</v>
      </c>
      <c r="G14" s="10">
        <f>IFERROR(vlookup('1.6'!F:F,lookup!$A$10:$B$12,2,false),0)</f>
        <v>5</v>
      </c>
      <c r="H14" s="10">
        <f>IFERROR(vlookup('1.6'!G:G,lookup!$A$14:$B$16,2,false),0)</f>
        <v>5</v>
      </c>
      <c r="I14" s="10">
        <f>IFERROR(vlookup('1.6'!H:H,lookup!$A$18:$B$20,2,false),0)</f>
        <v>5</v>
      </c>
      <c r="J14" s="10">
        <f>IFERROR(vlookup('1.6'!I:I,lookup!$A$22:$B$24,2,false),0)</f>
        <v>5</v>
      </c>
      <c r="K14" s="10">
        <f>IFERROR(vlookup('1.6'!J:J,lookup!$A$26:$B$28,2,false),0)</f>
        <v>5</v>
      </c>
      <c r="L14" s="2"/>
      <c r="M14" s="10">
        <v>13.0</v>
      </c>
      <c r="N14" s="11" t="str">
        <f t="shared" si="1"/>
        <v>bnco0913@signalschool.ac.th</v>
      </c>
      <c r="O14" s="12">
        <f t="shared" si="2"/>
        <v>1</v>
      </c>
      <c r="R14" s="17" t="s">
        <v>227</v>
      </c>
    </row>
    <row r="15">
      <c r="A15" s="8">
        <f>'1.6'!A:A</f>
        <v>46181.41714</v>
      </c>
      <c r="B15" s="2" t="str">
        <f>'1.6'!B:B</f>
        <v>bnco0980@signalschool.ac.th</v>
      </c>
      <c r="C15" s="2" t="str">
        <f>'1.6'!C:C</f>
        <v>ส.อ.พจนันท์ ประสิทธิ์สัชฆกร</v>
      </c>
      <c r="D15" s="9">
        <v>1.0</v>
      </c>
      <c r="E15" s="10">
        <f>IFERROR(vlookup('1.6'!D:D,lookup!$A$2:$B$4,2,false),0)</f>
        <v>5</v>
      </c>
      <c r="F15" s="10">
        <f>IFERROR(vlookup('1.6'!E:E,lookup!$A$6:$B$8,2,false),0)</f>
        <v>5</v>
      </c>
      <c r="G15" s="10">
        <f>IFERROR(vlookup('1.6'!F:F,lookup!$A$10:$B$12,2,false),0)</f>
        <v>5</v>
      </c>
      <c r="H15" s="10">
        <f>IFERROR(vlookup('1.6'!G:G,lookup!$A$14:$B$16,2,false),0)</f>
        <v>5</v>
      </c>
      <c r="I15" s="10">
        <f>IFERROR(vlookup('1.6'!H:H,lookup!$A$18:$B$20,2,false),0)</f>
        <v>5</v>
      </c>
      <c r="J15" s="10">
        <f>IFERROR(vlookup('1.6'!I:I,lookup!$A$22:$B$24,2,false),0)</f>
        <v>3</v>
      </c>
      <c r="K15" s="10">
        <f>IFERROR(vlookup('1.6'!J:J,lookup!$A$26:$B$28,2,false),0)</f>
        <v>5</v>
      </c>
      <c r="L15" s="2"/>
      <c r="M15" s="10">
        <v>14.0</v>
      </c>
      <c r="N15" s="11" t="str">
        <f t="shared" si="1"/>
        <v>bnco0914@signalschool.ac.th</v>
      </c>
      <c r="O15" s="12">
        <f t="shared" si="2"/>
        <v>1</v>
      </c>
      <c r="R15" s="17" t="s">
        <v>230</v>
      </c>
    </row>
    <row r="16">
      <c r="A16" s="8">
        <f>'1.6'!A:A</f>
        <v>46181.41732</v>
      </c>
      <c r="B16" s="2" t="str">
        <f>'1.6'!B:B</f>
        <v>bnco0975@signalschool.ac.th</v>
      </c>
      <c r="C16" s="2" t="str">
        <f>'1.6'!C:C</f>
        <v>ส.อ พจนันท์ ประสิทธิ์สัชฌุกร</v>
      </c>
      <c r="D16" s="9">
        <v>1.0</v>
      </c>
      <c r="E16" s="10">
        <f>IFERROR(vlookup('1.6'!D:D,lookup!$A$2:$B$4,2,false),0)</f>
        <v>5</v>
      </c>
      <c r="F16" s="10">
        <f>IFERROR(vlookup('1.6'!E:E,lookup!$A$6:$B$8,2,false),0)</f>
        <v>5</v>
      </c>
      <c r="G16" s="10">
        <f>IFERROR(vlookup('1.6'!F:F,lookup!$A$10:$B$12,2,false),0)</f>
        <v>5</v>
      </c>
      <c r="H16" s="10">
        <f>IFERROR(vlookup('1.6'!G:G,lookup!$A$14:$B$16,2,false),0)</f>
        <v>5</v>
      </c>
      <c r="I16" s="10">
        <f>IFERROR(vlookup('1.6'!H:H,lookup!$A$18:$B$20,2,false),0)</f>
        <v>5</v>
      </c>
      <c r="J16" s="10">
        <f>IFERROR(vlookup('1.6'!I:I,lookup!$A$22:$B$24,2,false),0)</f>
        <v>5</v>
      </c>
      <c r="K16" s="10">
        <f>IFERROR(vlookup('1.6'!J:J,lookup!$A$26:$B$28,2,false),0)</f>
        <v>5</v>
      </c>
      <c r="L16" s="2"/>
      <c r="M16" s="10">
        <v>15.0</v>
      </c>
      <c r="N16" s="11" t="str">
        <f t="shared" si="1"/>
        <v>bnco0915@signalschool.ac.th</v>
      </c>
      <c r="O16" s="12">
        <f t="shared" si="2"/>
        <v>1</v>
      </c>
      <c r="R16" s="17" t="s">
        <v>232</v>
      </c>
    </row>
    <row r="17">
      <c r="A17" s="8">
        <f>'1.6'!A:A</f>
        <v>46181.41742</v>
      </c>
      <c r="B17" s="2" t="str">
        <f>'1.6'!B:B</f>
        <v>bnco0948@signalschool.ac.th</v>
      </c>
      <c r="C17" s="2" t="str">
        <f>'1.6'!C:C</f>
        <v>ส.อ.พจนันท์  ประสิทธิ์สัชฌุกร</v>
      </c>
      <c r="D17" s="9">
        <v>1.0</v>
      </c>
      <c r="E17" s="10">
        <f>IFERROR(vlookup('1.6'!D:D,lookup!$A$2:$B$4,2,false),0)</f>
        <v>5</v>
      </c>
      <c r="F17" s="10">
        <f>IFERROR(vlookup('1.6'!E:E,lookup!$A$6:$B$8,2,false),0)</f>
        <v>5</v>
      </c>
      <c r="G17" s="10">
        <f>IFERROR(vlookup('1.6'!F:F,lookup!$A$10:$B$12,2,false),0)</f>
        <v>5</v>
      </c>
      <c r="H17" s="10">
        <f>IFERROR(vlookup('1.6'!G:G,lookup!$A$14:$B$16,2,false),0)</f>
        <v>5</v>
      </c>
      <c r="I17" s="10">
        <f>IFERROR(vlookup('1.6'!H:H,lookup!$A$18:$B$20,2,false),0)</f>
        <v>5</v>
      </c>
      <c r="J17" s="10">
        <f>IFERROR(vlookup('1.6'!I:I,lookup!$A$22:$B$24,2,false),0)</f>
        <v>5</v>
      </c>
      <c r="K17" s="10">
        <f>IFERROR(vlookup('1.6'!J:J,lookup!$A$26:$B$28,2,false),0)</f>
        <v>5</v>
      </c>
      <c r="L17" s="2"/>
      <c r="M17" s="10">
        <v>16.0</v>
      </c>
      <c r="N17" s="11" t="str">
        <f t="shared" si="1"/>
        <v>bnco0916@signalschool.ac.th</v>
      </c>
      <c r="O17" s="12">
        <f t="shared" si="2"/>
        <v>1</v>
      </c>
      <c r="R17" s="17" t="s">
        <v>233</v>
      </c>
    </row>
    <row r="18">
      <c r="A18" s="8">
        <f>'1.6'!A:A</f>
        <v>46181.41765</v>
      </c>
      <c r="B18" s="2" t="str">
        <f>'1.6'!B:B</f>
        <v>bnco0974@signalschool.ac.th</v>
      </c>
      <c r="C18" s="2" t="str">
        <f>'1.6'!C:C</f>
        <v>ส.อ.อภิญญา เข็มทอง</v>
      </c>
      <c r="D18" s="9">
        <v>1.0</v>
      </c>
      <c r="E18" s="10">
        <f>IFERROR(vlookup('1.6'!D:D,lookup!$A$2:$B$4,2,false),0)</f>
        <v>5</v>
      </c>
      <c r="F18" s="10">
        <f>IFERROR(vlookup('1.6'!E:E,lookup!$A$6:$B$8,2,false),0)</f>
        <v>3</v>
      </c>
      <c r="G18" s="10">
        <f>IFERROR(vlookup('1.6'!F:F,lookup!$A$10:$B$12,2,false),0)</f>
        <v>5</v>
      </c>
      <c r="H18" s="10">
        <f>IFERROR(vlookup('1.6'!G:G,lookup!$A$14:$B$16,2,false),0)</f>
        <v>5</v>
      </c>
      <c r="I18" s="10">
        <f>IFERROR(vlookup('1.6'!H:H,lookup!$A$18:$B$20,2,false),0)</f>
        <v>5</v>
      </c>
      <c r="J18" s="10">
        <f>IFERROR(vlookup('1.6'!I:I,lookup!$A$22:$B$24,2,false),0)</f>
        <v>5</v>
      </c>
      <c r="K18" s="10">
        <f>IFERROR(vlookup('1.6'!J:J,lookup!$A$26:$B$28,2,false),0)</f>
        <v>3</v>
      </c>
      <c r="L18" s="2"/>
      <c r="M18" s="10">
        <v>17.0</v>
      </c>
      <c r="N18" s="11" t="str">
        <f t="shared" si="1"/>
        <v>bnco0917@signalschool.ac.th</v>
      </c>
      <c r="O18" s="12">
        <f t="shared" si="2"/>
        <v>1</v>
      </c>
      <c r="R18" s="17" t="s">
        <v>234</v>
      </c>
    </row>
    <row r="19">
      <c r="A19" s="8">
        <f>'1.6'!A:A</f>
        <v>46181.41811</v>
      </c>
      <c r="B19" s="2" t="str">
        <f>'1.6'!B:B</f>
        <v>bnco0953@signalschool.ac.th</v>
      </c>
      <c r="C19" s="2" t="str">
        <f>'1.6'!C:C</f>
        <v>ส.อ.พจนันท  ประสิทธิ์สัชฌุกร</v>
      </c>
      <c r="D19" s="9">
        <v>1.0</v>
      </c>
      <c r="E19" s="10">
        <f>IFERROR(vlookup('1.6'!D:D,lookup!$A$2:$B$4,2,false),0)</f>
        <v>5</v>
      </c>
      <c r="F19" s="10">
        <f>IFERROR(vlookup('1.6'!E:E,lookup!$A$6:$B$8,2,false),0)</f>
        <v>5</v>
      </c>
      <c r="G19" s="10">
        <f>IFERROR(vlookup('1.6'!F:F,lookup!$A$10:$B$12,2,false),0)</f>
        <v>5</v>
      </c>
      <c r="H19" s="10">
        <f>IFERROR(vlookup('1.6'!G:G,lookup!$A$14:$B$16,2,false),0)</f>
        <v>5</v>
      </c>
      <c r="I19" s="10">
        <f>IFERROR(vlookup('1.6'!H:H,lookup!$A$18:$B$20,2,false),0)</f>
        <v>5</v>
      </c>
      <c r="J19" s="10">
        <f>IFERROR(vlookup('1.6'!I:I,lookup!$A$22:$B$24,2,false),0)</f>
        <v>5</v>
      </c>
      <c r="K19" s="10">
        <f>IFERROR(vlookup('1.6'!J:J,lookup!$A$26:$B$28,2,false),0)</f>
        <v>5</v>
      </c>
      <c r="L19" s="2"/>
      <c r="M19" s="10">
        <v>18.0</v>
      </c>
      <c r="N19" s="11" t="str">
        <f t="shared" si="1"/>
        <v>bnco0918@signalschool.ac.th</v>
      </c>
      <c r="O19" s="12">
        <f t="shared" si="2"/>
        <v>1</v>
      </c>
      <c r="R19" s="17" t="s">
        <v>235</v>
      </c>
    </row>
    <row r="20">
      <c r="A20" s="8">
        <f>'1.6'!A:A</f>
        <v>46181.41824</v>
      </c>
      <c r="B20" s="2" t="str">
        <f>'1.6'!B:B</f>
        <v>bnco0979@signalschool.ac.th</v>
      </c>
      <c r="C20" s="2" t="str">
        <f>'1.6'!C:C</f>
        <v>ส.อ.พจนันท์ ประสิทธิสัชฌุกรณ์</v>
      </c>
      <c r="D20" s="9">
        <v>1.0</v>
      </c>
      <c r="E20" s="10">
        <f>IFERROR(vlookup('1.6'!D:D,lookup!$A$2:$B$4,2,false),0)</f>
        <v>5</v>
      </c>
      <c r="F20" s="10">
        <f>IFERROR(vlookup('1.6'!E:E,lookup!$A$6:$B$8,2,false),0)</f>
        <v>5</v>
      </c>
      <c r="G20" s="10">
        <f>IFERROR(vlookup('1.6'!F:F,lookup!$A$10:$B$12,2,false),0)</f>
        <v>5</v>
      </c>
      <c r="H20" s="10">
        <f>IFERROR(vlookup('1.6'!G:G,lookup!$A$14:$B$16,2,false),0)</f>
        <v>5</v>
      </c>
      <c r="I20" s="10">
        <f>IFERROR(vlookup('1.6'!H:H,lookup!$A$18:$B$20,2,false),0)</f>
        <v>5</v>
      </c>
      <c r="J20" s="10">
        <f>IFERROR(vlookup('1.6'!I:I,lookup!$A$22:$B$24,2,false),0)</f>
        <v>5</v>
      </c>
      <c r="K20" s="10">
        <f>IFERROR(vlookup('1.6'!J:J,lookup!$A$26:$B$28,2,false),0)</f>
        <v>5</v>
      </c>
      <c r="L20" s="2"/>
      <c r="M20" s="10">
        <v>19.0</v>
      </c>
      <c r="N20" s="11" t="str">
        <f t="shared" si="1"/>
        <v>bnco0919@signalschool.ac.th</v>
      </c>
      <c r="O20" s="12">
        <f t="shared" si="2"/>
        <v>1</v>
      </c>
      <c r="R20" s="17" t="s">
        <v>236</v>
      </c>
    </row>
    <row r="21">
      <c r="A21" s="8">
        <f>'1.6'!A:A</f>
        <v>46181.41856</v>
      </c>
      <c r="B21" s="2" t="str">
        <f>'1.6'!B:B</f>
        <v>bnco0976@signalschool.ac.th</v>
      </c>
      <c r="C21" s="2" t="str">
        <f>'1.6'!C:C</f>
        <v>ส.อ.พจนันท์ ประสิทธิ์สัชฌุกร</v>
      </c>
      <c r="D21" s="9">
        <v>1.0</v>
      </c>
      <c r="E21" s="10">
        <f>IFERROR(vlookup('1.6'!D:D,lookup!$A$2:$B$4,2,false),0)</f>
        <v>5</v>
      </c>
      <c r="F21" s="10">
        <f>IFERROR(vlookup('1.6'!E:E,lookup!$A$6:$B$8,2,false),0)</f>
        <v>5</v>
      </c>
      <c r="G21" s="10">
        <f>IFERROR(vlookup('1.6'!F:F,lookup!$A$10:$B$12,2,false),0)</f>
        <v>5</v>
      </c>
      <c r="H21" s="10">
        <f>IFERROR(vlookup('1.6'!G:G,lookup!$A$14:$B$16,2,false),0)</f>
        <v>5</v>
      </c>
      <c r="I21" s="10">
        <f>IFERROR(vlookup('1.6'!H:H,lookup!$A$18:$B$20,2,false),0)</f>
        <v>5</v>
      </c>
      <c r="J21" s="10">
        <f>IFERROR(vlookup('1.6'!I:I,lookup!$A$22:$B$24,2,false),0)</f>
        <v>5</v>
      </c>
      <c r="K21" s="10">
        <f>IFERROR(vlookup('1.6'!J:J,lookup!$A$26:$B$28,2,false),0)</f>
        <v>5</v>
      </c>
      <c r="L21" s="2"/>
      <c r="M21" s="10">
        <v>20.0</v>
      </c>
      <c r="N21" s="11" t="str">
        <f t="shared" si="1"/>
        <v>bnco0920@signalschool.ac.th</v>
      </c>
      <c r="O21" s="12">
        <f t="shared" si="2"/>
        <v>1</v>
      </c>
      <c r="R21" s="17" t="s">
        <v>237</v>
      </c>
    </row>
    <row r="22">
      <c r="A22" s="8">
        <f>'1.6'!A:A</f>
        <v>46181.41856</v>
      </c>
      <c r="B22" s="2" t="str">
        <f>'1.6'!B:B</f>
        <v>bnco0922@signalschool.ac.th</v>
      </c>
      <c r="C22" s="19" t="str">
        <f>'1.6'!C:C</f>
        <v>https://forms.gle/di5R9im3bqx8rGkXA</v>
      </c>
      <c r="D22" s="9">
        <v>1.0</v>
      </c>
      <c r="E22" s="10">
        <f>IFERROR(vlookup('1.6'!D:D,lookup!$A$2:$B$4,2,false),0)</f>
        <v>5</v>
      </c>
      <c r="F22" s="10">
        <f>IFERROR(vlookup('1.6'!E:E,lookup!$A$6:$B$8,2,false),0)</f>
        <v>5</v>
      </c>
      <c r="G22" s="10">
        <f>IFERROR(vlookup('1.6'!F:F,lookup!$A$10:$B$12,2,false),0)</f>
        <v>5</v>
      </c>
      <c r="H22" s="10">
        <f>IFERROR(vlookup('1.6'!G:G,lookup!$A$14:$B$16,2,false),0)</f>
        <v>5</v>
      </c>
      <c r="I22" s="10">
        <f>IFERROR(vlookup('1.6'!H:H,lookup!$A$18:$B$20,2,false),0)</f>
        <v>5</v>
      </c>
      <c r="J22" s="10">
        <f>IFERROR(vlookup('1.6'!I:I,lookup!$A$22:$B$24,2,false),0)</f>
        <v>5</v>
      </c>
      <c r="K22" s="10">
        <f>IFERROR(vlookup('1.6'!J:J,lookup!$A$26:$B$28,2,false),0)</f>
        <v>5</v>
      </c>
      <c r="L22" s="2"/>
      <c r="M22" s="10">
        <v>21.0</v>
      </c>
      <c r="N22" s="11" t="str">
        <f t="shared" si="1"/>
        <v>bnco0921@signalschool.ac.th</v>
      </c>
      <c r="O22" s="12">
        <f t="shared" si="2"/>
        <v>1</v>
      </c>
      <c r="R22" s="17" t="s">
        <v>238</v>
      </c>
    </row>
    <row r="23">
      <c r="A23" s="8">
        <f>'1.6'!A:A</f>
        <v>46181.41896</v>
      </c>
      <c r="B23" s="2" t="str">
        <f>'1.6'!B:B</f>
        <v>bnco0960@signalschool.ac.th</v>
      </c>
      <c r="C23" s="2" t="str">
        <f>'1.6'!C:C</f>
        <v>ส.อ.พจนันท์ ประสิทธิ์สัชฌุกร</v>
      </c>
      <c r="D23" s="9">
        <v>1.0</v>
      </c>
      <c r="E23" s="10">
        <f>IFERROR(vlookup('1.6'!D:D,lookup!$A$2:$B$4,2,false),0)</f>
        <v>5</v>
      </c>
      <c r="F23" s="10">
        <f>IFERROR(vlookup('1.6'!E:E,lookup!$A$6:$B$8,2,false),0)</f>
        <v>5</v>
      </c>
      <c r="G23" s="10">
        <f>IFERROR(vlookup('1.6'!F:F,lookup!$A$10:$B$12,2,false),0)</f>
        <v>5</v>
      </c>
      <c r="H23" s="10">
        <f>IFERROR(vlookup('1.6'!G:G,lookup!$A$14:$B$16,2,false),0)</f>
        <v>5</v>
      </c>
      <c r="I23" s="10">
        <f>IFERROR(vlookup('1.6'!H:H,lookup!$A$18:$B$20,2,false),0)</f>
        <v>5</v>
      </c>
      <c r="J23" s="10">
        <f>IFERROR(vlookup('1.6'!I:I,lookup!$A$22:$B$24,2,false),0)</f>
        <v>5</v>
      </c>
      <c r="K23" s="10">
        <f>IFERROR(vlookup('1.6'!J:J,lookup!$A$26:$B$28,2,false),0)</f>
        <v>5</v>
      </c>
      <c r="L23" s="2"/>
      <c r="M23" s="10">
        <v>22.0</v>
      </c>
      <c r="N23" s="11" t="str">
        <f t="shared" si="1"/>
        <v>bnco0922@signalschool.ac.th</v>
      </c>
      <c r="O23" s="12">
        <f t="shared" si="2"/>
        <v>1</v>
      </c>
      <c r="R23" s="17" t="s">
        <v>239</v>
      </c>
    </row>
    <row r="24">
      <c r="A24" s="8">
        <f>'1.6'!A:A</f>
        <v>46181.41896</v>
      </c>
      <c r="B24" s="2" t="str">
        <f>'1.6'!B:B</f>
        <v>bnco0955@signalschool.ac.th</v>
      </c>
      <c r="C24" s="2" t="str">
        <f>'1.6'!C:C</f>
        <v>ส.อ.พจนันท์ ประสิทธิ์สัชฌุกร</v>
      </c>
      <c r="D24" s="9">
        <v>1.0</v>
      </c>
      <c r="E24" s="10">
        <f>IFERROR(vlookup('1.6'!D:D,lookup!$A$2:$B$4,2,false),0)</f>
        <v>5</v>
      </c>
      <c r="F24" s="10">
        <f>IFERROR(vlookup('1.6'!E:E,lookup!$A$6:$B$8,2,false),0)</f>
        <v>5</v>
      </c>
      <c r="G24" s="10">
        <f>IFERROR(vlookup('1.6'!F:F,lookup!$A$10:$B$12,2,false),0)</f>
        <v>5</v>
      </c>
      <c r="H24" s="10">
        <f>IFERROR(vlookup('1.6'!G:G,lookup!$A$14:$B$16,2,false),0)</f>
        <v>5</v>
      </c>
      <c r="I24" s="10">
        <f>IFERROR(vlookup('1.6'!H:H,lookup!$A$18:$B$20,2,false),0)</f>
        <v>5</v>
      </c>
      <c r="J24" s="10">
        <f>IFERROR(vlookup('1.6'!I:I,lookup!$A$22:$B$24,2,false),0)</f>
        <v>5</v>
      </c>
      <c r="K24" s="10">
        <f>IFERROR(vlookup('1.6'!J:J,lookup!$A$26:$B$28,2,false),0)</f>
        <v>5</v>
      </c>
      <c r="L24" s="2"/>
      <c r="M24" s="10">
        <v>23.0</v>
      </c>
      <c r="N24" s="11" t="str">
        <f t="shared" si="1"/>
        <v>bnco0923@signalschool.ac.th</v>
      </c>
      <c r="O24" s="12">
        <f t="shared" si="2"/>
        <v>1</v>
      </c>
      <c r="R24" s="17" t="s">
        <v>240</v>
      </c>
    </row>
    <row r="25">
      <c r="A25" s="8">
        <f>'1.6'!A:A</f>
        <v>46181.41899</v>
      </c>
      <c r="B25" s="2" t="str">
        <f>'1.6'!B:B</f>
        <v>bnco0959@signalschool.ac.th</v>
      </c>
      <c r="C25" s="2" t="str">
        <f>'1.6'!C:C</f>
        <v>ส.อ. สหัส  สุยา / ส.อ. พจนันท์ ประสิทธิ์สัชฌุกร</v>
      </c>
      <c r="D25" s="9">
        <v>1.0</v>
      </c>
      <c r="E25" s="10">
        <f>IFERROR(vlookup('1.6'!D:D,lookup!$A$2:$B$4,2,false),0)</f>
        <v>5</v>
      </c>
      <c r="F25" s="10">
        <f>IFERROR(vlookup('1.6'!E:E,lookup!$A$6:$B$8,2,false),0)</f>
        <v>5</v>
      </c>
      <c r="G25" s="10">
        <f>IFERROR(vlookup('1.6'!F:F,lookup!$A$10:$B$12,2,false),0)</f>
        <v>5</v>
      </c>
      <c r="H25" s="10">
        <f>IFERROR(vlookup('1.6'!G:G,lookup!$A$14:$B$16,2,false),0)</f>
        <v>5</v>
      </c>
      <c r="I25" s="10">
        <f>IFERROR(vlookup('1.6'!H:H,lookup!$A$18:$B$20,2,false),0)</f>
        <v>5</v>
      </c>
      <c r="J25" s="10">
        <f>IFERROR(vlookup('1.6'!I:I,lookup!$A$22:$B$24,2,false),0)</f>
        <v>5</v>
      </c>
      <c r="K25" s="10">
        <f>IFERROR(vlookup('1.6'!J:J,lookup!$A$26:$B$28,2,false),0)</f>
        <v>5</v>
      </c>
      <c r="L25" s="2"/>
      <c r="M25" s="10">
        <v>24.0</v>
      </c>
      <c r="N25" s="11" t="str">
        <f t="shared" si="1"/>
        <v>bnco0924@signalschool.ac.th</v>
      </c>
      <c r="O25" s="12">
        <f t="shared" si="2"/>
        <v>1</v>
      </c>
      <c r="R25" s="17" t="s">
        <v>241</v>
      </c>
    </row>
    <row r="26">
      <c r="A26" s="8">
        <f>'1.6'!A:A</f>
        <v>46181.42005</v>
      </c>
      <c r="B26" s="2" t="str">
        <f>'1.6'!B:B</f>
        <v>bnco0903@signalschool.ac.th</v>
      </c>
      <c r="C26" s="2" t="str">
        <f>'1.6'!C:C</f>
        <v>ส.อ.พจนันท์ ประสิทธิ์สัชฌุกร</v>
      </c>
      <c r="D26" s="9">
        <v>1.0</v>
      </c>
      <c r="E26" s="10">
        <f>IFERROR(vlookup('1.6'!D:D,lookup!$A$2:$B$4,2,false),0)</f>
        <v>5</v>
      </c>
      <c r="F26" s="10">
        <f>IFERROR(vlookup('1.6'!E:E,lookup!$A$6:$B$8,2,false),0)</f>
        <v>5</v>
      </c>
      <c r="G26" s="10">
        <f>IFERROR(vlookup('1.6'!F:F,lookup!$A$10:$B$12,2,false),0)</f>
        <v>5</v>
      </c>
      <c r="H26" s="10">
        <f>IFERROR(vlookup('1.6'!G:G,lookup!$A$14:$B$16,2,false),0)</f>
        <v>5</v>
      </c>
      <c r="I26" s="10">
        <f>IFERROR(vlookup('1.6'!H:H,lookup!$A$18:$B$20,2,false),0)</f>
        <v>5</v>
      </c>
      <c r="J26" s="10">
        <f>IFERROR(vlookup('1.6'!I:I,lookup!$A$22:$B$24,2,false),0)</f>
        <v>5</v>
      </c>
      <c r="K26" s="10">
        <f>IFERROR(vlookup('1.6'!J:J,lookup!$A$26:$B$28,2,false),0)</f>
        <v>5</v>
      </c>
      <c r="L26" s="2"/>
      <c r="M26" s="10">
        <v>25.0</v>
      </c>
      <c r="N26" s="11" t="str">
        <f t="shared" si="1"/>
        <v>bnco0925@signalschool.ac.th</v>
      </c>
      <c r="O26" s="12">
        <f t="shared" si="2"/>
        <v>1</v>
      </c>
      <c r="R26" s="17" t="s">
        <v>242</v>
      </c>
    </row>
    <row r="27">
      <c r="A27" s="8">
        <f>'1.6'!A:A</f>
        <v>46181.42211</v>
      </c>
      <c r="B27" s="2" t="str">
        <f>'1.6'!B:B</f>
        <v>bnco0946@signalschool.ac.th</v>
      </c>
      <c r="C27" s="2" t="str">
        <f>'1.6'!C:C</f>
        <v>ส.อ.พจนันท์ ประสิทธิ์สัชฌุกร</v>
      </c>
      <c r="D27" s="9">
        <v>1.0</v>
      </c>
      <c r="E27" s="10">
        <f>IFERROR(vlookup('1.6'!D:D,lookup!$A$2:$B$4,2,false),0)</f>
        <v>5</v>
      </c>
      <c r="F27" s="10">
        <f>IFERROR(vlookup('1.6'!E:E,lookup!$A$6:$B$8,2,false),0)</f>
        <v>5</v>
      </c>
      <c r="G27" s="10">
        <f>IFERROR(vlookup('1.6'!F:F,lookup!$A$10:$B$12,2,false),0)</f>
        <v>5</v>
      </c>
      <c r="H27" s="10">
        <f>IFERROR(vlookup('1.6'!G:G,lookup!$A$14:$B$16,2,false),0)</f>
        <v>5</v>
      </c>
      <c r="I27" s="10">
        <f>IFERROR(vlookup('1.6'!H:H,lookup!$A$18:$B$20,2,false),0)</f>
        <v>5</v>
      </c>
      <c r="J27" s="10">
        <f>IFERROR(vlookup('1.6'!I:I,lookup!$A$22:$B$24,2,false),0)</f>
        <v>5</v>
      </c>
      <c r="K27" s="10">
        <f>IFERROR(vlookup('1.6'!J:J,lookup!$A$26:$B$28,2,false),0)</f>
        <v>5</v>
      </c>
      <c r="L27" s="2"/>
      <c r="M27" s="10">
        <v>26.0</v>
      </c>
      <c r="N27" s="11" t="str">
        <f t="shared" si="1"/>
        <v>bnco0926@signalschool.ac.th</v>
      </c>
      <c r="O27" s="12">
        <f t="shared" si="2"/>
        <v>1</v>
      </c>
      <c r="R27" s="17" t="s">
        <v>243</v>
      </c>
    </row>
    <row r="28">
      <c r="A28" s="8">
        <f>'1.6'!A:A</f>
        <v>46181.42282</v>
      </c>
      <c r="B28" s="2" t="str">
        <f>'1.6'!B:B</f>
        <v>bnco0943@signalschool.ac.th</v>
      </c>
      <c r="C28" s="2" t="str">
        <f>'1.6'!C:C</f>
        <v>ส.อ.พจนันท์ ประสิทธิ์สัชฌุกร</v>
      </c>
      <c r="D28" s="9">
        <v>1.0</v>
      </c>
      <c r="E28" s="10">
        <f>IFERROR(vlookup('1.6'!D:D,lookup!$A$2:$B$4,2,false),0)</f>
        <v>5</v>
      </c>
      <c r="F28" s="10">
        <f>IFERROR(vlookup('1.6'!E:E,lookup!$A$6:$B$8,2,false),0)</f>
        <v>5</v>
      </c>
      <c r="G28" s="10">
        <f>IFERROR(vlookup('1.6'!F:F,lookup!$A$10:$B$12,2,false),0)</f>
        <v>5</v>
      </c>
      <c r="H28" s="10">
        <f>IFERROR(vlookup('1.6'!G:G,lookup!$A$14:$B$16,2,false),0)</f>
        <v>5</v>
      </c>
      <c r="I28" s="10">
        <f>IFERROR(vlookup('1.6'!H:H,lookup!$A$18:$B$20,2,false),0)</f>
        <v>5</v>
      </c>
      <c r="J28" s="10">
        <f>IFERROR(vlookup('1.6'!I:I,lookup!$A$22:$B$24,2,false),0)</f>
        <v>5</v>
      </c>
      <c r="K28" s="10">
        <f>IFERROR(vlookup('1.6'!J:J,lookup!$A$26:$B$28,2,false),0)</f>
        <v>5</v>
      </c>
      <c r="L28" s="2"/>
      <c r="M28" s="10">
        <v>27.0</v>
      </c>
      <c r="N28" s="11" t="str">
        <f t="shared" si="1"/>
        <v>bnco0927@signalschool.ac.th</v>
      </c>
      <c r="O28" s="12">
        <f t="shared" si="2"/>
        <v>1</v>
      </c>
      <c r="R28" s="17" t="s">
        <v>244</v>
      </c>
    </row>
    <row r="29">
      <c r="A29" s="8">
        <f>'1.6'!A:A</f>
        <v>46181.42293</v>
      </c>
      <c r="B29" s="2" t="str">
        <f>'1.6'!B:B</f>
        <v>bnco0977@signalschool.ac.th</v>
      </c>
      <c r="C29" s="2" t="str">
        <f>'1.6'!C:C</f>
        <v>ส.อ.พจนันท์ ประสิทธิ์สัชฌุกร</v>
      </c>
      <c r="D29" s="9">
        <v>1.0</v>
      </c>
      <c r="E29" s="10">
        <f>IFERROR(vlookup('1.6'!D:D,lookup!$A$2:$B$4,2,false),0)</f>
        <v>5</v>
      </c>
      <c r="F29" s="10">
        <f>IFERROR(vlookup('1.6'!E:E,lookup!$A$6:$B$8,2,false),0)</f>
        <v>5</v>
      </c>
      <c r="G29" s="10">
        <f>IFERROR(vlookup('1.6'!F:F,lookup!$A$10:$B$12,2,false),0)</f>
        <v>5</v>
      </c>
      <c r="H29" s="10">
        <f>IFERROR(vlookup('1.6'!G:G,lookup!$A$14:$B$16,2,false),0)</f>
        <v>5</v>
      </c>
      <c r="I29" s="10">
        <f>IFERROR(vlookup('1.6'!H:H,lookup!$A$18:$B$20,2,false),0)</f>
        <v>5</v>
      </c>
      <c r="J29" s="10">
        <f>IFERROR(vlookup('1.6'!I:I,lookup!$A$22:$B$24,2,false),0)</f>
        <v>5</v>
      </c>
      <c r="K29" s="10">
        <f>IFERROR(vlookup('1.6'!J:J,lookup!$A$26:$B$28,2,false),0)</f>
        <v>5</v>
      </c>
      <c r="L29" s="2"/>
      <c r="M29" s="10">
        <v>28.0</v>
      </c>
      <c r="N29" s="11" t="str">
        <f t="shared" si="1"/>
        <v>bnco0928@signalschool.ac.th</v>
      </c>
      <c r="O29" s="12">
        <f t="shared" si="2"/>
        <v>1</v>
      </c>
      <c r="R29" s="17" t="s">
        <v>245</v>
      </c>
    </row>
    <row r="30">
      <c r="A30" s="8">
        <f>'1.6'!A:A</f>
        <v>46181.42423</v>
      </c>
      <c r="B30" s="2" t="str">
        <f>'1.6'!B:B</f>
        <v>bnco0968@signalschool.ac.th</v>
      </c>
      <c r="C30" s="2" t="str">
        <f>'1.6'!C:C</f>
        <v>ส.อ.พจนันท์ ประสิทธิ์สัชฌุกร</v>
      </c>
      <c r="D30" s="9">
        <v>1.0</v>
      </c>
      <c r="E30" s="10">
        <f>IFERROR(vlookup('1.6'!D:D,lookup!$A$2:$B$4,2,false),0)</f>
        <v>3</v>
      </c>
      <c r="F30" s="10">
        <f>IFERROR(vlookup('1.6'!E:E,lookup!$A$6:$B$8,2,false),0)</f>
        <v>5</v>
      </c>
      <c r="G30" s="10">
        <f>IFERROR(vlookup('1.6'!F:F,lookup!$A$10:$B$12,2,false),0)</f>
        <v>5</v>
      </c>
      <c r="H30" s="10">
        <f>IFERROR(vlookup('1.6'!G:G,lookup!$A$14:$B$16,2,false),0)</f>
        <v>5</v>
      </c>
      <c r="I30" s="10">
        <f>IFERROR(vlookup('1.6'!H:H,lookup!$A$18:$B$20,2,false),0)</f>
        <v>5</v>
      </c>
      <c r="J30" s="10">
        <f>IFERROR(vlookup('1.6'!I:I,lookup!$A$22:$B$24,2,false),0)</f>
        <v>5</v>
      </c>
      <c r="K30" s="10">
        <f>IFERROR(vlookup('1.6'!J:J,lookup!$A$26:$B$28,2,false),0)</f>
        <v>5</v>
      </c>
      <c r="L30" s="2"/>
      <c r="M30" s="10">
        <v>29.0</v>
      </c>
      <c r="N30" s="11" t="str">
        <f t="shared" si="1"/>
        <v>bnco0929@signalschool.ac.th</v>
      </c>
      <c r="O30" s="12">
        <f t="shared" si="2"/>
        <v>1</v>
      </c>
      <c r="R30" s="17" t="s">
        <v>246</v>
      </c>
    </row>
    <row r="31">
      <c r="A31" s="8">
        <f>'1.6'!A:A</f>
        <v>46181.42476</v>
      </c>
      <c r="B31" s="2" t="str">
        <f>'1.6'!B:B</f>
        <v>bnco0912@signalschool.ac.th</v>
      </c>
      <c r="C31" s="2" t="str">
        <f>'1.6'!C:C</f>
        <v>ส.อ.พจนันท์ ประสิทธิ์สัชฌุกร</v>
      </c>
      <c r="D31" s="9">
        <v>1.0</v>
      </c>
      <c r="E31" s="10">
        <f>IFERROR(vlookup('1.6'!D:D,lookup!$A$2:$B$4,2,false),0)</f>
        <v>5</v>
      </c>
      <c r="F31" s="10">
        <f>IFERROR(vlookup('1.6'!E:E,lookup!$A$6:$B$8,2,false),0)</f>
        <v>5</v>
      </c>
      <c r="G31" s="10">
        <f>IFERROR(vlookup('1.6'!F:F,lookup!$A$10:$B$12,2,false),0)</f>
        <v>5</v>
      </c>
      <c r="H31" s="10">
        <f>IFERROR(vlookup('1.6'!G:G,lookup!$A$14:$B$16,2,false),0)</f>
        <v>5</v>
      </c>
      <c r="I31" s="10">
        <f>IFERROR(vlookup('1.6'!H:H,lookup!$A$18:$B$20,2,false),0)</f>
        <v>5</v>
      </c>
      <c r="J31" s="10">
        <f>IFERROR(vlookup('1.6'!I:I,lookup!$A$22:$B$24,2,false),0)</f>
        <v>5</v>
      </c>
      <c r="K31" s="10">
        <f>IFERROR(vlookup('1.6'!J:J,lookup!$A$26:$B$28,2,false),0)</f>
        <v>5</v>
      </c>
      <c r="L31" s="2"/>
      <c r="M31" s="10">
        <v>30.0</v>
      </c>
      <c r="N31" s="11" t="str">
        <f t="shared" si="1"/>
        <v>bnco0930@signalschool.ac.th</v>
      </c>
      <c r="O31" s="12">
        <f t="shared" si="2"/>
        <v>1</v>
      </c>
      <c r="R31" s="17" t="s">
        <v>247</v>
      </c>
    </row>
    <row r="32">
      <c r="A32" s="8">
        <f>'1.6'!A:A</f>
        <v>46181.4253</v>
      </c>
      <c r="B32" s="2" t="str">
        <f>'1.6'!B:B</f>
        <v>bnco0907@signalschool.ac.th</v>
      </c>
      <c r="C32" s="2" t="str">
        <f>'1.6'!C:C</f>
        <v>ส.อ.พจนันท์ ประสิทธิ์สัชฌุกร</v>
      </c>
      <c r="D32" s="9">
        <v>1.0</v>
      </c>
      <c r="E32" s="10">
        <f>IFERROR(vlookup('1.6'!D:D,lookup!$A$2:$B$4,2,false),0)</f>
        <v>5</v>
      </c>
      <c r="F32" s="10">
        <f>IFERROR(vlookup('1.6'!E:E,lookup!$A$6:$B$8,2,false),0)</f>
        <v>5</v>
      </c>
      <c r="G32" s="10">
        <f>IFERROR(vlookup('1.6'!F:F,lookup!$A$10:$B$12,2,false),0)</f>
        <v>5</v>
      </c>
      <c r="H32" s="10">
        <f>IFERROR(vlookup('1.6'!G:G,lookup!$A$14:$B$16,2,false),0)</f>
        <v>5</v>
      </c>
      <c r="I32" s="10">
        <f>IFERROR(vlookup('1.6'!H:H,lookup!$A$18:$B$20,2,false),0)</f>
        <v>5</v>
      </c>
      <c r="J32" s="10">
        <f>IFERROR(vlookup('1.6'!I:I,lookup!$A$22:$B$24,2,false),0)</f>
        <v>5</v>
      </c>
      <c r="K32" s="10">
        <f>IFERROR(vlookup('1.6'!J:J,lookup!$A$26:$B$28,2,false),0)</f>
        <v>5</v>
      </c>
      <c r="L32" s="2"/>
      <c r="M32" s="10">
        <v>31.0</v>
      </c>
      <c r="N32" s="11" t="str">
        <f t="shared" si="1"/>
        <v>bnco0931@signalschool.ac.th</v>
      </c>
      <c r="O32" s="12">
        <f t="shared" si="2"/>
        <v>1</v>
      </c>
      <c r="R32" s="17" t="s">
        <v>248</v>
      </c>
    </row>
    <row r="33">
      <c r="A33" s="8">
        <f>'1.6'!A:A</f>
        <v>46181.42565</v>
      </c>
      <c r="B33" s="2" t="str">
        <f>'1.6'!B:B</f>
        <v>bnco0923@signalschool.ac.th</v>
      </c>
      <c r="C33" s="2" t="str">
        <f>'1.6'!C:C</f>
        <v>ส.อ.พจนันท์ ประสิทธิ์สัชฌุกร</v>
      </c>
      <c r="D33" s="9">
        <v>1.0</v>
      </c>
      <c r="E33" s="10">
        <f>IFERROR(vlookup('1.6'!D:D,lookup!$A$2:$B$4,2,false),0)</f>
        <v>5</v>
      </c>
      <c r="F33" s="10">
        <f>IFERROR(vlookup('1.6'!E:E,lookup!$A$6:$B$8,2,false),0)</f>
        <v>5</v>
      </c>
      <c r="G33" s="10">
        <f>IFERROR(vlookup('1.6'!F:F,lookup!$A$10:$B$12,2,false),0)</f>
        <v>5</v>
      </c>
      <c r="H33" s="10">
        <f>IFERROR(vlookup('1.6'!G:G,lookup!$A$14:$B$16,2,false),0)</f>
        <v>5</v>
      </c>
      <c r="I33" s="10">
        <f>IFERROR(vlookup('1.6'!H:H,lookup!$A$18:$B$20,2,false),0)</f>
        <v>5</v>
      </c>
      <c r="J33" s="10">
        <f>IFERROR(vlookup('1.6'!I:I,lookup!$A$22:$B$24,2,false),0)</f>
        <v>5</v>
      </c>
      <c r="K33" s="10">
        <f>IFERROR(vlookup('1.6'!J:J,lookup!$A$26:$B$28,2,false),0)</f>
        <v>5</v>
      </c>
      <c r="L33" s="2"/>
      <c r="M33" s="10">
        <v>32.0</v>
      </c>
      <c r="N33" s="11" t="str">
        <f t="shared" si="1"/>
        <v>bnco0932@signalschool.ac.th</v>
      </c>
      <c r="O33" s="12">
        <f t="shared" si="2"/>
        <v>1</v>
      </c>
      <c r="R33" s="17" t="s">
        <v>249</v>
      </c>
    </row>
    <row r="34">
      <c r="A34" s="8">
        <f>'1.6'!A:A</f>
        <v>46181.42968</v>
      </c>
      <c r="B34" s="2" t="str">
        <f>'1.6'!B:B</f>
        <v>bnco0916@signalschool.ac.th</v>
      </c>
      <c r="C34" s="2" t="str">
        <f>'1.6'!C:C</f>
        <v>ส.อ.พจนันท์ ประสิทธิ์สัชฌุกร</v>
      </c>
      <c r="D34" s="9">
        <v>1.0</v>
      </c>
      <c r="E34" s="10">
        <f>IFERROR(vlookup('1.6'!D:D,lookup!$A$2:$B$4,2,false),0)</f>
        <v>5</v>
      </c>
      <c r="F34" s="10">
        <f>IFERROR(vlookup('1.6'!E:E,lookup!$A$6:$B$8,2,false),0)</f>
        <v>5</v>
      </c>
      <c r="G34" s="10">
        <f>IFERROR(vlookup('1.6'!F:F,lookup!$A$10:$B$12,2,false),0)</f>
        <v>5</v>
      </c>
      <c r="H34" s="10">
        <f>IFERROR(vlookup('1.6'!G:G,lookup!$A$14:$B$16,2,false),0)</f>
        <v>5</v>
      </c>
      <c r="I34" s="10">
        <f>IFERROR(vlookup('1.6'!H:H,lookup!$A$18:$B$20,2,false),0)</f>
        <v>5</v>
      </c>
      <c r="J34" s="10">
        <f>IFERROR(vlookup('1.6'!I:I,lookup!$A$22:$B$24,2,false),0)</f>
        <v>5</v>
      </c>
      <c r="K34" s="10">
        <f>IFERROR(vlookup('1.6'!J:J,lookup!$A$26:$B$28,2,false),0)</f>
        <v>5</v>
      </c>
      <c r="L34" s="2"/>
      <c r="M34" s="10">
        <v>33.0</v>
      </c>
      <c r="N34" s="11" t="str">
        <f t="shared" si="1"/>
        <v>bnco0933@signalschool.ac.th</v>
      </c>
      <c r="O34" s="12">
        <f t="shared" si="2"/>
        <v>1</v>
      </c>
      <c r="R34" s="17" t="s">
        <v>250</v>
      </c>
    </row>
    <row r="35">
      <c r="A35" s="8">
        <f>'1.6'!A:A</f>
        <v>46181.43503</v>
      </c>
      <c r="B35" s="2" t="str">
        <f>'1.6'!B:B</f>
        <v>bnco0942@signalschool.ac.th</v>
      </c>
      <c r="C35" s="2" t="str">
        <f>'1.6'!C:C</f>
        <v>ส.อ.พจนันท์ ประสิทธิ์สัชฌุกร /ส.อ.กฤษดา เพ็งภา</v>
      </c>
      <c r="D35" s="9">
        <v>1.0</v>
      </c>
      <c r="E35" s="10">
        <f>IFERROR(vlookup('1.6'!D:D,lookup!$A$2:$B$4,2,false),0)</f>
        <v>5</v>
      </c>
      <c r="F35" s="10">
        <f>IFERROR(vlookup('1.6'!E:E,lookup!$A$6:$B$8,2,false),0)</f>
        <v>5</v>
      </c>
      <c r="G35" s="10">
        <f>IFERROR(vlookup('1.6'!F:F,lookup!$A$10:$B$12,2,false),0)</f>
        <v>5</v>
      </c>
      <c r="H35" s="10">
        <f>IFERROR(vlookup('1.6'!G:G,lookup!$A$14:$B$16,2,false),0)</f>
        <v>5</v>
      </c>
      <c r="I35" s="10">
        <f>IFERROR(vlookup('1.6'!H:H,lookup!$A$18:$B$20,2,false),0)</f>
        <v>5</v>
      </c>
      <c r="J35" s="10">
        <f>IFERROR(vlookup('1.6'!I:I,lookup!$A$22:$B$24,2,false),0)</f>
        <v>5</v>
      </c>
      <c r="K35" s="10">
        <f>IFERROR(vlookup('1.6'!J:J,lookup!$A$26:$B$28,2,false),0)</f>
        <v>5</v>
      </c>
      <c r="L35" s="2"/>
      <c r="M35" s="10">
        <v>34.0</v>
      </c>
      <c r="N35" s="11" t="str">
        <f t="shared" si="1"/>
        <v>bnco0934@signalschool.ac.th</v>
      </c>
      <c r="O35" s="12">
        <f t="shared" si="2"/>
        <v>1</v>
      </c>
      <c r="R35" s="17" t="s">
        <v>251</v>
      </c>
    </row>
    <row r="36">
      <c r="A36" s="8">
        <f>'1.6'!A:A</f>
        <v>46181.4417</v>
      </c>
      <c r="B36" s="2" t="str">
        <f>'1.6'!B:B</f>
        <v>bnco0911@signalschool.ac.th</v>
      </c>
      <c r="C36" s="2" t="str">
        <f>'1.6'!C:C</f>
        <v>ส.อ.พจนันท์ ประสิทธิ์สัชณุกร</v>
      </c>
      <c r="D36" s="9">
        <v>1.0</v>
      </c>
      <c r="E36" s="10">
        <f>IFERROR(vlookup('1.6'!D:D,lookup!$A$2:$B$4,2,false),0)</f>
        <v>5</v>
      </c>
      <c r="F36" s="10">
        <f>IFERROR(vlookup('1.6'!E:E,lookup!$A$6:$B$8,2,false),0)</f>
        <v>5</v>
      </c>
      <c r="G36" s="10">
        <f>IFERROR(vlookup('1.6'!F:F,lookup!$A$10:$B$12,2,false),0)</f>
        <v>5</v>
      </c>
      <c r="H36" s="10">
        <f>IFERROR(vlookup('1.6'!G:G,lookup!$A$14:$B$16,2,false),0)</f>
        <v>5</v>
      </c>
      <c r="I36" s="10">
        <f>IFERROR(vlookup('1.6'!H:H,lookup!$A$18:$B$20,2,false),0)</f>
        <v>5</v>
      </c>
      <c r="J36" s="10">
        <f>IFERROR(vlookup('1.6'!I:I,lookup!$A$22:$B$24,2,false),0)</f>
        <v>5</v>
      </c>
      <c r="K36" s="10">
        <f>IFERROR(vlookup('1.6'!J:J,lookup!$A$26:$B$28,2,false),0)</f>
        <v>5</v>
      </c>
      <c r="L36" s="2"/>
      <c r="M36" s="10">
        <v>35.0</v>
      </c>
      <c r="N36" s="11" t="str">
        <f t="shared" si="1"/>
        <v>bnco0935@signalschool.ac.th</v>
      </c>
      <c r="O36" s="12">
        <f t="shared" si="2"/>
        <v>1</v>
      </c>
      <c r="R36" s="17" t="s">
        <v>252</v>
      </c>
    </row>
    <row r="37">
      <c r="A37" s="8">
        <f>'1.6'!A:A</f>
        <v>46181.44566</v>
      </c>
      <c r="B37" s="2" t="str">
        <f>'1.6'!B:B</f>
        <v>bnco0933@signalschool.ac.th</v>
      </c>
      <c r="C37" s="2" t="str">
        <f>'1.6'!C:C</f>
        <v>ส.อ.พจนันท์ ประสิทธิ์สัชฌุกร</v>
      </c>
      <c r="D37" s="9">
        <v>1.0</v>
      </c>
      <c r="E37" s="10">
        <f>IFERROR(vlookup('1.6'!D:D,lookup!$A$2:$B$4,2,false),0)</f>
        <v>5</v>
      </c>
      <c r="F37" s="10">
        <f>IFERROR(vlookup('1.6'!E:E,lookup!$A$6:$B$8,2,false),0)</f>
        <v>5</v>
      </c>
      <c r="G37" s="10">
        <f>IFERROR(vlookup('1.6'!F:F,lookup!$A$10:$B$12,2,false),0)</f>
        <v>5</v>
      </c>
      <c r="H37" s="10">
        <f>IFERROR(vlookup('1.6'!G:G,lookup!$A$14:$B$16,2,false),0)</f>
        <v>5</v>
      </c>
      <c r="I37" s="10">
        <f>IFERROR(vlookup('1.6'!H:H,lookup!$A$18:$B$20,2,false),0)</f>
        <v>5</v>
      </c>
      <c r="J37" s="10">
        <f>IFERROR(vlookup('1.6'!I:I,lookup!$A$22:$B$24,2,false),0)</f>
        <v>5</v>
      </c>
      <c r="K37" s="10">
        <f>IFERROR(vlookup('1.6'!J:J,lookup!$A$26:$B$28,2,false),0)</f>
        <v>5</v>
      </c>
      <c r="L37" s="2"/>
      <c r="M37" s="10">
        <v>36.0</v>
      </c>
      <c r="N37" s="11" t="str">
        <f t="shared" si="1"/>
        <v>bnco0936@signalschool.ac.th</v>
      </c>
      <c r="O37" s="12">
        <f t="shared" si="2"/>
        <v>1</v>
      </c>
      <c r="R37" s="17" t="s">
        <v>253</v>
      </c>
    </row>
    <row r="38">
      <c r="A38" s="8">
        <f>'1.6'!A:A</f>
        <v>46181.46547</v>
      </c>
      <c r="B38" s="2" t="str">
        <f>'1.6'!B:B</f>
        <v>bnco0913@signalschool.ac.th</v>
      </c>
      <c r="C38" s="2" t="str">
        <f>'1.6'!C:C</f>
        <v>ส.อ.พจนันท์ ประสิทธิ์สัชฌุกร</v>
      </c>
      <c r="D38" s="9">
        <v>1.0</v>
      </c>
      <c r="E38" s="10">
        <f>IFERROR(vlookup('1.6'!D:D,lookup!$A$2:$B$4,2,false),0)</f>
        <v>5</v>
      </c>
      <c r="F38" s="10">
        <f>IFERROR(vlookup('1.6'!E:E,lookup!$A$6:$B$8,2,false),0)</f>
        <v>3</v>
      </c>
      <c r="G38" s="10">
        <f>IFERROR(vlookup('1.6'!F:F,lookup!$A$10:$B$12,2,false),0)</f>
        <v>5</v>
      </c>
      <c r="H38" s="10">
        <f>IFERROR(vlookup('1.6'!G:G,lookup!$A$14:$B$16,2,false),0)</f>
        <v>5</v>
      </c>
      <c r="I38" s="10">
        <f>IFERROR(vlookup('1.6'!H:H,lookup!$A$18:$B$20,2,false),0)</f>
        <v>5</v>
      </c>
      <c r="J38" s="10">
        <f>IFERROR(vlookup('1.6'!I:I,lookup!$A$22:$B$24,2,false),0)</f>
        <v>5</v>
      </c>
      <c r="K38" s="10">
        <f>IFERROR(vlookup('1.6'!J:J,lookup!$A$26:$B$28,2,false),0)</f>
        <v>5</v>
      </c>
      <c r="L38" s="2"/>
      <c r="M38" s="10">
        <v>37.0</v>
      </c>
      <c r="N38" s="11" t="str">
        <f t="shared" si="1"/>
        <v>bnco0937@signalschool.ac.th</v>
      </c>
      <c r="O38" s="12">
        <f t="shared" si="2"/>
        <v>1</v>
      </c>
      <c r="R38" s="17" t="s">
        <v>254</v>
      </c>
    </row>
    <row r="39">
      <c r="A39" s="8">
        <f>'1.6'!A:A</f>
        <v>46181.46584</v>
      </c>
      <c r="B39" s="2" t="str">
        <f>'1.6'!B:B</f>
        <v>bnco0918@signalschool.ac.th</v>
      </c>
      <c r="C39" s="2" t="str">
        <f>'1.6'!C:C</f>
        <v>ส.อ.พจนันท์ ประสิทธิ์สัชฌุกร</v>
      </c>
      <c r="D39" s="9">
        <v>1.0</v>
      </c>
      <c r="E39" s="10">
        <f>IFERROR(vlookup('1.6'!D:D,lookup!$A$2:$B$4,2,false),0)</f>
        <v>5</v>
      </c>
      <c r="F39" s="10">
        <f>IFERROR(vlookup('1.6'!E:E,lookup!$A$6:$B$8,2,false),0)</f>
        <v>5</v>
      </c>
      <c r="G39" s="10">
        <f>IFERROR(vlookup('1.6'!F:F,lookup!$A$10:$B$12,2,false),0)</f>
        <v>5</v>
      </c>
      <c r="H39" s="10">
        <f>IFERROR(vlookup('1.6'!G:G,lookup!$A$14:$B$16,2,false),0)</f>
        <v>5</v>
      </c>
      <c r="I39" s="10">
        <f>IFERROR(vlookup('1.6'!H:H,lookup!$A$18:$B$20,2,false),0)</f>
        <v>5</v>
      </c>
      <c r="J39" s="10">
        <f>IFERROR(vlookup('1.6'!I:I,lookup!$A$22:$B$24,2,false),0)</f>
        <v>5</v>
      </c>
      <c r="K39" s="10">
        <f>IFERROR(vlookup('1.6'!J:J,lookup!$A$26:$B$28,2,false),0)</f>
        <v>5</v>
      </c>
      <c r="L39" s="2"/>
      <c r="M39" s="10">
        <v>38.0</v>
      </c>
      <c r="N39" s="11" t="str">
        <f t="shared" si="1"/>
        <v>bnco0938@signalschool.ac.th</v>
      </c>
      <c r="O39" s="12">
        <f t="shared" si="2"/>
        <v>1</v>
      </c>
      <c r="R39" s="17" t="s">
        <v>255</v>
      </c>
    </row>
    <row r="40">
      <c r="A40" s="8">
        <f>'1.6'!A:A</f>
        <v>46181.48392</v>
      </c>
      <c r="B40" s="2" t="str">
        <f>'1.6'!B:B</f>
        <v>bnco0919@signalschool.ac.th</v>
      </c>
      <c r="C40" s="2" t="str">
        <f>'1.6'!C:C</f>
        <v>ส.อ.พจนันท์ ประสิทธิ์สัชฌุกร</v>
      </c>
      <c r="D40" s="9">
        <v>1.0</v>
      </c>
      <c r="E40" s="10">
        <f>IFERROR(vlookup('1.6'!D:D,lookup!$A$2:$B$4,2,false),0)</f>
        <v>5</v>
      </c>
      <c r="F40" s="10">
        <f>IFERROR(vlookup('1.6'!E:E,lookup!$A$6:$B$8,2,false),0)</f>
        <v>5</v>
      </c>
      <c r="G40" s="10">
        <f>IFERROR(vlookup('1.6'!F:F,lookup!$A$10:$B$12,2,false),0)</f>
        <v>5</v>
      </c>
      <c r="H40" s="10">
        <f>IFERROR(vlookup('1.6'!G:G,lookup!$A$14:$B$16,2,false),0)</f>
        <v>5</v>
      </c>
      <c r="I40" s="10">
        <f>IFERROR(vlookup('1.6'!H:H,lookup!$A$18:$B$20,2,false),0)</f>
        <v>5</v>
      </c>
      <c r="J40" s="10">
        <f>IFERROR(vlookup('1.6'!I:I,lookup!$A$22:$B$24,2,false),0)</f>
        <v>5</v>
      </c>
      <c r="K40" s="10">
        <f>IFERROR(vlookup('1.6'!J:J,lookup!$A$26:$B$28,2,false),0)</f>
        <v>5</v>
      </c>
      <c r="L40" s="2"/>
      <c r="M40" s="10">
        <v>39.0</v>
      </c>
      <c r="N40" s="11" t="str">
        <f t="shared" si="1"/>
        <v>bnco0939@signalschool.ac.th</v>
      </c>
      <c r="O40" s="12">
        <f t="shared" si="2"/>
        <v>1</v>
      </c>
      <c r="R40" s="17" t="s">
        <v>256</v>
      </c>
    </row>
    <row r="41">
      <c r="A41" s="8">
        <f>'1.6'!A:A</f>
        <v>46181.51607</v>
      </c>
      <c r="B41" s="2" t="str">
        <f>'1.6'!B:B</f>
        <v>bnco0965@signalschool.ac.th</v>
      </c>
      <c r="C41" s="2" t="str">
        <f>'1.6'!C:C</f>
        <v>ส.อ. จักรพรรณ์  </v>
      </c>
      <c r="D41" s="9">
        <v>1.0</v>
      </c>
      <c r="E41" s="10">
        <f>IFERROR(vlookup('1.6'!D:D,lookup!$A$2:$B$4,2,false),0)</f>
        <v>5</v>
      </c>
      <c r="F41" s="10">
        <f>IFERROR(vlookup('1.6'!E:E,lookup!$A$6:$B$8,2,false),0)</f>
        <v>5</v>
      </c>
      <c r="G41" s="10">
        <f>IFERROR(vlookup('1.6'!F:F,lookup!$A$10:$B$12,2,false),0)</f>
        <v>5</v>
      </c>
      <c r="H41" s="10">
        <f>IFERROR(vlookup('1.6'!G:G,lookup!$A$14:$B$16,2,false),0)</f>
        <v>5</v>
      </c>
      <c r="I41" s="10">
        <f>IFERROR(vlookup('1.6'!H:H,lookup!$A$18:$B$20,2,false),0)</f>
        <v>5</v>
      </c>
      <c r="J41" s="10">
        <f>IFERROR(vlookup('1.6'!I:I,lookup!$A$22:$B$24,2,false),0)</f>
        <v>5</v>
      </c>
      <c r="K41" s="10">
        <f>IFERROR(vlookup('1.6'!J:J,lookup!$A$26:$B$28,2,false),0)</f>
        <v>5</v>
      </c>
      <c r="L41" s="2"/>
      <c r="M41" s="10">
        <v>40.0</v>
      </c>
      <c r="N41" s="11" t="str">
        <f t="shared" si="1"/>
        <v>bnco0940@signalschool.ac.th</v>
      </c>
      <c r="O41" s="12">
        <f t="shared" si="2"/>
        <v>1</v>
      </c>
      <c r="R41" s="17" t="s">
        <v>257</v>
      </c>
    </row>
    <row r="42">
      <c r="A42" s="8">
        <f>'1.6'!A:A</f>
        <v>46181.51783</v>
      </c>
      <c r="B42" s="2" t="str">
        <f>'1.6'!B:B</f>
        <v>bnco0910@signalschool.ac.th</v>
      </c>
      <c r="C42" s="2" t="str">
        <f>'1.6'!C:C</f>
        <v>ส.อ.พจนันท์ ประสิทธิ์สัชฌุกร</v>
      </c>
      <c r="D42" s="9">
        <v>1.0</v>
      </c>
      <c r="E42" s="10">
        <f>IFERROR(vlookup('1.6'!D:D,lookup!$A$2:$B$4,2,false),0)</f>
        <v>5</v>
      </c>
      <c r="F42" s="10">
        <f>IFERROR(vlookup('1.6'!E:E,lookup!$A$6:$B$8,2,false),0)</f>
        <v>5</v>
      </c>
      <c r="G42" s="10">
        <f>IFERROR(vlookup('1.6'!F:F,lookup!$A$10:$B$12,2,false),0)</f>
        <v>5</v>
      </c>
      <c r="H42" s="10">
        <f>IFERROR(vlookup('1.6'!G:G,lookup!$A$14:$B$16,2,false),0)</f>
        <v>5</v>
      </c>
      <c r="I42" s="10">
        <f>IFERROR(vlookup('1.6'!H:H,lookup!$A$18:$B$20,2,false),0)</f>
        <v>5</v>
      </c>
      <c r="J42" s="10">
        <f>IFERROR(vlookup('1.6'!I:I,lookup!$A$22:$B$24,2,false),0)</f>
        <v>5</v>
      </c>
      <c r="K42" s="10">
        <f>IFERROR(vlookup('1.6'!J:J,lookup!$A$26:$B$28,2,false),0)</f>
        <v>5</v>
      </c>
      <c r="L42" s="2"/>
      <c r="M42" s="10">
        <v>41.0</v>
      </c>
      <c r="N42" s="11" t="str">
        <f t="shared" si="1"/>
        <v>bnco0941@signalschool.ac.th</v>
      </c>
      <c r="O42" s="12">
        <f t="shared" si="2"/>
        <v>1</v>
      </c>
      <c r="R42" s="17" t="s">
        <v>258</v>
      </c>
    </row>
    <row r="43">
      <c r="A43" s="8">
        <f>'1.6'!A:A</f>
        <v>46181.53318</v>
      </c>
      <c r="B43" s="2" t="str">
        <f>'1.6'!B:B</f>
        <v>bnco0947@signalschool.ac.th</v>
      </c>
      <c r="C43" s="2" t="str">
        <f>'1.6'!C:C</f>
        <v>ส.อ.พจนันท์ ประสิทธิ์สัชฌุกร</v>
      </c>
      <c r="D43" s="9">
        <v>1.0</v>
      </c>
      <c r="E43" s="10">
        <f>IFERROR(vlookup('1.6'!D:D,lookup!$A$2:$B$4,2,false),0)</f>
        <v>5</v>
      </c>
      <c r="F43" s="10">
        <f>IFERROR(vlookup('1.6'!E:E,lookup!$A$6:$B$8,2,false),0)</f>
        <v>5</v>
      </c>
      <c r="G43" s="10">
        <f>IFERROR(vlookup('1.6'!F:F,lookup!$A$10:$B$12,2,false),0)</f>
        <v>5</v>
      </c>
      <c r="H43" s="10">
        <f>IFERROR(vlookup('1.6'!G:G,lookup!$A$14:$B$16,2,false),0)</f>
        <v>5</v>
      </c>
      <c r="I43" s="10">
        <f>IFERROR(vlookup('1.6'!H:H,lookup!$A$18:$B$20,2,false),0)</f>
        <v>5</v>
      </c>
      <c r="J43" s="10">
        <f>IFERROR(vlookup('1.6'!I:I,lookup!$A$22:$B$24,2,false),0)</f>
        <v>5</v>
      </c>
      <c r="K43" s="10">
        <f>IFERROR(vlookup('1.6'!J:J,lookup!$A$26:$B$28,2,false),0)</f>
        <v>5</v>
      </c>
      <c r="L43" s="2"/>
      <c r="M43" s="10">
        <v>42.0</v>
      </c>
      <c r="N43" s="11" t="str">
        <f t="shared" si="1"/>
        <v>bnco0942@signalschool.ac.th</v>
      </c>
      <c r="O43" s="12">
        <f t="shared" si="2"/>
        <v>1</v>
      </c>
      <c r="R43" s="17" t="s">
        <v>259</v>
      </c>
    </row>
    <row r="44">
      <c r="A44" s="8">
        <f>'1.6'!A:A</f>
        <v>46181.53984</v>
      </c>
      <c r="B44" s="2" t="str">
        <f>'1.6'!B:B</f>
        <v>bnco0901@signalschool.ac.th</v>
      </c>
      <c r="C44" s="2" t="str">
        <f>'1.6'!C:C</f>
        <v>ส.อ.พจนันท์ ประสิทธิสัชฌุกรณ์</v>
      </c>
      <c r="D44" s="9">
        <v>1.0</v>
      </c>
      <c r="E44" s="10">
        <f>IFERROR(vlookup('1.6'!D:D,lookup!$A$2:$B$4,2,false),0)</f>
        <v>3</v>
      </c>
      <c r="F44" s="10">
        <f>IFERROR(vlookup('1.6'!E:E,lookup!$A$6:$B$8,2,false),0)</f>
        <v>5</v>
      </c>
      <c r="G44" s="10">
        <f>IFERROR(vlookup('1.6'!F:F,lookup!$A$10:$B$12,2,false),0)</f>
        <v>5</v>
      </c>
      <c r="H44" s="10">
        <f>IFERROR(vlookup('1.6'!G:G,lookup!$A$14:$B$16,2,false),0)</f>
        <v>5</v>
      </c>
      <c r="I44" s="10">
        <f>IFERROR(vlookup('1.6'!H:H,lookup!$A$18:$B$20,2,false),0)</f>
        <v>5</v>
      </c>
      <c r="J44" s="10">
        <f>IFERROR(vlookup('1.6'!I:I,lookup!$A$22:$B$24,2,false),0)</f>
        <v>5</v>
      </c>
      <c r="K44" s="10">
        <f>IFERROR(vlookup('1.6'!J:J,lookup!$A$26:$B$28,2,false),0)</f>
        <v>5</v>
      </c>
      <c r="L44" s="2"/>
      <c r="M44" s="10">
        <v>43.0</v>
      </c>
      <c r="N44" s="11" t="str">
        <f t="shared" si="1"/>
        <v>bnco0943@signalschool.ac.th</v>
      </c>
      <c r="O44" s="12">
        <f t="shared" si="2"/>
        <v>1</v>
      </c>
      <c r="R44" s="17" t="s">
        <v>260</v>
      </c>
    </row>
    <row r="45">
      <c r="A45" s="8">
        <f>'1.6'!A:A</f>
        <v>46181.54058</v>
      </c>
      <c r="B45" s="2" t="str">
        <f>'1.6'!B:B</f>
        <v>bnco0935@signalschool.ac.th</v>
      </c>
      <c r="C45" s="2" t="str">
        <f>'1.6'!C:C</f>
        <v>ส.อ.พจนันท์ ประสิทธิ์สัชฌุกร</v>
      </c>
      <c r="D45" s="9">
        <v>1.0</v>
      </c>
      <c r="E45" s="10">
        <f>IFERROR(vlookup('1.6'!D:D,lookup!$A$2:$B$4,2,false),0)</f>
        <v>5</v>
      </c>
      <c r="F45" s="10">
        <f>IFERROR(vlookup('1.6'!E:E,lookup!$A$6:$B$8,2,false),0)</f>
        <v>5</v>
      </c>
      <c r="G45" s="10">
        <f>IFERROR(vlookup('1.6'!F:F,lookup!$A$10:$B$12,2,false),0)</f>
        <v>5</v>
      </c>
      <c r="H45" s="10">
        <f>IFERROR(vlookup('1.6'!G:G,lookup!$A$14:$B$16,2,false),0)</f>
        <v>5</v>
      </c>
      <c r="I45" s="10">
        <f>IFERROR(vlookup('1.6'!H:H,lookup!$A$18:$B$20,2,false),0)</f>
        <v>5</v>
      </c>
      <c r="J45" s="10">
        <f>IFERROR(vlookup('1.6'!I:I,lookup!$A$22:$B$24,2,false),0)</f>
        <v>5</v>
      </c>
      <c r="K45" s="10">
        <f>IFERROR(vlookup('1.6'!J:J,lookup!$A$26:$B$28,2,false),0)</f>
        <v>5</v>
      </c>
      <c r="L45" s="2"/>
      <c r="M45" s="10">
        <v>44.0</v>
      </c>
      <c r="N45" s="11" t="str">
        <f t="shared" si="1"/>
        <v>bnco0944@signalschool.ac.th</v>
      </c>
      <c r="O45" s="12">
        <f t="shared" si="2"/>
        <v>1</v>
      </c>
      <c r="R45" s="17" t="s">
        <v>261</v>
      </c>
    </row>
    <row r="46">
      <c r="A46" s="8">
        <f>'1.6'!A:A</f>
        <v>46181.58096</v>
      </c>
      <c r="B46" s="2" t="str">
        <f>'1.6'!B:B</f>
        <v>bnco0930@signalschool.ac.th</v>
      </c>
      <c r="C46" s="2" t="str">
        <f>'1.6'!C:C</f>
        <v>ส.อ.พจนันท์  ประสิทธิ์สัชณุกร</v>
      </c>
      <c r="D46" s="9">
        <v>1.0</v>
      </c>
      <c r="E46" s="10">
        <f>IFERROR(vlookup('1.6'!D:D,lookup!$A$2:$B$4,2,false),0)</f>
        <v>5</v>
      </c>
      <c r="F46" s="10">
        <f>IFERROR(vlookup('1.6'!E:E,lookup!$A$6:$B$8,2,false),0)</f>
        <v>5</v>
      </c>
      <c r="G46" s="10">
        <f>IFERROR(vlookup('1.6'!F:F,lookup!$A$10:$B$12,2,false),0)</f>
        <v>5</v>
      </c>
      <c r="H46" s="10">
        <f>IFERROR(vlookup('1.6'!G:G,lookup!$A$14:$B$16,2,false),0)</f>
        <v>5</v>
      </c>
      <c r="I46" s="10">
        <f>IFERROR(vlookup('1.6'!H:H,lookup!$A$18:$B$20,2,false),0)</f>
        <v>5</v>
      </c>
      <c r="J46" s="10">
        <f>IFERROR(vlookup('1.6'!I:I,lookup!$A$22:$B$24,2,false),0)</f>
        <v>5</v>
      </c>
      <c r="K46" s="10">
        <f>IFERROR(vlookup('1.6'!J:J,lookup!$A$26:$B$28,2,false),0)</f>
        <v>5</v>
      </c>
      <c r="L46" s="2"/>
      <c r="M46" s="10">
        <v>45.0</v>
      </c>
      <c r="N46" s="11" t="str">
        <f t="shared" si="1"/>
        <v>bnco0945@signalschool.ac.th</v>
      </c>
      <c r="O46" s="12">
        <f t="shared" si="2"/>
        <v>1</v>
      </c>
      <c r="R46" s="17" t="s">
        <v>262</v>
      </c>
    </row>
    <row r="47">
      <c r="A47" s="8">
        <f>'1.6'!A:A</f>
        <v>46181.78787</v>
      </c>
      <c r="B47" s="2" t="str">
        <f>'1.6'!B:B</f>
        <v>bnco0914@signalschool.ac.th</v>
      </c>
      <c r="C47" s="2" t="str">
        <f>'1.6'!C:C</f>
        <v>ส.อ.พจนันท์ ประสิทธิ์สัชฌุกร</v>
      </c>
      <c r="D47" s="9">
        <v>1.0</v>
      </c>
      <c r="E47" s="10">
        <f>IFERROR(vlookup('1.6'!D:D,lookup!$A$2:$B$4,2,false),0)</f>
        <v>5</v>
      </c>
      <c r="F47" s="10">
        <f>IFERROR(vlookup('1.6'!E:E,lookup!$A$6:$B$8,2,false),0)</f>
        <v>5</v>
      </c>
      <c r="G47" s="10">
        <f>IFERROR(vlookup('1.6'!F:F,lookup!$A$10:$B$12,2,false),0)</f>
        <v>5</v>
      </c>
      <c r="H47" s="10">
        <f>IFERROR(vlookup('1.6'!G:G,lookup!$A$14:$B$16,2,false),0)</f>
        <v>5</v>
      </c>
      <c r="I47" s="10">
        <f>IFERROR(vlookup('1.6'!H:H,lookup!$A$18:$B$20,2,false),0)</f>
        <v>5</v>
      </c>
      <c r="J47" s="10">
        <f>IFERROR(vlookup('1.6'!I:I,lookup!$A$22:$B$24,2,false),0)</f>
        <v>5</v>
      </c>
      <c r="K47" s="10">
        <f>IFERROR(vlookup('1.6'!J:J,lookup!$A$26:$B$28,2,false),0)</f>
        <v>5</v>
      </c>
      <c r="L47" s="2"/>
      <c r="M47" s="10">
        <v>46.0</v>
      </c>
      <c r="N47" s="11" t="str">
        <f t="shared" si="1"/>
        <v>bnco0946@signalschool.ac.th</v>
      </c>
      <c r="O47" s="12">
        <f t="shared" si="2"/>
        <v>1</v>
      </c>
      <c r="R47" s="17" t="s">
        <v>263</v>
      </c>
    </row>
    <row r="48">
      <c r="A48" s="8">
        <f>'1.6'!A:A</f>
        <v>46181.81371</v>
      </c>
      <c r="B48" s="2" t="str">
        <f>'1.6'!B:B</f>
        <v>bnco0964@signalschool.ac.th</v>
      </c>
      <c r="C48" s="2" t="str">
        <f>'1.6'!C:C</f>
        <v>ส.อ.พจนันท์ ประสิทธิ์สัชฌุกร</v>
      </c>
      <c r="D48" s="9">
        <v>1.0</v>
      </c>
      <c r="E48" s="10">
        <f>IFERROR(vlookup('1.6'!D:D,lookup!$A$2:$B$4,2,false),0)</f>
        <v>5</v>
      </c>
      <c r="F48" s="10">
        <f>IFERROR(vlookup('1.6'!E:E,lookup!$A$6:$B$8,2,false),0)</f>
        <v>5</v>
      </c>
      <c r="G48" s="10">
        <f>IFERROR(vlookup('1.6'!F:F,lookup!$A$10:$B$12,2,false),0)</f>
        <v>5</v>
      </c>
      <c r="H48" s="10">
        <f>IFERROR(vlookup('1.6'!G:G,lookup!$A$14:$B$16,2,false),0)</f>
        <v>5</v>
      </c>
      <c r="I48" s="10">
        <f>IFERROR(vlookup('1.6'!H:H,lookup!$A$18:$B$20,2,false),0)</f>
        <v>5</v>
      </c>
      <c r="J48" s="10">
        <f>IFERROR(vlookup('1.6'!I:I,lookup!$A$22:$B$24,2,false),0)</f>
        <v>5</v>
      </c>
      <c r="K48" s="10">
        <f>IFERROR(vlookup('1.6'!J:J,lookup!$A$26:$B$28,2,false),0)</f>
        <v>5</v>
      </c>
      <c r="L48" s="2"/>
      <c r="M48" s="10">
        <v>47.0</v>
      </c>
      <c r="N48" s="11" t="str">
        <f t="shared" si="1"/>
        <v>bnco0947@signalschool.ac.th</v>
      </c>
      <c r="O48" s="12">
        <f t="shared" si="2"/>
        <v>1</v>
      </c>
      <c r="R48" s="17" t="s">
        <v>264</v>
      </c>
    </row>
    <row r="49">
      <c r="A49" s="8">
        <f>'1.6'!A:A</f>
        <v>46181.81699</v>
      </c>
      <c r="B49" s="2" t="str">
        <f>'1.6'!B:B</f>
        <v>bnco0908@signalschool.ac.th</v>
      </c>
      <c r="C49" s="2" t="str">
        <f>'1.6'!C:C</f>
        <v>ส.อ.พจนันท์ ประสิทธิ์สัชณุกร</v>
      </c>
      <c r="D49" s="9">
        <v>1.0</v>
      </c>
      <c r="E49" s="10">
        <f>IFERROR(vlookup('1.6'!D:D,lookup!$A$2:$B$4,2,false),0)</f>
        <v>5</v>
      </c>
      <c r="F49" s="10">
        <f>IFERROR(vlookup('1.6'!E:E,lookup!$A$6:$B$8,2,false),0)</f>
        <v>5</v>
      </c>
      <c r="G49" s="10">
        <f>IFERROR(vlookup('1.6'!F:F,lookup!$A$10:$B$12,2,false),0)</f>
        <v>5</v>
      </c>
      <c r="H49" s="10">
        <f>IFERROR(vlookup('1.6'!G:G,lookup!$A$14:$B$16,2,false),0)</f>
        <v>5</v>
      </c>
      <c r="I49" s="10">
        <f>IFERROR(vlookup('1.6'!H:H,lookup!$A$18:$B$20,2,false),0)</f>
        <v>5</v>
      </c>
      <c r="J49" s="10">
        <f>IFERROR(vlookup('1.6'!I:I,lookup!$A$22:$B$24,2,false),0)</f>
        <v>5</v>
      </c>
      <c r="K49" s="10">
        <f>IFERROR(vlookup('1.6'!J:J,lookup!$A$26:$B$28,2,false),0)</f>
        <v>5</v>
      </c>
      <c r="L49" s="2"/>
      <c r="M49" s="10">
        <v>48.0</v>
      </c>
      <c r="N49" s="11" t="str">
        <f t="shared" si="1"/>
        <v>bnco0948@signalschool.ac.th</v>
      </c>
      <c r="O49" s="12">
        <f t="shared" si="2"/>
        <v>1</v>
      </c>
      <c r="R49" s="17" t="s">
        <v>265</v>
      </c>
    </row>
    <row r="50">
      <c r="A50" s="8">
        <f>'1.6'!A:A</f>
        <v>46181.83461</v>
      </c>
      <c r="B50" s="2" t="str">
        <f>'1.6'!B:B</f>
        <v>bnco0957@signalschool.ac.th</v>
      </c>
      <c r="C50" s="2" t="str">
        <f>'1.6'!C:C</f>
        <v>ส.อ.พจนันท์ ประสิทธิสัชฌุกรณ์</v>
      </c>
      <c r="D50" s="9">
        <v>1.0</v>
      </c>
      <c r="E50" s="10">
        <f>IFERROR(vlookup('1.6'!D:D,lookup!$A$2:$B$4,2,false),0)</f>
        <v>5</v>
      </c>
      <c r="F50" s="10">
        <f>IFERROR(vlookup('1.6'!E:E,lookup!$A$6:$B$8,2,false),0)</f>
        <v>5</v>
      </c>
      <c r="G50" s="10">
        <f>IFERROR(vlookup('1.6'!F:F,lookup!$A$10:$B$12,2,false),0)</f>
        <v>5</v>
      </c>
      <c r="H50" s="10">
        <f>IFERROR(vlookup('1.6'!G:G,lookup!$A$14:$B$16,2,false),0)</f>
        <v>5</v>
      </c>
      <c r="I50" s="10">
        <f>IFERROR(vlookup('1.6'!H:H,lookup!$A$18:$B$20,2,false),0)</f>
        <v>5</v>
      </c>
      <c r="J50" s="10">
        <f>IFERROR(vlookup('1.6'!I:I,lookup!$A$22:$B$24,2,false),0)</f>
        <v>5</v>
      </c>
      <c r="K50" s="10">
        <f>IFERROR(vlookup('1.6'!J:J,lookup!$A$26:$B$28,2,false),0)</f>
        <v>5</v>
      </c>
      <c r="L50" s="2"/>
      <c r="M50" s="10">
        <v>49.0</v>
      </c>
      <c r="N50" s="11" t="str">
        <f t="shared" si="1"/>
        <v>bnco0949@signalschool.ac.th</v>
      </c>
      <c r="O50" s="12">
        <f t="shared" si="2"/>
        <v>1</v>
      </c>
      <c r="R50" s="17" t="s">
        <v>266</v>
      </c>
    </row>
    <row r="51">
      <c r="A51" s="8">
        <f>'1.6'!A:A</f>
        <v>46182.38135</v>
      </c>
      <c r="B51" s="2" t="str">
        <f>'1.6'!B:B</f>
        <v>bnco0917@signalschool.ac.th</v>
      </c>
      <c r="C51" s="2" t="str">
        <f>'1.6'!C:C</f>
        <v>ส.อ.พจนันท์ ประสิทธิ์สัชฌุกร</v>
      </c>
      <c r="D51" s="9">
        <v>1.0</v>
      </c>
      <c r="E51" s="10">
        <f>IFERROR(vlookup('1.6'!D:D,lookup!$A$2:$B$4,2,false),0)</f>
        <v>5</v>
      </c>
      <c r="F51" s="10">
        <f>IFERROR(vlookup('1.6'!E:E,lookup!$A$6:$B$8,2,false),0)</f>
        <v>5</v>
      </c>
      <c r="G51" s="10">
        <f>IFERROR(vlookup('1.6'!F:F,lookup!$A$10:$B$12,2,false),0)</f>
        <v>5</v>
      </c>
      <c r="H51" s="10">
        <f>IFERROR(vlookup('1.6'!G:G,lookup!$A$14:$B$16,2,false),0)</f>
        <v>5</v>
      </c>
      <c r="I51" s="10">
        <f>IFERROR(vlookup('1.6'!H:H,lookup!$A$18:$B$20,2,false),0)</f>
        <v>5</v>
      </c>
      <c r="J51" s="10">
        <f>IFERROR(vlookup('1.6'!I:I,lookup!$A$22:$B$24,2,false),0)</f>
        <v>5</v>
      </c>
      <c r="K51" s="10">
        <f>IFERROR(vlookup('1.6'!J:J,lookup!$A$26:$B$28,2,false),0)</f>
        <v>5</v>
      </c>
      <c r="L51" s="2"/>
      <c r="M51" s="10">
        <v>50.0</v>
      </c>
      <c r="N51" s="11" t="str">
        <f t="shared" si="1"/>
        <v>bnco0950@signalschool.ac.th</v>
      </c>
      <c r="O51" s="12">
        <f t="shared" si="2"/>
        <v>1</v>
      </c>
      <c r="R51" s="17" t="s">
        <v>267</v>
      </c>
    </row>
    <row r="52">
      <c r="A52" s="8">
        <f>'1.6'!A:A</f>
        <v>46184.5382</v>
      </c>
      <c r="B52" s="2" t="str">
        <f>'1.6'!B:B</f>
        <v>bnco0962@signalschool.ac.th</v>
      </c>
      <c r="C52" s="2" t="str">
        <f>'1.6'!C:C</f>
        <v>ส.อ.พจนันท์ ประสิทธิ</v>
      </c>
      <c r="D52" s="9">
        <v>1.0</v>
      </c>
      <c r="E52" s="10">
        <f>IFERROR(vlookup('1.6'!D:D,lookup!$A$2:$B$4,2,false),0)</f>
        <v>5</v>
      </c>
      <c r="F52" s="10">
        <f>IFERROR(vlookup('1.6'!E:E,lookup!$A$6:$B$8,2,false),0)</f>
        <v>5</v>
      </c>
      <c r="G52" s="10">
        <f>IFERROR(vlookup('1.6'!F:F,lookup!$A$10:$B$12,2,false),0)</f>
        <v>5</v>
      </c>
      <c r="H52" s="10">
        <f>IFERROR(vlookup('1.6'!G:G,lookup!$A$14:$B$16,2,false),0)</f>
        <v>5</v>
      </c>
      <c r="I52" s="10">
        <f>IFERROR(vlookup('1.6'!H:H,lookup!$A$18:$B$20,2,false),0)</f>
        <v>5</v>
      </c>
      <c r="J52" s="10">
        <f>IFERROR(vlookup('1.6'!I:I,lookup!$A$22:$B$24,2,false),0)</f>
        <v>5</v>
      </c>
      <c r="K52" s="10">
        <f>IFERROR(vlookup('1.6'!J:J,lookup!$A$26:$B$28,2,false),0)</f>
        <v>5</v>
      </c>
      <c r="L52" s="2"/>
      <c r="M52" s="10">
        <v>51.0</v>
      </c>
      <c r="N52" s="11" t="str">
        <f t="shared" si="1"/>
        <v>bnco0951@signalschool.ac.th</v>
      </c>
      <c r="O52" s="12">
        <f t="shared" si="2"/>
        <v>1</v>
      </c>
      <c r="R52" s="17" t="s">
        <v>268</v>
      </c>
    </row>
    <row r="53">
      <c r="A53" s="8">
        <f>'1.6'!A:A</f>
        <v>46184.54472</v>
      </c>
      <c r="B53" s="2" t="str">
        <f>'1.6'!B:B</f>
        <v>bnco0961@signalschool.ac.th</v>
      </c>
      <c r="C53" s="2" t="str">
        <f>'1.6'!C:C</f>
        <v>ส.อ.พจนันท์ ประสิทธิ</v>
      </c>
      <c r="D53" s="9">
        <v>1.0</v>
      </c>
      <c r="E53" s="10">
        <f>IFERROR(vlookup('1.6'!D:D,lookup!$A$2:$B$4,2,false),0)</f>
        <v>3</v>
      </c>
      <c r="F53" s="10">
        <f>IFERROR(vlookup('1.6'!E:E,lookup!$A$6:$B$8,2,false),0)</f>
        <v>5</v>
      </c>
      <c r="G53" s="10">
        <f>IFERROR(vlookup('1.6'!F:F,lookup!$A$10:$B$12,2,false),0)</f>
        <v>5</v>
      </c>
      <c r="H53" s="10">
        <f>IFERROR(vlookup('1.6'!G:G,lookup!$A$14:$B$16,2,false),0)</f>
        <v>5</v>
      </c>
      <c r="I53" s="10">
        <f>IFERROR(vlookup('1.6'!H:H,lookup!$A$18:$B$20,2,false),0)</f>
        <v>5</v>
      </c>
      <c r="J53" s="10">
        <f>IFERROR(vlookup('1.6'!I:I,lookup!$A$22:$B$24,2,false),0)</f>
        <v>5</v>
      </c>
      <c r="K53" s="10">
        <f>IFERROR(vlookup('1.6'!J:J,lookup!$A$26:$B$28,2,false),0)</f>
        <v>3</v>
      </c>
      <c r="L53" s="2"/>
      <c r="M53" s="10">
        <v>52.0</v>
      </c>
      <c r="N53" s="11" t="str">
        <f t="shared" si="1"/>
        <v>bnco0952@signalschool.ac.th</v>
      </c>
      <c r="O53" s="12">
        <f t="shared" si="2"/>
        <v>1</v>
      </c>
      <c r="R53" s="17" t="s">
        <v>269</v>
      </c>
    </row>
    <row r="54">
      <c r="A54" s="8">
        <f>'1.6'!A:A</f>
        <v>46188.89778</v>
      </c>
      <c r="B54" s="2" t="str">
        <f>'1.6'!B:B</f>
        <v>bnco0931@signalschool.ac.th</v>
      </c>
      <c r="C54" s="2" t="str">
        <f>'1.6'!C:C</f>
        <v>ส.อ.พจนันท์ ประสิทธิ์สัชฌุกร</v>
      </c>
      <c r="D54" s="9">
        <v>1.0</v>
      </c>
      <c r="E54" s="10">
        <f>IFERROR(vlookup('1.6'!D:D,lookup!$A$2:$B$4,2,false),0)</f>
        <v>3</v>
      </c>
      <c r="F54" s="10">
        <f>IFERROR(vlookup('1.6'!E:E,lookup!$A$6:$B$8,2,false),0)</f>
        <v>3</v>
      </c>
      <c r="G54" s="10">
        <f>IFERROR(vlookup('1.6'!F:F,lookup!$A$10:$B$12,2,false),0)</f>
        <v>5</v>
      </c>
      <c r="H54" s="10">
        <f>IFERROR(vlookup('1.6'!G:G,lookup!$A$14:$B$16,2,false),0)</f>
        <v>5</v>
      </c>
      <c r="I54" s="10">
        <f>IFERROR(vlookup('1.6'!H:H,lookup!$A$18:$B$20,2,false),0)</f>
        <v>5</v>
      </c>
      <c r="J54" s="10">
        <f>IFERROR(vlookup('1.6'!I:I,lookup!$A$22:$B$24,2,false),0)</f>
        <v>5</v>
      </c>
      <c r="K54" s="10">
        <f>IFERROR(vlookup('1.6'!J:J,lookup!$A$26:$B$28,2,false),0)</f>
        <v>5</v>
      </c>
      <c r="L54" s="2"/>
      <c r="M54" s="10">
        <v>53.0</v>
      </c>
      <c r="N54" s="11" t="str">
        <f t="shared" si="1"/>
        <v>bnco0953@signalschool.ac.th</v>
      </c>
      <c r="O54" s="12">
        <f t="shared" si="2"/>
        <v>1</v>
      </c>
      <c r="R54" s="17" t="s">
        <v>270</v>
      </c>
    </row>
    <row r="55">
      <c r="A55" s="8">
        <f>'1.6'!A:A</f>
        <v>46190.41416</v>
      </c>
      <c r="B55" s="2" t="str">
        <f>'1.6'!B:B</f>
        <v>bnco0937@signalschool.ac.th</v>
      </c>
      <c r="C55" s="2" t="str">
        <f>'1.6'!C:C</f>
        <v>ส.อ.พจนันท์ ประสิทธิ์สัชฌุกร</v>
      </c>
      <c r="D55" s="9">
        <v>1.0</v>
      </c>
      <c r="E55" s="10">
        <f>IFERROR(vlookup('1.6'!D:D,lookup!$A$2:$B$4,2,false),0)</f>
        <v>5</v>
      </c>
      <c r="F55" s="10">
        <f>IFERROR(vlookup('1.6'!E:E,lookup!$A$6:$B$8,2,false),0)</f>
        <v>5</v>
      </c>
      <c r="G55" s="10">
        <f>IFERROR(vlookup('1.6'!F:F,lookup!$A$10:$B$12,2,false),0)</f>
        <v>5</v>
      </c>
      <c r="H55" s="10">
        <f>IFERROR(vlookup('1.6'!G:G,lookup!$A$14:$B$16,2,false),0)</f>
        <v>5</v>
      </c>
      <c r="I55" s="10">
        <f>IFERROR(vlookup('1.6'!H:H,lookup!$A$18:$B$20,2,false),0)</f>
        <v>5</v>
      </c>
      <c r="J55" s="10">
        <f>IFERROR(vlookup('1.6'!I:I,lookup!$A$22:$B$24,2,false),0)</f>
        <v>5</v>
      </c>
      <c r="K55" s="10">
        <f>IFERROR(vlookup('1.6'!J:J,lookup!$A$26:$B$28,2,false),0)</f>
        <v>5</v>
      </c>
      <c r="L55" s="2"/>
      <c r="M55" s="10">
        <v>54.0</v>
      </c>
      <c r="N55" s="11" t="str">
        <f t="shared" si="1"/>
        <v>bnco0954@signalschool.ac.th</v>
      </c>
      <c r="O55" s="12">
        <f t="shared" si="2"/>
        <v>1</v>
      </c>
      <c r="R55" s="17" t="s">
        <v>271</v>
      </c>
    </row>
    <row r="56">
      <c r="A56" s="8">
        <f>'1.6'!A:A</f>
        <v>46199.3766</v>
      </c>
      <c r="B56" s="2" t="str">
        <f>'1.6'!B:B</f>
        <v>bnco0906@signalschool.ac.th</v>
      </c>
      <c r="C56" s="2" t="str">
        <f>'1.6'!C:C</f>
        <v>ส.อ.พจนันท์ ประสิทธิ์สัชฌุกร ส.อ.ศุภณัฐ ไชยโสภา</v>
      </c>
      <c r="D56" s="9">
        <v>1.0</v>
      </c>
      <c r="E56" s="10">
        <f>IFERROR(vlookup('1.6'!D:D,lookup!$A$2:$B$4,2,false),0)</f>
        <v>3</v>
      </c>
      <c r="F56" s="10">
        <f>IFERROR(vlookup('1.6'!E:E,lookup!$A$6:$B$8,2,false),0)</f>
        <v>3</v>
      </c>
      <c r="G56" s="10">
        <f>IFERROR(vlookup('1.6'!F:F,lookup!$A$10:$B$12,2,false),0)</f>
        <v>3</v>
      </c>
      <c r="H56" s="10">
        <f>IFERROR(vlookup('1.6'!G:G,lookup!$A$14:$B$16,2,false),0)</f>
        <v>3</v>
      </c>
      <c r="I56" s="10">
        <f>IFERROR(vlookup('1.6'!H:H,lookup!$A$18:$B$20,2,false),0)</f>
        <v>3</v>
      </c>
      <c r="J56" s="10">
        <f>IFERROR(vlookup('1.6'!I:I,lookup!$A$22:$B$24,2,false),0)</f>
        <v>3</v>
      </c>
      <c r="K56" s="10">
        <f>IFERROR(vlookup('1.6'!J:J,lookup!$A$26:$B$28,2,false),0)</f>
        <v>3</v>
      </c>
      <c r="L56" s="13"/>
      <c r="M56" s="10">
        <v>55.0</v>
      </c>
      <c r="N56" s="11" t="str">
        <f t="shared" si="1"/>
        <v>bnco0955@signalschool.ac.th</v>
      </c>
      <c r="O56" s="12">
        <f t="shared" si="2"/>
        <v>1</v>
      </c>
      <c r="R56" s="17" t="s">
        <v>272</v>
      </c>
    </row>
    <row r="57">
      <c r="A57" s="8">
        <f>'1.6'!A:A</f>
        <v>46200.4433</v>
      </c>
      <c r="B57" s="2" t="str">
        <f>'1.6'!B:B</f>
        <v>bnco0958@signalschool.ac.th</v>
      </c>
      <c r="C57" s="2" t="str">
        <f>'1.6'!C:C</f>
        <v>พ.อ.บุญมา หัดเจริญ , พ.ท.สัญญา ก้อนทอง ,พ.ท.สามารถ เถินมงคล , พ.ต.วิชาญ สีจำปา , ร.อ.พรพงศ์ อยู่ร่วม , ร.ท.ศุภชัย ป้องเศร้า , จ.ส.อ.พงศภัค อุ่นอนันต์ , ส.อ.ชาคริต เมธาวีระนนท์ , ส.อ.พจนันท์ ประสิทธิสัชฌุกรณ์ , ส.อ.ศุภณัฐ ไชยโสภา , ส.อ.ทรงสิทธิ์  โนนสว่าง ,  ส.ท.จักรพรรณ  ปานนุช </v>
      </c>
      <c r="D57" s="9">
        <v>1.0</v>
      </c>
      <c r="E57" s="10">
        <f>IFERROR(vlookup('1.6'!D:D,lookup!$A$2:$B$4,2,false),0)</f>
        <v>5</v>
      </c>
      <c r="F57" s="10">
        <f>IFERROR(vlookup('1.6'!E:E,lookup!$A$6:$B$8,2,false),0)</f>
        <v>5</v>
      </c>
      <c r="G57" s="10">
        <f>IFERROR(vlookup('1.6'!F:F,lookup!$A$10:$B$12,2,false),0)</f>
        <v>5</v>
      </c>
      <c r="H57" s="10">
        <f>IFERROR(vlookup('1.6'!G:G,lookup!$A$14:$B$16,2,false),0)</f>
        <v>5</v>
      </c>
      <c r="I57" s="10">
        <f>IFERROR(vlookup('1.6'!H:H,lookup!$A$18:$B$20,2,false),0)</f>
        <v>5</v>
      </c>
      <c r="J57" s="10">
        <f>IFERROR(vlookup('1.6'!I:I,lookup!$A$22:$B$24,2,false),0)</f>
        <v>5</v>
      </c>
      <c r="K57" s="10">
        <f>IFERROR(vlookup('1.6'!J:J,lookup!$A$26:$B$28,2,false),0)</f>
        <v>5</v>
      </c>
      <c r="L57" s="13"/>
      <c r="M57" s="10">
        <v>56.0</v>
      </c>
      <c r="N57" s="11" t="str">
        <f t="shared" si="1"/>
        <v>bnco0956@signalschool.ac.th</v>
      </c>
      <c r="O57" s="12">
        <f t="shared" si="2"/>
        <v>1</v>
      </c>
      <c r="R57" s="17" t="s">
        <v>273</v>
      </c>
    </row>
    <row r="58">
      <c r="A58" s="8">
        <f>'1.6'!A:A</f>
        <v>46212.6207</v>
      </c>
      <c r="B58" s="2" t="str">
        <f>'1.6'!B:B</f>
        <v>bnco0924@signalschool.ac.th</v>
      </c>
      <c r="C58" s="2" t="str">
        <f>'1.6'!C:C</f>
        <v>ร.ท.ศุภชัย ป้องเศร้า</v>
      </c>
      <c r="D58" s="9">
        <v>1.0</v>
      </c>
      <c r="E58" s="10">
        <f>IFERROR(vlookup('1.6'!D:D,lookup!$A$2:$B$4,2,false),0)</f>
        <v>5</v>
      </c>
      <c r="F58" s="10">
        <f>IFERROR(vlookup('1.6'!E:E,lookup!$A$6:$B$8,2,false),0)</f>
        <v>5</v>
      </c>
      <c r="G58" s="10">
        <f>IFERROR(vlookup('1.6'!F:F,lookup!$A$10:$B$12,2,false),0)</f>
        <v>5</v>
      </c>
      <c r="H58" s="10">
        <f>IFERROR(vlookup('1.6'!G:G,lookup!$A$14:$B$16,2,false),0)</f>
        <v>5</v>
      </c>
      <c r="I58" s="10">
        <f>IFERROR(vlookup('1.6'!H:H,lookup!$A$18:$B$20,2,false),0)</f>
        <v>5</v>
      </c>
      <c r="J58" s="10">
        <f>IFERROR(vlookup('1.6'!I:I,lookup!$A$22:$B$24,2,false),0)</f>
        <v>5</v>
      </c>
      <c r="K58" s="10">
        <f>IFERROR(vlookup('1.6'!J:J,lookup!$A$26:$B$28,2,false),0)</f>
        <v>5</v>
      </c>
      <c r="L58" s="13"/>
      <c r="M58" s="10">
        <v>57.0</v>
      </c>
      <c r="N58" s="11" t="str">
        <f t="shared" si="1"/>
        <v>bnco0957@signalschool.ac.th</v>
      </c>
      <c r="O58" s="12">
        <f t="shared" si="2"/>
        <v>1</v>
      </c>
      <c r="R58" s="17" t="s">
        <v>274</v>
      </c>
    </row>
    <row r="59">
      <c r="A59" s="8">
        <f>'1.6'!A:A</f>
        <v>46212.62129</v>
      </c>
      <c r="B59" s="2" t="str">
        <f>'1.6'!B:B</f>
        <v>bnco0971@signalschool.ac.th</v>
      </c>
      <c r="C59" s="2" t="str">
        <f>'1.6'!C:C</f>
        <v>ร.ท.ศุภชัย ป้องเศร้า</v>
      </c>
      <c r="D59" s="9">
        <v>1.0</v>
      </c>
      <c r="E59" s="10">
        <f>IFERROR(vlookup('1.6'!D:D,lookup!$A$2:$B$4,2,false),0)</f>
        <v>5</v>
      </c>
      <c r="F59" s="10">
        <f>IFERROR(vlookup('1.6'!E:E,lookup!$A$6:$B$8,2,false),0)</f>
        <v>5</v>
      </c>
      <c r="G59" s="10">
        <f>IFERROR(vlookup('1.6'!F:F,lookup!$A$10:$B$12,2,false),0)</f>
        <v>5</v>
      </c>
      <c r="H59" s="10">
        <f>IFERROR(vlookup('1.6'!G:G,lookup!$A$14:$B$16,2,false),0)</f>
        <v>5</v>
      </c>
      <c r="I59" s="10">
        <f>IFERROR(vlookup('1.6'!H:H,lookup!$A$18:$B$20,2,false),0)</f>
        <v>5</v>
      </c>
      <c r="J59" s="10">
        <f>IFERROR(vlookup('1.6'!I:I,lookup!$A$22:$B$24,2,false),0)</f>
        <v>5</v>
      </c>
      <c r="K59" s="10">
        <f>IFERROR(vlookup('1.6'!J:J,lookup!$A$26:$B$28,2,false),0)</f>
        <v>5</v>
      </c>
      <c r="L59" s="14"/>
      <c r="M59" s="10">
        <v>58.0</v>
      </c>
      <c r="N59" s="11" t="str">
        <f t="shared" si="1"/>
        <v>bnco0958@signalschool.ac.th</v>
      </c>
      <c r="O59" s="12">
        <f t="shared" si="2"/>
        <v>1</v>
      </c>
      <c r="R59" s="17" t="s">
        <v>275</v>
      </c>
    </row>
    <row r="60">
      <c r="A60" s="8">
        <f>'1.6'!A:A</f>
        <v>46212.6215</v>
      </c>
      <c r="B60" s="2" t="str">
        <f>'1.6'!B:B</f>
        <v>bnco0928@signalschool.ac.th</v>
      </c>
      <c r="C60" s="2" t="str">
        <f>'1.6'!C:C</f>
        <v>ร.ท.ศุภชัย. ป้องเศร้า</v>
      </c>
      <c r="D60" s="9">
        <v>1.0</v>
      </c>
      <c r="E60" s="10">
        <f>IFERROR(vlookup('1.6'!D:D,lookup!$A$2:$B$4,2,false),0)</f>
        <v>5</v>
      </c>
      <c r="F60" s="10">
        <f>IFERROR(vlookup('1.6'!E:E,lookup!$A$6:$B$8,2,false),0)</f>
        <v>5</v>
      </c>
      <c r="G60" s="10">
        <f>IFERROR(vlookup('1.6'!F:F,lookup!$A$10:$B$12,2,false),0)</f>
        <v>5</v>
      </c>
      <c r="H60" s="10">
        <f>IFERROR(vlookup('1.6'!G:G,lookup!$A$14:$B$16,2,false),0)</f>
        <v>5</v>
      </c>
      <c r="I60" s="10">
        <f>IFERROR(vlookup('1.6'!H:H,lookup!$A$18:$B$20,2,false),0)</f>
        <v>5</v>
      </c>
      <c r="J60" s="10">
        <f>IFERROR(vlookup('1.6'!I:I,lookup!$A$22:$B$24,2,false),0)</f>
        <v>5</v>
      </c>
      <c r="K60" s="10">
        <f>IFERROR(vlookup('1.6'!J:J,lookup!$A$26:$B$28,2,false),0)</f>
        <v>5</v>
      </c>
      <c r="L60" s="10"/>
      <c r="M60" s="10">
        <v>59.0</v>
      </c>
      <c r="N60" s="11" t="str">
        <f t="shared" si="1"/>
        <v>bnco0959@signalschool.ac.th</v>
      </c>
      <c r="O60" s="12">
        <f t="shared" si="2"/>
        <v>1</v>
      </c>
      <c r="R60" s="17" t="s">
        <v>276</v>
      </c>
    </row>
    <row r="61">
      <c r="A61" s="8">
        <f>'1.6'!A:A</f>
        <v>46212.62308</v>
      </c>
      <c r="B61" s="2" t="str">
        <f>'1.6'!B:B</f>
        <v>bnco0904@signalschool.ac.th</v>
      </c>
      <c r="C61" s="2" t="str">
        <f>'1.6'!C:C</f>
        <v>ร.ท.ศุภชัย  ป้องเศร้า จ.ส.อ.พงศภัค  อุ่นอนันต์</v>
      </c>
      <c r="D61" s="9">
        <v>1.0</v>
      </c>
      <c r="E61" s="10">
        <f>IFERROR(vlookup('1.6'!D:D,lookup!$A$2:$B$4,2,false),0)</f>
        <v>5</v>
      </c>
      <c r="F61" s="10">
        <f>IFERROR(vlookup('1.6'!E:E,lookup!$A$6:$B$8,2,false),0)</f>
        <v>5</v>
      </c>
      <c r="G61" s="10">
        <f>IFERROR(vlookup('1.6'!F:F,lookup!$A$10:$B$12,2,false),0)</f>
        <v>5</v>
      </c>
      <c r="H61" s="10">
        <f>IFERROR(vlookup('1.6'!G:G,lookup!$A$14:$B$16,2,false),0)</f>
        <v>5</v>
      </c>
      <c r="I61" s="10">
        <f>IFERROR(vlookup('1.6'!H:H,lookup!$A$18:$B$20,2,false),0)</f>
        <v>5</v>
      </c>
      <c r="J61" s="10">
        <f>IFERROR(vlookup('1.6'!I:I,lookup!$A$22:$B$24,2,false),0)</f>
        <v>5</v>
      </c>
      <c r="K61" s="10">
        <f>IFERROR(vlookup('1.6'!J:J,lookup!$A$26:$B$28,2,false),0)</f>
        <v>5</v>
      </c>
      <c r="M61" s="10">
        <v>60.0</v>
      </c>
      <c r="N61" s="11" t="str">
        <f t="shared" si="1"/>
        <v>bnco0960@signalschool.ac.th</v>
      </c>
      <c r="O61" s="12">
        <f t="shared" si="2"/>
        <v>1</v>
      </c>
      <c r="R61" s="17" t="s">
        <v>277</v>
      </c>
    </row>
    <row r="62">
      <c r="A62" s="8">
        <f>'1.6'!A:A</f>
        <v>46212.62309</v>
      </c>
      <c r="B62" s="2" t="str">
        <f>'1.6'!B:B</f>
        <v>bnco0944@signalschool.ac.th</v>
      </c>
      <c r="C62" s="2" t="str">
        <f>'1.6'!C:C</f>
        <v>ร.ท.ศุภชัย ป้องเศร้า </v>
      </c>
      <c r="D62" s="9">
        <v>1.0</v>
      </c>
      <c r="E62" s="10">
        <f>IFERROR(vlookup('1.6'!D:D,lookup!$A$2:$B$4,2,false),0)</f>
        <v>5</v>
      </c>
      <c r="F62" s="10">
        <f>IFERROR(vlookup('1.6'!E:E,lookup!$A$6:$B$8,2,false),0)</f>
        <v>5</v>
      </c>
      <c r="G62" s="10">
        <f>IFERROR(vlookup('1.6'!F:F,lookup!$A$10:$B$12,2,false),0)</f>
        <v>5</v>
      </c>
      <c r="H62" s="10">
        <f>IFERROR(vlookup('1.6'!G:G,lookup!$A$14:$B$16,2,false),0)</f>
        <v>5</v>
      </c>
      <c r="I62" s="10">
        <f>IFERROR(vlookup('1.6'!H:H,lookup!$A$18:$B$20,2,false),0)</f>
        <v>5</v>
      </c>
      <c r="J62" s="10">
        <f>IFERROR(vlookup('1.6'!I:I,lookup!$A$22:$B$24,2,false),0)</f>
        <v>5</v>
      </c>
      <c r="K62" s="10">
        <f>IFERROR(vlookup('1.6'!J:J,lookup!$A$26:$B$28,2,false),0)</f>
        <v>5</v>
      </c>
      <c r="M62" s="10">
        <v>61.0</v>
      </c>
      <c r="N62" s="11" t="str">
        <f t="shared" si="1"/>
        <v>bnco0961@signalschool.ac.th</v>
      </c>
      <c r="O62" s="12">
        <f t="shared" si="2"/>
        <v>1</v>
      </c>
      <c r="R62" s="17" t="s">
        <v>278</v>
      </c>
    </row>
    <row r="63">
      <c r="A63" s="8">
        <f>'1.6'!A:A</f>
        <v>46212.62313</v>
      </c>
      <c r="B63" s="2" t="str">
        <f>'1.6'!B:B</f>
        <v>bnco0921@signalschool.ac.th</v>
      </c>
      <c r="C63" s="2" t="str">
        <f>'1.6'!C:C</f>
        <v>ร.ท.ศุภชัย ป้องเศร้า</v>
      </c>
      <c r="D63" s="9">
        <v>1.0</v>
      </c>
      <c r="E63" s="10">
        <f>IFERROR(vlookup('1.6'!D:D,lookup!$A$2:$B$4,2,false),0)</f>
        <v>5</v>
      </c>
      <c r="F63" s="10">
        <f>IFERROR(vlookup('1.6'!E:E,lookup!$A$6:$B$8,2,false),0)</f>
        <v>5</v>
      </c>
      <c r="G63" s="10">
        <f>IFERROR(vlookup('1.6'!F:F,lookup!$A$10:$B$12,2,false),0)</f>
        <v>5</v>
      </c>
      <c r="H63" s="10">
        <f>IFERROR(vlookup('1.6'!G:G,lookup!$A$14:$B$16,2,false),0)</f>
        <v>5</v>
      </c>
      <c r="I63" s="10">
        <f>IFERROR(vlookup('1.6'!H:H,lookup!$A$18:$B$20,2,false),0)</f>
        <v>5</v>
      </c>
      <c r="J63" s="10">
        <f>IFERROR(vlookup('1.6'!I:I,lookup!$A$22:$B$24,2,false),0)</f>
        <v>5</v>
      </c>
      <c r="K63" s="10">
        <f>IFERROR(vlookup('1.6'!J:J,lookup!$A$26:$B$28,2,false),0)</f>
        <v>5</v>
      </c>
      <c r="M63" s="10">
        <v>62.0</v>
      </c>
      <c r="N63" s="11" t="str">
        <f t="shared" si="1"/>
        <v>bnco0962@signalschool.ac.th</v>
      </c>
      <c r="O63" s="12">
        <f t="shared" si="2"/>
        <v>1</v>
      </c>
      <c r="R63" s="17" t="s">
        <v>279</v>
      </c>
    </row>
    <row r="64">
      <c r="A64" s="8">
        <f>'1.6'!A:A</f>
        <v>46212.62328</v>
      </c>
      <c r="B64" s="2" t="str">
        <f>'1.6'!B:B</f>
        <v>bnco0925@signalschool.ac.th</v>
      </c>
      <c r="C64" s="2" t="str">
        <f>'1.6'!C:C</f>
        <v>ร.ท.ศุภชัย ป้องเศร้า , จ.ส.อ.พงศภัค อุ่นอนันต์</v>
      </c>
      <c r="D64" s="9">
        <v>1.0</v>
      </c>
      <c r="E64" s="10">
        <f>IFERROR(vlookup('1.6'!D:D,lookup!$A$2:$B$4,2,false),0)</f>
        <v>5</v>
      </c>
      <c r="F64" s="10">
        <f>IFERROR(vlookup('1.6'!E:E,lookup!$A$6:$B$8,2,false),0)</f>
        <v>5</v>
      </c>
      <c r="G64" s="10">
        <f>IFERROR(vlookup('1.6'!F:F,lookup!$A$10:$B$12,2,false),0)</f>
        <v>5</v>
      </c>
      <c r="H64" s="10">
        <f>IFERROR(vlookup('1.6'!G:G,lookup!$A$14:$B$16,2,false),0)</f>
        <v>5</v>
      </c>
      <c r="I64" s="10">
        <f>IFERROR(vlookup('1.6'!H:H,lookup!$A$18:$B$20,2,false),0)</f>
        <v>5</v>
      </c>
      <c r="J64" s="10">
        <f>IFERROR(vlookup('1.6'!I:I,lookup!$A$22:$B$24,2,false),0)</f>
        <v>5</v>
      </c>
      <c r="K64" s="10">
        <f>IFERROR(vlookup('1.6'!J:J,lookup!$A$26:$B$28,2,false),0)</f>
        <v>5</v>
      </c>
      <c r="M64" s="10">
        <v>63.0</v>
      </c>
      <c r="N64" s="11" t="str">
        <f t="shared" si="1"/>
        <v>bnco0963@signalschool.ac.th</v>
      </c>
      <c r="O64" s="12">
        <f t="shared" si="2"/>
        <v>1</v>
      </c>
      <c r="R64" s="17" t="s">
        <v>280</v>
      </c>
    </row>
    <row r="65">
      <c r="A65" s="8">
        <f>'1.6'!A:A</f>
        <v>46212.62338</v>
      </c>
      <c r="B65" s="2" t="str">
        <f>'1.6'!B:B</f>
        <v>bnco0934@signalschool.ac.th</v>
      </c>
      <c r="C65" s="2" t="str">
        <f>'1.6'!C:C</f>
        <v>ร.ท.ศุภชัย ป้องเศร้า จ.ส.อ.พงศภัค อุ่นอนันต์</v>
      </c>
      <c r="D65" s="9">
        <v>1.0</v>
      </c>
      <c r="E65" s="10">
        <f>IFERROR(vlookup('1.6'!D:D,lookup!$A$2:$B$4,2,false),0)</f>
        <v>5</v>
      </c>
      <c r="F65" s="10">
        <f>IFERROR(vlookup('1.6'!E:E,lookup!$A$6:$B$8,2,false),0)</f>
        <v>5</v>
      </c>
      <c r="G65" s="10">
        <f>IFERROR(vlookup('1.6'!F:F,lookup!$A$10:$B$12,2,false),0)</f>
        <v>5</v>
      </c>
      <c r="H65" s="10">
        <f>IFERROR(vlookup('1.6'!G:G,lookup!$A$14:$B$16,2,false),0)</f>
        <v>5</v>
      </c>
      <c r="I65" s="10">
        <f>IFERROR(vlookup('1.6'!H:H,lookup!$A$18:$B$20,2,false),0)</f>
        <v>5</v>
      </c>
      <c r="J65" s="10">
        <f>IFERROR(vlookup('1.6'!I:I,lookup!$A$22:$B$24,2,false),0)</f>
        <v>5</v>
      </c>
      <c r="K65" s="10">
        <f>IFERROR(vlookup('1.6'!J:J,lookup!$A$26:$B$28,2,false),0)</f>
        <v>5</v>
      </c>
      <c r="M65" s="10">
        <v>64.0</v>
      </c>
      <c r="N65" s="11" t="str">
        <f t="shared" si="1"/>
        <v>bnco0964@signalschool.ac.th</v>
      </c>
      <c r="O65" s="12">
        <f t="shared" si="2"/>
        <v>1</v>
      </c>
      <c r="R65" s="17" t="s">
        <v>281</v>
      </c>
    </row>
    <row r="66">
      <c r="A66" s="8">
        <f>'1.6'!A:A</f>
        <v>46212.62364</v>
      </c>
      <c r="B66" s="2" t="str">
        <f>'1.6'!B:B</f>
        <v>bnco0973@signalschool.ac.th</v>
      </c>
      <c r="C66" s="2" t="str">
        <f>'1.6'!C:C</f>
        <v> จ.ส.อ.พงศภัค อุ่นอนันต์</v>
      </c>
      <c r="D66" s="9">
        <v>1.0</v>
      </c>
      <c r="E66" s="10">
        <f>IFERROR(vlookup('1.6'!D:D,lookup!$A$2:$B$4,2,false),0)</f>
        <v>5</v>
      </c>
      <c r="F66" s="10">
        <f>IFERROR(vlookup('1.6'!E:E,lookup!$A$6:$B$8,2,false),0)</f>
        <v>5</v>
      </c>
      <c r="G66" s="10">
        <f>IFERROR(vlookup('1.6'!F:F,lookup!$A$10:$B$12,2,false),0)</f>
        <v>5</v>
      </c>
      <c r="H66" s="10">
        <f>IFERROR(vlookup('1.6'!G:G,lookup!$A$14:$B$16,2,false),0)</f>
        <v>5</v>
      </c>
      <c r="I66" s="10">
        <f>IFERROR(vlookup('1.6'!H:H,lookup!$A$18:$B$20,2,false),0)</f>
        <v>5</v>
      </c>
      <c r="J66" s="10">
        <f>IFERROR(vlookup('1.6'!I:I,lookup!$A$22:$B$24,2,false),0)</f>
        <v>5</v>
      </c>
      <c r="K66" s="10">
        <f>IFERROR(vlookup('1.6'!J:J,lookup!$A$26:$B$28,2,false),0)</f>
        <v>5</v>
      </c>
      <c r="M66" s="10">
        <v>65.0</v>
      </c>
      <c r="N66" s="11" t="str">
        <f t="shared" si="1"/>
        <v>bnco0965@signalschool.ac.th</v>
      </c>
      <c r="O66" s="12">
        <f t="shared" si="2"/>
        <v>1</v>
      </c>
      <c r="R66" s="17" t="s">
        <v>282</v>
      </c>
    </row>
    <row r="67">
      <c r="A67" s="8">
        <f>'1.6'!A:A</f>
        <v>46212.62372</v>
      </c>
      <c r="B67" s="2" t="str">
        <f>'1.6'!B:B</f>
        <v>bnco0970@signalschool.ac.th</v>
      </c>
      <c r="C67" s="2" t="str">
        <f>'1.6'!C:C</f>
        <v>ร.อ.ศุภชัย ป้องเศ้รา</v>
      </c>
      <c r="D67" s="9">
        <v>1.0</v>
      </c>
      <c r="E67" s="10">
        <f>IFERROR(vlookup('1.6'!D:D,lookup!$A$2:$B$4,2,false),0)</f>
        <v>5</v>
      </c>
      <c r="F67" s="10">
        <f>IFERROR(vlookup('1.6'!E:E,lookup!$A$6:$B$8,2,false),0)</f>
        <v>5</v>
      </c>
      <c r="G67" s="10">
        <f>IFERROR(vlookup('1.6'!F:F,lookup!$A$10:$B$12,2,false),0)</f>
        <v>5</v>
      </c>
      <c r="H67" s="10">
        <f>IFERROR(vlookup('1.6'!G:G,lookup!$A$14:$B$16,2,false),0)</f>
        <v>5</v>
      </c>
      <c r="I67" s="10">
        <f>IFERROR(vlookup('1.6'!H:H,lookup!$A$18:$B$20,2,false),0)</f>
        <v>5</v>
      </c>
      <c r="J67" s="10">
        <f>IFERROR(vlookup('1.6'!I:I,lookup!$A$22:$B$24,2,false),0)</f>
        <v>5</v>
      </c>
      <c r="K67" s="10">
        <f>IFERROR(vlookup('1.6'!J:J,lookup!$A$26:$B$28,2,false),0)</f>
        <v>5</v>
      </c>
      <c r="M67" s="10">
        <v>66.0</v>
      </c>
      <c r="N67" s="11" t="str">
        <f t="shared" si="1"/>
        <v>bnco0966@signalschool.ac.th</v>
      </c>
      <c r="O67" s="12">
        <f t="shared" si="2"/>
        <v>1</v>
      </c>
      <c r="R67" s="17" t="s">
        <v>283</v>
      </c>
    </row>
    <row r="68">
      <c r="A68" s="8">
        <f>'1.6'!A:A</f>
        <v>46212.62403</v>
      </c>
      <c r="B68" s="2" t="str">
        <f>'1.6'!B:B</f>
        <v>bnco0926@signalschool.ac.th</v>
      </c>
      <c r="C68" s="2" t="str">
        <f>'1.6'!C:C</f>
        <v>ร.ท.ศุภชัย ป้องเศร้า , จ.ส.อ.พงศภัค อุ่นอนันต์</v>
      </c>
      <c r="D68" s="9">
        <v>1.0</v>
      </c>
      <c r="E68" s="10">
        <f>IFERROR(vlookup('1.6'!D:D,lookup!$A$2:$B$4,2,false),0)</f>
        <v>5</v>
      </c>
      <c r="F68" s="10">
        <f>IFERROR(vlookup('1.6'!E:E,lookup!$A$6:$B$8,2,false),0)</f>
        <v>5</v>
      </c>
      <c r="G68" s="10">
        <f>IFERROR(vlookup('1.6'!F:F,lookup!$A$10:$B$12,2,false),0)</f>
        <v>5</v>
      </c>
      <c r="H68" s="10">
        <f>IFERROR(vlookup('1.6'!G:G,lookup!$A$14:$B$16,2,false),0)</f>
        <v>5</v>
      </c>
      <c r="I68" s="10">
        <f>IFERROR(vlookup('1.6'!H:H,lookup!$A$18:$B$20,2,false),0)</f>
        <v>5</v>
      </c>
      <c r="J68" s="10">
        <f>IFERROR(vlookup('1.6'!I:I,lookup!$A$22:$B$24,2,false),0)</f>
        <v>5</v>
      </c>
      <c r="K68" s="10">
        <f>IFERROR(vlookup('1.6'!J:J,lookup!$A$26:$B$28,2,false),0)</f>
        <v>5</v>
      </c>
      <c r="M68" s="10">
        <v>67.0</v>
      </c>
      <c r="N68" s="11" t="str">
        <f t="shared" si="1"/>
        <v>bnco0967@signalschool.ac.th</v>
      </c>
      <c r="O68" s="12">
        <f t="shared" si="2"/>
        <v>1</v>
      </c>
      <c r="R68" s="17" t="s">
        <v>284</v>
      </c>
    </row>
    <row r="69">
      <c r="A69" s="8">
        <f>'1.6'!A:A</f>
        <v>46212.62412</v>
      </c>
      <c r="B69" s="2" t="str">
        <f>'1.6'!B:B</f>
        <v>bnco0909@signalschool.ac.th</v>
      </c>
      <c r="C69" s="2" t="str">
        <f>'1.6'!C:C</f>
        <v>ร.ท.ศุภชัย ป้อนเศร้า</v>
      </c>
      <c r="D69" s="9">
        <v>1.0</v>
      </c>
      <c r="E69" s="10">
        <f>IFERROR(vlookup('1.6'!D:D,lookup!$A$2:$B$4,2,false),0)</f>
        <v>5</v>
      </c>
      <c r="F69" s="10">
        <f>IFERROR(vlookup('1.6'!E:E,lookup!$A$6:$B$8,2,false),0)</f>
        <v>5</v>
      </c>
      <c r="G69" s="10">
        <f>IFERROR(vlookup('1.6'!F:F,lookup!$A$10:$B$12,2,false),0)</f>
        <v>5</v>
      </c>
      <c r="H69" s="10">
        <f>IFERROR(vlookup('1.6'!G:G,lookup!$A$14:$B$16,2,false),0)</f>
        <v>5</v>
      </c>
      <c r="I69" s="10">
        <f>IFERROR(vlookup('1.6'!H:H,lookup!$A$18:$B$20,2,false),0)</f>
        <v>5</v>
      </c>
      <c r="J69" s="10">
        <f>IFERROR(vlookup('1.6'!I:I,lookup!$A$22:$B$24,2,false),0)</f>
        <v>5</v>
      </c>
      <c r="K69" s="10">
        <f>IFERROR(vlookup('1.6'!J:J,lookup!$A$26:$B$28,2,false),0)</f>
        <v>5</v>
      </c>
      <c r="M69" s="10">
        <v>68.0</v>
      </c>
      <c r="N69" s="11" t="str">
        <f t="shared" si="1"/>
        <v>bnco0968@signalschool.ac.th</v>
      </c>
      <c r="O69" s="12">
        <f t="shared" si="2"/>
        <v>1</v>
      </c>
      <c r="R69" s="17" t="s">
        <v>285</v>
      </c>
    </row>
    <row r="70">
      <c r="A70" s="8">
        <f>'1.6'!A:A</f>
        <v>46212.62419</v>
      </c>
      <c r="B70" s="2" t="str">
        <f>'1.6'!B:B</f>
        <v>bnco0949@signalschool.ac.th</v>
      </c>
      <c r="C70" s="2" t="str">
        <f>'1.6'!C:C</f>
        <v>ร.ท.ศุภชัย ป้องเศร้า , จ.ส.อ.พงศภัค อุ่นอนันต์</v>
      </c>
      <c r="D70" s="9">
        <v>1.0</v>
      </c>
      <c r="E70" s="10">
        <f>IFERROR(vlookup('1.6'!D:D,lookup!$A$2:$B$4,2,false),0)</f>
        <v>5</v>
      </c>
      <c r="F70" s="10">
        <f>IFERROR(vlookup('1.6'!E:E,lookup!$A$6:$B$8,2,false),0)</f>
        <v>5</v>
      </c>
      <c r="G70" s="10">
        <f>IFERROR(vlookup('1.6'!F:F,lookup!$A$10:$B$12,2,false),0)</f>
        <v>5</v>
      </c>
      <c r="H70" s="10">
        <f>IFERROR(vlookup('1.6'!G:G,lookup!$A$14:$B$16,2,false),0)</f>
        <v>5</v>
      </c>
      <c r="I70" s="10">
        <f>IFERROR(vlookup('1.6'!H:H,lookup!$A$18:$B$20,2,false),0)</f>
        <v>5</v>
      </c>
      <c r="J70" s="10">
        <f>IFERROR(vlookup('1.6'!I:I,lookup!$A$22:$B$24,2,false),0)</f>
        <v>5</v>
      </c>
      <c r="K70" s="10">
        <f>IFERROR(vlookup('1.6'!J:J,lookup!$A$26:$B$28,2,false),0)</f>
        <v>5</v>
      </c>
      <c r="M70" s="10">
        <v>69.0</v>
      </c>
      <c r="N70" s="11" t="str">
        <f t="shared" si="1"/>
        <v>bnco0969@signalschool.ac.th</v>
      </c>
      <c r="O70" s="12">
        <f t="shared" si="2"/>
        <v>1</v>
      </c>
      <c r="R70" s="17" t="s">
        <v>286</v>
      </c>
    </row>
    <row r="71">
      <c r="A71" s="8">
        <f>'1.6'!A:A</f>
        <v>46212.6245</v>
      </c>
      <c r="B71" s="2" t="str">
        <f>'1.6'!B:B</f>
        <v>bnco0936@signalschool.ac.th</v>
      </c>
      <c r="C71" s="2" t="str">
        <f>'1.6'!C:C</f>
        <v>ร.ท.ศุภชัย ป้องเศร้า , จ.ส.อ.พงศภัค อุ่นอนันต์</v>
      </c>
      <c r="D71" s="9">
        <v>1.0</v>
      </c>
      <c r="E71" s="10">
        <f>IFERROR(vlookup('1.6'!D:D,lookup!$A$2:$B$4,2,false),0)</f>
        <v>5</v>
      </c>
      <c r="F71" s="10">
        <f>IFERROR(vlookup('1.6'!E:E,lookup!$A$6:$B$8,2,false),0)</f>
        <v>5</v>
      </c>
      <c r="G71" s="10">
        <f>IFERROR(vlookup('1.6'!F:F,lookup!$A$10:$B$12,2,false),0)</f>
        <v>5</v>
      </c>
      <c r="H71" s="10">
        <f>IFERROR(vlookup('1.6'!G:G,lookup!$A$14:$B$16,2,false),0)</f>
        <v>5</v>
      </c>
      <c r="I71" s="10">
        <f>IFERROR(vlookup('1.6'!H:H,lookup!$A$18:$B$20,2,false),0)</f>
        <v>5</v>
      </c>
      <c r="J71" s="10">
        <f>IFERROR(vlookup('1.6'!I:I,lookup!$A$22:$B$24,2,false),0)</f>
        <v>5</v>
      </c>
      <c r="K71" s="10">
        <f>IFERROR(vlookup('1.6'!J:J,lookup!$A$26:$B$28,2,false),0)</f>
        <v>5</v>
      </c>
      <c r="M71" s="10">
        <v>70.0</v>
      </c>
      <c r="N71" s="11" t="str">
        <f t="shared" si="1"/>
        <v>bnco0970@signalschool.ac.th</v>
      </c>
      <c r="O71" s="12">
        <f t="shared" si="2"/>
        <v>1</v>
      </c>
      <c r="R71" s="17" t="s">
        <v>287</v>
      </c>
    </row>
    <row r="72">
      <c r="A72" s="8">
        <f>'1.6'!A:A</f>
        <v>46212.62463</v>
      </c>
      <c r="B72" s="2" t="str">
        <f>'1.6'!B:B</f>
        <v>bnco0938@signalschool.ac.th</v>
      </c>
      <c r="C72" s="2" t="str">
        <f>'1.6'!C:C</f>
        <v>ร.ท.ศุภชัย ป้องเศร้า</v>
      </c>
      <c r="D72" s="9">
        <v>1.0</v>
      </c>
      <c r="E72" s="10">
        <f>IFERROR(vlookup('1.6'!D:D,lookup!$A$2:$B$4,2,false),0)</f>
        <v>3</v>
      </c>
      <c r="F72" s="10">
        <f>IFERROR(vlookup('1.6'!E:E,lookup!$A$6:$B$8,2,false),0)</f>
        <v>5</v>
      </c>
      <c r="G72" s="10">
        <f>IFERROR(vlookup('1.6'!F:F,lookup!$A$10:$B$12,2,false),0)</f>
        <v>5</v>
      </c>
      <c r="H72" s="10">
        <f>IFERROR(vlookup('1.6'!G:G,lookup!$A$14:$B$16,2,false),0)</f>
        <v>5</v>
      </c>
      <c r="I72" s="10">
        <f>IFERROR(vlookup('1.6'!H:H,lookup!$A$18:$B$20,2,false),0)</f>
        <v>5</v>
      </c>
      <c r="J72" s="10">
        <f>IFERROR(vlookup('1.6'!I:I,lookup!$A$22:$B$24,2,false),0)</f>
        <v>5</v>
      </c>
      <c r="K72" s="10">
        <f>IFERROR(vlookup('1.6'!J:J,lookup!$A$26:$B$28,2,false),0)</f>
        <v>5</v>
      </c>
      <c r="M72" s="10">
        <v>71.0</v>
      </c>
      <c r="N72" s="11" t="str">
        <f t="shared" si="1"/>
        <v>bnco0971@signalschool.ac.th</v>
      </c>
      <c r="O72" s="12">
        <f t="shared" si="2"/>
        <v>1</v>
      </c>
      <c r="R72" s="17" t="s">
        <v>288</v>
      </c>
    </row>
    <row r="73">
      <c r="A73" s="8">
        <f>'1.6'!A:A</f>
        <v>46212.62526</v>
      </c>
      <c r="B73" s="2" t="str">
        <f>'1.6'!B:B</f>
        <v>bnco0929@signalschool.ac.th</v>
      </c>
      <c r="C73" s="2" t="str">
        <f>'1.6'!C:C</f>
        <v>ร.ท.ศุภชัย  ป้องเศร้า</v>
      </c>
      <c r="D73" s="9">
        <v>1.0</v>
      </c>
      <c r="E73" s="10">
        <f>IFERROR(vlookup('1.6'!D:D,lookup!$A$2:$B$4,2,false),0)</f>
        <v>5</v>
      </c>
      <c r="F73" s="10">
        <f>IFERROR(vlookup('1.6'!E:E,lookup!$A$6:$B$8,2,false),0)</f>
        <v>5</v>
      </c>
      <c r="G73" s="10">
        <f>IFERROR(vlookup('1.6'!F:F,lookup!$A$10:$B$12,2,false),0)</f>
        <v>5</v>
      </c>
      <c r="H73" s="10">
        <f>IFERROR(vlookup('1.6'!G:G,lookup!$A$14:$B$16,2,false),0)</f>
        <v>5</v>
      </c>
      <c r="I73" s="10">
        <f>IFERROR(vlookup('1.6'!H:H,lookup!$A$18:$B$20,2,false),0)</f>
        <v>5</v>
      </c>
      <c r="J73" s="10">
        <f>IFERROR(vlookup('1.6'!I:I,lookup!$A$22:$B$24,2,false),0)</f>
        <v>5</v>
      </c>
      <c r="K73" s="10">
        <f>IFERROR(vlookup('1.6'!J:J,lookup!$A$26:$B$28,2,false),0)</f>
        <v>5</v>
      </c>
      <c r="M73" s="10">
        <v>72.0</v>
      </c>
      <c r="N73" s="11" t="str">
        <f t="shared" si="1"/>
        <v>bnco0972@signalschool.ac.th</v>
      </c>
      <c r="O73" s="12">
        <f t="shared" si="2"/>
        <v>1</v>
      </c>
      <c r="R73" s="17" t="s">
        <v>289</v>
      </c>
    </row>
    <row r="74">
      <c r="A74" s="8">
        <f>'1.6'!A:A</f>
        <v>46212.62548</v>
      </c>
      <c r="B74" s="2" t="str">
        <f>'1.6'!B:B</f>
        <v>bnco0952@signalschool.ac.th</v>
      </c>
      <c r="C74" s="2" t="str">
        <f>'1.6'!C:C</f>
        <v>ร.ท.ศุภชัย ป้องเศร้า , จ.ส.อ.พงศภัค อุ่นอนันต์</v>
      </c>
      <c r="D74" s="9">
        <v>1.0</v>
      </c>
      <c r="E74" s="10">
        <f>IFERROR(vlookup('1.6'!D:D,lookup!$A$2:$B$4,2,false),0)</f>
        <v>5</v>
      </c>
      <c r="F74" s="10">
        <f>IFERROR(vlookup('1.6'!E:E,lookup!$A$6:$B$8,2,false),0)</f>
        <v>5</v>
      </c>
      <c r="G74" s="10">
        <f>IFERROR(vlookup('1.6'!F:F,lookup!$A$10:$B$12,2,false),0)</f>
        <v>5</v>
      </c>
      <c r="H74" s="10">
        <f>IFERROR(vlookup('1.6'!G:G,lookup!$A$14:$B$16,2,false),0)</f>
        <v>5</v>
      </c>
      <c r="I74" s="10">
        <f>IFERROR(vlookup('1.6'!H:H,lookup!$A$18:$B$20,2,false),0)</f>
        <v>5</v>
      </c>
      <c r="J74" s="10">
        <f>IFERROR(vlookup('1.6'!I:I,lookup!$A$22:$B$24,2,false),0)</f>
        <v>5</v>
      </c>
      <c r="K74" s="10">
        <f>IFERROR(vlookup('1.6'!J:J,lookup!$A$26:$B$28,2,false),0)</f>
        <v>5</v>
      </c>
      <c r="M74" s="10">
        <v>73.0</v>
      </c>
      <c r="N74" s="11" t="str">
        <f t="shared" si="1"/>
        <v>bnco0973@signalschool.ac.th</v>
      </c>
      <c r="O74" s="12">
        <f t="shared" si="2"/>
        <v>1</v>
      </c>
      <c r="R74" s="17" t="s">
        <v>290</v>
      </c>
    </row>
    <row r="75">
      <c r="A75" s="8">
        <f>'1.6'!A:A</f>
        <v>46212.62609</v>
      </c>
      <c r="B75" s="2" t="str">
        <f>'1.6'!B:B</f>
        <v>bnco0905@signalschool.ac.th</v>
      </c>
      <c r="C75" s="2" t="str">
        <f>'1.6'!C:C</f>
        <v>  ร.ท.ศุภชัย ป้องเศร้า , จ.ส.อ.พงศภัค อุ่นอนันต์</v>
      </c>
      <c r="D75" s="9">
        <v>1.0</v>
      </c>
      <c r="E75" s="10">
        <f>IFERROR(vlookup('1.6'!D:D,lookup!$A$2:$B$4,2,false),0)</f>
        <v>5</v>
      </c>
      <c r="F75" s="10">
        <f>IFERROR(vlookup('1.6'!E:E,lookup!$A$6:$B$8,2,false),0)</f>
        <v>5</v>
      </c>
      <c r="G75" s="10">
        <f>IFERROR(vlookup('1.6'!F:F,lookup!$A$10:$B$12,2,false),0)</f>
        <v>5</v>
      </c>
      <c r="H75" s="10">
        <f>IFERROR(vlookup('1.6'!G:G,lookup!$A$14:$B$16,2,false),0)</f>
        <v>5</v>
      </c>
      <c r="I75" s="10">
        <f>IFERROR(vlookup('1.6'!H:H,lookup!$A$18:$B$20,2,false),0)</f>
        <v>5</v>
      </c>
      <c r="J75" s="10">
        <f>IFERROR(vlookup('1.6'!I:I,lookup!$A$22:$B$24,2,false),0)</f>
        <v>5</v>
      </c>
      <c r="K75" s="10">
        <f>IFERROR(vlookup('1.6'!J:J,lookup!$A$26:$B$28,2,false),0)</f>
        <v>5</v>
      </c>
      <c r="M75" s="10">
        <v>74.0</v>
      </c>
      <c r="N75" s="11" t="str">
        <f t="shared" si="1"/>
        <v>bnco0974@signalschool.ac.th</v>
      </c>
      <c r="O75" s="12">
        <f t="shared" si="2"/>
        <v>1</v>
      </c>
      <c r="R75" s="17" t="s">
        <v>291</v>
      </c>
    </row>
    <row r="76">
      <c r="A76" s="8">
        <f>'1.6'!A:A</f>
        <v>46212.6267</v>
      </c>
      <c r="B76" s="2" t="str">
        <f>'1.6'!B:B</f>
        <v>bnco0902@signalschool.ac.th</v>
      </c>
      <c r="C76" s="2" t="str">
        <f>'1.6'!C:C</f>
        <v>ร.ท.ศุภชัย ป้องเศร้า , จ.ส.อ.พงศภัค อุ่นอนันต์</v>
      </c>
      <c r="D76" s="9">
        <v>1.0</v>
      </c>
      <c r="E76" s="10">
        <f>IFERROR(vlookup('1.6'!D:D,lookup!$A$2:$B$4,2,false),0)</f>
        <v>5</v>
      </c>
      <c r="F76" s="10">
        <f>IFERROR(vlookup('1.6'!E:E,lookup!$A$6:$B$8,2,false),0)</f>
        <v>5</v>
      </c>
      <c r="G76" s="10">
        <f>IFERROR(vlookup('1.6'!F:F,lookup!$A$10:$B$12,2,false),0)</f>
        <v>5</v>
      </c>
      <c r="H76" s="10">
        <f>IFERROR(vlookup('1.6'!G:G,lookup!$A$14:$B$16,2,false),0)</f>
        <v>5</v>
      </c>
      <c r="I76" s="10">
        <f>IFERROR(vlookup('1.6'!H:H,lookup!$A$18:$B$20,2,false),0)</f>
        <v>5</v>
      </c>
      <c r="J76" s="10">
        <f>IFERROR(vlookup('1.6'!I:I,lookup!$A$22:$B$24,2,false),0)</f>
        <v>5</v>
      </c>
      <c r="K76" s="10">
        <f>IFERROR(vlookup('1.6'!J:J,lookup!$A$26:$B$28,2,false),0)</f>
        <v>5</v>
      </c>
      <c r="M76" s="10">
        <v>75.0</v>
      </c>
      <c r="N76" s="11" t="str">
        <f t="shared" si="1"/>
        <v>bnco0975@signalschool.ac.th</v>
      </c>
      <c r="O76" s="12">
        <f t="shared" si="2"/>
        <v>1</v>
      </c>
      <c r="R76" s="17" t="s">
        <v>292</v>
      </c>
    </row>
    <row r="77">
      <c r="A77" s="8">
        <f>'1.6'!A:A</f>
        <v>46212.62678</v>
      </c>
      <c r="B77" s="2" t="str">
        <f>'1.6'!B:B</f>
        <v>bnco0969@signalschool.ac.th</v>
      </c>
      <c r="C77" s="2" t="str">
        <f>'1.6'!C:C</f>
        <v>ร.ท.ศุภชัย ป้องเศร้า , จ.ส.อ.พงศภัค อุ่นอนันต์</v>
      </c>
      <c r="D77" s="9">
        <v>1.0</v>
      </c>
      <c r="E77" s="10">
        <f>IFERROR(vlookup('1.6'!D:D,lookup!$A$2:$B$4,2,false),0)</f>
        <v>5</v>
      </c>
      <c r="F77" s="10">
        <f>IFERROR(vlookup('1.6'!E:E,lookup!$A$6:$B$8,2,false),0)</f>
        <v>5</v>
      </c>
      <c r="G77" s="10">
        <f>IFERROR(vlookup('1.6'!F:F,lookup!$A$10:$B$12,2,false),0)</f>
        <v>5</v>
      </c>
      <c r="H77" s="10">
        <f>IFERROR(vlookup('1.6'!G:G,lookup!$A$14:$B$16,2,false),0)</f>
        <v>5</v>
      </c>
      <c r="I77" s="10">
        <f>IFERROR(vlookup('1.6'!H:H,lookup!$A$18:$B$20,2,false),0)</f>
        <v>5</v>
      </c>
      <c r="J77" s="10">
        <f>IFERROR(vlookup('1.6'!I:I,lookup!$A$22:$B$24,2,false),0)</f>
        <v>5</v>
      </c>
      <c r="K77" s="10">
        <f>IFERROR(vlookup('1.6'!J:J,lookup!$A$26:$B$28,2,false),0)</f>
        <v>5</v>
      </c>
      <c r="M77" s="10">
        <v>76.0</v>
      </c>
      <c r="N77" s="11" t="str">
        <f t="shared" si="1"/>
        <v>bnco0976@signalschool.ac.th</v>
      </c>
      <c r="O77" s="12">
        <f t="shared" si="2"/>
        <v>1</v>
      </c>
      <c r="R77" s="17" t="s">
        <v>293</v>
      </c>
    </row>
    <row r="78">
      <c r="A78" s="8">
        <f>'1.6'!A:A</f>
        <v>46212.62705</v>
      </c>
      <c r="B78" s="2" t="str">
        <f>'1.6'!B:B</f>
        <v>bnco0939@signalschool.ac.th</v>
      </c>
      <c r="C78" s="2" t="str">
        <f>'1.6'!C:C</f>
        <v>ร.ท.ศุภชัย ป้องเศร้า , จ.ส.อ.พงศภัค อุ่นอนันต์</v>
      </c>
      <c r="D78" s="9">
        <v>1.0</v>
      </c>
      <c r="E78" s="10">
        <f>IFERROR(vlookup('1.6'!D:D,lookup!$A$2:$B$4,2,false),0)</f>
        <v>5</v>
      </c>
      <c r="F78" s="10">
        <f>IFERROR(vlookup('1.6'!E:E,lookup!$A$6:$B$8,2,false),0)</f>
        <v>5</v>
      </c>
      <c r="G78" s="10">
        <f>IFERROR(vlookup('1.6'!F:F,lookup!$A$10:$B$12,2,false),0)</f>
        <v>5</v>
      </c>
      <c r="H78" s="10">
        <f>IFERROR(vlookup('1.6'!G:G,lookup!$A$14:$B$16,2,false),0)</f>
        <v>5</v>
      </c>
      <c r="I78" s="10">
        <f>IFERROR(vlookup('1.6'!H:H,lookup!$A$18:$B$20,2,false),0)</f>
        <v>5</v>
      </c>
      <c r="J78" s="10">
        <f>IFERROR(vlookup('1.6'!I:I,lookup!$A$22:$B$24,2,false),0)</f>
        <v>5</v>
      </c>
      <c r="K78" s="10">
        <f>IFERROR(vlookup('1.6'!J:J,lookup!$A$26:$B$28,2,false),0)</f>
        <v>5</v>
      </c>
      <c r="M78" s="10">
        <v>77.0</v>
      </c>
      <c r="N78" s="11" t="str">
        <f t="shared" si="1"/>
        <v>bnco0977@signalschool.ac.th</v>
      </c>
      <c r="O78" s="12">
        <f t="shared" si="2"/>
        <v>1</v>
      </c>
      <c r="R78" s="17" t="s">
        <v>294</v>
      </c>
    </row>
    <row r="79">
      <c r="A79" s="8">
        <f>'1.6'!A:A</f>
        <v>46212.62852</v>
      </c>
      <c r="B79" s="2" t="str">
        <f>'1.6'!B:B</f>
        <v>bnco0966@signalschool.ac.th</v>
      </c>
      <c r="C79" s="2" t="str">
        <f>'1.6'!C:C</f>
        <v>ร.ท.ศุภชัย ป้องเศร้า , จ.ส.อ.พงศภัค อุ่นอนันต์</v>
      </c>
      <c r="D79" s="9">
        <v>1.0</v>
      </c>
      <c r="E79" s="10">
        <f>IFERROR(vlookup('1.6'!D:D,lookup!$A$2:$B$4,2,false),0)</f>
        <v>5</v>
      </c>
      <c r="F79" s="10">
        <f>IFERROR(vlookup('1.6'!E:E,lookup!$A$6:$B$8,2,false),0)</f>
        <v>5</v>
      </c>
      <c r="G79" s="10">
        <f>IFERROR(vlookup('1.6'!F:F,lookup!$A$10:$B$12,2,false),0)</f>
        <v>5</v>
      </c>
      <c r="H79" s="10">
        <f>IFERROR(vlookup('1.6'!G:G,lookup!$A$14:$B$16,2,false),0)</f>
        <v>5</v>
      </c>
      <c r="I79" s="10">
        <f>IFERROR(vlookup('1.6'!H:H,lookup!$A$18:$B$20,2,false),0)</f>
        <v>5</v>
      </c>
      <c r="J79" s="10">
        <f>IFERROR(vlookup('1.6'!I:I,lookup!$A$22:$B$24,2,false),0)</f>
        <v>5</v>
      </c>
      <c r="K79" s="10">
        <f>IFERROR(vlookup('1.6'!J:J,lookup!$A$26:$B$28,2,false),0)</f>
        <v>5</v>
      </c>
      <c r="M79" s="10">
        <v>78.0</v>
      </c>
      <c r="N79" s="11" t="str">
        <f t="shared" si="1"/>
        <v>bnco0978@signalschool.ac.th</v>
      </c>
      <c r="O79" s="12">
        <f t="shared" si="2"/>
        <v>1</v>
      </c>
      <c r="R79" s="17" t="s">
        <v>295</v>
      </c>
    </row>
    <row r="80">
      <c r="A80" s="8">
        <f>'1.6'!A:A</f>
        <v>46212.63339</v>
      </c>
      <c r="B80" s="2" t="str">
        <f>'1.6'!B:B</f>
        <v>bnco0932@signalschool.ac.th</v>
      </c>
      <c r="C80" s="2" t="str">
        <f>'1.6'!C:C</f>
        <v>ร.ท.ศุภชัย ป้องเศร้า , จ.ส.อ.พงศภัค อุ่นอนันต์</v>
      </c>
      <c r="D80" s="9">
        <v>1.0</v>
      </c>
      <c r="E80" s="10">
        <f>IFERROR(vlookup('1.6'!D:D,lookup!$A$2:$B$4,2,false),0)</f>
        <v>5</v>
      </c>
      <c r="F80" s="10">
        <f>IFERROR(vlookup('1.6'!E:E,lookup!$A$6:$B$8,2,false),0)</f>
        <v>5</v>
      </c>
      <c r="G80" s="10">
        <f>IFERROR(vlookup('1.6'!F:F,lookup!$A$10:$B$12,2,false),0)</f>
        <v>5</v>
      </c>
      <c r="H80" s="10">
        <f>IFERROR(vlookup('1.6'!G:G,lookup!$A$14:$B$16,2,false),0)</f>
        <v>5</v>
      </c>
      <c r="I80" s="10">
        <f>IFERROR(vlookup('1.6'!H:H,lookup!$A$18:$B$20,2,false),0)</f>
        <v>5</v>
      </c>
      <c r="J80" s="10">
        <f>IFERROR(vlookup('1.6'!I:I,lookup!$A$22:$B$24,2,false),0)</f>
        <v>5</v>
      </c>
      <c r="K80" s="10">
        <f>IFERROR(vlookup('1.6'!J:J,lookup!$A$26:$B$28,2,false),0)</f>
        <v>5</v>
      </c>
      <c r="M80" s="10">
        <v>79.0</v>
      </c>
      <c r="N80" s="11" t="str">
        <f t="shared" si="1"/>
        <v>bnco0979@signalschool.ac.th</v>
      </c>
      <c r="O80" s="12">
        <f t="shared" si="2"/>
        <v>1</v>
      </c>
      <c r="R80" s="17" t="s">
        <v>296</v>
      </c>
    </row>
    <row r="81">
      <c r="A81" s="8">
        <f>'1.6'!A:A</f>
        <v>46213.45809</v>
      </c>
      <c r="B81" s="2" t="str">
        <f>'1.6'!B:B</f>
        <v>bnco0927@signalschool.ac.th</v>
      </c>
      <c r="C81" s="2" t="str">
        <f>'1.6'!C:C</f>
        <v>ร.ท.ศุภชัย ป้องเศร้า , จ.ส.อ.พงศภัค อุ่นอนันต์</v>
      </c>
      <c r="D81" s="9">
        <v>1.0</v>
      </c>
      <c r="E81" s="10">
        <f>IFERROR(vlookup('1.6'!D:D,lookup!$A$2:$B$4,2,false),0)</f>
        <v>5</v>
      </c>
      <c r="F81" s="10">
        <f>IFERROR(vlookup('1.6'!E:E,lookup!$A$6:$B$8,2,false),0)</f>
        <v>5</v>
      </c>
      <c r="G81" s="10">
        <f>IFERROR(vlookup('1.6'!F:F,lookup!$A$10:$B$12,2,false),0)</f>
        <v>5</v>
      </c>
      <c r="H81" s="10">
        <f>IFERROR(vlookup('1.6'!G:G,lookup!$A$14:$B$16,2,false),0)</f>
        <v>5</v>
      </c>
      <c r="I81" s="10">
        <f>IFERROR(vlookup('1.6'!H:H,lookup!$A$18:$B$20,2,false),0)</f>
        <v>5</v>
      </c>
      <c r="J81" s="10">
        <f>IFERROR(vlookup('1.6'!I:I,lookup!$A$22:$B$24,2,false),0)</f>
        <v>5</v>
      </c>
      <c r="K81" s="10">
        <f>IFERROR(vlookup('1.6'!J:J,lookup!$A$26:$B$28,2,false),0)</f>
        <v>5</v>
      </c>
      <c r="M81" s="10">
        <v>80.0</v>
      </c>
      <c r="N81" s="11" t="str">
        <f t="shared" si="1"/>
        <v>bnco0980@signalschool.ac.th</v>
      </c>
      <c r="O81" s="12">
        <f t="shared" si="2"/>
        <v>1</v>
      </c>
      <c r="R81" s="17" t="s">
        <v>297</v>
      </c>
    </row>
    <row r="82">
      <c r="A82" s="8"/>
      <c r="B82" s="2"/>
      <c r="C82" s="2"/>
      <c r="E82" s="14">
        <f t="shared" ref="E82:K82" si="3">AVERAGE(E2:E81)</f>
        <v>4.775</v>
      </c>
      <c r="F82" s="14">
        <f t="shared" si="3"/>
        <v>4.875</v>
      </c>
      <c r="G82" s="14">
        <f t="shared" si="3"/>
        <v>4.975</v>
      </c>
      <c r="H82" s="14">
        <f t="shared" si="3"/>
        <v>4.975</v>
      </c>
      <c r="I82" s="14">
        <f t="shared" si="3"/>
        <v>4.95</v>
      </c>
      <c r="J82" s="14">
        <f t="shared" si="3"/>
        <v>4.95</v>
      </c>
      <c r="K82" s="14">
        <f t="shared" si="3"/>
        <v>4.9</v>
      </c>
      <c r="L82" s="15">
        <f>AVERAGE(E82:K82)</f>
        <v>4.914285714</v>
      </c>
      <c r="N82" s="2" t="s">
        <v>298</v>
      </c>
      <c r="O82" s="10">
        <f>SUM(O2:O81)</f>
        <v>80</v>
      </c>
    </row>
    <row r="83">
      <c r="A83" s="8"/>
      <c r="B83" s="2"/>
      <c r="C83" s="2"/>
      <c r="E83" s="10"/>
      <c r="F83" s="10"/>
      <c r="G83" s="10"/>
      <c r="H83" s="10"/>
      <c r="I83" s="10"/>
      <c r="J83" s="10"/>
      <c r="K83" s="10"/>
      <c r="N83" s="2" t="s">
        <v>299</v>
      </c>
      <c r="O83" s="10">
        <f>(O82*100)/80</f>
        <v>100</v>
      </c>
    </row>
    <row r="84">
      <c r="A84" s="8"/>
      <c r="B84" s="2"/>
      <c r="C84" s="2"/>
      <c r="E84" s="10"/>
      <c r="K84" s="10"/>
    </row>
    <row r="85">
      <c r="A85" s="8"/>
      <c r="B85" s="2"/>
      <c r="C85" s="2"/>
      <c r="E85" s="10"/>
    </row>
    <row r="86">
      <c r="A86" s="8"/>
      <c r="B86" s="2"/>
      <c r="C86" s="2"/>
      <c r="E86" s="10"/>
    </row>
    <row r="87">
      <c r="A87" s="8"/>
      <c r="B87" s="2"/>
      <c r="C87" s="2"/>
      <c r="E87" s="10"/>
    </row>
    <row r="88">
      <c r="A88" s="8"/>
      <c r="B88" s="2"/>
      <c r="C88" s="2"/>
      <c r="E88" s="10"/>
    </row>
    <row r="89">
      <c r="A89" s="8"/>
      <c r="B89" s="2"/>
      <c r="C89" s="2"/>
      <c r="E89" s="10"/>
    </row>
    <row r="90">
      <c r="A90" s="8"/>
      <c r="B90" s="2"/>
      <c r="C90" s="2"/>
      <c r="E90" s="10"/>
    </row>
    <row r="91">
      <c r="A91" s="8"/>
      <c r="B91" s="2"/>
      <c r="C91" s="2"/>
      <c r="E91" s="10"/>
    </row>
    <row r="92">
      <c r="A92" s="8"/>
      <c r="B92" s="2"/>
      <c r="C92" s="2"/>
      <c r="E92" s="10"/>
    </row>
    <row r="93">
      <c r="A93" s="8"/>
      <c r="B93" s="2"/>
      <c r="C93" s="2"/>
      <c r="E93" s="10"/>
    </row>
    <row r="94">
      <c r="A94" s="8"/>
      <c r="B94" s="2"/>
      <c r="C94" s="2"/>
      <c r="E94" s="10"/>
    </row>
    <row r="95">
      <c r="A95" s="8"/>
      <c r="B95" s="2"/>
      <c r="C95" s="2"/>
      <c r="E95" s="10"/>
    </row>
    <row r="96">
      <c r="A96" s="8"/>
      <c r="B96" s="2"/>
      <c r="C96" s="2"/>
      <c r="E96" s="10"/>
    </row>
    <row r="97">
      <c r="A97" s="8"/>
      <c r="B97" s="2"/>
      <c r="C97" s="2"/>
      <c r="E97" s="10"/>
    </row>
    <row r="98">
      <c r="A98" s="8"/>
      <c r="C98" s="2"/>
      <c r="E98" s="10"/>
    </row>
    <row r="99">
      <c r="A99" s="8"/>
      <c r="C99" s="2"/>
      <c r="E99" s="10"/>
    </row>
    <row r="100">
      <c r="A100" s="8"/>
      <c r="C100" s="2"/>
    </row>
    <row r="101">
      <c r="A101" s="8"/>
      <c r="C101" s="2"/>
    </row>
    <row r="102">
      <c r="A102" s="8"/>
      <c r="C102" s="2"/>
    </row>
    <row r="103">
      <c r="A103" s="8"/>
      <c r="C103" s="2"/>
    </row>
    <row r="104">
      <c r="A104" s="8"/>
      <c r="C104" s="2"/>
    </row>
    <row r="105">
      <c r="A105" s="8"/>
      <c r="C105" s="2"/>
    </row>
    <row r="106">
      <c r="A106" s="8"/>
      <c r="C106" s="2"/>
    </row>
    <row r="107">
      <c r="A107" s="8"/>
      <c r="C107" s="2"/>
    </row>
    <row r="108">
      <c r="A108" s="8"/>
      <c r="C108" s="2"/>
    </row>
    <row r="109">
      <c r="A109" s="8"/>
      <c r="C109" s="2"/>
    </row>
    <row r="110">
      <c r="A110" s="8"/>
      <c r="C110" s="2"/>
    </row>
    <row r="111">
      <c r="A111" s="8"/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</sheetData>
  <mergeCells count="1">
    <mergeCell ref="M1:O1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7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4">
        <v>46160.50754128472</v>
      </c>
      <c r="B2" s="6" t="s">
        <v>147</v>
      </c>
      <c r="C2" s="6" t="s">
        <v>372</v>
      </c>
      <c r="D2" s="6" t="s">
        <v>15</v>
      </c>
      <c r="E2" s="6" t="s">
        <v>16</v>
      </c>
      <c r="F2" s="6" t="s">
        <v>17</v>
      </c>
      <c r="G2" s="6" t="s">
        <v>18</v>
      </c>
      <c r="H2" s="6" t="s">
        <v>19</v>
      </c>
      <c r="I2" s="6" t="s">
        <v>20</v>
      </c>
      <c r="J2" s="6" t="s">
        <v>21</v>
      </c>
    </row>
    <row r="3">
      <c r="A3" s="4">
        <v>46162.413332592594</v>
      </c>
      <c r="B3" s="6" t="s">
        <v>138</v>
      </c>
      <c r="C3" s="6" t="s">
        <v>373</v>
      </c>
      <c r="D3" s="6" t="s">
        <v>15</v>
      </c>
      <c r="E3" s="6" t="s">
        <v>16</v>
      </c>
      <c r="F3" s="6" t="s">
        <v>17</v>
      </c>
      <c r="G3" s="6" t="s">
        <v>18</v>
      </c>
      <c r="H3" s="6" t="s">
        <v>19</v>
      </c>
      <c r="I3" s="6" t="s">
        <v>20</v>
      </c>
      <c r="J3" s="6" t="s">
        <v>21</v>
      </c>
    </row>
    <row r="4">
      <c r="A4" s="4">
        <v>46162.415312083336</v>
      </c>
      <c r="B4" s="6" t="s">
        <v>35</v>
      </c>
      <c r="C4" s="6" t="s">
        <v>374</v>
      </c>
      <c r="D4" s="6" t="s">
        <v>15</v>
      </c>
      <c r="E4" s="6" t="s">
        <v>16</v>
      </c>
      <c r="F4" s="6" t="s">
        <v>17</v>
      </c>
      <c r="G4" s="6" t="s">
        <v>18</v>
      </c>
      <c r="H4" s="6" t="s">
        <v>19</v>
      </c>
      <c r="I4" s="6" t="s">
        <v>20</v>
      </c>
      <c r="J4" s="6" t="s">
        <v>21</v>
      </c>
    </row>
    <row r="5">
      <c r="A5" s="4">
        <v>46162.41633487269</v>
      </c>
      <c r="B5" s="6" t="s">
        <v>82</v>
      </c>
      <c r="C5" s="6" t="s">
        <v>375</v>
      </c>
      <c r="D5" s="6" t="s">
        <v>15</v>
      </c>
      <c r="E5" s="6" t="s">
        <v>16</v>
      </c>
      <c r="F5" s="6" t="s">
        <v>17</v>
      </c>
      <c r="G5" s="6" t="s">
        <v>18</v>
      </c>
      <c r="H5" s="6" t="s">
        <v>19</v>
      </c>
      <c r="I5" s="6" t="s">
        <v>20</v>
      </c>
      <c r="J5" s="6" t="s">
        <v>21</v>
      </c>
    </row>
    <row r="6">
      <c r="A6" s="4">
        <v>46162.41638178241</v>
      </c>
      <c r="B6" s="6" t="s">
        <v>27</v>
      </c>
      <c r="C6" s="6" t="s">
        <v>376</v>
      </c>
      <c r="D6" s="6" t="s">
        <v>15</v>
      </c>
      <c r="E6" s="6" t="s">
        <v>16</v>
      </c>
      <c r="F6" s="6" t="s">
        <v>17</v>
      </c>
      <c r="G6" s="6" t="s">
        <v>18</v>
      </c>
      <c r="H6" s="6" t="s">
        <v>19</v>
      </c>
      <c r="I6" s="6" t="s">
        <v>20</v>
      </c>
      <c r="J6" s="6" t="s">
        <v>21</v>
      </c>
      <c r="K6" s="6" t="s">
        <v>29</v>
      </c>
    </row>
    <row r="7">
      <c r="A7" s="4">
        <v>46162.41656105324</v>
      </c>
      <c r="B7" s="6" t="s">
        <v>123</v>
      </c>
      <c r="C7" s="6" t="s">
        <v>377</v>
      </c>
      <c r="D7" s="6" t="s">
        <v>15</v>
      </c>
      <c r="E7" s="6" t="s">
        <v>16</v>
      </c>
      <c r="F7" s="6" t="s">
        <v>17</v>
      </c>
      <c r="G7" s="6" t="s">
        <v>18</v>
      </c>
      <c r="H7" s="6" t="s">
        <v>19</v>
      </c>
      <c r="I7" s="6" t="s">
        <v>20</v>
      </c>
      <c r="J7" s="6" t="s">
        <v>21</v>
      </c>
    </row>
    <row r="8">
      <c r="A8" s="4">
        <v>46162.41659212963</v>
      </c>
      <c r="B8" s="6" t="s">
        <v>40</v>
      </c>
      <c r="C8" s="6" t="s">
        <v>375</v>
      </c>
      <c r="D8" s="6" t="s">
        <v>41</v>
      </c>
      <c r="E8" s="6" t="s">
        <v>33</v>
      </c>
      <c r="F8" s="6" t="s">
        <v>43</v>
      </c>
      <c r="G8" s="6" t="s">
        <v>44</v>
      </c>
      <c r="H8" s="6" t="s">
        <v>46</v>
      </c>
      <c r="I8" s="6" t="s">
        <v>47</v>
      </c>
      <c r="J8" s="6" t="s">
        <v>48</v>
      </c>
    </row>
    <row r="9">
      <c r="A9" s="4">
        <v>46162.41669748843</v>
      </c>
      <c r="B9" s="6" t="s">
        <v>108</v>
      </c>
      <c r="C9" s="6" t="s">
        <v>378</v>
      </c>
      <c r="D9" s="6" t="s">
        <v>15</v>
      </c>
      <c r="E9" s="6" t="s">
        <v>16</v>
      </c>
      <c r="F9" s="6" t="s">
        <v>17</v>
      </c>
      <c r="G9" s="6" t="s">
        <v>18</v>
      </c>
      <c r="H9" s="6" t="s">
        <v>19</v>
      </c>
      <c r="I9" s="6" t="s">
        <v>20</v>
      </c>
      <c r="J9" s="6" t="s">
        <v>21</v>
      </c>
    </row>
    <row r="10">
      <c r="A10" s="4">
        <v>46162.41679011574</v>
      </c>
      <c r="B10" s="6" t="s">
        <v>91</v>
      </c>
      <c r="C10" s="6" t="s">
        <v>375</v>
      </c>
      <c r="D10" s="6" t="s">
        <v>15</v>
      </c>
      <c r="E10" s="6" t="s">
        <v>16</v>
      </c>
      <c r="F10" s="6" t="s">
        <v>17</v>
      </c>
      <c r="G10" s="6" t="s">
        <v>18</v>
      </c>
      <c r="H10" s="6" t="s">
        <v>19</v>
      </c>
      <c r="I10" s="6" t="s">
        <v>20</v>
      </c>
      <c r="J10" s="6" t="s">
        <v>21</v>
      </c>
    </row>
    <row r="11">
      <c r="A11" s="4">
        <v>46162.41680738426</v>
      </c>
      <c r="B11" s="6" t="s">
        <v>68</v>
      </c>
      <c r="C11" s="6" t="s">
        <v>375</v>
      </c>
      <c r="D11" s="6" t="s">
        <v>15</v>
      </c>
      <c r="E11" s="6" t="s">
        <v>16</v>
      </c>
      <c r="F11" s="6" t="s">
        <v>17</v>
      </c>
      <c r="G11" s="6" t="s">
        <v>18</v>
      </c>
      <c r="H11" s="6" t="s">
        <v>19</v>
      </c>
      <c r="I11" s="6" t="s">
        <v>20</v>
      </c>
      <c r="J11" s="6" t="s">
        <v>21</v>
      </c>
    </row>
    <row r="12">
      <c r="A12" s="4">
        <v>46162.416981250004</v>
      </c>
      <c r="B12" s="6" t="s">
        <v>102</v>
      </c>
      <c r="C12" s="6" t="s">
        <v>375</v>
      </c>
      <c r="D12" s="6" t="s">
        <v>15</v>
      </c>
      <c r="E12" s="6" t="s">
        <v>16</v>
      </c>
      <c r="F12" s="6" t="s">
        <v>17</v>
      </c>
      <c r="G12" s="6" t="s">
        <v>18</v>
      </c>
      <c r="H12" s="6" t="s">
        <v>19</v>
      </c>
      <c r="I12" s="6" t="s">
        <v>47</v>
      </c>
      <c r="J12" s="6" t="s">
        <v>48</v>
      </c>
    </row>
    <row r="13">
      <c r="A13" s="4">
        <v>46162.41699146991</v>
      </c>
      <c r="B13" s="6" t="s">
        <v>106</v>
      </c>
      <c r="C13" s="6" t="s">
        <v>379</v>
      </c>
      <c r="D13" s="6" t="s">
        <v>15</v>
      </c>
      <c r="E13" s="6" t="s">
        <v>16</v>
      </c>
      <c r="F13" s="6" t="s">
        <v>17</v>
      </c>
      <c r="G13" s="6" t="s">
        <v>18</v>
      </c>
      <c r="H13" s="6" t="s">
        <v>19</v>
      </c>
      <c r="I13" s="6" t="s">
        <v>20</v>
      </c>
      <c r="J13" s="6" t="s">
        <v>21</v>
      </c>
      <c r="K13" s="6" t="s">
        <v>380</v>
      </c>
    </row>
    <row r="14">
      <c r="A14" s="4">
        <v>46162.4170725463</v>
      </c>
      <c r="B14" s="6" t="s">
        <v>105</v>
      </c>
      <c r="C14" s="6" t="s">
        <v>375</v>
      </c>
      <c r="D14" s="6" t="s">
        <v>41</v>
      </c>
      <c r="E14" s="6" t="s">
        <v>16</v>
      </c>
      <c r="F14" s="6" t="s">
        <v>17</v>
      </c>
      <c r="G14" s="6" t="s">
        <v>18</v>
      </c>
      <c r="H14" s="6" t="s">
        <v>19</v>
      </c>
      <c r="I14" s="6" t="s">
        <v>20</v>
      </c>
      <c r="J14" s="6" t="s">
        <v>21</v>
      </c>
      <c r="K14" s="6" t="s">
        <v>381</v>
      </c>
    </row>
    <row r="15">
      <c r="A15" s="4">
        <v>46162.4172027662</v>
      </c>
      <c r="B15" s="6" t="s">
        <v>155</v>
      </c>
      <c r="C15" s="6" t="s">
        <v>375</v>
      </c>
      <c r="D15" s="6" t="s">
        <v>15</v>
      </c>
      <c r="E15" s="6" t="s">
        <v>16</v>
      </c>
      <c r="F15" s="6" t="s">
        <v>17</v>
      </c>
      <c r="G15" s="6" t="s">
        <v>18</v>
      </c>
      <c r="H15" s="6" t="s">
        <v>19</v>
      </c>
      <c r="I15" s="6" t="s">
        <v>20</v>
      </c>
      <c r="J15" s="6" t="s">
        <v>21</v>
      </c>
    </row>
    <row r="16">
      <c r="A16" s="4">
        <v>46162.41775241898</v>
      </c>
      <c r="B16" s="6" t="s">
        <v>150</v>
      </c>
      <c r="C16" s="6" t="s">
        <v>375</v>
      </c>
      <c r="D16" s="6" t="s">
        <v>15</v>
      </c>
      <c r="E16" s="6" t="s">
        <v>16</v>
      </c>
      <c r="F16" s="6" t="s">
        <v>17</v>
      </c>
      <c r="G16" s="6" t="s">
        <v>18</v>
      </c>
      <c r="H16" s="6" t="s">
        <v>19</v>
      </c>
      <c r="I16" s="6" t="s">
        <v>20</v>
      </c>
      <c r="J16" s="6" t="s">
        <v>21</v>
      </c>
    </row>
    <row r="17">
      <c r="A17" s="4">
        <v>46162.418087048616</v>
      </c>
      <c r="B17" s="6" t="s">
        <v>71</v>
      </c>
      <c r="C17" s="6" t="s">
        <v>379</v>
      </c>
      <c r="D17" s="6" t="s">
        <v>15</v>
      </c>
      <c r="E17" s="6" t="s">
        <v>16</v>
      </c>
      <c r="F17" s="6" t="s">
        <v>17</v>
      </c>
      <c r="G17" s="6" t="s">
        <v>18</v>
      </c>
      <c r="H17" s="6" t="s">
        <v>19</v>
      </c>
      <c r="I17" s="6" t="s">
        <v>20</v>
      </c>
      <c r="J17" s="6" t="s">
        <v>21</v>
      </c>
      <c r="K17" s="6" t="s">
        <v>29</v>
      </c>
    </row>
    <row r="18">
      <c r="A18" s="4">
        <v>46162.41821827546</v>
      </c>
      <c r="B18" s="6" t="s">
        <v>135</v>
      </c>
      <c r="C18" s="6" t="s">
        <v>379</v>
      </c>
      <c r="D18" s="6" t="s">
        <v>15</v>
      </c>
      <c r="E18" s="6" t="s">
        <v>16</v>
      </c>
      <c r="F18" s="6" t="s">
        <v>17</v>
      </c>
      <c r="G18" s="6" t="s">
        <v>18</v>
      </c>
      <c r="H18" s="6" t="s">
        <v>19</v>
      </c>
      <c r="I18" s="6" t="s">
        <v>20</v>
      </c>
      <c r="J18" s="6" t="s">
        <v>21</v>
      </c>
    </row>
    <row r="19">
      <c r="A19" s="4">
        <v>46162.41848934028</v>
      </c>
      <c r="B19" s="6" t="s">
        <v>94</v>
      </c>
      <c r="C19" s="6" t="s">
        <v>375</v>
      </c>
      <c r="D19" s="6" t="s">
        <v>15</v>
      </c>
      <c r="E19" s="6" t="s">
        <v>16</v>
      </c>
      <c r="F19" s="6" t="s">
        <v>17</v>
      </c>
      <c r="G19" s="6" t="s">
        <v>18</v>
      </c>
      <c r="H19" s="6" t="s">
        <v>19</v>
      </c>
      <c r="I19" s="6" t="s">
        <v>20</v>
      </c>
      <c r="J19" s="6" t="s">
        <v>21</v>
      </c>
    </row>
    <row r="20">
      <c r="A20" s="4">
        <v>46162.41905096065</v>
      </c>
      <c r="B20" s="6" t="s">
        <v>148</v>
      </c>
      <c r="C20" s="6" t="s">
        <v>382</v>
      </c>
      <c r="D20" s="6" t="s">
        <v>15</v>
      </c>
      <c r="E20" s="6" t="s">
        <v>16</v>
      </c>
      <c r="F20" s="6" t="s">
        <v>17</v>
      </c>
      <c r="G20" s="6" t="s">
        <v>18</v>
      </c>
      <c r="H20" s="6" t="s">
        <v>19</v>
      </c>
      <c r="I20" s="6" t="s">
        <v>20</v>
      </c>
      <c r="J20" s="6" t="s">
        <v>21</v>
      </c>
    </row>
    <row r="21">
      <c r="A21" s="4">
        <v>46162.41937780092</v>
      </c>
      <c r="B21" s="6" t="s">
        <v>55</v>
      </c>
      <c r="C21" s="6" t="s">
        <v>375</v>
      </c>
      <c r="D21" s="6" t="s">
        <v>15</v>
      </c>
      <c r="E21" s="6" t="s">
        <v>16</v>
      </c>
      <c r="F21" s="6" t="s">
        <v>17</v>
      </c>
      <c r="G21" s="6" t="s">
        <v>18</v>
      </c>
      <c r="H21" s="6" t="s">
        <v>19</v>
      </c>
      <c r="I21" s="6" t="s">
        <v>20</v>
      </c>
      <c r="J21" s="6" t="s">
        <v>21</v>
      </c>
    </row>
    <row r="22">
      <c r="A22" s="4">
        <v>46162.41950203704</v>
      </c>
      <c r="B22" s="6" t="s">
        <v>142</v>
      </c>
      <c r="C22" s="6" t="s">
        <v>383</v>
      </c>
      <c r="D22" s="6" t="s">
        <v>15</v>
      </c>
      <c r="E22" s="6" t="s">
        <v>16</v>
      </c>
      <c r="F22" s="6" t="s">
        <v>17</v>
      </c>
      <c r="G22" s="6" t="s">
        <v>18</v>
      </c>
      <c r="H22" s="6" t="s">
        <v>19</v>
      </c>
      <c r="I22" s="6" t="s">
        <v>20</v>
      </c>
      <c r="J22" s="6" t="s">
        <v>21</v>
      </c>
    </row>
    <row r="23">
      <c r="A23" s="4">
        <v>46162.4198753588</v>
      </c>
      <c r="B23" s="6" t="s">
        <v>62</v>
      </c>
      <c r="C23" s="6" t="s">
        <v>378</v>
      </c>
      <c r="D23" s="6" t="s">
        <v>15</v>
      </c>
      <c r="E23" s="6" t="s">
        <v>16</v>
      </c>
      <c r="F23" s="6" t="s">
        <v>17</v>
      </c>
      <c r="G23" s="6" t="s">
        <v>18</v>
      </c>
      <c r="H23" s="6" t="s">
        <v>19</v>
      </c>
      <c r="I23" s="6" t="s">
        <v>20</v>
      </c>
      <c r="J23" s="6" t="s">
        <v>21</v>
      </c>
    </row>
    <row r="24">
      <c r="A24" s="4">
        <v>46162.42050875</v>
      </c>
      <c r="B24" s="6" t="s">
        <v>166</v>
      </c>
      <c r="C24" s="6" t="s">
        <v>376</v>
      </c>
      <c r="D24" s="6" t="s">
        <v>15</v>
      </c>
      <c r="E24" s="6" t="s">
        <v>16</v>
      </c>
      <c r="F24" s="6" t="s">
        <v>17</v>
      </c>
      <c r="G24" s="6" t="s">
        <v>18</v>
      </c>
      <c r="H24" s="6" t="s">
        <v>19</v>
      </c>
      <c r="I24" s="6" t="s">
        <v>228</v>
      </c>
      <c r="J24" s="6" t="s">
        <v>48</v>
      </c>
    </row>
    <row r="25">
      <c r="A25" s="4">
        <v>46162.420659571755</v>
      </c>
      <c r="B25" s="6" t="s">
        <v>93</v>
      </c>
      <c r="C25" s="6" t="s">
        <v>375</v>
      </c>
      <c r="D25" s="6" t="s">
        <v>15</v>
      </c>
      <c r="E25" s="6" t="s">
        <v>16</v>
      </c>
      <c r="F25" s="6" t="s">
        <v>17</v>
      </c>
      <c r="G25" s="6" t="s">
        <v>18</v>
      </c>
      <c r="H25" s="6" t="s">
        <v>19</v>
      </c>
      <c r="I25" s="6" t="s">
        <v>20</v>
      </c>
      <c r="J25" s="6" t="s">
        <v>21</v>
      </c>
    </row>
    <row r="26">
      <c r="A26" s="4">
        <v>46162.42110416667</v>
      </c>
      <c r="B26" s="6" t="s">
        <v>92</v>
      </c>
      <c r="C26" s="6" t="s">
        <v>375</v>
      </c>
      <c r="D26" s="6" t="s">
        <v>15</v>
      </c>
      <c r="E26" s="6" t="s">
        <v>16</v>
      </c>
      <c r="F26" s="6" t="s">
        <v>17</v>
      </c>
      <c r="G26" s="6" t="s">
        <v>18</v>
      </c>
      <c r="H26" s="6" t="s">
        <v>19</v>
      </c>
      <c r="I26" s="6" t="s">
        <v>20</v>
      </c>
      <c r="J26" s="6" t="s">
        <v>21</v>
      </c>
    </row>
    <row r="27">
      <c r="A27" s="4">
        <v>46162.42263829861</v>
      </c>
      <c r="B27" s="6" t="s">
        <v>37</v>
      </c>
      <c r="C27" s="6" t="s">
        <v>375</v>
      </c>
      <c r="D27" s="6" t="s">
        <v>15</v>
      </c>
      <c r="E27" s="6" t="s">
        <v>16</v>
      </c>
      <c r="F27" s="6" t="s">
        <v>17</v>
      </c>
      <c r="G27" s="6" t="s">
        <v>18</v>
      </c>
      <c r="H27" s="6" t="s">
        <v>19</v>
      </c>
      <c r="I27" s="6" t="s">
        <v>20</v>
      </c>
      <c r="J27" s="6" t="s">
        <v>21</v>
      </c>
    </row>
    <row r="28">
      <c r="A28" s="4">
        <v>46162.42340648148</v>
      </c>
      <c r="B28" s="6" t="s">
        <v>49</v>
      </c>
      <c r="C28" s="6" t="s">
        <v>376</v>
      </c>
      <c r="D28" s="6" t="s">
        <v>15</v>
      </c>
      <c r="E28" s="6" t="s">
        <v>16</v>
      </c>
      <c r="F28" s="6" t="s">
        <v>17</v>
      </c>
      <c r="G28" s="6" t="s">
        <v>18</v>
      </c>
      <c r="H28" s="6" t="s">
        <v>19</v>
      </c>
      <c r="I28" s="6" t="s">
        <v>20</v>
      </c>
      <c r="J28" s="6" t="s">
        <v>21</v>
      </c>
    </row>
    <row r="29">
      <c r="A29" s="4">
        <v>46162.42394032408</v>
      </c>
      <c r="B29" s="6" t="s">
        <v>42</v>
      </c>
      <c r="C29" s="6" t="s">
        <v>375</v>
      </c>
      <c r="D29" s="6" t="s">
        <v>15</v>
      </c>
      <c r="E29" s="6" t="s">
        <v>16</v>
      </c>
      <c r="F29" s="6" t="s">
        <v>17</v>
      </c>
      <c r="G29" s="6" t="s">
        <v>18</v>
      </c>
      <c r="H29" s="6" t="s">
        <v>19</v>
      </c>
      <c r="I29" s="6" t="s">
        <v>20</v>
      </c>
      <c r="J29" s="6" t="s">
        <v>21</v>
      </c>
    </row>
    <row r="30">
      <c r="A30" s="4">
        <v>46162.42416501157</v>
      </c>
      <c r="B30" s="6" t="s">
        <v>172</v>
      </c>
      <c r="C30" s="6" t="s">
        <v>384</v>
      </c>
      <c r="D30" s="6" t="s">
        <v>15</v>
      </c>
      <c r="E30" s="6" t="s">
        <v>16</v>
      </c>
      <c r="F30" s="6" t="s">
        <v>17</v>
      </c>
      <c r="G30" s="6" t="s">
        <v>18</v>
      </c>
      <c r="H30" s="6" t="s">
        <v>19</v>
      </c>
      <c r="I30" s="6" t="s">
        <v>20</v>
      </c>
      <c r="J30" s="6" t="s">
        <v>21</v>
      </c>
      <c r="K30" s="6" t="s">
        <v>115</v>
      </c>
    </row>
    <row r="31">
      <c r="A31" s="4">
        <v>46162.42444341435</v>
      </c>
      <c r="B31" s="6" t="s">
        <v>65</v>
      </c>
      <c r="C31" s="6" t="s">
        <v>375</v>
      </c>
      <c r="D31" s="6" t="s">
        <v>15</v>
      </c>
      <c r="E31" s="6" t="s">
        <v>16</v>
      </c>
      <c r="F31" s="6" t="s">
        <v>43</v>
      </c>
      <c r="G31" s="6" t="s">
        <v>18</v>
      </c>
      <c r="H31" s="6" t="s">
        <v>19</v>
      </c>
      <c r="I31" s="6" t="s">
        <v>47</v>
      </c>
      <c r="J31" s="6" t="s">
        <v>21</v>
      </c>
    </row>
    <row r="32">
      <c r="A32" s="4">
        <v>46162.425385636576</v>
      </c>
      <c r="B32" s="6" t="s">
        <v>57</v>
      </c>
      <c r="C32" s="6" t="s">
        <v>377</v>
      </c>
      <c r="D32" s="6" t="s">
        <v>15</v>
      </c>
      <c r="E32" s="6" t="s">
        <v>16</v>
      </c>
      <c r="F32" s="6" t="s">
        <v>17</v>
      </c>
      <c r="G32" s="6" t="s">
        <v>18</v>
      </c>
      <c r="H32" s="6" t="s">
        <v>19</v>
      </c>
      <c r="I32" s="6" t="s">
        <v>20</v>
      </c>
      <c r="J32" s="6" t="s">
        <v>21</v>
      </c>
    </row>
    <row r="33">
      <c r="A33" s="4">
        <v>46162.425622916664</v>
      </c>
      <c r="B33" s="6" t="s">
        <v>95</v>
      </c>
      <c r="C33" s="6" t="s">
        <v>382</v>
      </c>
      <c r="D33" s="6" t="s">
        <v>15</v>
      </c>
      <c r="E33" s="6" t="s">
        <v>16</v>
      </c>
      <c r="F33" s="6" t="s">
        <v>17</v>
      </c>
      <c r="G33" s="6" t="s">
        <v>18</v>
      </c>
      <c r="H33" s="6" t="s">
        <v>19</v>
      </c>
      <c r="I33" s="6" t="s">
        <v>20</v>
      </c>
      <c r="J33" s="6" t="s">
        <v>21</v>
      </c>
      <c r="K33" s="6" t="s">
        <v>97</v>
      </c>
    </row>
    <row r="34">
      <c r="A34" s="4">
        <v>46162.42648883101</v>
      </c>
      <c r="B34" s="6" t="s">
        <v>30</v>
      </c>
      <c r="C34" s="6" t="s">
        <v>375</v>
      </c>
      <c r="D34" s="6" t="s">
        <v>15</v>
      </c>
      <c r="E34" s="6" t="s">
        <v>16</v>
      </c>
      <c r="F34" s="6" t="s">
        <v>17</v>
      </c>
      <c r="G34" s="6" t="s">
        <v>18</v>
      </c>
      <c r="H34" s="6" t="s">
        <v>19</v>
      </c>
      <c r="I34" s="6" t="s">
        <v>20</v>
      </c>
      <c r="J34" s="6" t="s">
        <v>21</v>
      </c>
      <c r="K34" s="6" t="s">
        <v>34</v>
      </c>
    </row>
    <row r="35">
      <c r="A35" s="4">
        <v>46162.428018506944</v>
      </c>
      <c r="B35" s="6" t="s">
        <v>151</v>
      </c>
      <c r="C35" s="6" t="s">
        <v>375</v>
      </c>
      <c r="D35" s="6" t="s">
        <v>15</v>
      </c>
      <c r="E35" s="6" t="s">
        <v>16</v>
      </c>
      <c r="F35" s="6" t="s">
        <v>17</v>
      </c>
      <c r="G35" s="6" t="s">
        <v>18</v>
      </c>
      <c r="H35" s="6" t="s">
        <v>19</v>
      </c>
      <c r="I35" s="6" t="s">
        <v>20</v>
      </c>
      <c r="J35" s="6" t="s">
        <v>21</v>
      </c>
      <c r="K35" s="6" t="s">
        <v>385</v>
      </c>
    </row>
    <row r="36">
      <c r="A36" s="4">
        <v>46162.429124490736</v>
      </c>
      <c r="B36" s="6" t="s">
        <v>100</v>
      </c>
      <c r="C36" s="6" t="s">
        <v>375</v>
      </c>
      <c r="D36" s="6" t="s">
        <v>15</v>
      </c>
      <c r="E36" s="6" t="s">
        <v>16</v>
      </c>
      <c r="F36" s="6" t="s">
        <v>17</v>
      </c>
      <c r="G36" s="6" t="s">
        <v>18</v>
      </c>
      <c r="H36" s="6" t="s">
        <v>19</v>
      </c>
      <c r="I36" s="6" t="s">
        <v>20</v>
      </c>
      <c r="J36" s="6" t="s">
        <v>21</v>
      </c>
      <c r="K36" s="6" t="s">
        <v>386</v>
      </c>
    </row>
    <row r="37">
      <c r="A37" s="4">
        <v>46162.42927143519</v>
      </c>
      <c r="B37" s="6" t="s">
        <v>25</v>
      </c>
      <c r="C37" s="6" t="s">
        <v>378</v>
      </c>
      <c r="D37" s="6" t="s">
        <v>15</v>
      </c>
      <c r="E37" s="6" t="s">
        <v>16</v>
      </c>
      <c r="F37" s="6" t="s">
        <v>17</v>
      </c>
      <c r="G37" s="6" t="s">
        <v>18</v>
      </c>
      <c r="H37" s="6" t="s">
        <v>19</v>
      </c>
      <c r="I37" s="6" t="s">
        <v>20</v>
      </c>
      <c r="J37" s="6" t="s">
        <v>21</v>
      </c>
    </row>
    <row r="38">
      <c r="A38" s="4">
        <v>46162.42936403935</v>
      </c>
      <c r="B38" s="6" t="s">
        <v>63</v>
      </c>
      <c r="C38" s="6" t="s">
        <v>375</v>
      </c>
      <c r="D38" s="6" t="s">
        <v>15</v>
      </c>
      <c r="E38" s="6" t="s">
        <v>16</v>
      </c>
      <c r="F38" s="6" t="s">
        <v>17</v>
      </c>
      <c r="G38" s="6" t="s">
        <v>18</v>
      </c>
      <c r="H38" s="6" t="s">
        <v>19</v>
      </c>
      <c r="I38" s="6" t="s">
        <v>20</v>
      </c>
      <c r="J38" s="6" t="s">
        <v>21</v>
      </c>
    </row>
    <row r="39">
      <c r="A39" s="4">
        <v>46162.43162349537</v>
      </c>
      <c r="B39" s="6" t="s">
        <v>70</v>
      </c>
      <c r="C39" s="6" t="s">
        <v>375</v>
      </c>
      <c r="D39" s="6" t="s">
        <v>15</v>
      </c>
      <c r="E39" s="6" t="s">
        <v>33</v>
      </c>
      <c r="F39" s="6" t="s">
        <v>43</v>
      </c>
      <c r="G39" s="6" t="s">
        <v>18</v>
      </c>
      <c r="H39" s="6" t="s">
        <v>46</v>
      </c>
      <c r="I39" s="6" t="s">
        <v>47</v>
      </c>
      <c r="J39" s="6" t="s">
        <v>387</v>
      </c>
    </row>
    <row r="40">
      <c r="A40" s="4">
        <v>46162.43259943287</v>
      </c>
      <c r="B40" s="6" t="s">
        <v>118</v>
      </c>
      <c r="C40" s="6" t="s">
        <v>375</v>
      </c>
      <c r="D40" s="6" t="s">
        <v>15</v>
      </c>
      <c r="E40" s="6" t="s">
        <v>16</v>
      </c>
      <c r="F40" s="6" t="s">
        <v>17</v>
      </c>
      <c r="G40" s="6" t="s">
        <v>18</v>
      </c>
      <c r="H40" s="6" t="s">
        <v>19</v>
      </c>
      <c r="I40" s="6" t="s">
        <v>20</v>
      </c>
      <c r="J40" s="6" t="s">
        <v>21</v>
      </c>
    </row>
    <row r="41">
      <c r="A41" s="4">
        <v>46162.43420530093</v>
      </c>
      <c r="B41" s="6" t="s">
        <v>79</v>
      </c>
      <c r="C41" s="6" t="s">
        <v>388</v>
      </c>
      <c r="D41" s="6" t="s">
        <v>15</v>
      </c>
      <c r="E41" s="6" t="s">
        <v>16</v>
      </c>
      <c r="F41" s="6" t="s">
        <v>17</v>
      </c>
      <c r="G41" s="6" t="s">
        <v>18</v>
      </c>
      <c r="H41" s="6" t="s">
        <v>19</v>
      </c>
      <c r="I41" s="6" t="s">
        <v>20</v>
      </c>
      <c r="J41" s="6" t="s">
        <v>21</v>
      </c>
    </row>
    <row r="42">
      <c r="A42" s="4">
        <v>46162.43711537037</v>
      </c>
      <c r="B42" s="6" t="s">
        <v>31</v>
      </c>
      <c r="C42" s="6" t="s">
        <v>375</v>
      </c>
      <c r="D42" s="6" t="s">
        <v>15</v>
      </c>
      <c r="E42" s="6" t="s">
        <v>16</v>
      </c>
      <c r="F42" s="6" t="s">
        <v>17</v>
      </c>
      <c r="G42" s="6" t="s">
        <v>18</v>
      </c>
      <c r="H42" s="6" t="s">
        <v>19</v>
      </c>
      <c r="I42" s="6" t="s">
        <v>20</v>
      </c>
      <c r="J42" s="6" t="s">
        <v>21</v>
      </c>
    </row>
    <row r="43">
      <c r="A43" s="4">
        <v>46162.438595590276</v>
      </c>
      <c r="B43" s="6" t="s">
        <v>101</v>
      </c>
      <c r="C43" s="6" t="s">
        <v>375</v>
      </c>
      <c r="D43" s="6" t="s">
        <v>15</v>
      </c>
      <c r="E43" s="6" t="s">
        <v>16</v>
      </c>
      <c r="F43" s="6" t="s">
        <v>17</v>
      </c>
      <c r="G43" s="6" t="s">
        <v>18</v>
      </c>
      <c r="H43" s="6" t="s">
        <v>19</v>
      </c>
      <c r="I43" s="6" t="s">
        <v>20</v>
      </c>
      <c r="J43" s="6" t="s">
        <v>21</v>
      </c>
    </row>
    <row r="44">
      <c r="A44" s="4">
        <v>46162.43951065972</v>
      </c>
      <c r="B44" s="6" t="s">
        <v>161</v>
      </c>
      <c r="C44" s="6" t="s">
        <v>375</v>
      </c>
      <c r="D44" s="6" t="s">
        <v>15</v>
      </c>
      <c r="E44" s="6" t="s">
        <v>16</v>
      </c>
      <c r="F44" s="6" t="s">
        <v>17</v>
      </c>
      <c r="G44" s="6" t="s">
        <v>18</v>
      </c>
      <c r="H44" s="6" t="s">
        <v>19</v>
      </c>
      <c r="I44" s="6" t="s">
        <v>47</v>
      </c>
      <c r="J44" s="6" t="s">
        <v>48</v>
      </c>
    </row>
    <row r="45">
      <c r="A45" s="4">
        <v>46162.44081015047</v>
      </c>
      <c r="B45" s="6" t="s">
        <v>12</v>
      </c>
      <c r="C45" s="6" t="s">
        <v>375</v>
      </c>
      <c r="D45" s="6" t="s">
        <v>15</v>
      </c>
      <c r="E45" s="6" t="s">
        <v>16</v>
      </c>
      <c r="F45" s="6" t="s">
        <v>17</v>
      </c>
      <c r="G45" s="6" t="s">
        <v>18</v>
      </c>
      <c r="H45" s="6" t="s">
        <v>19</v>
      </c>
      <c r="I45" s="6" t="s">
        <v>20</v>
      </c>
      <c r="J45" s="6" t="s">
        <v>21</v>
      </c>
    </row>
    <row r="46">
      <c r="A46" s="4">
        <v>46162.44596728009</v>
      </c>
      <c r="B46" s="6" t="s">
        <v>124</v>
      </c>
      <c r="C46" s="6" t="s">
        <v>375</v>
      </c>
      <c r="D46" s="6" t="s">
        <v>15</v>
      </c>
      <c r="E46" s="6" t="s">
        <v>16</v>
      </c>
      <c r="F46" s="6" t="s">
        <v>17</v>
      </c>
      <c r="G46" s="6" t="s">
        <v>18</v>
      </c>
      <c r="H46" s="6" t="s">
        <v>19</v>
      </c>
      <c r="I46" s="6" t="s">
        <v>20</v>
      </c>
      <c r="J46" s="6" t="s">
        <v>21</v>
      </c>
    </row>
    <row r="47">
      <c r="A47" s="4">
        <v>46162.447110486115</v>
      </c>
      <c r="B47" s="6" t="s">
        <v>130</v>
      </c>
      <c r="C47" s="6" t="s">
        <v>375</v>
      </c>
      <c r="D47" s="6" t="s">
        <v>15</v>
      </c>
      <c r="E47" s="6" t="s">
        <v>16</v>
      </c>
      <c r="F47" s="6" t="s">
        <v>17</v>
      </c>
      <c r="G47" s="6" t="s">
        <v>18</v>
      </c>
      <c r="H47" s="6" t="s">
        <v>19</v>
      </c>
      <c r="I47" s="6" t="s">
        <v>20</v>
      </c>
      <c r="J47" s="6" t="s">
        <v>21</v>
      </c>
      <c r="K47" s="6" t="s">
        <v>389</v>
      </c>
    </row>
    <row r="48">
      <c r="A48" s="4">
        <v>46162.44722076389</v>
      </c>
      <c r="B48" s="6" t="s">
        <v>86</v>
      </c>
      <c r="C48" s="6" t="s">
        <v>340</v>
      </c>
      <c r="D48" s="6" t="s">
        <v>15</v>
      </c>
      <c r="E48" s="6" t="s">
        <v>16</v>
      </c>
      <c r="F48" s="6" t="s">
        <v>17</v>
      </c>
      <c r="G48" s="6" t="s">
        <v>18</v>
      </c>
      <c r="H48" s="6" t="s">
        <v>19</v>
      </c>
      <c r="I48" s="6" t="s">
        <v>20</v>
      </c>
      <c r="J48" s="6" t="s">
        <v>21</v>
      </c>
      <c r="K48" s="6" t="s">
        <v>97</v>
      </c>
    </row>
    <row r="49">
      <c r="A49" s="4">
        <v>46162.44987803241</v>
      </c>
      <c r="B49" s="6" t="s">
        <v>11</v>
      </c>
      <c r="C49" s="6" t="s">
        <v>375</v>
      </c>
      <c r="D49" s="6" t="s">
        <v>15</v>
      </c>
      <c r="E49" s="6" t="s">
        <v>16</v>
      </c>
      <c r="F49" s="6" t="s">
        <v>17</v>
      </c>
      <c r="G49" s="6" t="s">
        <v>18</v>
      </c>
      <c r="H49" s="6" t="s">
        <v>19</v>
      </c>
      <c r="I49" s="6" t="s">
        <v>20</v>
      </c>
      <c r="J49" s="6" t="s">
        <v>21</v>
      </c>
    </row>
    <row r="50">
      <c r="A50" s="4">
        <v>46162.45123493056</v>
      </c>
      <c r="B50" s="6" t="s">
        <v>67</v>
      </c>
      <c r="C50" s="6" t="s">
        <v>390</v>
      </c>
      <c r="D50" s="6" t="s">
        <v>15</v>
      </c>
      <c r="E50" s="6" t="s">
        <v>16</v>
      </c>
      <c r="F50" s="6" t="s">
        <v>17</v>
      </c>
      <c r="G50" s="6" t="s">
        <v>18</v>
      </c>
      <c r="H50" s="6" t="s">
        <v>19</v>
      </c>
      <c r="I50" s="6" t="s">
        <v>20</v>
      </c>
      <c r="J50" s="6" t="s">
        <v>21</v>
      </c>
      <c r="K50" s="6" t="s">
        <v>29</v>
      </c>
    </row>
    <row r="51">
      <c r="A51" s="4">
        <v>46162.454038067124</v>
      </c>
      <c r="B51" s="6" t="s">
        <v>113</v>
      </c>
      <c r="C51" s="6" t="s">
        <v>375</v>
      </c>
      <c r="D51" s="6" t="s">
        <v>15</v>
      </c>
      <c r="E51" s="6" t="s">
        <v>16</v>
      </c>
      <c r="F51" s="6" t="s">
        <v>17</v>
      </c>
      <c r="G51" s="6" t="s">
        <v>18</v>
      </c>
      <c r="H51" s="6" t="s">
        <v>19</v>
      </c>
      <c r="I51" s="6" t="s">
        <v>47</v>
      </c>
      <c r="J51" s="6" t="s">
        <v>48</v>
      </c>
    </row>
    <row r="52">
      <c r="A52" s="4">
        <v>46162.46622488426</v>
      </c>
      <c r="B52" s="6" t="s">
        <v>104</v>
      </c>
      <c r="C52" s="6" t="s">
        <v>375</v>
      </c>
      <c r="D52" s="6" t="s">
        <v>15</v>
      </c>
      <c r="E52" s="6" t="s">
        <v>16</v>
      </c>
      <c r="F52" s="6" t="s">
        <v>17</v>
      </c>
      <c r="G52" s="6" t="s">
        <v>18</v>
      </c>
      <c r="H52" s="6" t="s">
        <v>19</v>
      </c>
      <c r="I52" s="6" t="s">
        <v>20</v>
      </c>
      <c r="J52" s="6" t="s">
        <v>21</v>
      </c>
    </row>
    <row r="53">
      <c r="A53" s="4">
        <v>46162.469985937496</v>
      </c>
      <c r="B53" s="6" t="s">
        <v>61</v>
      </c>
      <c r="C53" s="6" t="s">
        <v>379</v>
      </c>
      <c r="D53" s="6" t="s">
        <v>15</v>
      </c>
      <c r="E53" s="6" t="s">
        <v>16</v>
      </c>
      <c r="F53" s="6" t="s">
        <v>17</v>
      </c>
      <c r="G53" s="6" t="s">
        <v>18</v>
      </c>
      <c r="H53" s="6" t="s">
        <v>19</v>
      </c>
      <c r="I53" s="6" t="s">
        <v>20</v>
      </c>
      <c r="J53" s="6" t="s">
        <v>21</v>
      </c>
    </row>
    <row r="54">
      <c r="A54" s="4">
        <v>46162.470358425926</v>
      </c>
      <c r="B54" s="6" t="s">
        <v>119</v>
      </c>
      <c r="C54" s="6" t="s">
        <v>375</v>
      </c>
      <c r="D54" s="6" t="s">
        <v>15</v>
      </c>
      <c r="E54" s="6" t="s">
        <v>16</v>
      </c>
      <c r="F54" s="6" t="s">
        <v>43</v>
      </c>
      <c r="G54" s="6" t="s">
        <v>18</v>
      </c>
      <c r="H54" s="6" t="s">
        <v>19</v>
      </c>
      <c r="I54" s="6" t="s">
        <v>47</v>
      </c>
      <c r="J54" s="6" t="s">
        <v>21</v>
      </c>
      <c r="K54" s="6" t="s">
        <v>29</v>
      </c>
    </row>
    <row r="55">
      <c r="A55" s="4">
        <v>46162.47117471065</v>
      </c>
      <c r="B55" s="6" t="s">
        <v>114</v>
      </c>
      <c r="C55" s="6" t="s">
        <v>376</v>
      </c>
      <c r="D55" s="6" t="s">
        <v>15</v>
      </c>
      <c r="E55" s="6" t="s">
        <v>16</v>
      </c>
      <c r="F55" s="6" t="s">
        <v>17</v>
      </c>
      <c r="G55" s="6" t="s">
        <v>18</v>
      </c>
      <c r="H55" s="6" t="s">
        <v>19</v>
      </c>
      <c r="I55" s="6" t="s">
        <v>20</v>
      </c>
      <c r="J55" s="6" t="s">
        <v>21</v>
      </c>
      <c r="K55" s="6" t="s">
        <v>391</v>
      </c>
    </row>
    <row r="56">
      <c r="A56" s="4">
        <v>46162.47133912037</v>
      </c>
      <c r="B56" s="6" t="s">
        <v>74</v>
      </c>
      <c r="C56" s="6" t="s">
        <v>375</v>
      </c>
      <c r="D56" s="6" t="s">
        <v>15</v>
      </c>
      <c r="E56" s="6" t="s">
        <v>16</v>
      </c>
      <c r="F56" s="6" t="s">
        <v>17</v>
      </c>
      <c r="G56" s="6" t="s">
        <v>18</v>
      </c>
      <c r="H56" s="6" t="s">
        <v>19</v>
      </c>
      <c r="I56" s="6" t="s">
        <v>20</v>
      </c>
      <c r="J56" s="6" t="s">
        <v>21</v>
      </c>
    </row>
    <row r="57">
      <c r="A57" s="4">
        <v>46162.4717459838</v>
      </c>
      <c r="B57" s="6" t="s">
        <v>125</v>
      </c>
      <c r="C57" s="6" t="s">
        <v>382</v>
      </c>
      <c r="D57" s="6" t="s">
        <v>15</v>
      </c>
      <c r="E57" s="6" t="s">
        <v>16</v>
      </c>
      <c r="F57" s="6" t="s">
        <v>17</v>
      </c>
      <c r="G57" s="6" t="s">
        <v>18</v>
      </c>
      <c r="H57" s="6" t="s">
        <v>19</v>
      </c>
      <c r="I57" s="6" t="s">
        <v>20</v>
      </c>
      <c r="J57" s="6" t="s">
        <v>21</v>
      </c>
    </row>
    <row r="58">
      <c r="A58" s="4">
        <v>46162.47346597222</v>
      </c>
      <c r="B58" s="6" t="s">
        <v>144</v>
      </c>
      <c r="C58" s="6" t="s">
        <v>375</v>
      </c>
      <c r="D58" s="6" t="s">
        <v>15</v>
      </c>
      <c r="E58" s="6" t="s">
        <v>16</v>
      </c>
      <c r="F58" s="6" t="s">
        <v>17</v>
      </c>
      <c r="G58" s="6" t="s">
        <v>18</v>
      </c>
      <c r="H58" s="6" t="s">
        <v>19</v>
      </c>
      <c r="I58" s="6" t="s">
        <v>20</v>
      </c>
      <c r="J58" s="6" t="s">
        <v>21</v>
      </c>
    </row>
    <row r="59">
      <c r="A59" s="4">
        <v>46162.47377440972</v>
      </c>
      <c r="B59" s="6" t="s">
        <v>121</v>
      </c>
      <c r="C59" s="6" t="s">
        <v>375</v>
      </c>
      <c r="D59" s="6" t="s">
        <v>15</v>
      </c>
      <c r="E59" s="6" t="s">
        <v>33</v>
      </c>
      <c r="F59" s="6" t="s">
        <v>17</v>
      </c>
      <c r="G59" s="6" t="s">
        <v>18</v>
      </c>
      <c r="H59" s="6" t="s">
        <v>19</v>
      </c>
      <c r="I59" s="6" t="s">
        <v>20</v>
      </c>
      <c r="J59" s="6" t="s">
        <v>21</v>
      </c>
    </row>
    <row r="60">
      <c r="A60" s="4">
        <v>46162.47426768519</v>
      </c>
      <c r="B60" s="6" t="s">
        <v>98</v>
      </c>
      <c r="C60" s="6" t="s">
        <v>379</v>
      </c>
      <c r="D60" s="6" t="s">
        <v>15</v>
      </c>
      <c r="E60" s="6" t="s">
        <v>16</v>
      </c>
      <c r="F60" s="6" t="s">
        <v>17</v>
      </c>
      <c r="G60" s="6" t="s">
        <v>18</v>
      </c>
      <c r="H60" s="6" t="s">
        <v>19</v>
      </c>
      <c r="I60" s="6" t="s">
        <v>20</v>
      </c>
      <c r="J60" s="6" t="s">
        <v>21</v>
      </c>
    </row>
    <row r="61">
      <c r="A61" s="4">
        <v>46162.474825972226</v>
      </c>
      <c r="B61" s="6" t="s">
        <v>110</v>
      </c>
      <c r="C61" s="6" t="s">
        <v>375</v>
      </c>
      <c r="D61" s="6" t="s">
        <v>15</v>
      </c>
      <c r="E61" s="6" t="s">
        <v>16</v>
      </c>
      <c r="F61" s="6" t="s">
        <v>17</v>
      </c>
      <c r="G61" s="6" t="s">
        <v>18</v>
      </c>
      <c r="H61" s="6" t="s">
        <v>19</v>
      </c>
      <c r="I61" s="6" t="s">
        <v>20</v>
      </c>
      <c r="J61" s="6" t="s">
        <v>21</v>
      </c>
    </row>
    <row r="62">
      <c r="A62" s="4">
        <v>46162.47621980324</v>
      </c>
      <c r="B62" s="6" t="s">
        <v>171</v>
      </c>
      <c r="C62" s="6" t="s">
        <v>375</v>
      </c>
      <c r="D62" s="6" t="s">
        <v>41</v>
      </c>
      <c r="E62" s="6" t="s">
        <v>16</v>
      </c>
      <c r="F62" s="6" t="s">
        <v>17</v>
      </c>
      <c r="G62" s="6" t="s">
        <v>18</v>
      </c>
      <c r="H62" s="6" t="s">
        <v>19</v>
      </c>
      <c r="I62" s="6" t="s">
        <v>20</v>
      </c>
      <c r="J62" s="6" t="s">
        <v>21</v>
      </c>
    </row>
    <row r="63">
      <c r="A63" s="4">
        <v>46162.4767996875</v>
      </c>
      <c r="B63" s="6" t="s">
        <v>126</v>
      </c>
      <c r="C63" s="6" t="s">
        <v>375</v>
      </c>
      <c r="D63" s="6" t="s">
        <v>15</v>
      </c>
      <c r="E63" s="6" t="s">
        <v>16</v>
      </c>
      <c r="F63" s="6" t="s">
        <v>17</v>
      </c>
      <c r="G63" s="6" t="s">
        <v>18</v>
      </c>
      <c r="H63" s="6" t="s">
        <v>19</v>
      </c>
      <c r="I63" s="6" t="s">
        <v>20</v>
      </c>
      <c r="J63" s="6" t="s">
        <v>21</v>
      </c>
    </row>
    <row r="64">
      <c r="A64" s="4">
        <v>46162.478028171296</v>
      </c>
      <c r="B64" s="6" t="s">
        <v>158</v>
      </c>
      <c r="C64" s="6" t="s">
        <v>375</v>
      </c>
      <c r="D64" s="6" t="s">
        <v>15</v>
      </c>
      <c r="E64" s="6" t="s">
        <v>16</v>
      </c>
      <c r="F64" s="6" t="s">
        <v>17</v>
      </c>
      <c r="G64" s="6" t="s">
        <v>18</v>
      </c>
      <c r="H64" s="6" t="s">
        <v>19</v>
      </c>
      <c r="I64" s="6" t="s">
        <v>20</v>
      </c>
      <c r="J64" s="6" t="s">
        <v>21</v>
      </c>
    </row>
    <row r="65">
      <c r="A65" s="4">
        <v>46162.47855201389</v>
      </c>
      <c r="B65" s="6" t="s">
        <v>134</v>
      </c>
      <c r="C65" s="6" t="s">
        <v>375</v>
      </c>
      <c r="D65" s="6" t="s">
        <v>15</v>
      </c>
      <c r="E65" s="6" t="s">
        <v>16</v>
      </c>
      <c r="F65" s="6" t="s">
        <v>17</v>
      </c>
      <c r="G65" s="6" t="s">
        <v>18</v>
      </c>
      <c r="H65" s="6" t="s">
        <v>19</v>
      </c>
      <c r="I65" s="6" t="s">
        <v>20</v>
      </c>
      <c r="J65" s="6" t="s">
        <v>21</v>
      </c>
    </row>
    <row r="66">
      <c r="A66" s="4">
        <v>46162.4791615625</v>
      </c>
      <c r="B66" s="6" t="s">
        <v>75</v>
      </c>
      <c r="C66" s="6" t="s">
        <v>375</v>
      </c>
      <c r="D66" s="6" t="s">
        <v>15</v>
      </c>
      <c r="E66" s="6" t="s">
        <v>16</v>
      </c>
      <c r="F66" s="6" t="s">
        <v>17</v>
      </c>
      <c r="G66" s="6" t="s">
        <v>18</v>
      </c>
      <c r="H66" s="6" t="s">
        <v>19</v>
      </c>
      <c r="I66" s="6" t="s">
        <v>20</v>
      </c>
      <c r="J66" s="6" t="s">
        <v>21</v>
      </c>
    </row>
    <row r="67">
      <c r="A67" s="4">
        <v>46162.480843425925</v>
      </c>
      <c r="B67" s="6" t="s">
        <v>51</v>
      </c>
      <c r="C67" s="6" t="s">
        <v>375</v>
      </c>
      <c r="D67" s="6" t="s">
        <v>15</v>
      </c>
      <c r="E67" s="6" t="s">
        <v>16</v>
      </c>
      <c r="F67" s="6" t="s">
        <v>17</v>
      </c>
      <c r="G67" s="6" t="s">
        <v>18</v>
      </c>
      <c r="H67" s="6" t="s">
        <v>19</v>
      </c>
      <c r="I67" s="6" t="s">
        <v>47</v>
      </c>
      <c r="J67" s="6" t="s">
        <v>48</v>
      </c>
      <c r="K67" s="6" t="s">
        <v>392</v>
      </c>
    </row>
    <row r="68">
      <c r="A68" s="4">
        <v>46162.48215545139</v>
      </c>
      <c r="B68" s="6" t="s">
        <v>54</v>
      </c>
      <c r="C68" s="6" t="s">
        <v>375</v>
      </c>
      <c r="D68" s="6" t="s">
        <v>15</v>
      </c>
      <c r="E68" s="6" t="s">
        <v>16</v>
      </c>
      <c r="F68" s="6" t="s">
        <v>17</v>
      </c>
      <c r="G68" s="6" t="s">
        <v>18</v>
      </c>
      <c r="H68" s="6" t="s">
        <v>19</v>
      </c>
      <c r="I68" s="6" t="s">
        <v>47</v>
      </c>
      <c r="J68" s="6" t="s">
        <v>48</v>
      </c>
    </row>
    <row r="69">
      <c r="A69" s="4">
        <v>46162.48337663195</v>
      </c>
      <c r="B69" s="6" t="s">
        <v>169</v>
      </c>
      <c r="C69" s="6" t="s">
        <v>379</v>
      </c>
      <c r="D69" s="6" t="s">
        <v>15</v>
      </c>
      <c r="E69" s="6" t="s">
        <v>16</v>
      </c>
      <c r="F69" s="6" t="s">
        <v>17</v>
      </c>
      <c r="G69" s="6" t="s">
        <v>18</v>
      </c>
      <c r="H69" s="6" t="s">
        <v>19</v>
      </c>
      <c r="I69" s="6" t="s">
        <v>20</v>
      </c>
      <c r="J69" s="6" t="s">
        <v>21</v>
      </c>
    </row>
    <row r="70">
      <c r="A70" s="4">
        <v>46162.51128658565</v>
      </c>
      <c r="B70" s="6" t="s">
        <v>162</v>
      </c>
      <c r="C70" s="6" t="s">
        <v>375</v>
      </c>
      <c r="D70" s="6" t="s">
        <v>15</v>
      </c>
      <c r="E70" s="6" t="s">
        <v>16</v>
      </c>
      <c r="F70" s="6" t="s">
        <v>17</v>
      </c>
      <c r="G70" s="6" t="s">
        <v>18</v>
      </c>
      <c r="H70" s="6" t="s">
        <v>19</v>
      </c>
      <c r="I70" s="6" t="s">
        <v>20</v>
      </c>
      <c r="J70" s="6" t="s">
        <v>48</v>
      </c>
    </row>
    <row r="71">
      <c r="A71" s="4">
        <v>46162.65405899305</v>
      </c>
      <c r="B71" s="6" t="s">
        <v>73</v>
      </c>
      <c r="C71" s="6" t="s">
        <v>379</v>
      </c>
      <c r="D71" s="6" t="s">
        <v>41</v>
      </c>
      <c r="E71" s="6" t="s">
        <v>16</v>
      </c>
      <c r="F71" s="6" t="s">
        <v>17</v>
      </c>
      <c r="G71" s="6" t="s">
        <v>18</v>
      </c>
      <c r="H71" s="6" t="s">
        <v>19</v>
      </c>
      <c r="I71" s="6" t="s">
        <v>47</v>
      </c>
      <c r="J71" s="6" t="s">
        <v>21</v>
      </c>
    </row>
    <row r="72">
      <c r="A72" s="4">
        <v>46162.67139726852</v>
      </c>
      <c r="B72" s="6" t="s">
        <v>76</v>
      </c>
      <c r="C72" s="6" t="s">
        <v>393</v>
      </c>
      <c r="D72" s="6" t="s">
        <v>15</v>
      </c>
      <c r="E72" s="6" t="s">
        <v>16</v>
      </c>
      <c r="F72" s="6" t="s">
        <v>17</v>
      </c>
      <c r="G72" s="6" t="s">
        <v>18</v>
      </c>
      <c r="H72" s="6" t="s">
        <v>19</v>
      </c>
      <c r="I72" s="6" t="s">
        <v>20</v>
      </c>
      <c r="J72" s="6" t="s">
        <v>21</v>
      </c>
    </row>
    <row r="73">
      <c r="A73" s="4">
        <v>46162.930524780095</v>
      </c>
      <c r="B73" s="6" t="s">
        <v>128</v>
      </c>
      <c r="C73" s="6" t="s">
        <v>375</v>
      </c>
      <c r="D73" s="6" t="s">
        <v>15</v>
      </c>
      <c r="E73" s="6" t="s">
        <v>16</v>
      </c>
      <c r="F73" s="6" t="s">
        <v>17</v>
      </c>
      <c r="G73" s="6" t="s">
        <v>18</v>
      </c>
      <c r="H73" s="6" t="s">
        <v>19</v>
      </c>
      <c r="I73" s="6" t="s">
        <v>20</v>
      </c>
      <c r="J73" s="6" t="s">
        <v>21</v>
      </c>
      <c r="K73" s="6" t="s">
        <v>29</v>
      </c>
    </row>
    <row r="74">
      <c r="A74" s="4">
        <v>46163.4755877662</v>
      </c>
      <c r="B74" s="6" t="s">
        <v>22</v>
      </c>
      <c r="C74" s="6" t="s">
        <v>376</v>
      </c>
      <c r="D74" s="6" t="s">
        <v>15</v>
      </c>
      <c r="E74" s="6" t="s">
        <v>33</v>
      </c>
      <c r="F74" s="6" t="s">
        <v>17</v>
      </c>
      <c r="G74" s="6" t="s">
        <v>18</v>
      </c>
      <c r="H74" s="6" t="s">
        <v>19</v>
      </c>
      <c r="I74" s="6" t="s">
        <v>20</v>
      </c>
      <c r="J74" s="6" t="s">
        <v>21</v>
      </c>
    </row>
    <row r="75">
      <c r="A75" s="4">
        <v>46167.927009756946</v>
      </c>
      <c r="B75" s="6" t="s">
        <v>89</v>
      </c>
      <c r="C75" s="6" t="s">
        <v>375</v>
      </c>
      <c r="D75" s="6" t="s">
        <v>15</v>
      </c>
      <c r="E75" s="6" t="s">
        <v>16</v>
      </c>
      <c r="F75" s="6" t="s">
        <v>17</v>
      </c>
      <c r="G75" s="6" t="s">
        <v>18</v>
      </c>
      <c r="H75" s="6" t="s">
        <v>19</v>
      </c>
      <c r="I75" s="6" t="s">
        <v>20</v>
      </c>
      <c r="J75" s="6" t="s">
        <v>21</v>
      </c>
      <c r="K75" s="6" t="s">
        <v>29</v>
      </c>
    </row>
    <row r="76">
      <c r="A76" s="4">
        <v>46189.55351550926</v>
      </c>
      <c r="B76" s="6" t="s">
        <v>59</v>
      </c>
      <c r="C76" s="6" t="s">
        <v>60</v>
      </c>
      <c r="D76" s="6" t="s">
        <v>15</v>
      </c>
      <c r="E76" s="6" t="s">
        <v>16</v>
      </c>
      <c r="F76" s="6" t="s">
        <v>17</v>
      </c>
      <c r="G76" s="6" t="s">
        <v>18</v>
      </c>
      <c r="H76" s="6" t="s">
        <v>19</v>
      </c>
      <c r="I76" s="6" t="s">
        <v>20</v>
      </c>
      <c r="J76" s="6" t="s">
        <v>21</v>
      </c>
    </row>
    <row r="77">
      <c r="A77" s="4">
        <v>46212.62634495371</v>
      </c>
      <c r="B77" s="6" t="s">
        <v>88</v>
      </c>
      <c r="C77" s="6" t="s">
        <v>394</v>
      </c>
      <c r="D77" s="6" t="s">
        <v>15</v>
      </c>
      <c r="E77" s="6" t="s">
        <v>16</v>
      </c>
      <c r="F77" s="6" t="s">
        <v>17</v>
      </c>
      <c r="G77" s="6" t="s">
        <v>18</v>
      </c>
      <c r="H77" s="6" t="s">
        <v>19</v>
      </c>
      <c r="I77" s="6" t="s">
        <v>20</v>
      </c>
      <c r="J77" s="6" t="s">
        <v>21</v>
      </c>
    </row>
    <row r="78">
      <c r="A78" s="4">
        <v>46212.626399444445</v>
      </c>
      <c r="B78" s="6" t="s">
        <v>133</v>
      </c>
      <c r="C78" s="6" t="s">
        <v>395</v>
      </c>
      <c r="D78" s="6" t="s">
        <v>15</v>
      </c>
      <c r="E78" s="6" t="s">
        <v>16</v>
      </c>
      <c r="F78" s="6" t="s">
        <v>17</v>
      </c>
      <c r="G78" s="6" t="s">
        <v>18</v>
      </c>
      <c r="H78" s="6" t="s">
        <v>19</v>
      </c>
      <c r="I78" s="6" t="s">
        <v>20</v>
      </c>
      <c r="J78" s="6" t="s">
        <v>21</v>
      </c>
    </row>
    <row r="79">
      <c r="A79" s="4">
        <v>46212.632014166666</v>
      </c>
      <c r="B79" s="6" t="s">
        <v>81</v>
      </c>
      <c r="C79" s="6" t="s">
        <v>394</v>
      </c>
      <c r="D79" s="6" t="s">
        <v>15</v>
      </c>
      <c r="E79" s="6" t="s">
        <v>16</v>
      </c>
      <c r="F79" s="6" t="s">
        <v>17</v>
      </c>
      <c r="G79" s="6" t="s">
        <v>18</v>
      </c>
      <c r="H79" s="6" t="s">
        <v>19</v>
      </c>
      <c r="I79" s="6" t="s">
        <v>20</v>
      </c>
      <c r="J79" s="6" t="s">
        <v>21</v>
      </c>
    </row>
    <row r="80">
      <c r="A80" s="4">
        <v>46212.63452255787</v>
      </c>
      <c r="B80" s="6" t="s">
        <v>137</v>
      </c>
      <c r="C80" s="6" t="s">
        <v>396</v>
      </c>
      <c r="D80" s="6" t="s">
        <v>15</v>
      </c>
      <c r="E80" s="6" t="s">
        <v>16</v>
      </c>
      <c r="F80" s="6" t="s">
        <v>17</v>
      </c>
      <c r="G80" s="6" t="s">
        <v>18</v>
      </c>
      <c r="H80" s="6" t="s">
        <v>19</v>
      </c>
      <c r="I80" s="6" t="s">
        <v>20</v>
      </c>
      <c r="J80" s="6" t="s">
        <v>21</v>
      </c>
    </row>
    <row r="81">
      <c r="A81" s="4">
        <v>46213.398243020834</v>
      </c>
      <c r="B81" s="6" t="s">
        <v>53</v>
      </c>
      <c r="C81" s="6" t="s">
        <v>361</v>
      </c>
      <c r="D81" s="6" t="s">
        <v>15</v>
      </c>
      <c r="E81" s="6" t="s">
        <v>16</v>
      </c>
      <c r="F81" s="6" t="s">
        <v>17</v>
      </c>
      <c r="G81" s="6" t="s">
        <v>18</v>
      </c>
      <c r="H81" s="6" t="s">
        <v>19</v>
      </c>
      <c r="I81" s="6" t="s">
        <v>20</v>
      </c>
      <c r="J81" s="6" t="s">
        <v>21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4" max="4" width="2.13"/>
    <col customWidth="1" min="14" max="14" width="24.5"/>
  </cols>
  <sheetData>
    <row r="1">
      <c r="A1" s="2" t="s">
        <v>0</v>
      </c>
      <c r="B1" s="2" t="s">
        <v>1</v>
      </c>
      <c r="C1" s="3" t="s">
        <v>2</v>
      </c>
      <c r="D1" s="5"/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3" t="s">
        <v>9</v>
      </c>
      <c r="L1" s="2"/>
      <c r="M1" s="7" t="s">
        <v>24</v>
      </c>
    </row>
    <row r="2">
      <c r="A2" s="8">
        <f>'1.7'!A:A</f>
        <v>46160.50754</v>
      </c>
      <c r="B2" s="2" t="str">
        <f>'1.7'!B:B</f>
        <v>bnco0902@signalschool.ac.th</v>
      </c>
      <c r="C2" s="2" t="str">
        <f>'1.7'!C:C</f>
        <v>ส.อ.ธันวา เพิกแย้ม</v>
      </c>
      <c r="D2" s="9">
        <v>1.0</v>
      </c>
      <c r="E2" s="10">
        <f>IFERROR(vlookup('1.7'!D:D,lookup!$A$2:$B$4,2,false),0)</f>
        <v>5</v>
      </c>
      <c r="F2" s="10">
        <f>IFERROR(vlookup('1.7'!E:E,lookup!$A$6:$B$8,2,false),0)</f>
        <v>5</v>
      </c>
      <c r="G2" s="10">
        <f>IFERROR(vlookup('1.7'!F:F,lookup!$A$10:$B$12,2,false),0)</f>
        <v>5</v>
      </c>
      <c r="H2" s="10">
        <f>IFERROR(vlookup('1.7'!G:G,lookup!$A$14:$B$16,2,false),0)</f>
        <v>5</v>
      </c>
      <c r="I2" s="10">
        <f>IFERROR(vlookup('1.7'!H:H,lookup!$A$18:$B$20,2,false),0)</f>
        <v>5</v>
      </c>
      <c r="J2" s="10">
        <f>IFERROR(vlookup('1.7'!I:I,lookup!$A$22:$B$24,2,false),0)</f>
        <v>5</v>
      </c>
      <c r="K2" s="10">
        <f>IFERROR(vlookup('1.7'!J:J,lookup!$A$26:$B$28,2,false),0)</f>
        <v>5</v>
      </c>
      <c r="L2" s="2"/>
      <c r="M2" s="10">
        <v>1.0</v>
      </c>
      <c r="N2" s="11" t="str">
        <f t="shared" ref="N2:N81" si="1">CONCAT(R2,"@signalschool.ac.th")</f>
        <v>bnco0901@signalschool.ac.th</v>
      </c>
      <c r="O2" s="12">
        <f t="shared" ref="O2:O81" si="2">IFERROR(VLOOKUP(N2,B$2:D$81,3,FALSE),0)</f>
        <v>1</v>
      </c>
      <c r="R2" s="17" t="s">
        <v>116</v>
      </c>
    </row>
    <row r="3">
      <c r="A3" s="8">
        <f>'1.7'!A:A</f>
        <v>46162.41333</v>
      </c>
      <c r="B3" s="2" t="str">
        <f>'1.7'!B:B</f>
        <v>bnco0909@signalschool.ac.th</v>
      </c>
      <c r="C3" s="2" t="str">
        <f>'1.7'!C:C</f>
        <v>พ.ต.ประทีป</v>
      </c>
      <c r="D3" s="9">
        <v>1.0</v>
      </c>
      <c r="E3" s="10">
        <f>IFERROR(vlookup('1.7'!D:D,lookup!$A$2:$B$4,2,false),0)</f>
        <v>5</v>
      </c>
      <c r="F3" s="10">
        <f>IFERROR(vlookup('1.7'!E:E,lookup!$A$6:$B$8,2,false),0)</f>
        <v>5</v>
      </c>
      <c r="G3" s="10">
        <f>IFERROR(vlookup('1.7'!F:F,lookup!$A$10:$B$12,2,false),0)</f>
        <v>5</v>
      </c>
      <c r="H3" s="10">
        <f>IFERROR(vlookup('1.7'!G:G,lookup!$A$14:$B$16,2,false),0)</f>
        <v>5</v>
      </c>
      <c r="I3" s="10">
        <f>IFERROR(vlookup('1.7'!H:H,lookup!$A$18:$B$20,2,false),0)</f>
        <v>5</v>
      </c>
      <c r="J3" s="10">
        <f>IFERROR(vlookup('1.7'!I:I,lookup!$A$22:$B$24,2,false),0)</f>
        <v>5</v>
      </c>
      <c r="K3" s="10">
        <f>IFERROR(vlookup('1.7'!J:J,lookup!$A$26:$B$28,2,false),0)</f>
        <v>5</v>
      </c>
      <c r="L3" s="2"/>
      <c r="M3" s="10">
        <v>2.0</v>
      </c>
      <c r="N3" s="11" t="str">
        <f t="shared" si="1"/>
        <v>bnco0902@signalschool.ac.th</v>
      </c>
      <c r="O3" s="12">
        <f t="shared" si="2"/>
        <v>1</v>
      </c>
      <c r="R3" s="17" t="s">
        <v>157</v>
      </c>
    </row>
    <row r="4">
      <c r="A4" s="8">
        <f>'1.7'!A:A</f>
        <v>46162.41531</v>
      </c>
      <c r="B4" s="2" t="str">
        <f>'1.7'!B:B</f>
        <v>bnco0951@signalschool.ac.th</v>
      </c>
      <c r="C4" s="2" t="str">
        <f>'1.7'!C:C</f>
        <v>51 ส.อ.อธิพัฒน์ เสงี่ยมพันธ์ , พ.ต.ประทีบ คุ้มยิ้ม</v>
      </c>
      <c r="D4" s="9">
        <v>1.0</v>
      </c>
      <c r="E4" s="10">
        <f>IFERROR(vlookup('1.7'!D:D,lookup!$A$2:$B$4,2,false),0)</f>
        <v>5</v>
      </c>
      <c r="F4" s="10">
        <f>IFERROR(vlookup('1.7'!E:E,lookup!$A$6:$B$8,2,false),0)</f>
        <v>5</v>
      </c>
      <c r="G4" s="10">
        <f>IFERROR(vlookup('1.7'!F:F,lookup!$A$10:$B$12,2,false),0)</f>
        <v>5</v>
      </c>
      <c r="H4" s="10">
        <f>IFERROR(vlookup('1.7'!G:G,lookup!$A$14:$B$16,2,false),0)</f>
        <v>5</v>
      </c>
      <c r="I4" s="10">
        <f>IFERROR(vlookup('1.7'!H:H,lookup!$A$18:$B$20,2,false),0)</f>
        <v>5</v>
      </c>
      <c r="J4" s="10">
        <f>IFERROR(vlookup('1.7'!I:I,lookup!$A$22:$B$24,2,false),0)</f>
        <v>5</v>
      </c>
      <c r="K4" s="10">
        <f>IFERROR(vlookup('1.7'!J:J,lookup!$A$26:$B$28,2,false),0)</f>
        <v>5</v>
      </c>
      <c r="L4" s="2"/>
      <c r="M4" s="10">
        <v>3.0</v>
      </c>
      <c r="N4" s="11" t="str">
        <f t="shared" si="1"/>
        <v>bnco0903@signalschool.ac.th</v>
      </c>
      <c r="O4" s="12">
        <f t="shared" si="2"/>
        <v>1</v>
      </c>
      <c r="R4" s="17" t="s">
        <v>182</v>
      </c>
    </row>
    <row r="5">
      <c r="A5" s="8">
        <f>'1.7'!A:A</f>
        <v>46162.41633</v>
      </c>
      <c r="B5" s="2" t="str">
        <f>'1.7'!B:B</f>
        <v>bnco0941@signalschool.ac.th</v>
      </c>
      <c r="C5" s="2" t="str">
        <f>'1.7'!C:C</f>
        <v>พ.ต.ประทีป คุ้มยิ้ม</v>
      </c>
      <c r="D5" s="9">
        <v>1.0</v>
      </c>
      <c r="E5" s="10">
        <f>IFERROR(vlookup('1.7'!D:D,lookup!$A$2:$B$4,2,false),0)</f>
        <v>5</v>
      </c>
      <c r="F5" s="10">
        <f>IFERROR(vlookup('1.7'!E:E,lookup!$A$6:$B$8,2,false),0)</f>
        <v>5</v>
      </c>
      <c r="G5" s="10">
        <f>IFERROR(vlookup('1.7'!F:F,lookup!$A$10:$B$12,2,false),0)</f>
        <v>5</v>
      </c>
      <c r="H5" s="10">
        <f>IFERROR(vlookup('1.7'!G:G,lookup!$A$14:$B$16,2,false),0)</f>
        <v>5</v>
      </c>
      <c r="I5" s="10">
        <f>IFERROR(vlookup('1.7'!H:H,lookup!$A$18:$B$20,2,false),0)</f>
        <v>5</v>
      </c>
      <c r="J5" s="10">
        <f>IFERROR(vlookup('1.7'!I:I,lookup!$A$22:$B$24,2,false),0)</f>
        <v>5</v>
      </c>
      <c r="K5" s="10">
        <f>IFERROR(vlookup('1.7'!J:J,lookup!$A$26:$B$28,2,false),0)</f>
        <v>5</v>
      </c>
      <c r="L5" s="2"/>
      <c r="M5" s="10">
        <v>4.0</v>
      </c>
      <c r="N5" s="11" t="str">
        <f t="shared" si="1"/>
        <v>bnco0904@signalschool.ac.th</v>
      </c>
      <c r="O5" s="12">
        <f t="shared" si="2"/>
        <v>1</v>
      </c>
      <c r="R5" s="17" t="s">
        <v>193</v>
      </c>
    </row>
    <row r="6">
      <c r="A6" s="8">
        <f>'1.7'!A:A</f>
        <v>46162.41638</v>
      </c>
      <c r="B6" s="2" t="str">
        <f>'1.7'!B:B</f>
        <v>bnco0940@signalschool.ac.th</v>
      </c>
      <c r="C6" s="2" t="str">
        <f>'1.7'!C:C</f>
        <v>พ.ต.ประทีป คุ้มยิ้ม </v>
      </c>
      <c r="D6" s="9">
        <v>1.0</v>
      </c>
      <c r="E6" s="10">
        <f>IFERROR(vlookup('1.7'!D:D,lookup!$A$2:$B$4,2,false),0)</f>
        <v>5</v>
      </c>
      <c r="F6" s="10">
        <f>IFERROR(vlookup('1.7'!E:E,lookup!$A$6:$B$8,2,false),0)</f>
        <v>5</v>
      </c>
      <c r="G6" s="10">
        <f>IFERROR(vlookup('1.7'!F:F,lookup!$A$10:$B$12,2,false),0)</f>
        <v>5</v>
      </c>
      <c r="H6" s="10">
        <f>IFERROR(vlookup('1.7'!G:G,lookup!$A$14:$B$16,2,false),0)</f>
        <v>5</v>
      </c>
      <c r="I6" s="10">
        <f>IFERROR(vlookup('1.7'!H:H,lookup!$A$18:$B$20,2,false),0)</f>
        <v>5</v>
      </c>
      <c r="J6" s="10">
        <f>IFERROR(vlookup('1.7'!I:I,lookup!$A$22:$B$24,2,false),0)</f>
        <v>5</v>
      </c>
      <c r="K6" s="10">
        <f>IFERROR(vlookup('1.7'!J:J,lookup!$A$26:$B$28,2,false),0)</f>
        <v>5</v>
      </c>
      <c r="L6" s="2"/>
      <c r="M6" s="10">
        <v>5.0</v>
      </c>
      <c r="N6" s="11" t="str">
        <f t="shared" si="1"/>
        <v>bnco0905@signalschool.ac.th</v>
      </c>
      <c r="O6" s="12">
        <f t="shared" si="2"/>
        <v>1</v>
      </c>
      <c r="R6" s="17" t="s">
        <v>197</v>
      </c>
    </row>
    <row r="7">
      <c r="A7" s="8">
        <f>'1.7'!A:A</f>
        <v>46162.41656</v>
      </c>
      <c r="B7" s="2" t="str">
        <f>'1.7'!B:B</f>
        <v>bnco0964@signalschool.ac.th</v>
      </c>
      <c r="C7" s="2" t="str">
        <f>'1.7'!C:C</f>
        <v>พ.ต.ประทีป คุ้มยิ้ม   </v>
      </c>
      <c r="D7" s="9">
        <v>1.0</v>
      </c>
      <c r="E7" s="10">
        <f>IFERROR(vlookup('1.7'!D:D,lookup!$A$2:$B$4,2,false),0)</f>
        <v>5</v>
      </c>
      <c r="F7" s="10">
        <f>IFERROR(vlookup('1.7'!E:E,lookup!$A$6:$B$8,2,false),0)</f>
        <v>5</v>
      </c>
      <c r="G7" s="10">
        <f>IFERROR(vlookup('1.7'!F:F,lookup!$A$10:$B$12,2,false),0)</f>
        <v>5</v>
      </c>
      <c r="H7" s="10">
        <f>IFERROR(vlookup('1.7'!G:G,lookup!$A$14:$B$16,2,false),0)</f>
        <v>5</v>
      </c>
      <c r="I7" s="10">
        <f>IFERROR(vlookup('1.7'!H:H,lookup!$A$18:$B$20,2,false),0)</f>
        <v>5</v>
      </c>
      <c r="J7" s="10">
        <f>IFERROR(vlookup('1.7'!I:I,lookup!$A$22:$B$24,2,false),0)</f>
        <v>5</v>
      </c>
      <c r="K7" s="10">
        <f>IFERROR(vlookup('1.7'!J:J,lookup!$A$26:$B$28,2,false),0)</f>
        <v>5</v>
      </c>
      <c r="L7" s="2"/>
      <c r="M7" s="10">
        <v>6.0</v>
      </c>
      <c r="N7" s="11" t="str">
        <f t="shared" si="1"/>
        <v>bnco0906@signalschool.ac.th</v>
      </c>
      <c r="O7" s="12">
        <f t="shared" si="2"/>
        <v>1</v>
      </c>
      <c r="R7" s="17" t="s">
        <v>203</v>
      </c>
    </row>
    <row r="8">
      <c r="A8" s="8">
        <f>'1.7'!A:A</f>
        <v>46162.41659</v>
      </c>
      <c r="B8" s="2" t="str">
        <f>'1.7'!B:B</f>
        <v>bnco0906@signalschool.ac.th</v>
      </c>
      <c r="C8" s="2" t="str">
        <f>'1.7'!C:C</f>
        <v>พ.ต.ประทีป คุ้มยิ้ม</v>
      </c>
      <c r="D8" s="9">
        <v>1.0</v>
      </c>
      <c r="E8" s="10">
        <f>IFERROR(vlookup('1.7'!D:D,lookup!$A$2:$B$4,2,false),0)</f>
        <v>3</v>
      </c>
      <c r="F8" s="10">
        <f>IFERROR(vlookup('1.7'!E:E,lookup!$A$6:$B$8,2,false),0)</f>
        <v>3</v>
      </c>
      <c r="G8" s="10">
        <f>IFERROR(vlookup('1.7'!F:F,lookup!$A$10:$B$12,2,false),0)</f>
        <v>3</v>
      </c>
      <c r="H8" s="10">
        <f>IFERROR(vlookup('1.7'!G:G,lookup!$A$14:$B$16,2,false),0)</f>
        <v>3</v>
      </c>
      <c r="I8" s="10">
        <f>IFERROR(vlookup('1.7'!H:H,lookup!$A$18:$B$20,2,false),0)</f>
        <v>3</v>
      </c>
      <c r="J8" s="10">
        <f>IFERROR(vlookup('1.7'!I:I,lookup!$A$22:$B$24,2,false),0)</f>
        <v>3</v>
      </c>
      <c r="K8" s="10">
        <f>IFERROR(vlookup('1.7'!J:J,lookup!$A$26:$B$28,2,false),0)</f>
        <v>3</v>
      </c>
      <c r="L8" s="2"/>
      <c r="M8" s="10">
        <v>7.0</v>
      </c>
      <c r="N8" s="11" t="str">
        <f t="shared" si="1"/>
        <v>bnco0907@signalschool.ac.th</v>
      </c>
      <c r="O8" s="12">
        <f t="shared" si="2"/>
        <v>1</v>
      </c>
      <c r="R8" s="17" t="s">
        <v>206</v>
      </c>
    </row>
    <row r="9">
      <c r="A9" s="8">
        <f>'1.7'!A:A</f>
        <v>46162.4167</v>
      </c>
      <c r="B9" s="2" t="str">
        <f>'1.7'!B:B</f>
        <v>bnco0926@signalschool.ac.th</v>
      </c>
      <c r="C9" s="2" t="str">
        <f>'1.7'!C:C</f>
        <v>พ.ต.ประทีป คุ้มยิ้ม  </v>
      </c>
      <c r="D9" s="9">
        <v>1.0</v>
      </c>
      <c r="E9" s="10">
        <f>IFERROR(vlookup('1.7'!D:D,lookup!$A$2:$B$4,2,false),0)</f>
        <v>5</v>
      </c>
      <c r="F9" s="10">
        <f>IFERROR(vlookup('1.7'!E:E,lookup!$A$6:$B$8,2,false),0)</f>
        <v>5</v>
      </c>
      <c r="G9" s="10">
        <f>IFERROR(vlookup('1.7'!F:F,lookup!$A$10:$B$12,2,false),0)</f>
        <v>5</v>
      </c>
      <c r="H9" s="10">
        <f>IFERROR(vlookup('1.7'!G:G,lookup!$A$14:$B$16,2,false),0)</f>
        <v>5</v>
      </c>
      <c r="I9" s="10">
        <f>IFERROR(vlookup('1.7'!H:H,lookup!$A$18:$B$20,2,false),0)</f>
        <v>5</v>
      </c>
      <c r="J9" s="10">
        <f>IFERROR(vlookup('1.7'!I:I,lookup!$A$22:$B$24,2,false),0)</f>
        <v>5</v>
      </c>
      <c r="K9" s="10">
        <f>IFERROR(vlookup('1.7'!J:J,lookup!$A$26:$B$28,2,false),0)</f>
        <v>5</v>
      </c>
      <c r="L9" s="2"/>
      <c r="M9" s="10">
        <v>8.0</v>
      </c>
      <c r="N9" s="11" t="str">
        <f t="shared" si="1"/>
        <v>bnco0908@signalschool.ac.th</v>
      </c>
      <c r="O9" s="12">
        <f t="shared" si="2"/>
        <v>1</v>
      </c>
      <c r="R9" s="17" t="s">
        <v>211</v>
      </c>
    </row>
    <row r="10">
      <c r="A10" s="8">
        <f>'1.7'!A:A</f>
        <v>46162.41679</v>
      </c>
      <c r="B10" s="2" t="str">
        <f>'1.7'!B:B</f>
        <v>bnco0949@signalschool.ac.th</v>
      </c>
      <c r="C10" s="2" t="str">
        <f>'1.7'!C:C</f>
        <v>พ.ต.ประทีป คุ้มยิ้ม</v>
      </c>
      <c r="D10" s="9">
        <v>1.0</v>
      </c>
      <c r="E10" s="10">
        <f>IFERROR(vlookup('1.7'!D:D,lookup!$A$2:$B$4,2,false),0)</f>
        <v>5</v>
      </c>
      <c r="F10" s="10">
        <f>IFERROR(vlookup('1.7'!E:E,lookup!$A$6:$B$8,2,false),0)</f>
        <v>5</v>
      </c>
      <c r="G10" s="10">
        <f>IFERROR(vlookup('1.7'!F:F,lookup!$A$10:$B$12,2,false),0)</f>
        <v>5</v>
      </c>
      <c r="H10" s="10">
        <f>IFERROR(vlookup('1.7'!G:G,lookup!$A$14:$B$16,2,false),0)</f>
        <v>5</v>
      </c>
      <c r="I10" s="10">
        <f>IFERROR(vlookup('1.7'!H:H,lookup!$A$18:$B$20,2,false),0)</f>
        <v>5</v>
      </c>
      <c r="J10" s="10">
        <f>IFERROR(vlookup('1.7'!I:I,lookup!$A$22:$B$24,2,false),0)</f>
        <v>5</v>
      </c>
      <c r="K10" s="10">
        <f>IFERROR(vlookup('1.7'!J:J,lookup!$A$26:$B$28,2,false),0)</f>
        <v>5</v>
      </c>
      <c r="L10" s="2"/>
      <c r="M10" s="10">
        <v>9.0</v>
      </c>
      <c r="N10" s="11" t="str">
        <f t="shared" si="1"/>
        <v>bnco0909@signalschool.ac.th</v>
      </c>
      <c r="O10" s="12">
        <f t="shared" si="2"/>
        <v>1</v>
      </c>
      <c r="R10" s="17" t="s">
        <v>212</v>
      </c>
    </row>
    <row r="11">
      <c r="A11" s="8">
        <f>'1.7'!A:A</f>
        <v>46162.41681</v>
      </c>
      <c r="B11" s="2" t="str">
        <f>'1.7'!B:B</f>
        <v>bnco0905@signalschool.ac.th</v>
      </c>
      <c r="C11" s="2" t="str">
        <f>'1.7'!C:C</f>
        <v>พ.ต.ประทีป คุ้มยิ้ม</v>
      </c>
      <c r="D11" s="9">
        <v>1.0</v>
      </c>
      <c r="E11" s="10">
        <f>IFERROR(vlookup('1.7'!D:D,lookup!$A$2:$B$4,2,false),0)</f>
        <v>5</v>
      </c>
      <c r="F11" s="10">
        <f>IFERROR(vlookup('1.7'!E:E,lookup!$A$6:$B$8,2,false),0)</f>
        <v>5</v>
      </c>
      <c r="G11" s="10">
        <f>IFERROR(vlookup('1.7'!F:F,lookup!$A$10:$B$12,2,false),0)</f>
        <v>5</v>
      </c>
      <c r="H11" s="10">
        <f>IFERROR(vlookup('1.7'!G:G,lookup!$A$14:$B$16,2,false),0)</f>
        <v>5</v>
      </c>
      <c r="I11" s="10">
        <f>IFERROR(vlookup('1.7'!H:H,lookup!$A$18:$B$20,2,false),0)</f>
        <v>5</v>
      </c>
      <c r="J11" s="10">
        <f>IFERROR(vlookup('1.7'!I:I,lookup!$A$22:$B$24,2,false),0)</f>
        <v>5</v>
      </c>
      <c r="K11" s="10">
        <f>IFERROR(vlookup('1.7'!J:J,lookup!$A$26:$B$28,2,false),0)</f>
        <v>5</v>
      </c>
      <c r="L11" s="2"/>
      <c r="M11" s="10">
        <v>10.0</v>
      </c>
      <c r="N11" s="11" t="str">
        <f t="shared" si="1"/>
        <v>bnco0910@signalschool.ac.th</v>
      </c>
      <c r="O11" s="12">
        <f t="shared" si="2"/>
        <v>1</v>
      </c>
      <c r="R11" s="17" t="s">
        <v>213</v>
      </c>
    </row>
    <row r="12">
      <c r="A12" s="8">
        <f>'1.7'!A:A</f>
        <v>46162.41698</v>
      </c>
      <c r="B12" s="2" t="str">
        <f>'1.7'!B:B</f>
        <v>bnco0914@signalschool.ac.th</v>
      </c>
      <c r="C12" s="2" t="str">
        <f>'1.7'!C:C</f>
        <v>พ.ต.ประทีป คุ้มยิ้ม</v>
      </c>
      <c r="D12" s="9">
        <v>1.0</v>
      </c>
      <c r="E12" s="10">
        <f>IFERROR(vlookup('1.7'!D:D,lookup!$A$2:$B$4,2,false),0)</f>
        <v>5</v>
      </c>
      <c r="F12" s="10">
        <f>IFERROR(vlookup('1.7'!E:E,lookup!$A$6:$B$8,2,false),0)</f>
        <v>5</v>
      </c>
      <c r="G12" s="10">
        <f>IFERROR(vlookup('1.7'!F:F,lookup!$A$10:$B$12,2,false),0)</f>
        <v>5</v>
      </c>
      <c r="H12" s="10">
        <f>IFERROR(vlookup('1.7'!G:G,lookup!$A$14:$B$16,2,false),0)</f>
        <v>5</v>
      </c>
      <c r="I12" s="10">
        <f>IFERROR(vlookup('1.7'!H:H,lookup!$A$18:$B$20,2,false),0)</f>
        <v>5</v>
      </c>
      <c r="J12" s="10">
        <f>IFERROR(vlookup('1.7'!I:I,lookup!$A$22:$B$24,2,false),0)</f>
        <v>3</v>
      </c>
      <c r="K12" s="10">
        <f>IFERROR(vlookup('1.7'!J:J,lookup!$A$26:$B$28,2,false),0)</f>
        <v>3</v>
      </c>
      <c r="L12" s="2"/>
      <c r="M12" s="10">
        <v>11.0</v>
      </c>
      <c r="N12" s="11" t="str">
        <f t="shared" si="1"/>
        <v>bnco0911@signalschool.ac.th</v>
      </c>
      <c r="O12" s="12">
        <f t="shared" si="2"/>
        <v>1</v>
      </c>
      <c r="R12" s="17" t="s">
        <v>214</v>
      </c>
    </row>
    <row r="13">
      <c r="A13" s="8">
        <f>'1.7'!A:A</f>
        <v>46162.41699</v>
      </c>
      <c r="B13" s="2" t="str">
        <f>'1.7'!B:B</f>
        <v>bnco0972@signalschool.ac.th</v>
      </c>
      <c r="C13" s="2" t="str">
        <f>'1.7'!C:C</f>
        <v>พ.ต.ประทีป  คุ้มยิ้ม</v>
      </c>
      <c r="D13" s="9">
        <v>1.0</v>
      </c>
      <c r="E13" s="10">
        <f>IFERROR(vlookup('1.7'!D:D,lookup!$A$2:$B$4,2,false),0)</f>
        <v>5</v>
      </c>
      <c r="F13" s="10">
        <f>IFERROR(vlookup('1.7'!E:E,lookup!$A$6:$B$8,2,false),0)</f>
        <v>5</v>
      </c>
      <c r="G13" s="10">
        <f>IFERROR(vlookup('1.7'!F:F,lookup!$A$10:$B$12,2,false),0)</f>
        <v>5</v>
      </c>
      <c r="H13" s="10">
        <f>IFERROR(vlookup('1.7'!G:G,lookup!$A$14:$B$16,2,false),0)</f>
        <v>5</v>
      </c>
      <c r="I13" s="10">
        <f>IFERROR(vlookup('1.7'!H:H,lookup!$A$18:$B$20,2,false),0)</f>
        <v>5</v>
      </c>
      <c r="J13" s="10">
        <f>IFERROR(vlookup('1.7'!I:I,lookup!$A$22:$B$24,2,false),0)</f>
        <v>5</v>
      </c>
      <c r="K13" s="10">
        <f>IFERROR(vlookup('1.7'!J:J,lookup!$A$26:$B$28,2,false),0)</f>
        <v>5</v>
      </c>
      <c r="L13" s="2"/>
      <c r="M13" s="10">
        <v>12.0</v>
      </c>
      <c r="N13" s="11" t="str">
        <f t="shared" si="1"/>
        <v>bnco0912@signalschool.ac.th</v>
      </c>
      <c r="O13" s="12">
        <f t="shared" si="2"/>
        <v>1</v>
      </c>
      <c r="R13" s="17" t="s">
        <v>222</v>
      </c>
    </row>
    <row r="14">
      <c r="A14" s="8">
        <f>'1.7'!A:A</f>
        <v>46162.41707</v>
      </c>
      <c r="B14" s="2" t="str">
        <f>'1.7'!B:B</f>
        <v>bnco0968@signalschool.ac.th</v>
      </c>
      <c r="C14" s="2" t="str">
        <f>'1.7'!C:C</f>
        <v>พ.ต.ประทีป คุ้มยิ้ม</v>
      </c>
      <c r="D14" s="9">
        <v>1.0</v>
      </c>
      <c r="E14" s="10">
        <f>IFERROR(vlookup('1.7'!D:D,lookup!$A$2:$B$4,2,false),0)</f>
        <v>3</v>
      </c>
      <c r="F14" s="10">
        <f>IFERROR(vlookup('1.7'!E:E,lookup!$A$6:$B$8,2,false),0)</f>
        <v>5</v>
      </c>
      <c r="G14" s="10">
        <f>IFERROR(vlookup('1.7'!F:F,lookup!$A$10:$B$12,2,false),0)</f>
        <v>5</v>
      </c>
      <c r="H14" s="10">
        <f>IFERROR(vlookup('1.7'!G:G,lookup!$A$14:$B$16,2,false),0)</f>
        <v>5</v>
      </c>
      <c r="I14" s="10">
        <f>IFERROR(vlookup('1.7'!H:H,lookup!$A$18:$B$20,2,false),0)</f>
        <v>5</v>
      </c>
      <c r="J14" s="10">
        <f>IFERROR(vlookup('1.7'!I:I,lookup!$A$22:$B$24,2,false),0)</f>
        <v>5</v>
      </c>
      <c r="K14" s="10">
        <f>IFERROR(vlookup('1.7'!J:J,lookup!$A$26:$B$28,2,false),0)</f>
        <v>5</v>
      </c>
      <c r="L14" s="2"/>
      <c r="M14" s="10">
        <v>13.0</v>
      </c>
      <c r="N14" s="11" t="str">
        <f t="shared" si="1"/>
        <v>bnco0913@signalschool.ac.th</v>
      </c>
      <c r="O14" s="12">
        <f t="shared" si="2"/>
        <v>1</v>
      </c>
      <c r="R14" s="17" t="s">
        <v>227</v>
      </c>
    </row>
    <row r="15">
      <c r="A15" s="8">
        <f>'1.7'!A:A</f>
        <v>46162.4172</v>
      </c>
      <c r="B15" s="2" t="str">
        <f>'1.7'!B:B</f>
        <v>bnco0907@signalschool.ac.th</v>
      </c>
      <c r="C15" s="2" t="str">
        <f>'1.7'!C:C</f>
        <v>พ.ต.ประทีป คุ้มยิ้ม</v>
      </c>
      <c r="D15" s="9">
        <v>1.0</v>
      </c>
      <c r="E15" s="10">
        <f>IFERROR(vlookup('1.7'!D:D,lookup!$A$2:$B$4,2,false),0)</f>
        <v>5</v>
      </c>
      <c r="F15" s="10">
        <f>IFERROR(vlookup('1.7'!E:E,lookup!$A$6:$B$8,2,false),0)</f>
        <v>5</v>
      </c>
      <c r="G15" s="10">
        <f>IFERROR(vlookup('1.7'!F:F,lookup!$A$10:$B$12,2,false),0)</f>
        <v>5</v>
      </c>
      <c r="H15" s="10">
        <f>IFERROR(vlookup('1.7'!G:G,lookup!$A$14:$B$16,2,false),0)</f>
        <v>5</v>
      </c>
      <c r="I15" s="10">
        <f>IFERROR(vlookup('1.7'!H:H,lookup!$A$18:$B$20,2,false),0)</f>
        <v>5</v>
      </c>
      <c r="J15" s="10">
        <f>IFERROR(vlookup('1.7'!I:I,lookup!$A$22:$B$24,2,false),0)</f>
        <v>5</v>
      </c>
      <c r="K15" s="10">
        <f>IFERROR(vlookup('1.7'!J:J,lookup!$A$26:$B$28,2,false),0)</f>
        <v>5</v>
      </c>
      <c r="L15" s="2"/>
      <c r="M15" s="10">
        <v>14.0</v>
      </c>
      <c r="N15" s="11" t="str">
        <f t="shared" si="1"/>
        <v>bnco0914@signalschool.ac.th</v>
      </c>
      <c r="O15" s="12">
        <f t="shared" si="2"/>
        <v>1</v>
      </c>
      <c r="R15" s="17" t="s">
        <v>230</v>
      </c>
    </row>
    <row r="16">
      <c r="A16" s="8">
        <f>'1.7'!A:A</f>
        <v>46162.41775</v>
      </c>
      <c r="B16" s="2" t="str">
        <f>'1.7'!B:B</f>
        <v>bnco0946@signalschool.ac.th</v>
      </c>
      <c r="C16" s="2" t="str">
        <f>'1.7'!C:C</f>
        <v>พ.ต.ประทีป คุ้มยิ้ม</v>
      </c>
      <c r="D16" s="9">
        <v>1.0</v>
      </c>
      <c r="E16" s="10">
        <f>IFERROR(vlookup('1.7'!D:D,lookup!$A$2:$B$4,2,false),0)</f>
        <v>5</v>
      </c>
      <c r="F16" s="10">
        <f>IFERROR(vlookup('1.7'!E:E,lookup!$A$6:$B$8,2,false),0)</f>
        <v>5</v>
      </c>
      <c r="G16" s="10">
        <f>IFERROR(vlookup('1.7'!F:F,lookup!$A$10:$B$12,2,false),0)</f>
        <v>5</v>
      </c>
      <c r="H16" s="10">
        <f>IFERROR(vlookup('1.7'!G:G,lookup!$A$14:$B$16,2,false),0)</f>
        <v>5</v>
      </c>
      <c r="I16" s="10">
        <f>IFERROR(vlookup('1.7'!H:H,lookup!$A$18:$B$20,2,false),0)</f>
        <v>5</v>
      </c>
      <c r="J16" s="10">
        <f>IFERROR(vlookup('1.7'!I:I,lookup!$A$22:$B$24,2,false),0)</f>
        <v>5</v>
      </c>
      <c r="K16" s="10">
        <f>IFERROR(vlookup('1.7'!J:J,lookup!$A$26:$B$28,2,false),0)</f>
        <v>5</v>
      </c>
      <c r="L16" s="2"/>
      <c r="M16" s="10">
        <v>15.0</v>
      </c>
      <c r="N16" s="11" t="str">
        <f t="shared" si="1"/>
        <v>bnco0915@signalschool.ac.th</v>
      </c>
      <c r="O16" s="12">
        <f t="shared" si="2"/>
        <v>1</v>
      </c>
      <c r="R16" s="17" t="s">
        <v>232</v>
      </c>
    </row>
    <row r="17">
      <c r="A17" s="8">
        <f>'1.7'!A:A</f>
        <v>46162.41809</v>
      </c>
      <c r="B17" s="2" t="str">
        <f>'1.7'!B:B</f>
        <v>bnco0933@signalschool.ac.th</v>
      </c>
      <c r="C17" s="2" t="str">
        <f>'1.7'!C:C</f>
        <v>พ.ต.ประทีป  คุ้มยิ้ม</v>
      </c>
      <c r="D17" s="9">
        <v>1.0</v>
      </c>
      <c r="E17" s="10">
        <f>IFERROR(vlookup('1.7'!D:D,lookup!$A$2:$B$4,2,false),0)</f>
        <v>5</v>
      </c>
      <c r="F17" s="10">
        <f>IFERROR(vlookup('1.7'!E:E,lookup!$A$6:$B$8,2,false),0)</f>
        <v>5</v>
      </c>
      <c r="G17" s="10">
        <f>IFERROR(vlookup('1.7'!F:F,lookup!$A$10:$B$12,2,false),0)</f>
        <v>5</v>
      </c>
      <c r="H17" s="10">
        <f>IFERROR(vlookup('1.7'!G:G,lookup!$A$14:$B$16,2,false),0)</f>
        <v>5</v>
      </c>
      <c r="I17" s="10">
        <f>IFERROR(vlookup('1.7'!H:H,lookup!$A$18:$B$20,2,false),0)</f>
        <v>5</v>
      </c>
      <c r="J17" s="10">
        <f>IFERROR(vlookup('1.7'!I:I,lookup!$A$22:$B$24,2,false),0)</f>
        <v>5</v>
      </c>
      <c r="K17" s="10">
        <f>IFERROR(vlookup('1.7'!J:J,lookup!$A$26:$B$28,2,false),0)</f>
        <v>5</v>
      </c>
      <c r="L17" s="2"/>
      <c r="M17" s="10">
        <v>16.0</v>
      </c>
      <c r="N17" s="11" t="str">
        <f t="shared" si="1"/>
        <v>bnco0916@signalschool.ac.th</v>
      </c>
      <c r="O17" s="12">
        <f t="shared" si="2"/>
        <v>1</v>
      </c>
      <c r="R17" s="17" t="s">
        <v>233</v>
      </c>
    </row>
    <row r="18">
      <c r="A18" s="8">
        <f>'1.7'!A:A</f>
        <v>46162.41822</v>
      </c>
      <c r="B18" s="2" t="str">
        <f>'1.7'!B:B</f>
        <v>bnco0969@signalschool.ac.th</v>
      </c>
      <c r="C18" s="2" t="str">
        <f>'1.7'!C:C</f>
        <v>พ.ต.ประทีป  คุ้มยิ้ม</v>
      </c>
      <c r="D18" s="9">
        <v>1.0</v>
      </c>
      <c r="E18" s="10">
        <f>IFERROR(vlookup('1.7'!D:D,lookup!$A$2:$B$4,2,false),0)</f>
        <v>5</v>
      </c>
      <c r="F18" s="10">
        <f>IFERROR(vlookup('1.7'!E:E,lookup!$A$6:$B$8,2,false),0)</f>
        <v>5</v>
      </c>
      <c r="G18" s="10">
        <f>IFERROR(vlookup('1.7'!F:F,lookup!$A$10:$B$12,2,false),0)</f>
        <v>5</v>
      </c>
      <c r="H18" s="10">
        <f>IFERROR(vlookup('1.7'!G:G,lookup!$A$14:$B$16,2,false),0)</f>
        <v>5</v>
      </c>
      <c r="I18" s="10">
        <f>IFERROR(vlookup('1.7'!H:H,lookup!$A$18:$B$20,2,false),0)</f>
        <v>5</v>
      </c>
      <c r="J18" s="10">
        <f>IFERROR(vlookup('1.7'!I:I,lookup!$A$22:$B$24,2,false),0)</f>
        <v>5</v>
      </c>
      <c r="K18" s="10">
        <f>IFERROR(vlookup('1.7'!J:J,lookup!$A$26:$B$28,2,false),0)</f>
        <v>5</v>
      </c>
      <c r="L18" s="2"/>
      <c r="M18" s="10">
        <v>17.0</v>
      </c>
      <c r="N18" s="11" t="str">
        <f t="shared" si="1"/>
        <v>bnco0917@signalschool.ac.th</v>
      </c>
      <c r="O18" s="12">
        <f t="shared" si="2"/>
        <v>1</v>
      </c>
      <c r="R18" s="17" t="s">
        <v>234</v>
      </c>
    </row>
    <row r="19">
      <c r="A19" s="8">
        <f>'1.7'!A:A</f>
        <v>46162.41849</v>
      </c>
      <c r="B19" s="2" t="str">
        <f>'1.7'!B:B</f>
        <v>bnco0978@signalschool.ac.th</v>
      </c>
      <c r="C19" s="2" t="str">
        <f>'1.7'!C:C</f>
        <v>พ.ต.ประทีป คุ้มยิ้ม</v>
      </c>
      <c r="D19" s="9">
        <v>1.0</v>
      </c>
      <c r="E19" s="10">
        <f>IFERROR(vlookup('1.7'!D:D,lookup!$A$2:$B$4,2,false),0)</f>
        <v>5</v>
      </c>
      <c r="F19" s="10">
        <f>IFERROR(vlookup('1.7'!E:E,lookup!$A$6:$B$8,2,false),0)</f>
        <v>5</v>
      </c>
      <c r="G19" s="10">
        <f>IFERROR(vlookup('1.7'!F:F,lookup!$A$10:$B$12,2,false),0)</f>
        <v>5</v>
      </c>
      <c r="H19" s="10">
        <f>IFERROR(vlookup('1.7'!G:G,lookup!$A$14:$B$16,2,false),0)</f>
        <v>5</v>
      </c>
      <c r="I19" s="10">
        <f>IFERROR(vlookup('1.7'!H:H,lookup!$A$18:$B$20,2,false),0)</f>
        <v>5</v>
      </c>
      <c r="J19" s="10">
        <f>IFERROR(vlookup('1.7'!I:I,lookup!$A$22:$B$24,2,false),0)</f>
        <v>5</v>
      </c>
      <c r="K19" s="10">
        <f>IFERROR(vlookup('1.7'!J:J,lookup!$A$26:$B$28,2,false),0)</f>
        <v>5</v>
      </c>
      <c r="L19" s="2"/>
      <c r="M19" s="10">
        <v>18.0</v>
      </c>
      <c r="N19" s="11" t="str">
        <f t="shared" si="1"/>
        <v>bnco0918@signalschool.ac.th</v>
      </c>
      <c r="O19" s="12">
        <f t="shared" si="2"/>
        <v>1</v>
      </c>
      <c r="R19" s="17" t="s">
        <v>235</v>
      </c>
    </row>
    <row r="20">
      <c r="A20" s="8">
        <f>'1.7'!A:A</f>
        <v>46162.41905</v>
      </c>
      <c r="B20" s="2" t="str">
        <f>'1.7'!B:B</f>
        <v>bnco0912@signalschool.ac.th</v>
      </c>
      <c r="C20" s="2" t="str">
        <f>'1.7'!C:C</f>
        <v>พ.ต. ประทีป  คุ้มยิ้ม</v>
      </c>
      <c r="D20" s="9">
        <v>1.0</v>
      </c>
      <c r="E20" s="10">
        <f>IFERROR(vlookup('1.7'!D:D,lookup!$A$2:$B$4,2,false),0)</f>
        <v>5</v>
      </c>
      <c r="F20" s="10">
        <f>IFERROR(vlookup('1.7'!E:E,lookup!$A$6:$B$8,2,false),0)</f>
        <v>5</v>
      </c>
      <c r="G20" s="10">
        <f>IFERROR(vlookup('1.7'!F:F,lookup!$A$10:$B$12,2,false),0)</f>
        <v>5</v>
      </c>
      <c r="H20" s="10">
        <f>IFERROR(vlookup('1.7'!G:G,lookup!$A$14:$B$16,2,false),0)</f>
        <v>5</v>
      </c>
      <c r="I20" s="10">
        <f>IFERROR(vlookup('1.7'!H:H,lookup!$A$18:$B$20,2,false),0)</f>
        <v>5</v>
      </c>
      <c r="J20" s="10">
        <f>IFERROR(vlookup('1.7'!I:I,lookup!$A$22:$B$24,2,false),0)</f>
        <v>5</v>
      </c>
      <c r="K20" s="10">
        <f>IFERROR(vlookup('1.7'!J:J,lookup!$A$26:$B$28,2,false),0)</f>
        <v>5</v>
      </c>
      <c r="L20" s="2"/>
      <c r="M20" s="10">
        <v>19.0</v>
      </c>
      <c r="N20" s="11" t="str">
        <f t="shared" si="1"/>
        <v>bnco0919@signalschool.ac.th</v>
      </c>
      <c r="O20" s="12">
        <f t="shared" si="2"/>
        <v>1</v>
      </c>
      <c r="R20" s="17" t="s">
        <v>236</v>
      </c>
    </row>
    <row r="21">
      <c r="A21" s="8">
        <f>'1.7'!A:A</f>
        <v>46162.41938</v>
      </c>
      <c r="B21" s="2" t="str">
        <f>'1.7'!B:B</f>
        <v>bnco0937@signalschool.ac.th</v>
      </c>
      <c r="C21" s="2" t="str">
        <f>'1.7'!C:C</f>
        <v>พ.ต.ประทีป คุ้มยิ้ม</v>
      </c>
      <c r="D21" s="9">
        <v>1.0</v>
      </c>
      <c r="E21" s="10">
        <f>IFERROR(vlookup('1.7'!D:D,lookup!$A$2:$B$4,2,false),0)</f>
        <v>5</v>
      </c>
      <c r="F21" s="10">
        <f>IFERROR(vlookup('1.7'!E:E,lookup!$A$6:$B$8,2,false),0)</f>
        <v>5</v>
      </c>
      <c r="G21" s="10">
        <f>IFERROR(vlookup('1.7'!F:F,lookup!$A$10:$B$12,2,false),0)</f>
        <v>5</v>
      </c>
      <c r="H21" s="10">
        <f>IFERROR(vlookup('1.7'!G:G,lookup!$A$14:$B$16,2,false),0)</f>
        <v>5</v>
      </c>
      <c r="I21" s="10">
        <f>IFERROR(vlookup('1.7'!H:H,lookup!$A$18:$B$20,2,false),0)</f>
        <v>5</v>
      </c>
      <c r="J21" s="10">
        <f>IFERROR(vlookup('1.7'!I:I,lookup!$A$22:$B$24,2,false),0)</f>
        <v>5</v>
      </c>
      <c r="K21" s="10">
        <f>IFERROR(vlookup('1.7'!J:J,lookup!$A$26:$B$28,2,false),0)</f>
        <v>5</v>
      </c>
      <c r="L21" s="2"/>
      <c r="M21" s="10">
        <v>20.0</v>
      </c>
      <c r="N21" s="11" t="str">
        <f t="shared" si="1"/>
        <v>bnco0920@signalschool.ac.th</v>
      </c>
      <c r="O21" s="12">
        <f t="shared" si="2"/>
        <v>1</v>
      </c>
      <c r="R21" s="17" t="s">
        <v>237</v>
      </c>
    </row>
    <row r="22">
      <c r="A22" s="8">
        <f>'1.7'!A:A</f>
        <v>46162.4195</v>
      </c>
      <c r="B22" s="2" t="str">
        <f>'1.7'!B:B</f>
        <v>bnco0942@signalschool.ac.th</v>
      </c>
      <c r="C22" s="2" t="str">
        <f>'1.7'!C:C</f>
        <v>พ.ต.ประทีป คุ้มยิ้ม   / ส.อ.กฤษดา เพ็งภา </v>
      </c>
      <c r="D22" s="9">
        <v>1.0</v>
      </c>
      <c r="E22" s="10">
        <f>IFERROR(vlookup('1.7'!D:D,lookup!$A$2:$B$4,2,false),0)</f>
        <v>5</v>
      </c>
      <c r="F22" s="10">
        <f>IFERROR(vlookup('1.7'!E:E,lookup!$A$6:$B$8,2,false),0)</f>
        <v>5</v>
      </c>
      <c r="G22" s="10">
        <f>IFERROR(vlookup('1.7'!F:F,lookup!$A$10:$B$12,2,false),0)</f>
        <v>5</v>
      </c>
      <c r="H22" s="10">
        <f>IFERROR(vlookup('1.7'!G:G,lookup!$A$14:$B$16,2,false),0)</f>
        <v>5</v>
      </c>
      <c r="I22" s="10">
        <f>IFERROR(vlookup('1.7'!H:H,lookup!$A$18:$B$20,2,false),0)</f>
        <v>5</v>
      </c>
      <c r="J22" s="10">
        <f>IFERROR(vlookup('1.7'!I:I,lookup!$A$22:$B$24,2,false),0)</f>
        <v>5</v>
      </c>
      <c r="K22" s="10">
        <f>IFERROR(vlookup('1.7'!J:J,lookup!$A$26:$B$28,2,false),0)</f>
        <v>5</v>
      </c>
      <c r="L22" s="2"/>
      <c r="M22" s="10">
        <v>21.0</v>
      </c>
      <c r="N22" s="11" t="str">
        <f t="shared" si="1"/>
        <v>bnco0921@signalschool.ac.th</v>
      </c>
      <c r="O22" s="12">
        <f t="shared" si="2"/>
        <v>1</v>
      </c>
      <c r="R22" s="17" t="s">
        <v>238</v>
      </c>
    </row>
    <row r="23">
      <c r="A23" s="8">
        <f>'1.7'!A:A</f>
        <v>46162.41988</v>
      </c>
      <c r="B23" s="2" t="str">
        <f>'1.7'!B:B</f>
        <v>bnco0973@signalschool.ac.th</v>
      </c>
      <c r="C23" s="2" t="str">
        <f>'1.7'!C:C</f>
        <v>พ.ต.ประทีป คุ้มยิ้ม  </v>
      </c>
      <c r="D23" s="9">
        <v>1.0</v>
      </c>
      <c r="E23" s="10">
        <f>IFERROR(vlookup('1.7'!D:D,lookup!$A$2:$B$4,2,false),0)</f>
        <v>5</v>
      </c>
      <c r="F23" s="10">
        <f>IFERROR(vlookup('1.7'!E:E,lookup!$A$6:$B$8,2,false),0)</f>
        <v>5</v>
      </c>
      <c r="G23" s="10">
        <f>IFERROR(vlookup('1.7'!F:F,lookup!$A$10:$B$12,2,false),0)</f>
        <v>5</v>
      </c>
      <c r="H23" s="10">
        <f>IFERROR(vlookup('1.7'!G:G,lookup!$A$14:$B$16,2,false),0)</f>
        <v>5</v>
      </c>
      <c r="I23" s="10">
        <f>IFERROR(vlookup('1.7'!H:H,lookup!$A$18:$B$20,2,false),0)</f>
        <v>5</v>
      </c>
      <c r="J23" s="10">
        <f>IFERROR(vlookup('1.7'!I:I,lookup!$A$22:$B$24,2,false),0)</f>
        <v>5</v>
      </c>
      <c r="K23" s="10">
        <f>IFERROR(vlookup('1.7'!J:J,lookup!$A$26:$B$28,2,false),0)</f>
        <v>5</v>
      </c>
      <c r="L23" s="2"/>
      <c r="M23" s="10">
        <v>22.0</v>
      </c>
      <c r="N23" s="11" t="str">
        <f t="shared" si="1"/>
        <v>bnco0922@signalschool.ac.th</v>
      </c>
      <c r="O23" s="12">
        <f t="shared" si="2"/>
        <v>1</v>
      </c>
      <c r="R23" s="17" t="s">
        <v>239</v>
      </c>
    </row>
    <row r="24">
      <c r="A24" s="8">
        <f>'1.7'!A:A</f>
        <v>46162.42051</v>
      </c>
      <c r="B24" s="2" t="str">
        <f>'1.7'!B:B</f>
        <v>bnco0980@signalschool.ac.th</v>
      </c>
      <c r="C24" s="2" t="str">
        <f>'1.7'!C:C</f>
        <v>พ.ต.ประทีป คุ้มยิ้ม </v>
      </c>
      <c r="D24" s="9">
        <v>1.0</v>
      </c>
      <c r="E24" s="10">
        <f>IFERROR(vlookup('1.7'!D:D,lookup!$A$2:$B$4,2,false),0)</f>
        <v>5</v>
      </c>
      <c r="F24" s="10">
        <f>IFERROR(vlookup('1.7'!E:E,lookup!$A$6:$B$8,2,false),0)</f>
        <v>5</v>
      </c>
      <c r="G24" s="10">
        <f>IFERROR(vlookup('1.7'!F:F,lookup!$A$10:$B$12,2,false),0)</f>
        <v>5</v>
      </c>
      <c r="H24" s="10">
        <f>IFERROR(vlookup('1.7'!G:G,lookup!$A$14:$B$16,2,false),0)</f>
        <v>5</v>
      </c>
      <c r="I24" s="10">
        <f>IFERROR(vlookup('1.7'!H:H,lookup!$A$18:$B$20,2,false),0)</f>
        <v>5</v>
      </c>
      <c r="J24" s="10">
        <f>IFERROR(vlookup('1.7'!I:I,lookup!$A$22:$B$24,2,false),0)</f>
        <v>1</v>
      </c>
      <c r="K24" s="10">
        <f>IFERROR(vlookup('1.7'!J:J,lookup!$A$26:$B$28,2,false),0)</f>
        <v>3</v>
      </c>
      <c r="L24" s="2"/>
      <c r="M24" s="10">
        <v>23.0</v>
      </c>
      <c r="N24" s="11" t="str">
        <f t="shared" si="1"/>
        <v>bnco0923@signalschool.ac.th</v>
      </c>
      <c r="O24" s="12">
        <f t="shared" si="2"/>
        <v>1</v>
      </c>
      <c r="R24" s="17" t="s">
        <v>240</v>
      </c>
    </row>
    <row r="25">
      <c r="A25" s="8">
        <f>'1.7'!A:A</f>
        <v>46162.42066</v>
      </c>
      <c r="B25" s="2" t="str">
        <f>'1.7'!B:B</f>
        <v>bnco0904@signalschool.ac.th</v>
      </c>
      <c r="C25" s="2" t="str">
        <f>'1.7'!C:C</f>
        <v>พ.ต.ประทีป คุ้มยิ้ม</v>
      </c>
      <c r="D25" s="9">
        <v>1.0</v>
      </c>
      <c r="E25" s="10">
        <f>IFERROR(vlookup('1.7'!D:D,lookup!$A$2:$B$4,2,false),0)</f>
        <v>5</v>
      </c>
      <c r="F25" s="10">
        <f>IFERROR(vlookup('1.7'!E:E,lookup!$A$6:$B$8,2,false),0)</f>
        <v>5</v>
      </c>
      <c r="G25" s="10">
        <f>IFERROR(vlookup('1.7'!F:F,lookup!$A$10:$B$12,2,false),0)</f>
        <v>5</v>
      </c>
      <c r="H25" s="10">
        <f>IFERROR(vlookup('1.7'!G:G,lookup!$A$14:$B$16,2,false),0)</f>
        <v>5</v>
      </c>
      <c r="I25" s="10">
        <f>IFERROR(vlookup('1.7'!H:H,lookup!$A$18:$B$20,2,false),0)</f>
        <v>5</v>
      </c>
      <c r="J25" s="10">
        <f>IFERROR(vlookup('1.7'!I:I,lookup!$A$22:$B$24,2,false),0)</f>
        <v>5</v>
      </c>
      <c r="K25" s="10">
        <f>IFERROR(vlookup('1.7'!J:J,lookup!$A$26:$B$28,2,false),0)</f>
        <v>5</v>
      </c>
      <c r="L25" s="2"/>
      <c r="M25" s="10">
        <v>24.0</v>
      </c>
      <c r="N25" s="11" t="str">
        <f t="shared" si="1"/>
        <v>bnco0924@signalschool.ac.th</v>
      </c>
      <c r="O25" s="12">
        <f t="shared" si="2"/>
        <v>1</v>
      </c>
      <c r="R25" s="17" t="s">
        <v>241</v>
      </c>
    </row>
    <row r="26">
      <c r="A26" s="8">
        <f>'1.7'!A:A</f>
        <v>46162.4211</v>
      </c>
      <c r="B26" s="2" t="str">
        <f>'1.7'!B:B</f>
        <v>bnco0911@signalschool.ac.th</v>
      </c>
      <c r="C26" s="2" t="str">
        <f>'1.7'!C:C</f>
        <v>พ.ต.ประทีป คุ้มยิ้ม</v>
      </c>
      <c r="D26" s="9">
        <v>1.0</v>
      </c>
      <c r="E26" s="10">
        <f>IFERROR(vlookup('1.7'!D:D,lookup!$A$2:$B$4,2,false),0)</f>
        <v>5</v>
      </c>
      <c r="F26" s="10">
        <f>IFERROR(vlookup('1.7'!E:E,lookup!$A$6:$B$8,2,false),0)</f>
        <v>5</v>
      </c>
      <c r="G26" s="10">
        <f>IFERROR(vlookup('1.7'!F:F,lookup!$A$10:$B$12,2,false),0)</f>
        <v>5</v>
      </c>
      <c r="H26" s="10">
        <f>IFERROR(vlookup('1.7'!G:G,lookup!$A$14:$B$16,2,false),0)</f>
        <v>5</v>
      </c>
      <c r="I26" s="10">
        <f>IFERROR(vlookup('1.7'!H:H,lookup!$A$18:$B$20,2,false),0)</f>
        <v>5</v>
      </c>
      <c r="J26" s="10">
        <f>IFERROR(vlookup('1.7'!I:I,lookup!$A$22:$B$24,2,false),0)</f>
        <v>5</v>
      </c>
      <c r="K26" s="10">
        <f>IFERROR(vlookup('1.7'!J:J,lookup!$A$26:$B$28,2,false),0)</f>
        <v>5</v>
      </c>
      <c r="L26" s="2"/>
      <c r="M26" s="10">
        <v>25.0</v>
      </c>
      <c r="N26" s="11" t="str">
        <f t="shared" si="1"/>
        <v>bnco0925@signalschool.ac.th</v>
      </c>
      <c r="O26" s="12">
        <f t="shared" si="2"/>
        <v>1</v>
      </c>
      <c r="R26" s="17" t="s">
        <v>242</v>
      </c>
    </row>
    <row r="27">
      <c r="A27" s="8">
        <f>'1.7'!A:A</f>
        <v>46162.42264</v>
      </c>
      <c r="B27" s="2" t="str">
        <f>'1.7'!B:B</f>
        <v>bnco0920@signalschool.ac.th</v>
      </c>
      <c r="C27" s="2" t="str">
        <f>'1.7'!C:C</f>
        <v>พ.ต.ประทีป คุ้มยิ้ม</v>
      </c>
      <c r="D27" s="9">
        <v>1.0</v>
      </c>
      <c r="E27" s="10">
        <f>IFERROR(vlookup('1.7'!D:D,lookup!$A$2:$B$4,2,false),0)</f>
        <v>5</v>
      </c>
      <c r="F27" s="10">
        <f>IFERROR(vlookup('1.7'!E:E,lookup!$A$6:$B$8,2,false),0)</f>
        <v>5</v>
      </c>
      <c r="G27" s="10">
        <f>IFERROR(vlookup('1.7'!F:F,lookup!$A$10:$B$12,2,false),0)</f>
        <v>5</v>
      </c>
      <c r="H27" s="10">
        <f>IFERROR(vlookup('1.7'!G:G,lookup!$A$14:$B$16,2,false),0)</f>
        <v>5</v>
      </c>
      <c r="I27" s="10">
        <f>IFERROR(vlookup('1.7'!H:H,lookup!$A$18:$B$20,2,false),0)</f>
        <v>5</v>
      </c>
      <c r="J27" s="10">
        <f>IFERROR(vlookup('1.7'!I:I,lookup!$A$22:$B$24,2,false),0)</f>
        <v>5</v>
      </c>
      <c r="K27" s="10">
        <f>IFERROR(vlookup('1.7'!J:J,lookup!$A$26:$B$28,2,false),0)</f>
        <v>5</v>
      </c>
      <c r="L27" s="2"/>
      <c r="M27" s="10">
        <v>26.0</v>
      </c>
      <c r="N27" s="11" t="str">
        <f t="shared" si="1"/>
        <v>bnco0926@signalschool.ac.th</v>
      </c>
      <c r="O27" s="12">
        <f t="shared" si="2"/>
        <v>1</v>
      </c>
      <c r="R27" s="17" t="s">
        <v>243</v>
      </c>
    </row>
    <row r="28">
      <c r="A28" s="8">
        <f>'1.7'!A:A</f>
        <v>46162.42341</v>
      </c>
      <c r="B28" s="2" t="str">
        <f>'1.7'!B:B</f>
        <v>bnco0955@signalschool.ac.th</v>
      </c>
      <c r="C28" s="2" t="str">
        <f>'1.7'!C:C</f>
        <v>พ.ต.ประทีป คุ้มยิ้ม </v>
      </c>
      <c r="D28" s="9">
        <v>1.0</v>
      </c>
      <c r="E28" s="10">
        <f>IFERROR(vlookup('1.7'!D:D,lookup!$A$2:$B$4,2,false),0)</f>
        <v>5</v>
      </c>
      <c r="F28" s="10">
        <f>IFERROR(vlookup('1.7'!E:E,lookup!$A$6:$B$8,2,false),0)</f>
        <v>5</v>
      </c>
      <c r="G28" s="10">
        <f>IFERROR(vlookup('1.7'!F:F,lookup!$A$10:$B$12,2,false),0)</f>
        <v>5</v>
      </c>
      <c r="H28" s="10">
        <f>IFERROR(vlookup('1.7'!G:G,lookup!$A$14:$B$16,2,false),0)</f>
        <v>5</v>
      </c>
      <c r="I28" s="10">
        <f>IFERROR(vlookup('1.7'!H:H,lookup!$A$18:$B$20,2,false),0)</f>
        <v>5</v>
      </c>
      <c r="J28" s="10">
        <f>IFERROR(vlookup('1.7'!I:I,lookup!$A$22:$B$24,2,false),0)</f>
        <v>5</v>
      </c>
      <c r="K28" s="10">
        <f>IFERROR(vlookup('1.7'!J:J,lookup!$A$26:$B$28,2,false),0)</f>
        <v>5</v>
      </c>
      <c r="L28" s="2"/>
      <c r="M28" s="10">
        <v>27.0</v>
      </c>
      <c r="N28" s="11" t="str">
        <f t="shared" si="1"/>
        <v>bnco0927@signalschool.ac.th</v>
      </c>
      <c r="O28" s="12">
        <f t="shared" si="2"/>
        <v>1</v>
      </c>
      <c r="R28" s="17" t="s">
        <v>244</v>
      </c>
    </row>
    <row r="29">
      <c r="A29" s="8">
        <f>'1.7'!A:A</f>
        <v>46162.42394</v>
      </c>
      <c r="B29" s="2" t="str">
        <f>'1.7'!B:B</f>
        <v>bnco0967@signalschool.ac.th</v>
      </c>
      <c r="C29" s="2" t="str">
        <f>'1.7'!C:C</f>
        <v>พ.ต.ประทีป คุ้มยิ้ม</v>
      </c>
      <c r="D29" s="9">
        <v>1.0</v>
      </c>
      <c r="E29" s="10">
        <f>IFERROR(vlookup('1.7'!D:D,lookup!$A$2:$B$4,2,false),0)</f>
        <v>5</v>
      </c>
      <c r="F29" s="10">
        <f>IFERROR(vlookup('1.7'!E:E,lookup!$A$6:$B$8,2,false),0)</f>
        <v>5</v>
      </c>
      <c r="G29" s="10">
        <f>IFERROR(vlookup('1.7'!F:F,lookup!$A$10:$B$12,2,false),0)</f>
        <v>5</v>
      </c>
      <c r="H29" s="10">
        <f>IFERROR(vlookup('1.7'!G:G,lookup!$A$14:$B$16,2,false),0)</f>
        <v>5</v>
      </c>
      <c r="I29" s="10">
        <f>IFERROR(vlookup('1.7'!H:H,lookup!$A$18:$B$20,2,false),0)</f>
        <v>5</v>
      </c>
      <c r="J29" s="10">
        <f>IFERROR(vlookup('1.7'!I:I,lookup!$A$22:$B$24,2,false),0)</f>
        <v>5</v>
      </c>
      <c r="K29" s="10">
        <f>IFERROR(vlookup('1.7'!J:J,lookup!$A$26:$B$28,2,false),0)</f>
        <v>5</v>
      </c>
      <c r="L29" s="2"/>
      <c r="M29" s="10">
        <v>28.0</v>
      </c>
      <c r="N29" s="11" t="str">
        <f t="shared" si="1"/>
        <v>bnco0928@signalschool.ac.th</v>
      </c>
      <c r="O29" s="12">
        <f t="shared" si="2"/>
        <v>1</v>
      </c>
      <c r="R29" s="17" t="s">
        <v>245</v>
      </c>
    </row>
    <row r="30">
      <c r="A30" s="8">
        <f>'1.7'!A:A</f>
        <v>46162.42417</v>
      </c>
      <c r="B30" s="2" t="str">
        <f>'1.7'!B:B</f>
        <v>bnco0975@signalschool.ac.th</v>
      </c>
      <c r="C30" s="2" t="str">
        <f>'1.7'!C:C</f>
        <v>พ.ต.ประทีบ คุ้มยิ้ม</v>
      </c>
      <c r="D30" s="9">
        <v>1.0</v>
      </c>
      <c r="E30" s="10">
        <f>IFERROR(vlookup('1.7'!D:D,lookup!$A$2:$B$4,2,false),0)</f>
        <v>5</v>
      </c>
      <c r="F30" s="10">
        <f>IFERROR(vlookup('1.7'!E:E,lookup!$A$6:$B$8,2,false),0)</f>
        <v>5</v>
      </c>
      <c r="G30" s="10">
        <f>IFERROR(vlookup('1.7'!F:F,lookup!$A$10:$B$12,2,false),0)</f>
        <v>5</v>
      </c>
      <c r="H30" s="10">
        <f>IFERROR(vlookup('1.7'!G:G,lookup!$A$14:$B$16,2,false),0)</f>
        <v>5</v>
      </c>
      <c r="I30" s="10">
        <f>IFERROR(vlookup('1.7'!H:H,lookup!$A$18:$B$20,2,false),0)</f>
        <v>5</v>
      </c>
      <c r="J30" s="10">
        <f>IFERROR(vlookup('1.7'!I:I,lookup!$A$22:$B$24,2,false),0)</f>
        <v>5</v>
      </c>
      <c r="K30" s="10">
        <f>IFERROR(vlookup('1.7'!J:J,lookup!$A$26:$B$28,2,false),0)</f>
        <v>5</v>
      </c>
      <c r="L30" s="2"/>
      <c r="M30" s="10">
        <v>29.0</v>
      </c>
      <c r="N30" s="11" t="str">
        <f t="shared" si="1"/>
        <v>bnco0929@signalschool.ac.th</v>
      </c>
      <c r="O30" s="12">
        <f t="shared" si="2"/>
        <v>1</v>
      </c>
      <c r="R30" s="17" t="s">
        <v>246</v>
      </c>
    </row>
    <row r="31">
      <c r="A31" s="8">
        <f>'1.7'!A:A</f>
        <v>46162.42444</v>
      </c>
      <c r="B31" s="2" t="str">
        <f>'1.7'!B:B</f>
        <v>bnco0938@signalschool.ac.th</v>
      </c>
      <c r="C31" s="2" t="str">
        <f>'1.7'!C:C</f>
        <v>พ.ต.ประทีป คุ้มยิ้ม</v>
      </c>
      <c r="D31" s="9">
        <v>1.0</v>
      </c>
      <c r="E31" s="10">
        <f>IFERROR(vlookup('1.7'!D:D,lookup!$A$2:$B$4,2,false),0)</f>
        <v>5</v>
      </c>
      <c r="F31" s="10">
        <f>IFERROR(vlookup('1.7'!E:E,lookup!$A$6:$B$8,2,false),0)</f>
        <v>5</v>
      </c>
      <c r="G31" s="10">
        <f>IFERROR(vlookup('1.7'!F:F,lookup!$A$10:$B$12,2,false),0)</f>
        <v>3</v>
      </c>
      <c r="H31" s="10">
        <f>IFERROR(vlookup('1.7'!G:G,lookup!$A$14:$B$16,2,false),0)</f>
        <v>5</v>
      </c>
      <c r="I31" s="10">
        <f>IFERROR(vlookup('1.7'!H:H,lookup!$A$18:$B$20,2,false),0)</f>
        <v>5</v>
      </c>
      <c r="J31" s="10">
        <f>IFERROR(vlookup('1.7'!I:I,lookup!$A$22:$B$24,2,false),0)</f>
        <v>3</v>
      </c>
      <c r="K31" s="10">
        <f>IFERROR(vlookup('1.7'!J:J,lookup!$A$26:$B$28,2,false),0)</f>
        <v>5</v>
      </c>
      <c r="L31" s="2"/>
      <c r="M31" s="10">
        <v>30.0</v>
      </c>
      <c r="N31" s="11" t="str">
        <f t="shared" si="1"/>
        <v>bnco0930@signalschool.ac.th</v>
      </c>
      <c r="O31" s="12">
        <f t="shared" si="2"/>
        <v>1</v>
      </c>
      <c r="R31" s="17" t="s">
        <v>247</v>
      </c>
    </row>
    <row r="32">
      <c r="A32" s="8">
        <f>'1.7'!A:A</f>
        <v>46162.42539</v>
      </c>
      <c r="B32" s="2" t="str">
        <f>'1.7'!B:B</f>
        <v>bnco0924@signalschool.ac.th</v>
      </c>
      <c r="C32" s="2" t="str">
        <f>'1.7'!C:C</f>
        <v>พ.ต.ประทีป คุ้มยิ้ม   </v>
      </c>
      <c r="D32" s="9">
        <v>1.0</v>
      </c>
      <c r="E32" s="10">
        <f>IFERROR(vlookup('1.7'!D:D,lookup!$A$2:$B$4,2,false),0)</f>
        <v>5</v>
      </c>
      <c r="F32" s="10">
        <f>IFERROR(vlookup('1.7'!E:E,lookup!$A$6:$B$8,2,false),0)</f>
        <v>5</v>
      </c>
      <c r="G32" s="10">
        <f>IFERROR(vlookup('1.7'!F:F,lookup!$A$10:$B$12,2,false),0)</f>
        <v>5</v>
      </c>
      <c r="H32" s="10">
        <f>IFERROR(vlookup('1.7'!G:G,lookup!$A$14:$B$16,2,false),0)</f>
        <v>5</v>
      </c>
      <c r="I32" s="10">
        <f>IFERROR(vlookup('1.7'!H:H,lookup!$A$18:$B$20,2,false),0)</f>
        <v>5</v>
      </c>
      <c r="J32" s="10">
        <f>IFERROR(vlookup('1.7'!I:I,lookup!$A$22:$B$24,2,false),0)</f>
        <v>5</v>
      </c>
      <c r="K32" s="10">
        <f>IFERROR(vlookup('1.7'!J:J,lookup!$A$26:$B$28,2,false),0)</f>
        <v>5</v>
      </c>
      <c r="L32" s="2"/>
      <c r="M32" s="10">
        <v>31.0</v>
      </c>
      <c r="N32" s="11" t="str">
        <f t="shared" si="1"/>
        <v>bnco0931@signalschool.ac.th</v>
      </c>
      <c r="O32" s="12">
        <f t="shared" si="2"/>
        <v>1</v>
      </c>
      <c r="R32" s="17" t="s">
        <v>248</v>
      </c>
    </row>
    <row r="33">
      <c r="A33" s="8">
        <f>'1.7'!A:A</f>
        <v>46162.42562</v>
      </c>
      <c r="B33" s="2" t="str">
        <f>'1.7'!B:B</f>
        <v>bnco0965@signalschool.ac.th</v>
      </c>
      <c r="C33" s="2" t="str">
        <f>'1.7'!C:C</f>
        <v>พ.ต. ประทีป  คุ้มยิ้ม</v>
      </c>
      <c r="D33" s="9">
        <v>1.0</v>
      </c>
      <c r="E33" s="10">
        <f>IFERROR(vlookup('1.7'!D:D,lookup!$A$2:$B$4,2,false),0)</f>
        <v>5</v>
      </c>
      <c r="F33" s="10">
        <f>IFERROR(vlookup('1.7'!E:E,lookup!$A$6:$B$8,2,false),0)</f>
        <v>5</v>
      </c>
      <c r="G33" s="10">
        <f>IFERROR(vlookup('1.7'!F:F,lookup!$A$10:$B$12,2,false),0)</f>
        <v>5</v>
      </c>
      <c r="H33" s="10">
        <f>IFERROR(vlookup('1.7'!G:G,lookup!$A$14:$B$16,2,false),0)</f>
        <v>5</v>
      </c>
      <c r="I33" s="10">
        <f>IFERROR(vlookup('1.7'!H:H,lookup!$A$18:$B$20,2,false),0)</f>
        <v>5</v>
      </c>
      <c r="J33" s="10">
        <f>IFERROR(vlookup('1.7'!I:I,lookup!$A$22:$B$24,2,false),0)</f>
        <v>5</v>
      </c>
      <c r="K33" s="10">
        <f>IFERROR(vlookup('1.7'!J:J,lookup!$A$26:$B$28,2,false),0)</f>
        <v>5</v>
      </c>
      <c r="L33" s="2"/>
      <c r="M33" s="10">
        <v>32.0</v>
      </c>
      <c r="N33" s="11" t="str">
        <f t="shared" si="1"/>
        <v>bnco0932@signalschool.ac.th</v>
      </c>
      <c r="O33" s="12">
        <f t="shared" si="2"/>
        <v>1</v>
      </c>
      <c r="R33" s="17" t="s">
        <v>249</v>
      </c>
    </row>
    <row r="34">
      <c r="A34" s="8">
        <f>'1.7'!A:A</f>
        <v>46162.42649</v>
      </c>
      <c r="B34" s="2" t="str">
        <f>'1.7'!B:B</f>
        <v>bnco0950@signalschool.ac.th</v>
      </c>
      <c r="C34" s="2" t="str">
        <f>'1.7'!C:C</f>
        <v>พ.ต.ประทีป คุ้มยิ้ม</v>
      </c>
      <c r="D34" s="9">
        <v>1.0</v>
      </c>
      <c r="E34" s="10">
        <f>IFERROR(vlookup('1.7'!D:D,lookup!$A$2:$B$4,2,false),0)</f>
        <v>5</v>
      </c>
      <c r="F34" s="10">
        <f>IFERROR(vlookup('1.7'!E:E,lookup!$A$6:$B$8,2,false),0)</f>
        <v>5</v>
      </c>
      <c r="G34" s="10">
        <f>IFERROR(vlookup('1.7'!F:F,lookup!$A$10:$B$12,2,false),0)</f>
        <v>5</v>
      </c>
      <c r="H34" s="10">
        <f>IFERROR(vlookup('1.7'!G:G,lookup!$A$14:$B$16,2,false),0)</f>
        <v>5</v>
      </c>
      <c r="I34" s="10">
        <f>IFERROR(vlookup('1.7'!H:H,lookup!$A$18:$B$20,2,false),0)</f>
        <v>5</v>
      </c>
      <c r="J34" s="10">
        <f>IFERROR(vlookup('1.7'!I:I,lookup!$A$22:$B$24,2,false),0)</f>
        <v>5</v>
      </c>
      <c r="K34" s="10">
        <f>IFERROR(vlookup('1.7'!J:J,lookup!$A$26:$B$28,2,false),0)</f>
        <v>5</v>
      </c>
      <c r="L34" s="2"/>
      <c r="M34" s="10">
        <v>33.0</v>
      </c>
      <c r="N34" s="11" t="str">
        <f t="shared" si="1"/>
        <v>bnco0933@signalschool.ac.th</v>
      </c>
      <c r="O34" s="12">
        <f t="shared" si="2"/>
        <v>1</v>
      </c>
      <c r="R34" s="17" t="s">
        <v>250</v>
      </c>
    </row>
    <row r="35">
      <c r="A35" s="8">
        <f>'1.7'!A:A</f>
        <v>46162.42802</v>
      </c>
      <c r="B35" s="2" t="str">
        <f>'1.7'!B:B</f>
        <v>bnco0979@signalschool.ac.th</v>
      </c>
      <c r="C35" s="2" t="str">
        <f>'1.7'!C:C</f>
        <v>พ.ต.ประทีป คุ้มยิ้ม</v>
      </c>
      <c r="D35" s="9">
        <v>1.0</v>
      </c>
      <c r="E35" s="10">
        <f>IFERROR(vlookup('1.7'!D:D,lookup!$A$2:$B$4,2,false),0)</f>
        <v>5</v>
      </c>
      <c r="F35" s="10">
        <f>IFERROR(vlookup('1.7'!E:E,lookup!$A$6:$B$8,2,false),0)</f>
        <v>5</v>
      </c>
      <c r="G35" s="10">
        <f>IFERROR(vlookup('1.7'!F:F,lookup!$A$10:$B$12,2,false),0)</f>
        <v>5</v>
      </c>
      <c r="H35" s="10">
        <f>IFERROR(vlookup('1.7'!G:G,lookup!$A$14:$B$16,2,false),0)</f>
        <v>5</v>
      </c>
      <c r="I35" s="10">
        <f>IFERROR(vlookup('1.7'!H:H,lookup!$A$18:$B$20,2,false),0)</f>
        <v>5</v>
      </c>
      <c r="J35" s="10">
        <f>IFERROR(vlookup('1.7'!I:I,lookup!$A$22:$B$24,2,false),0)</f>
        <v>5</v>
      </c>
      <c r="K35" s="10">
        <f>IFERROR(vlookup('1.7'!J:J,lookup!$A$26:$B$28,2,false),0)</f>
        <v>5</v>
      </c>
      <c r="L35" s="2"/>
      <c r="M35" s="10">
        <v>34.0</v>
      </c>
      <c r="N35" s="11" t="str">
        <f t="shared" si="1"/>
        <v>bnco0934@signalschool.ac.th</v>
      </c>
      <c r="O35" s="12">
        <f t="shared" si="2"/>
        <v>1</v>
      </c>
      <c r="R35" s="17" t="s">
        <v>251</v>
      </c>
    </row>
    <row r="36">
      <c r="A36" s="8">
        <f>'1.7'!A:A</f>
        <v>46162.42912</v>
      </c>
      <c r="B36" s="2" t="str">
        <f>'1.7'!B:B</f>
        <v>bnco0916@signalschool.ac.th</v>
      </c>
      <c r="C36" s="2" t="str">
        <f>'1.7'!C:C</f>
        <v>พ.ต.ประทีป คุ้มยิ้ม</v>
      </c>
      <c r="D36" s="9">
        <v>1.0</v>
      </c>
      <c r="E36" s="10">
        <f>IFERROR(vlookup('1.7'!D:D,lookup!$A$2:$B$4,2,false),0)</f>
        <v>5</v>
      </c>
      <c r="F36" s="10">
        <f>IFERROR(vlookup('1.7'!E:E,lookup!$A$6:$B$8,2,false),0)</f>
        <v>5</v>
      </c>
      <c r="G36" s="10">
        <f>IFERROR(vlookup('1.7'!F:F,lookup!$A$10:$B$12,2,false),0)</f>
        <v>5</v>
      </c>
      <c r="H36" s="10">
        <f>IFERROR(vlookup('1.7'!G:G,lookup!$A$14:$B$16,2,false),0)</f>
        <v>5</v>
      </c>
      <c r="I36" s="10">
        <f>IFERROR(vlookup('1.7'!H:H,lookup!$A$18:$B$20,2,false),0)</f>
        <v>5</v>
      </c>
      <c r="J36" s="10">
        <f>IFERROR(vlookup('1.7'!I:I,lookup!$A$22:$B$24,2,false),0)</f>
        <v>5</v>
      </c>
      <c r="K36" s="10">
        <f>IFERROR(vlookup('1.7'!J:J,lookup!$A$26:$B$28,2,false),0)</f>
        <v>5</v>
      </c>
      <c r="L36" s="2"/>
      <c r="M36" s="10">
        <v>35.0</v>
      </c>
      <c r="N36" s="11" t="str">
        <f t="shared" si="1"/>
        <v>bnco0935@signalschool.ac.th</v>
      </c>
      <c r="O36" s="12">
        <f t="shared" si="2"/>
        <v>1</v>
      </c>
      <c r="R36" s="17" t="s">
        <v>252</v>
      </c>
    </row>
    <row r="37">
      <c r="A37" s="8">
        <f>'1.7'!A:A</f>
        <v>46162.42927</v>
      </c>
      <c r="B37" s="2" t="str">
        <f>'1.7'!B:B</f>
        <v>bnco0934@signalschool.ac.th</v>
      </c>
      <c r="C37" s="2" t="str">
        <f>'1.7'!C:C</f>
        <v>พ.ต.ประทีป คุ้มยิ้ม  </v>
      </c>
      <c r="D37" s="9">
        <v>1.0</v>
      </c>
      <c r="E37" s="10">
        <f>IFERROR(vlookup('1.7'!D:D,lookup!$A$2:$B$4,2,false),0)</f>
        <v>5</v>
      </c>
      <c r="F37" s="10">
        <f>IFERROR(vlookup('1.7'!E:E,lookup!$A$6:$B$8,2,false),0)</f>
        <v>5</v>
      </c>
      <c r="G37" s="10">
        <f>IFERROR(vlookup('1.7'!F:F,lookup!$A$10:$B$12,2,false),0)</f>
        <v>5</v>
      </c>
      <c r="H37" s="10">
        <f>IFERROR(vlookup('1.7'!G:G,lookup!$A$14:$B$16,2,false),0)</f>
        <v>5</v>
      </c>
      <c r="I37" s="10">
        <f>IFERROR(vlookup('1.7'!H:H,lookup!$A$18:$B$20,2,false),0)</f>
        <v>5</v>
      </c>
      <c r="J37" s="10">
        <f>IFERROR(vlookup('1.7'!I:I,lookup!$A$22:$B$24,2,false),0)</f>
        <v>5</v>
      </c>
      <c r="K37" s="10">
        <f>IFERROR(vlookup('1.7'!J:J,lookup!$A$26:$B$28,2,false),0)</f>
        <v>5</v>
      </c>
      <c r="L37" s="2"/>
      <c r="M37" s="10">
        <v>36.0</v>
      </c>
      <c r="N37" s="11" t="str">
        <f t="shared" si="1"/>
        <v>bnco0936@signalschool.ac.th</v>
      </c>
      <c r="O37" s="12">
        <f t="shared" si="2"/>
        <v>1</v>
      </c>
      <c r="R37" s="17" t="s">
        <v>253</v>
      </c>
    </row>
    <row r="38">
      <c r="A38" s="8">
        <f>'1.7'!A:A</f>
        <v>46162.42936</v>
      </c>
      <c r="B38" s="2" t="str">
        <f>'1.7'!B:B</f>
        <v>bnco0925@signalschool.ac.th</v>
      </c>
      <c r="C38" s="2" t="str">
        <f>'1.7'!C:C</f>
        <v>พ.ต.ประทีป คุ้มยิ้ม</v>
      </c>
      <c r="D38" s="9">
        <v>1.0</v>
      </c>
      <c r="E38" s="10">
        <f>IFERROR(vlookup('1.7'!D:D,lookup!$A$2:$B$4,2,false),0)</f>
        <v>5</v>
      </c>
      <c r="F38" s="10">
        <f>IFERROR(vlookup('1.7'!E:E,lookup!$A$6:$B$8,2,false),0)</f>
        <v>5</v>
      </c>
      <c r="G38" s="10">
        <f>IFERROR(vlookup('1.7'!F:F,lookup!$A$10:$B$12,2,false),0)</f>
        <v>5</v>
      </c>
      <c r="H38" s="10">
        <f>IFERROR(vlookup('1.7'!G:G,lookup!$A$14:$B$16,2,false),0)</f>
        <v>5</v>
      </c>
      <c r="I38" s="10">
        <f>IFERROR(vlookup('1.7'!H:H,lookup!$A$18:$B$20,2,false),0)</f>
        <v>5</v>
      </c>
      <c r="J38" s="10">
        <f>IFERROR(vlookup('1.7'!I:I,lookup!$A$22:$B$24,2,false),0)</f>
        <v>5</v>
      </c>
      <c r="K38" s="10">
        <f>IFERROR(vlookup('1.7'!J:J,lookup!$A$26:$B$28,2,false),0)</f>
        <v>5</v>
      </c>
      <c r="L38" s="2"/>
      <c r="M38" s="10">
        <v>37.0</v>
      </c>
      <c r="N38" s="11" t="str">
        <f t="shared" si="1"/>
        <v>bnco0937@signalschool.ac.th</v>
      </c>
      <c r="O38" s="12">
        <f t="shared" si="2"/>
        <v>1</v>
      </c>
      <c r="R38" s="17" t="s">
        <v>254</v>
      </c>
    </row>
    <row r="39">
      <c r="A39" s="8">
        <f>'1.7'!A:A</f>
        <v>46162.43162</v>
      </c>
      <c r="B39" s="2" t="str">
        <f>'1.7'!B:B</f>
        <v>bnco0954@signalschool.ac.th</v>
      </c>
      <c r="C39" s="2" t="str">
        <f>'1.7'!C:C</f>
        <v>พ.ต.ประทีป คุ้มยิ้ม</v>
      </c>
      <c r="D39" s="9">
        <v>1.0</v>
      </c>
      <c r="E39" s="10">
        <f>IFERROR(vlookup('1.7'!D:D,lookup!$A$2:$B$4,2,false),0)</f>
        <v>5</v>
      </c>
      <c r="F39" s="10">
        <f>IFERROR(vlookup('1.7'!E:E,lookup!$A$6:$B$8,2,false),0)</f>
        <v>3</v>
      </c>
      <c r="G39" s="10">
        <f>IFERROR(vlookup('1.7'!F:F,lookup!$A$10:$B$12,2,false),0)</f>
        <v>3</v>
      </c>
      <c r="H39" s="10">
        <f>IFERROR(vlookup('1.7'!G:G,lookup!$A$14:$B$16,2,false),0)</f>
        <v>5</v>
      </c>
      <c r="I39" s="10">
        <f>IFERROR(vlookup('1.7'!H:H,lookup!$A$18:$B$20,2,false),0)</f>
        <v>3</v>
      </c>
      <c r="J39" s="10">
        <f>IFERROR(vlookup('1.7'!I:I,lookup!$A$22:$B$24,2,false),0)</f>
        <v>3</v>
      </c>
      <c r="K39" s="10">
        <f>IFERROR(vlookup('1.7'!J:J,lookup!$A$26:$B$28,2,false),0)</f>
        <v>1</v>
      </c>
      <c r="L39" s="2"/>
      <c r="M39" s="10">
        <v>38.0</v>
      </c>
      <c r="N39" s="11" t="str">
        <f t="shared" si="1"/>
        <v>bnco0938@signalschool.ac.th</v>
      </c>
      <c r="O39" s="12">
        <f t="shared" si="2"/>
        <v>1</v>
      </c>
      <c r="R39" s="17" t="s">
        <v>255</v>
      </c>
    </row>
    <row r="40">
      <c r="A40" s="8">
        <f>'1.7'!A:A</f>
        <v>46162.4326</v>
      </c>
      <c r="B40" s="2" t="str">
        <f>'1.7'!B:B</f>
        <v>bnco0921@signalschool.ac.th</v>
      </c>
      <c r="C40" s="2" t="str">
        <f>'1.7'!C:C</f>
        <v>พ.ต.ประทีป คุ้มยิ้ม</v>
      </c>
      <c r="D40" s="9">
        <v>1.0</v>
      </c>
      <c r="E40" s="10">
        <f>IFERROR(vlookup('1.7'!D:D,lookup!$A$2:$B$4,2,false),0)</f>
        <v>5</v>
      </c>
      <c r="F40" s="10">
        <f>IFERROR(vlookup('1.7'!E:E,lookup!$A$6:$B$8,2,false),0)</f>
        <v>5</v>
      </c>
      <c r="G40" s="10">
        <f>IFERROR(vlookup('1.7'!F:F,lookup!$A$10:$B$12,2,false),0)</f>
        <v>5</v>
      </c>
      <c r="H40" s="10">
        <f>IFERROR(vlookup('1.7'!G:G,lookup!$A$14:$B$16,2,false),0)</f>
        <v>5</v>
      </c>
      <c r="I40" s="10">
        <f>IFERROR(vlookup('1.7'!H:H,lookup!$A$18:$B$20,2,false),0)</f>
        <v>5</v>
      </c>
      <c r="J40" s="10">
        <f>IFERROR(vlookup('1.7'!I:I,lookup!$A$22:$B$24,2,false),0)</f>
        <v>5</v>
      </c>
      <c r="K40" s="10">
        <f>IFERROR(vlookup('1.7'!J:J,lookup!$A$26:$B$28,2,false),0)</f>
        <v>5</v>
      </c>
      <c r="L40" s="2"/>
      <c r="M40" s="10">
        <v>39.0</v>
      </c>
      <c r="N40" s="11" t="str">
        <f t="shared" si="1"/>
        <v>bnco0939@signalschool.ac.th</v>
      </c>
      <c r="O40" s="12">
        <f t="shared" si="2"/>
        <v>1</v>
      </c>
      <c r="R40" s="17" t="s">
        <v>256</v>
      </c>
    </row>
    <row r="41">
      <c r="A41" s="8">
        <f>'1.7'!A:A</f>
        <v>46162.43421</v>
      </c>
      <c r="B41" s="2" t="str">
        <f>'1.7'!B:B</f>
        <v>bnco0932@signalschool.ac.th</v>
      </c>
      <c r="C41" s="2" t="str">
        <f>'1.7'!C:C</f>
        <v>ส.อ.ทศพล จุลดาลัย</v>
      </c>
      <c r="D41" s="9">
        <v>1.0</v>
      </c>
      <c r="E41" s="10">
        <f>IFERROR(vlookup('1.7'!D:D,lookup!$A$2:$B$4,2,false),0)</f>
        <v>5</v>
      </c>
      <c r="F41" s="10">
        <f>IFERROR(vlookup('1.7'!E:E,lookup!$A$6:$B$8,2,false),0)</f>
        <v>5</v>
      </c>
      <c r="G41" s="10">
        <f>IFERROR(vlookup('1.7'!F:F,lookup!$A$10:$B$12,2,false),0)</f>
        <v>5</v>
      </c>
      <c r="H41" s="10">
        <f>IFERROR(vlookup('1.7'!G:G,lookup!$A$14:$B$16,2,false),0)</f>
        <v>5</v>
      </c>
      <c r="I41" s="10">
        <f>IFERROR(vlookup('1.7'!H:H,lookup!$A$18:$B$20,2,false),0)</f>
        <v>5</v>
      </c>
      <c r="J41" s="10">
        <f>IFERROR(vlookup('1.7'!I:I,lookup!$A$22:$B$24,2,false),0)</f>
        <v>5</v>
      </c>
      <c r="K41" s="10">
        <f>IFERROR(vlookup('1.7'!J:J,lookup!$A$26:$B$28,2,false),0)</f>
        <v>5</v>
      </c>
      <c r="L41" s="2"/>
      <c r="M41" s="10">
        <v>40.0</v>
      </c>
      <c r="N41" s="11" t="str">
        <f t="shared" si="1"/>
        <v>bnco0940@signalschool.ac.th</v>
      </c>
      <c r="O41" s="12">
        <f t="shared" si="2"/>
        <v>1</v>
      </c>
      <c r="R41" s="17" t="s">
        <v>257</v>
      </c>
    </row>
    <row r="42">
      <c r="A42" s="8">
        <f>'1.7'!A:A</f>
        <v>46162.43712</v>
      </c>
      <c r="B42" s="2" t="str">
        <f>'1.7'!B:B</f>
        <v>bnco0971@signalschool.ac.th</v>
      </c>
      <c r="C42" s="2" t="str">
        <f>'1.7'!C:C</f>
        <v>พ.ต.ประทีป คุ้มยิ้ม</v>
      </c>
      <c r="D42" s="9">
        <v>1.0</v>
      </c>
      <c r="E42" s="10">
        <f>IFERROR(vlookup('1.7'!D:D,lookup!$A$2:$B$4,2,false),0)</f>
        <v>5</v>
      </c>
      <c r="F42" s="10">
        <f>IFERROR(vlookup('1.7'!E:E,lookup!$A$6:$B$8,2,false),0)</f>
        <v>5</v>
      </c>
      <c r="G42" s="10">
        <f>IFERROR(vlookup('1.7'!F:F,lookup!$A$10:$B$12,2,false),0)</f>
        <v>5</v>
      </c>
      <c r="H42" s="10">
        <f>IFERROR(vlookup('1.7'!G:G,lookup!$A$14:$B$16,2,false),0)</f>
        <v>5</v>
      </c>
      <c r="I42" s="10">
        <f>IFERROR(vlookup('1.7'!H:H,lookup!$A$18:$B$20,2,false),0)</f>
        <v>5</v>
      </c>
      <c r="J42" s="10">
        <f>IFERROR(vlookup('1.7'!I:I,lookup!$A$22:$B$24,2,false),0)</f>
        <v>5</v>
      </c>
      <c r="K42" s="10">
        <f>IFERROR(vlookup('1.7'!J:J,lookup!$A$26:$B$28,2,false),0)</f>
        <v>5</v>
      </c>
      <c r="L42" s="2"/>
      <c r="M42" s="10">
        <v>41.0</v>
      </c>
      <c r="N42" s="11" t="str">
        <f t="shared" si="1"/>
        <v>bnco0941@signalschool.ac.th</v>
      </c>
      <c r="O42" s="12">
        <f t="shared" si="2"/>
        <v>1</v>
      </c>
      <c r="R42" s="17" t="s">
        <v>258</v>
      </c>
    </row>
    <row r="43">
      <c r="A43" s="8">
        <f>'1.7'!A:A</f>
        <v>46162.4386</v>
      </c>
      <c r="B43" s="2" t="str">
        <f>'1.7'!B:B</f>
        <v>bnco0977@signalschool.ac.th</v>
      </c>
      <c r="C43" s="2" t="str">
        <f>'1.7'!C:C</f>
        <v>พ.ต.ประทีป คุ้มยิ้ม</v>
      </c>
      <c r="D43" s="9">
        <v>1.0</v>
      </c>
      <c r="E43" s="10">
        <f>IFERROR(vlookup('1.7'!D:D,lookup!$A$2:$B$4,2,false),0)</f>
        <v>5</v>
      </c>
      <c r="F43" s="10">
        <f>IFERROR(vlookup('1.7'!E:E,lookup!$A$6:$B$8,2,false),0)</f>
        <v>5</v>
      </c>
      <c r="G43" s="10">
        <f>IFERROR(vlookup('1.7'!F:F,lookup!$A$10:$B$12,2,false),0)</f>
        <v>5</v>
      </c>
      <c r="H43" s="10">
        <f>IFERROR(vlookup('1.7'!G:G,lookup!$A$14:$B$16,2,false),0)</f>
        <v>5</v>
      </c>
      <c r="I43" s="10">
        <f>IFERROR(vlookup('1.7'!H:H,lookup!$A$18:$B$20,2,false),0)</f>
        <v>5</v>
      </c>
      <c r="J43" s="10">
        <f>IFERROR(vlookup('1.7'!I:I,lookup!$A$22:$B$24,2,false),0)</f>
        <v>5</v>
      </c>
      <c r="K43" s="10">
        <f>IFERROR(vlookup('1.7'!J:J,lookup!$A$26:$B$28,2,false),0)</f>
        <v>5</v>
      </c>
      <c r="L43" s="2"/>
      <c r="M43" s="10">
        <v>42.0</v>
      </c>
      <c r="N43" s="11" t="str">
        <f t="shared" si="1"/>
        <v>bnco0942@signalschool.ac.th</v>
      </c>
      <c r="O43" s="12">
        <f t="shared" si="2"/>
        <v>1</v>
      </c>
      <c r="R43" s="17" t="s">
        <v>259</v>
      </c>
    </row>
    <row r="44">
      <c r="A44" s="8">
        <f>'1.7'!A:A</f>
        <v>46162.43951</v>
      </c>
      <c r="B44" s="2" t="str">
        <f>'1.7'!B:B</f>
        <v>bnco0929@signalschool.ac.th</v>
      </c>
      <c r="C44" s="2" t="str">
        <f>'1.7'!C:C</f>
        <v>พ.ต.ประทีป คุ้มยิ้ม</v>
      </c>
      <c r="D44" s="9">
        <v>1.0</v>
      </c>
      <c r="E44" s="10">
        <f>IFERROR(vlookup('1.7'!D:D,lookup!$A$2:$B$4,2,false),0)</f>
        <v>5</v>
      </c>
      <c r="F44" s="10">
        <f>IFERROR(vlookup('1.7'!E:E,lookup!$A$6:$B$8,2,false),0)</f>
        <v>5</v>
      </c>
      <c r="G44" s="10">
        <f>IFERROR(vlookup('1.7'!F:F,lookup!$A$10:$B$12,2,false),0)</f>
        <v>5</v>
      </c>
      <c r="H44" s="10">
        <f>IFERROR(vlookup('1.7'!G:G,lookup!$A$14:$B$16,2,false),0)</f>
        <v>5</v>
      </c>
      <c r="I44" s="10">
        <f>IFERROR(vlookup('1.7'!H:H,lookup!$A$18:$B$20,2,false),0)</f>
        <v>5</v>
      </c>
      <c r="J44" s="10">
        <f>IFERROR(vlookup('1.7'!I:I,lookup!$A$22:$B$24,2,false),0)</f>
        <v>3</v>
      </c>
      <c r="K44" s="10">
        <f>IFERROR(vlookup('1.7'!J:J,lookup!$A$26:$B$28,2,false),0)</f>
        <v>3</v>
      </c>
      <c r="L44" s="2"/>
      <c r="M44" s="10">
        <v>43.0</v>
      </c>
      <c r="N44" s="11" t="str">
        <f t="shared" si="1"/>
        <v>bnco0943@signalschool.ac.th</v>
      </c>
      <c r="O44" s="12">
        <f t="shared" si="2"/>
        <v>1</v>
      </c>
      <c r="R44" s="17" t="s">
        <v>260</v>
      </c>
    </row>
    <row r="45">
      <c r="A45" s="8">
        <f>'1.7'!A:A</f>
        <v>46162.44081</v>
      </c>
      <c r="B45" s="2" t="str">
        <f>'1.7'!B:B</f>
        <v>bnco0958@signalschool.ac.th</v>
      </c>
      <c r="C45" s="2" t="str">
        <f>'1.7'!C:C</f>
        <v>พ.ต.ประทีป คุ้มยิ้ม</v>
      </c>
      <c r="D45" s="9">
        <v>1.0</v>
      </c>
      <c r="E45" s="10">
        <f>IFERROR(vlookup('1.7'!D:D,lookup!$A$2:$B$4,2,false),0)</f>
        <v>5</v>
      </c>
      <c r="F45" s="10">
        <f>IFERROR(vlookup('1.7'!E:E,lookup!$A$6:$B$8,2,false),0)</f>
        <v>5</v>
      </c>
      <c r="G45" s="10">
        <f>IFERROR(vlookup('1.7'!F:F,lookup!$A$10:$B$12,2,false),0)</f>
        <v>5</v>
      </c>
      <c r="H45" s="10">
        <f>IFERROR(vlookup('1.7'!G:G,lookup!$A$14:$B$16,2,false),0)</f>
        <v>5</v>
      </c>
      <c r="I45" s="10">
        <f>IFERROR(vlookup('1.7'!H:H,lookup!$A$18:$B$20,2,false),0)</f>
        <v>5</v>
      </c>
      <c r="J45" s="10">
        <f>IFERROR(vlookup('1.7'!I:I,lookup!$A$22:$B$24,2,false),0)</f>
        <v>5</v>
      </c>
      <c r="K45" s="10">
        <f>IFERROR(vlookup('1.7'!J:J,lookup!$A$26:$B$28,2,false),0)</f>
        <v>5</v>
      </c>
      <c r="L45" s="2"/>
      <c r="M45" s="10">
        <v>44.0</v>
      </c>
      <c r="N45" s="11" t="str">
        <f t="shared" si="1"/>
        <v>bnco0944@signalschool.ac.th</v>
      </c>
      <c r="O45" s="12">
        <f t="shared" si="2"/>
        <v>1</v>
      </c>
      <c r="R45" s="17" t="s">
        <v>261</v>
      </c>
    </row>
    <row r="46">
      <c r="A46" s="8">
        <f>'1.7'!A:A</f>
        <v>46162.44597</v>
      </c>
      <c r="B46" s="2" t="str">
        <f>'1.7'!B:B</f>
        <v>bnco0908@signalschool.ac.th</v>
      </c>
      <c r="C46" s="2" t="str">
        <f>'1.7'!C:C</f>
        <v>พ.ต.ประทีป คุ้มยิ้ม</v>
      </c>
      <c r="D46" s="9">
        <v>1.0</v>
      </c>
      <c r="E46" s="10">
        <f>IFERROR(vlookup('1.7'!D:D,lookup!$A$2:$B$4,2,false),0)</f>
        <v>5</v>
      </c>
      <c r="F46" s="10">
        <f>IFERROR(vlookup('1.7'!E:E,lookup!$A$6:$B$8,2,false),0)</f>
        <v>5</v>
      </c>
      <c r="G46" s="10">
        <f>IFERROR(vlookup('1.7'!F:F,lookup!$A$10:$B$12,2,false),0)</f>
        <v>5</v>
      </c>
      <c r="H46" s="10">
        <f>IFERROR(vlookup('1.7'!G:G,lookup!$A$14:$B$16,2,false),0)</f>
        <v>5</v>
      </c>
      <c r="I46" s="10">
        <f>IFERROR(vlookup('1.7'!H:H,lookup!$A$18:$B$20,2,false),0)</f>
        <v>5</v>
      </c>
      <c r="J46" s="10">
        <f>IFERROR(vlookup('1.7'!I:I,lookup!$A$22:$B$24,2,false),0)</f>
        <v>5</v>
      </c>
      <c r="K46" s="10">
        <f>IFERROR(vlookup('1.7'!J:J,lookup!$A$26:$B$28,2,false),0)</f>
        <v>5</v>
      </c>
      <c r="L46" s="2"/>
      <c r="M46" s="10">
        <v>45.0</v>
      </c>
      <c r="N46" s="11" t="str">
        <f t="shared" si="1"/>
        <v>bnco0945@signalschool.ac.th</v>
      </c>
      <c r="O46" s="12">
        <f t="shared" si="2"/>
        <v>1</v>
      </c>
      <c r="R46" s="17" t="s">
        <v>262</v>
      </c>
    </row>
    <row r="47">
      <c r="A47" s="8">
        <f>'1.7'!A:A</f>
        <v>46162.44711</v>
      </c>
      <c r="B47" s="2" t="str">
        <f>'1.7'!B:B</f>
        <v>bnco0976@signalschool.ac.th</v>
      </c>
      <c r="C47" s="2" t="str">
        <f>'1.7'!C:C</f>
        <v>พ.ต.ประทีป คุ้มยิ้ม</v>
      </c>
      <c r="D47" s="9">
        <v>1.0</v>
      </c>
      <c r="E47" s="10">
        <f>IFERROR(vlookup('1.7'!D:D,lookup!$A$2:$B$4,2,false),0)</f>
        <v>5</v>
      </c>
      <c r="F47" s="10">
        <f>IFERROR(vlookup('1.7'!E:E,lookup!$A$6:$B$8,2,false),0)</f>
        <v>5</v>
      </c>
      <c r="G47" s="10">
        <f>IFERROR(vlookup('1.7'!F:F,lookup!$A$10:$B$12,2,false),0)</f>
        <v>5</v>
      </c>
      <c r="H47" s="10">
        <f>IFERROR(vlookup('1.7'!G:G,lookup!$A$14:$B$16,2,false),0)</f>
        <v>5</v>
      </c>
      <c r="I47" s="10">
        <f>IFERROR(vlookup('1.7'!H:H,lookup!$A$18:$B$20,2,false),0)</f>
        <v>5</v>
      </c>
      <c r="J47" s="10">
        <f>IFERROR(vlookup('1.7'!I:I,lookup!$A$22:$B$24,2,false),0)</f>
        <v>5</v>
      </c>
      <c r="K47" s="10">
        <f>IFERROR(vlookup('1.7'!J:J,lookup!$A$26:$B$28,2,false),0)</f>
        <v>5</v>
      </c>
      <c r="L47" s="2"/>
      <c r="M47" s="10">
        <v>46.0</v>
      </c>
      <c r="N47" s="11" t="str">
        <f t="shared" si="1"/>
        <v>bnco0946@signalschool.ac.th</v>
      </c>
      <c r="O47" s="12">
        <f t="shared" si="2"/>
        <v>1</v>
      </c>
      <c r="R47" s="17" t="s">
        <v>263</v>
      </c>
    </row>
    <row r="48">
      <c r="A48" s="8">
        <f>'1.7'!A:A</f>
        <v>46162.44722</v>
      </c>
      <c r="B48" s="2" t="str">
        <f>'1.7'!B:B</f>
        <v>bnco0956@signalschool.ac.th</v>
      </c>
      <c r="C48" s="2" t="str">
        <f>'1.7'!C:C</f>
        <v>ส.อ.ชกร นิตยบูรณ์</v>
      </c>
      <c r="D48" s="9">
        <v>1.0</v>
      </c>
      <c r="E48" s="10">
        <f>IFERROR(vlookup('1.7'!D:D,lookup!$A$2:$B$4,2,false),0)</f>
        <v>5</v>
      </c>
      <c r="F48" s="10">
        <f>IFERROR(vlookup('1.7'!E:E,lookup!$A$6:$B$8,2,false),0)</f>
        <v>5</v>
      </c>
      <c r="G48" s="10">
        <f>IFERROR(vlookup('1.7'!F:F,lookup!$A$10:$B$12,2,false),0)</f>
        <v>5</v>
      </c>
      <c r="H48" s="10">
        <f>IFERROR(vlookup('1.7'!G:G,lookup!$A$14:$B$16,2,false),0)</f>
        <v>5</v>
      </c>
      <c r="I48" s="10">
        <f>IFERROR(vlookup('1.7'!H:H,lookup!$A$18:$B$20,2,false),0)</f>
        <v>5</v>
      </c>
      <c r="J48" s="10">
        <f>IFERROR(vlookup('1.7'!I:I,lookup!$A$22:$B$24,2,false),0)</f>
        <v>5</v>
      </c>
      <c r="K48" s="10">
        <f>IFERROR(vlookup('1.7'!J:J,lookup!$A$26:$B$28,2,false),0)</f>
        <v>5</v>
      </c>
      <c r="L48" s="2"/>
      <c r="M48" s="10">
        <v>47.0</v>
      </c>
      <c r="N48" s="11" t="str">
        <f t="shared" si="1"/>
        <v>bnco0947@signalschool.ac.th</v>
      </c>
      <c r="O48" s="12">
        <f t="shared" si="2"/>
        <v>1</v>
      </c>
      <c r="R48" s="17" t="s">
        <v>264</v>
      </c>
    </row>
    <row r="49">
      <c r="A49" s="8">
        <f>'1.7'!A:A</f>
        <v>46162.44988</v>
      </c>
      <c r="B49" s="2" t="str">
        <f>'1.7'!B:B</f>
        <v>bnco0910@signalschool.ac.th</v>
      </c>
      <c r="C49" s="2" t="str">
        <f>'1.7'!C:C</f>
        <v>พ.ต.ประทีป คุ้มยิ้ม</v>
      </c>
      <c r="D49" s="9">
        <v>1.0</v>
      </c>
      <c r="E49" s="10">
        <f>IFERROR(vlookup('1.7'!D:D,lookup!$A$2:$B$4,2,false),0)</f>
        <v>5</v>
      </c>
      <c r="F49" s="10">
        <f>IFERROR(vlookup('1.7'!E:E,lookup!$A$6:$B$8,2,false),0)</f>
        <v>5</v>
      </c>
      <c r="G49" s="10">
        <f>IFERROR(vlookup('1.7'!F:F,lookup!$A$10:$B$12,2,false),0)</f>
        <v>5</v>
      </c>
      <c r="H49" s="10">
        <f>IFERROR(vlookup('1.7'!G:G,lookup!$A$14:$B$16,2,false),0)</f>
        <v>5</v>
      </c>
      <c r="I49" s="10">
        <f>IFERROR(vlookup('1.7'!H:H,lookup!$A$18:$B$20,2,false),0)</f>
        <v>5</v>
      </c>
      <c r="J49" s="10">
        <f>IFERROR(vlookup('1.7'!I:I,lookup!$A$22:$B$24,2,false),0)</f>
        <v>5</v>
      </c>
      <c r="K49" s="10">
        <f>IFERROR(vlookup('1.7'!J:J,lookup!$A$26:$B$28,2,false),0)</f>
        <v>5</v>
      </c>
      <c r="L49" s="2"/>
      <c r="M49" s="10">
        <v>48.0</v>
      </c>
      <c r="N49" s="11" t="str">
        <f t="shared" si="1"/>
        <v>bnco0948@signalschool.ac.th</v>
      </c>
      <c r="O49" s="12">
        <f t="shared" si="2"/>
        <v>1</v>
      </c>
      <c r="R49" s="17" t="s">
        <v>265</v>
      </c>
    </row>
    <row r="50">
      <c r="A50" s="8">
        <f>'1.7'!A:A</f>
        <v>46162.45123</v>
      </c>
      <c r="B50" s="2" t="str">
        <f>'1.7'!B:B</f>
        <v>bnco0935@signalschool.ac.th</v>
      </c>
      <c r="C50" s="2" t="str">
        <f>'1.7'!C:C</f>
        <v>ส.อ.ศุภกร ดิษฐ์ประดับ</v>
      </c>
      <c r="D50" s="9">
        <v>1.0</v>
      </c>
      <c r="E50" s="10">
        <f>IFERROR(vlookup('1.7'!D:D,lookup!$A$2:$B$4,2,false),0)</f>
        <v>5</v>
      </c>
      <c r="F50" s="10">
        <f>IFERROR(vlookup('1.7'!E:E,lookup!$A$6:$B$8,2,false),0)</f>
        <v>5</v>
      </c>
      <c r="G50" s="10">
        <f>IFERROR(vlookup('1.7'!F:F,lookup!$A$10:$B$12,2,false),0)</f>
        <v>5</v>
      </c>
      <c r="H50" s="10">
        <f>IFERROR(vlookup('1.7'!G:G,lookup!$A$14:$B$16,2,false),0)</f>
        <v>5</v>
      </c>
      <c r="I50" s="10">
        <f>IFERROR(vlookup('1.7'!H:H,lookup!$A$18:$B$20,2,false),0)</f>
        <v>5</v>
      </c>
      <c r="J50" s="10">
        <f>IFERROR(vlookup('1.7'!I:I,lookup!$A$22:$B$24,2,false),0)</f>
        <v>5</v>
      </c>
      <c r="K50" s="10">
        <f>IFERROR(vlookup('1.7'!J:J,lookup!$A$26:$B$28,2,false),0)</f>
        <v>5</v>
      </c>
      <c r="L50" s="2"/>
      <c r="M50" s="10">
        <v>49.0</v>
      </c>
      <c r="N50" s="11" t="str">
        <f t="shared" si="1"/>
        <v>bnco0949@signalschool.ac.th</v>
      </c>
      <c r="O50" s="12">
        <f t="shared" si="2"/>
        <v>1</v>
      </c>
      <c r="R50" s="17" t="s">
        <v>266</v>
      </c>
    </row>
    <row r="51">
      <c r="A51" s="8">
        <f>'1.7'!A:A</f>
        <v>46162.45404</v>
      </c>
      <c r="B51" s="2" t="str">
        <f>'1.7'!B:B</f>
        <v>bnco0953@signalschool.ac.th</v>
      </c>
      <c r="C51" s="2" t="str">
        <f>'1.7'!C:C</f>
        <v>พ.ต.ประทีป คุ้มยิ้ม</v>
      </c>
      <c r="D51" s="9">
        <v>1.0</v>
      </c>
      <c r="E51" s="10">
        <f>IFERROR(vlookup('1.7'!D:D,lookup!$A$2:$B$4,2,false),0)</f>
        <v>5</v>
      </c>
      <c r="F51" s="10">
        <f>IFERROR(vlookup('1.7'!E:E,lookup!$A$6:$B$8,2,false),0)</f>
        <v>5</v>
      </c>
      <c r="G51" s="10">
        <f>IFERROR(vlookup('1.7'!F:F,lookup!$A$10:$B$12,2,false),0)</f>
        <v>5</v>
      </c>
      <c r="H51" s="10">
        <f>IFERROR(vlookup('1.7'!G:G,lookup!$A$14:$B$16,2,false),0)</f>
        <v>5</v>
      </c>
      <c r="I51" s="10">
        <f>IFERROR(vlookup('1.7'!H:H,lookup!$A$18:$B$20,2,false),0)</f>
        <v>5</v>
      </c>
      <c r="J51" s="10">
        <f>IFERROR(vlookup('1.7'!I:I,lookup!$A$22:$B$24,2,false),0)</f>
        <v>3</v>
      </c>
      <c r="K51" s="10">
        <f>IFERROR(vlookup('1.7'!J:J,lookup!$A$26:$B$28,2,false),0)</f>
        <v>3</v>
      </c>
      <c r="L51" s="2"/>
      <c r="M51" s="10">
        <v>50.0</v>
      </c>
      <c r="N51" s="11" t="str">
        <f t="shared" si="1"/>
        <v>bnco0950@signalschool.ac.th</v>
      </c>
      <c r="O51" s="12">
        <f t="shared" si="2"/>
        <v>1</v>
      </c>
      <c r="R51" s="17" t="s">
        <v>267</v>
      </c>
    </row>
    <row r="52">
      <c r="A52" s="8">
        <f>'1.7'!A:A</f>
        <v>46162.46622</v>
      </c>
      <c r="B52" s="2" t="str">
        <f>'1.7'!B:B</f>
        <v>bnco0960@signalschool.ac.th</v>
      </c>
      <c r="C52" s="2" t="str">
        <f>'1.7'!C:C</f>
        <v>พ.ต.ประทีป คุ้มยิ้ม</v>
      </c>
      <c r="D52" s="9">
        <v>1.0</v>
      </c>
      <c r="E52" s="10">
        <f>IFERROR(vlookup('1.7'!D:D,lookup!$A$2:$B$4,2,false),0)</f>
        <v>5</v>
      </c>
      <c r="F52" s="10">
        <f>IFERROR(vlookup('1.7'!E:E,lookup!$A$6:$B$8,2,false),0)</f>
        <v>5</v>
      </c>
      <c r="G52" s="10">
        <f>IFERROR(vlookup('1.7'!F:F,lookup!$A$10:$B$12,2,false),0)</f>
        <v>5</v>
      </c>
      <c r="H52" s="10">
        <f>IFERROR(vlookup('1.7'!G:G,lookup!$A$14:$B$16,2,false),0)</f>
        <v>5</v>
      </c>
      <c r="I52" s="10">
        <f>IFERROR(vlookup('1.7'!H:H,lookup!$A$18:$B$20,2,false),0)</f>
        <v>5</v>
      </c>
      <c r="J52" s="10">
        <f>IFERROR(vlookup('1.7'!I:I,lookup!$A$22:$B$24,2,false),0)</f>
        <v>5</v>
      </c>
      <c r="K52" s="10">
        <f>IFERROR(vlookup('1.7'!J:J,lookup!$A$26:$B$28,2,false),0)</f>
        <v>5</v>
      </c>
      <c r="L52" s="2"/>
      <c r="M52" s="10">
        <v>51.0</v>
      </c>
      <c r="N52" s="11" t="str">
        <f t="shared" si="1"/>
        <v>bnco0951@signalschool.ac.th</v>
      </c>
      <c r="O52" s="12">
        <f t="shared" si="2"/>
        <v>1</v>
      </c>
      <c r="R52" s="17" t="s">
        <v>268</v>
      </c>
    </row>
    <row r="53">
      <c r="A53" s="8">
        <f>'1.7'!A:A</f>
        <v>46162.46999</v>
      </c>
      <c r="B53" s="2" t="str">
        <f>'1.7'!B:B</f>
        <v>bnco0939@signalschool.ac.th</v>
      </c>
      <c r="C53" s="2" t="str">
        <f>'1.7'!C:C</f>
        <v>พ.ต.ประทีป  คุ้มยิ้ม</v>
      </c>
      <c r="D53" s="9">
        <v>1.0</v>
      </c>
      <c r="E53" s="10">
        <f>IFERROR(vlookup('1.7'!D:D,lookup!$A$2:$B$4,2,false),0)</f>
        <v>5</v>
      </c>
      <c r="F53" s="10">
        <f>IFERROR(vlookup('1.7'!E:E,lookup!$A$6:$B$8,2,false),0)</f>
        <v>5</v>
      </c>
      <c r="G53" s="10">
        <f>IFERROR(vlookup('1.7'!F:F,lookup!$A$10:$B$12,2,false),0)</f>
        <v>5</v>
      </c>
      <c r="H53" s="10">
        <f>IFERROR(vlookup('1.7'!G:G,lookup!$A$14:$B$16,2,false),0)</f>
        <v>5</v>
      </c>
      <c r="I53" s="10">
        <f>IFERROR(vlookup('1.7'!H:H,lookup!$A$18:$B$20,2,false),0)</f>
        <v>5</v>
      </c>
      <c r="J53" s="10">
        <f>IFERROR(vlookup('1.7'!I:I,lookup!$A$22:$B$24,2,false),0)</f>
        <v>5</v>
      </c>
      <c r="K53" s="10">
        <f>IFERROR(vlookup('1.7'!J:J,lookup!$A$26:$B$28,2,false),0)</f>
        <v>5</v>
      </c>
      <c r="L53" s="2"/>
      <c r="M53" s="10">
        <v>52.0</v>
      </c>
      <c r="N53" s="11" t="str">
        <f t="shared" si="1"/>
        <v>bnco0952@signalschool.ac.th</v>
      </c>
      <c r="O53" s="12">
        <f t="shared" si="2"/>
        <v>1</v>
      </c>
      <c r="R53" s="17" t="s">
        <v>269</v>
      </c>
    </row>
    <row r="54">
      <c r="A54" s="8">
        <f>'1.7'!A:A</f>
        <v>46162.47036</v>
      </c>
      <c r="B54" s="2" t="str">
        <f>'1.7'!B:B</f>
        <v>bnco0928@signalschool.ac.th</v>
      </c>
      <c r="C54" s="2" t="str">
        <f>'1.7'!C:C</f>
        <v>พ.ต.ประทีป คุ้มยิ้ม</v>
      </c>
      <c r="D54" s="9">
        <v>1.0</v>
      </c>
      <c r="E54" s="10">
        <f>IFERROR(vlookup('1.7'!D:D,lookup!$A$2:$B$4,2,false),0)</f>
        <v>5</v>
      </c>
      <c r="F54" s="10">
        <f>IFERROR(vlookup('1.7'!E:E,lookup!$A$6:$B$8,2,false),0)</f>
        <v>5</v>
      </c>
      <c r="G54" s="10">
        <f>IFERROR(vlookup('1.7'!F:F,lookup!$A$10:$B$12,2,false),0)</f>
        <v>3</v>
      </c>
      <c r="H54" s="10">
        <f>IFERROR(vlookup('1.7'!G:G,lookup!$A$14:$B$16,2,false),0)</f>
        <v>5</v>
      </c>
      <c r="I54" s="10">
        <f>IFERROR(vlookup('1.7'!H:H,lookup!$A$18:$B$20,2,false),0)</f>
        <v>5</v>
      </c>
      <c r="J54" s="10">
        <f>IFERROR(vlookup('1.7'!I:I,lookup!$A$22:$B$24,2,false),0)</f>
        <v>3</v>
      </c>
      <c r="K54" s="10">
        <f>IFERROR(vlookup('1.7'!J:J,lookup!$A$26:$B$28,2,false),0)</f>
        <v>5</v>
      </c>
      <c r="L54" s="2"/>
      <c r="M54" s="10">
        <v>53.0</v>
      </c>
      <c r="N54" s="11" t="str">
        <f t="shared" si="1"/>
        <v>bnco0953@signalschool.ac.th</v>
      </c>
      <c r="O54" s="12">
        <f t="shared" si="2"/>
        <v>1</v>
      </c>
      <c r="R54" s="17" t="s">
        <v>270</v>
      </c>
    </row>
    <row r="55">
      <c r="A55" s="8">
        <f>'1.7'!A:A</f>
        <v>46162.47117</v>
      </c>
      <c r="B55" s="2" t="str">
        <f>'1.7'!B:B</f>
        <v>bnco0959@signalschool.ac.th</v>
      </c>
      <c r="C55" s="2" t="str">
        <f>'1.7'!C:C</f>
        <v>พ.ต.ประทีป คุ้มยิ้ม </v>
      </c>
      <c r="D55" s="9">
        <v>1.0</v>
      </c>
      <c r="E55" s="10">
        <f>IFERROR(vlookup('1.7'!D:D,lookup!$A$2:$B$4,2,false),0)</f>
        <v>5</v>
      </c>
      <c r="F55" s="10">
        <f>IFERROR(vlookup('1.7'!E:E,lookup!$A$6:$B$8,2,false),0)</f>
        <v>5</v>
      </c>
      <c r="G55" s="10">
        <f>IFERROR(vlookup('1.7'!F:F,lookup!$A$10:$B$12,2,false),0)</f>
        <v>5</v>
      </c>
      <c r="H55" s="10">
        <f>IFERROR(vlookup('1.7'!G:G,lookup!$A$14:$B$16,2,false),0)</f>
        <v>5</v>
      </c>
      <c r="I55" s="10">
        <f>IFERROR(vlookup('1.7'!H:H,lookup!$A$18:$B$20,2,false),0)</f>
        <v>5</v>
      </c>
      <c r="J55" s="10">
        <f>IFERROR(vlookup('1.7'!I:I,lookup!$A$22:$B$24,2,false),0)</f>
        <v>5</v>
      </c>
      <c r="K55" s="10">
        <f>IFERROR(vlookup('1.7'!J:J,lookup!$A$26:$B$28,2,false),0)</f>
        <v>5</v>
      </c>
      <c r="L55" s="2"/>
      <c r="M55" s="10">
        <v>54.0</v>
      </c>
      <c r="N55" s="11" t="str">
        <f t="shared" si="1"/>
        <v>bnco0954@signalschool.ac.th</v>
      </c>
      <c r="O55" s="12">
        <f t="shared" si="2"/>
        <v>1</v>
      </c>
      <c r="R55" s="17" t="s">
        <v>271</v>
      </c>
    </row>
    <row r="56">
      <c r="A56" s="8">
        <f>'1.7'!A:A</f>
        <v>46162.47134</v>
      </c>
      <c r="B56" s="2" t="str">
        <f>'1.7'!B:B</f>
        <v>bnco0903@signalschool.ac.th</v>
      </c>
      <c r="C56" s="2" t="str">
        <f>'1.7'!C:C</f>
        <v>พ.ต.ประทีป คุ้มยิ้ม</v>
      </c>
      <c r="D56" s="9">
        <v>1.0</v>
      </c>
      <c r="E56" s="10">
        <f>IFERROR(vlookup('1.7'!D:D,lookup!$A$2:$B$4,2,false),0)</f>
        <v>5</v>
      </c>
      <c r="F56" s="10">
        <f>IFERROR(vlookup('1.7'!E:E,lookup!$A$6:$B$8,2,false),0)</f>
        <v>5</v>
      </c>
      <c r="G56" s="10">
        <f>IFERROR(vlookup('1.7'!F:F,lookup!$A$10:$B$12,2,false),0)</f>
        <v>5</v>
      </c>
      <c r="H56" s="10">
        <f>IFERROR(vlookup('1.7'!G:G,lookup!$A$14:$B$16,2,false),0)</f>
        <v>5</v>
      </c>
      <c r="I56" s="10">
        <f>IFERROR(vlookup('1.7'!H:H,lookup!$A$18:$B$20,2,false),0)</f>
        <v>5</v>
      </c>
      <c r="J56" s="10">
        <f>IFERROR(vlookup('1.7'!I:I,lookup!$A$22:$B$24,2,false),0)</f>
        <v>5</v>
      </c>
      <c r="K56" s="10">
        <f>IFERROR(vlookup('1.7'!J:J,lookup!$A$26:$B$28,2,false),0)</f>
        <v>5</v>
      </c>
      <c r="L56" s="13"/>
      <c r="M56" s="10">
        <v>55.0</v>
      </c>
      <c r="N56" s="11" t="str">
        <f t="shared" si="1"/>
        <v>bnco0955@signalschool.ac.th</v>
      </c>
      <c r="O56" s="12">
        <f t="shared" si="2"/>
        <v>1</v>
      </c>
      <c r="R56" s="17" t="s">
        <v>272</v>
      </c>
    </row>
    <row r="57">
      <c r="A57" s="8">
        <f>'1.7'!A:A</f>
        <v>46162.47175</v>
      </c>
      <c r="B57" s="2" t="str">
        <f>'1.7'!B:B</f>
        <v>bnco0930@signalschool.ac.th</v>
      </c>
      <c r="C57" s="2" t="str">
        <f>'1.7'!C:C</f>
        <v>พ.ต. ประทีป  คุ้มยิ้ม</v>
      </c>
      <c r="D57" s="9">
        <v>1.0</v>
      </c>
      <c r="E57" s="10">
        <f>IFERROR(vlookup('1.7'!D:D,lookup!$A$2:$B$4,2,false),0)</f>
        <v>5</v>
      </c>
      <c r="F57" s="10">
        <f>IFERROR(vlookup('1.7'!E:E,lookup!$A$6:$B$8,2,false),0)</f>
        <v>5</v>
      </c>
      <c r="G57" s="10">
        <f>IFERROR(vlookup('1.7'!F:F,lookup!$A$10:$B$12,2,false),0)</f>
        <v>5</v>
      </c>
      <c r="H57" s="10">
        <f>IFERROR(vlookup('1.7'!G:G,lookup!$A$14:$B$16,2,false),0)</f>
        <v>5</v>
      </c>
      <c r="I57" s="10">
        <f>IFERROR(vlookup('1.7'!H:H,lookup!$A$18:$B$20,2,false),0)</f>
        <v>5</v>
      </c>
      <c r="J57" s="10">
        <f>IFERROR(vlookup('1.7'!I:I,lookup!$A$22:$B$24,2,false),0)</f>
        <v>5</v>
      </c>
      <c r="K57" s="10">
        <f>IFERROR(vlookup('1.7'!J:J,lookup!$A$26:$B$28,2,false),0)</f>
        <v>5</v>
      </c>
      <c r="L57" s="13"/>
      <c r="M57" s="10">
        <v>56.0</v>
      </c>
      <c r="N57" s="11" t="str">
        <f t="shared" si="1"/>
        <v>bnco0956@signalschool.ac.th</v>
      </c>
      <c r="O57" s="12">
        <f t="shared" si="2"/>
        <v>1</v>
      </c>
      <c r="R57" s="17" t="s">
        <v>273</v>
      </c>
    </row>
    <row r="58">
      <c r="A58" s="8">
        <f>'1.7'!A:A</f>
        <v>46162.47347</v>
      </c>
      <c r="B58" s="2" t="str">
        <f>'1.7'!B:B</f>
        <v>bnco0913@signalschool.ac.th</v>
      </c>
      <c r="C58" s="2" t="str">
        <f>'1.7'!C:C</f>
        <v>พ.ต.ประทีป คุ้มยิ้ม</v>
      </c>
      <c r="D58" s="9">
        <v>1.0</v>
      </c>
      <c r="E58" s="10">
        <f>IFERROR(vlookup('1.7'!D:D,lookup!$A$2:$B$4,2,false),0)</f>
        <v>5</v>
      </c>
      <c r="F58" s="10">
        <f>IFERROR(vlookup('1.7'!E:E,lookup!$A$6:$B$8,2,false),0)</f>
        <v>5</v>
      </c>
      <c r="G58" s="10">
        <f>IFERROR(vlookup('1.7'!F:F,lookup!$A$10:$B$12,2,false),0)</f>
        <v>5</v>
      </c>
      <c r="H58" s="10">
        <f>IFERROR(vlookup('1.7'!G:G,lookup!$A$14:$B$16,2,false),0)</f>
        <v>5</v>
      </c>
      <c r="I58" s="10">
        <f>IFERROR(vlookup('1.7'!H:H,lookup!$A$18:$B$20,2,false),0)</f>
        <v>5</v>
      </c>
      <c r="J58" s="10">
        <f>IFERROR(vlookup('1.7'!I:I,lookup!$A$22:$B$24,2,false),0)</f>
        <v>5</v>
      </c>
      <c r="K58" s="10">
        <f>IFERROR(vlookup('1.7'!J:J,lookup!$A$26:$B$28,2,false),0)</f>
        <v>5</v>
      </c>
      <c r="L58" s="13"/>
      <c r="M58" s="10">
        <v>57.0</v>
      </c>
      <c r="N58" s="11" t="str">
        <f t="shared" si="1"/>
        <v>bnco0957@signalschool.ac.th</v>
      </c>
      <c r="O58" s="12">
        <f t="shared" si="2"/>
        <v>1</v>
      </c>
      <c r="R58" s="17" t="s">
        <v>274</v>
      </c>
    </row>
    <row r="59">
      <c r="A59" s="8">
        <f>'1.7'!A:A</f>
        <v>46162.47377</v>
      </c>
      <c r="B59" s="2" t="str">
        <f>'1.7'!B:B</f>
        <v>bnco0915@signalschool.ac.th</v>
      </c>
      <c r="C59" s="2" t="str">
        <f>'1.7'!C:C</f>
        <v>พ.ต.ประทีป คุ้มยิ้ม</v>
      </c>
      <c r="D59" s="9">
        <v>1.0</v>
      </c>
      <c r="E59" s="10">
        <f>IFERROR(vlookup('1.7'!D:D,lookup!$A$2:$B$4,2,false),0)</f>
        <v>5</v>
      </c>
      <c r="F59" s="10">
        <f>IFERROR(vlookup('1.7'!E:E,lookup!$A$6:$B$8,2,false),0)</f>
        <v>3</v>
      </c>
      <c r="G59" s="10">
        <f>IFERROR(vlookup('1.7'!F:F,lookup!$A$10:$B$12,2,false),0)</f>
        <v>5</v>
      </c>
      <c r="H59" s="10">
        <f>IFERROR(vlookup('1.7'!G:G,lookup!$A$14:$B$16,2,false),0)</f>
        <v>5</v>
      </c>
      <c r="I59" s="10">
        <f>IFERROR(vlookup('1.7'!H:H,lookup!$A$18:$B$20,2,false),0)</f>
        <v>5</v>
      </c>
      <c r="J59" s="10">
        <f>IFERROR(vlookup('1.7'!I:I,lookup!$A$22:$B$24,2,false),0)</f>
        <v>5</v>
      </c>
      <c r="K59" s="10">
        <f>IFERROR(vlookup('1.7'!J:J,lookup!$A$26:$B$28,2,false),0)</f>
        <v>5</v>
      </c>
      <c r="L59" s="14"/>
      <c r="M59" s="10">
        <v>58.0</v>
      </c>
      <c r="N59" s="11" t="str">
        <f t="shared" si="1"/>
        <v>bnco0958@signalschool.ac.th</v>
      </c>
      <c r="O59" s="12">
        <f t="shared" si="2"/>
        <v>1</v>
      </c>
      <c r="R59" s="17" t="s">
        <v>275</v>
      </c>
    </row>
    <row r="60">
      <c r="A60" s="8">
        <f>'1.7'!A:A</f>
        <v>46162.47427</v>
      </c>
      <c r="B60" s="2" t="str">
        <f>'1.7'!B:B</f>
        <v>bnco0948@signalschool.ac.th</v>
      </c>
      <c r="C60" s="2" t="str">
        <f>'1.7'!C:C</f>
        <v>พ.ต.ประทีป  คุ้มยิ้ม</v>
      </c>
      <c r="D60" s="9">
        <v>1.0</v>
      </c>
      <c r="E60" s="10">
        <f>IFERROR(vlookup('1.7'!D:D,lookup!$A$2:$B$4,2,false),0)</f>
        <v>5</v>
      </c>
      <c r="F60" s="10">
        <f>IFERROR(vlookup('1.7'!E:E,lookup!$A$6:$B$8,2,false),0)</f>
        <v>5</v>
      </c>
      <c r="G60" s="10">
        <f>IFERROR(vlookup('1.7'!F:F,lookup!$A$10:$B$12,2,false),0)</f>
        <v>5</v>
      </c>
      <c r="H60" s="10">
        <f>IFERROR(vlookup('1.7'!G:G,lookup!$A$14:$B$16,2,false),0)</f>
        <v>5</v>
      </c>
      <c r="I60" s="10">
        <f>IFERROR(vlookup('1.7'!H:H,lookup!$A$18:$B$20,2,false),0)</f>
        <v>5</v>
      </c>
      <c r="J60" s="10">
        <f>IFERROR(vlookup('1.7'!I:I,lookup!$A$22:$B$24,2,false),0)</f>
        <v>5</v>
      </c>
      <c r="K60" s="10">
        <f>IFERROR(vlookup('1.7'!J:J,lookup!$A$26:$B$28,2,false),0)</f>
        <v>5</v>
      </c>
      <c r="L60" s="10"/>
      <c r="M60" s="10">
        <v>59.0</v>
      </c>
      <c r="N60" s="11" t="str">
        <f t="shared" si="1"/>
        <v>bnco0959@signalschool.ac.th</v>
      </c>
      <c r="O60" s="12">
        <f t="shared" si="2"/>
        <v>1</v>
      </c>
      <c r="R60" s="17" t="s">
        <v>276</v>
      </c>
    </row>
    <row r="61">
      <c r="A61" s="8">
        <f>'1.7'!A:A</f>
        <v>46162.47483</v>
      </c>
      <c r="B61" s="2" t="str">
        <f>'1.7'!B:B</f>
        <v>bnco0918@signalschool.ac.th</v>
      </c>
      <c r="C61" s="2" t="str">
        <f>'1.7'!C:C</f>
        <v>พ.ต.ประทีป คุ้มยิ้ม</v>
      </c>
      <c r="D61" s="9">
        <v>1.0</v>
      </c>
      <c r="E61" s="10">
        <f>IFERROR(vlookup('1.7'!D:D,lookup!$A$2:$B$4,2,false),0)</f>
        <v>5</v>
      </c>
      <c r="F61" s="10">
        <f>IFERROR(vlookup('1.7'!E:E,lookup!$A$6:$B$8,2,false),0)</f>
        <v>5</v>
      </c>
      <c r="G61" s="10">
        <f>IFERROR(vlookup('1.7'!F:F,lookup!$A$10:$B$12,2,false),0)</f>
        <v>5</v>
      </c>
      <c r="H61" s="10">
        <f>IFERROR(vlookup('1.7'!G:G,lookup!$A$14:$B$16,2,false),0)</f>
        <v>5</v>
      </c>
      <c r="I61" s="10">
        <f>IFERROR(vlookup('1.7'!H:H,lookup!$A$18:$B$20,2,false),0)</f>
        <v>5</v>
      </c>
      <c r="J61" s="10">
        <f>IFERROR(vlookup('1.7'!I:I,lookup!$A$22:$B$24,2,false),0)</f>
        <v>5</v>
      </c>
      <c r="K61" s="10">
        <f>IFERROR(vlookup('1.7'!J:J,lookup!$A$26:$B$28,2,false),0)</f>
        <v>5</v>
      </c>
      <c r="M61" s="10">
        <v>60.0</v>
      </c>
      <c r="N61" s="11" t="str">
        <f t="shared" si="1"/>
        <v>bnco0960@signalschool.ac.th</v>
      </c>
      <c r="O61" s="12">
        <f t="shared" si="2"/>
        <v>1</v>
      </c>
      <c r="R61" s="17" t="s">
        <v>277</v>
      </c>
    </row>
    <row r="62">
      <c r="A62" s="8">
        <f>'1.7'!A:A</f>
        <v>46162.47622</v>
      </c>
      <c r="B62" s="2" t="str">
        <f>'1.7'!B:B</f>
        <v>bnco0931@signalschool.ac.th</v>
      </c>
      <c r="C62" s="2" t="str">
        <f>'1.7'!C:C</f>
        <v>พ.ต.ประทีป คุ้มยิ้ม</v>
      </c>
      <c r="D62" s="9">
        <v>1.0</v>
      </c>
      <c r="E62" s="10">
        <f>IFERROR(vlookup('1.7'!D:D,lookup!$A$2:$B$4,2,false),0)</f>
        <v>3</v>
      </c>
      <c r="F62" s="10">
        <f>IFERROR(vlookup('1.7'!E:E,lookup!$A$6:$B$8,2,false),0)</f>
        <v>5</v>
      </c>
      <c r="G62" s="10">
        <f>IFERROR(vlookup('1.7'!F:F,lookup!$A$10:$B$12,2,false),0)</f>
        <v>5</v>
      </c>
      <c r="H62" s="10">
        <f>IFERROR(vlookup('1.7'!G:G,lookup!$A$14:$B$16,2,false),0)</f>
        <v>5</v>
      </c>
      <c r="I62" s="10">
        <f>IFERROR(vlookup('1.7'!H:H,lookup!$A$18:$B$20,2,false),0)</f>
        <v>5</v>
      </c>
      <c r="J62" s="10">
        <f>IFERROR(vlookup('1.7'!I:I,lookup!$A$22:$B$24,2,false),0)</f>
        <v>5</v>
      </c>
      <c r="K62" s="10">
        <f>IFERROR(vlookup('1.7'!J:J,lookup!$A$26:$B$28,2,false),0)</f>
        <v>5</v>
      </c>
      <c r="M62" s="10">
        <v>61.0</v>
      </c>
      <c r="N62" s="11" t="str">
        <f t="shared" si="1"/>
        <v>bnco0961@signalschool.ac.th</v>
      </c>
      <c r="O62" s="12">
        <f t="shared" si="2"/>
        <v>1</v>
      </c>
      <c r="R62" s="17" t="s">
        <v>278</v>
      </c>
    </row>
    <row r="63">
      <c r="A63" s="8">
        <f>'1.7'!A:A</f>
        <v>46162.4768</v>
      </c>
      <c r="B63" s="2" t="str">
        <f>'1.7'!B:B</f>
        <v>bnco0966@signalschool.ac.th</v>
      </c>
      <c r="C63" s="2" t="str">
        <f>'1.7'!C:C</f>
        <v>พ.ต.ประทีป คุ้มยิ้ม</v>
      </c>
      <c r="D63" s="9">
        <v>1.0</v>
      </c>
      <c r="E63" s="10">
        <f>IFERROR(vlookup('1.7'!D:D,lookup!$A$2:$B$4,2,false),0)</f>
        <v>5</v>
      </c>
      <c r="F63" s="10">
        <f>IFERROR(vlookup('1.7'!E:E,lookup!$A$6:$B$8,2,false),0)</f>
        <v>5</v>
      </c>
      <c r="G63" s="10">
        <f>IFERROR(vlookup('1.7'!F:F,lookup!$A$10:$B$12,2,false),0)</f>
        <v>5</v>
      </c>
      <c r="H63" s="10">
        <f>IFERROR(vlookup('1.7'!G:G,lookup!$A$14:$B$16,2,false),0)</f>
        <v>5</v>
      </c>
      <c r="I63" s="10">
        <f>IFERROR(vlookup('1.7'!H:H,lookup!$A$18:$B$20,2,false),0)</f>
        <v>5</v>
      </c>
      <c r="J63" s="10">
        <f>IFERROR(vlookup('1.7'!I:I,lookup!$A$22:$B$24,2,false),0)</f>
        <v>5</v>
      </c>
      <c r="K63" s="10">
        <f>IFERROR(vlookup('1.7'!J:J,lookup!$A$26:$B$28,2,false),0)</f>
        <v>5</v>
      </c>
      <c r="M63" s="10">
        <v>62.0</v>
      </c>
      <c r="N63" s="11" t="str">
        <f t="shared" si="1"/>
        <v>bnco0962@signalschool.ac.th</v>
      </c>
      <c r="O63" s="12">
        <f t="shared" si="2"/>
        <v>1</v>
      </c>
      <c r="R63" s="17" t="s">
        <v>279</v>
      </c>
    </row>
    <row r="64">
      <c r="A64" s="8">
        <f>'1.7'!A:A</f>
        <v>46162.47803</v>
      </c>
      <c r="B64" s="2" t="str">
        <f>'1.7'!B:B</f>
        <v>bnco0947@signalschool.ac.th</v>
      </c>
      <c r="C64" s="2" t="str">
        <f>'1.7'!C:C</f>
        <v>พ.ต.ประทีป คุ้มยิ้ม</v>
      </c>
      <c r="D64" s="9">
        <v>1.0</v>
      </c>
      <c r="E64" s="10">
        <f>IFERROR(vlookup('1.7'!D:D,lookup!$A$2:$B$4,2,false),0)</f>
        <v>5</v>
      </c>
      <c r="F64" s="10">
        <f>IFERROR(vlookup('1.7'!E:E,lookup!$A$6:$B$8,2,false),0)</f>
        <v>5</v>
      </c>
      <c r="G64" s="10">
        <f>IFERROR(vlookup('1.7'!F:F,lookup!$A$10:$B$12,2,false),0)</f>
        <v>5</v>
      </c>
      <c r="H64" s="10">
        <f>IFERROR(vlookup('1.7'!G:G,lookup!$A$14:$B$16,2,false),0)</f>
        <v>5</v>
      </c>
      <c r="I64" s="10">
        <f>IFERROR(vlookup('1.7'!H:H,lookup!$A$18:$B$20,2,false),0)</f>
        <v>5</v>
      </c>
      <c r="J64" s="10">
        <f>IFERROR(vlookup('1.7'!I:I,lookup!$A$22:$B$24,2,false),0)</f>
        <v>5</v>
      </c>
      <c r="K64" s="10">
        <f>IFERROR(vlookup('1.7'!J:J,lookup!$A$26:$B$28,2,false),0)</f>
        <v>5</v>
      </c>
      <c r="M64" s="10">
        <v>63.0</v>
      </c>
      <c r="N64" s="11" t="str">
        <f t="shared" si="1"/>
        <v>bnco0963@signalschool.ac.th</v>
      </c>
      <c r="O64" s="12">
        <f t="shared" si="2"/>
        <v>1</v>
      </c>
      <c r="R64" s="17" t="s">
        <v>280</v>
      </c>
    </row>
    <row r="65">
      <c r="A65" s="8">
        <f>'1.7'!A:A</f>
        <v>46162.47855</v>
      </c>
      <c r="B65" s="2" t="str">
        <f>'1.7'!B:B</f>
        <v>bnco0927@signalschool.ac.th</v>
      </c>
      <c r="C65" s="2" t="str">
        <f>'1.7'!C:C</f>
        <v>พ.ต.ประทีป คุ้มยิ้ม</v>
      </c>
      <c r="D65" s="9">
        <v>1.0</v>
      </c>
      <c r="E65" s="10">
        <f>IFERROR(vlookup('1.7'!D:D,lookup!$A$2:$B$4,2,false),0)</f>
        <v>5</v>
      </c>
      <c r="F65" s="10">
        <f>IFERROR(vlookup('1.7'!E:E,lookup!$A$6:$B$8,2,false),0)</f>
        <v>5</v>
      </c>
      <c r="G65" s="10">
        <f>IFERROR(vlookup('1.7'!F:F,lookup!$A$10:$B$12,2,false),0)</f>
        <v>5</v>
      </c>
      <c r="H65" s="10">
        <f>IFERROR(vlookup('1.7'!G:G,lookup!$A$14:$B$16,2,false),0)</f>
        <v>5</v>
      </c>
      <c r="I65" s="10">
        <f>IFERROR(vlookup('1.7'!H:H,lookup!$A$18:$B$20,2,false),0)</f>
        <v>5</v>
      </c>
      <c r="J65" s="10">
        <f>IFERROR(vlookup('1.7'!I:I,lookup!$A$22:$B$24,2,false),0)</f>
        <v>5</v>
      </c>
      <c r="K65" s="10">
        <f>IFERROR(vlookup('1.7'!J:J,lookup!$A$26:$B$28,2,false),0)</f>
        <v>5</v>
      </c>
      <c r="M65" s="10">
        <v>64.0</v>
      </c>
      <c r="N65" s="11" t="str">
        <f t="shared" si="1"/>
        <v>bnco0964@signalschool.ac.th</v>
      </c>
      <c r="O65" s="12">
        <f t="shared" si="2"/>
        <v>1</v>
      </c>
      <c r="R65" s="17" t="s">
        <v>281</v>
      </c>
    </row>
    <row r="66">
      <c r="A66" s="8">
        <f>'1.7'!A:A</f>
        <v>46162.47916</v>
      </c>
      <c r="B66" s="2" t="str">
        <f>'1.7'!B:B</f>
        <v>bnco0923@signalschool.ac.th</v>
      </c>
      <c r="C66" s="2" t="str">
        <f>'1.7'!C:C</f>
        <v>พ.ต.ประทีป คุ้มยิ้ม</v>
      </c>
      <c r="D66" s="9">
        <v>1.0</v>
      </c>
      <c r="E66" s="10">
        <f>IFERROR(vlookup('1.7'!D:D,lookup!$A$2:$B$4,2,false),0)</f>
        <v>5</v>
      </c>
      <c r="F66" s="10">
        <f>IFERROR(vlookup('1.7'!E:E,lookup!$A$6:$B$8,2,false),0)</f>
        <v>5</v>
      </c>
      <c r="G66" s="10">
        <f>IFERROR(vlookup('1.7'!F:F,lookup!$A$10:$B$12,2,false),0)</f>
        <v>5</v>
      </c>
      <c r="H66" s="10">
        <f>IFERROR(vlookup('1.7'!G:G,lookup!$A$14:$B$16,2,false),0)</f>
        <v>5</v>
      </c>
      <c r="I66" s="10">
        <f>IFERROR(vlookup('1.7'!H:H,lookup!$A$18:$B$20,2,false),0)</f>
        <v>5</v>
      </c>
      <c r="J66" s="10">
        <f>IFERROR(vlookup('1.7'!I:I,lookup!$A$22:$B$24,2,false),0)</f>
        <v>5</v>
      </c>
      <c r="K66" s="10">
        <f>IFERROR(vlookup('1.7'!J:J,lookup!$A$26:$B$28,2,false),0)</f>
        <v>5</v>
      </c>
      <c r="M66" s="10">
        <v>65.0</v>
      </c>
      <c r="N66" s="11" t="str">
        <f t="shared" si="1"/>
        <v>bnco0965@signalschool.ac.th</v>
      </c>
      <c r="O66" s="12">
        <f t="shared" si="2"/>
        <v>1</v>
      </c>
      <c r="R66" s="17" t="s">
        <v>282</v>
      </c>
    </row>
    <row r="67">
      <c r="A67" s="8">
        <f>'1.7'!A:A</f>
        <v>46162.48084</v>
      </c>
      <c r="B67" s="2" t="str">
        <f>'1.7'!B:B</f>
        <v>bnco0974@signalschool.ac.th</v>
      </c>
      <c r="C67" s="2" t="str">
        <f>'1.7'!C:C</f>
        <v>พ.ต.ประทีป คุ้มยิ้ม</v>
      </c>
      <c r="D67" s="9">
        <v>1.0</v>
      </c>
      <c r="E67" s="10">
        <f>IFERROR(vlookup('1.7'!D:D,lookup!$A$2:$B$4,2,false),0)</f>
        <v>5</v>
      </c>
      <c r="F67" s="10">
        <f>IFERROR(vlookup('1.7'!E:E,lookup!$A$6:$B$8,2,false),0)</f>
        <v>5</v>
      </c>
      <c r="G67" s="10">
        <f>IFERROR(vlookup('1.7'!F:F,lookup!$A$10:$B$12,2,false),0)</f>
        <v>5</v>
      </c>
      <c r="H67" s="10">
        <f>IFERROR(vlookup('1.7'!G:G,lookup!$A$14:$B$16,2,false),0)</f>
        <v>5</v>
      </c>
      <c r="I67" s="10">
        <f>IFERROR(vlookup('1.7'!H:H,lookup!$A$18:$B$20,2,false),0)</f>
        <v>5</v>
      </c>
      <c r="J67" s="10">
        <f>IFERROR(vlookup('1.7'!I:I,lookup!$A$22:$B$24,2,false),0)</f>
        <v>3</v>
      </c>
      <c r="K67" s="10">
        <f>IFERROR(vlookup('1.7'!J:J,lookup!$A$26:$B$28,2,false),0)</f>
        <v>3</v>
      </c>
      <c r="M67" s="10">
        <v>66.0</v>
      </c>
      <c r="N67" s="11" t="str">
        <f t="shared" si="1"/>
        <v>bnco0966@signalschool.ac.th</v>
      </c>
      <c r="O67" s="12">
        <f t="shared" si="2"/>
        <v>1</v>
      </c>
      <c r="R67" s="17" t="s">
        <v>283</v>
      </c>
    </row>
    <row r="68">
      <c r="A68" s="8">
        <f>'1.7'!A:A</f>
        <v>46162.48216</v>
      </c>
      <c r="B68" s="2" t="str">
        <f>'1.7'!B:B</f>
        <v>bnco0919@signalschool.ac.th</v>
      </c>
      <c r="C68" s="2" t="str">
        <f>'1.7'!C:C</f>
        <v>พ.ต.ประทีป คุ้มยิ้ม</v>
      </c>
      <c r="D68" s="9">
        <v>1.0</v>
      </c>
      <c r="E68" s="10">
        <f>IFERROR(vlookup('1.7'!D:D,lookup!$A$2:$B$4,2,false),0)</f>
        <v>5</v>
      </c>
      <c r="F68" s="10">
        <f>IFERROR(vlookup('1.7'!E:E,lookup!$A$6:$B$8,2,false),0)</f>
        <v>5</v>
      </c>
      <c r="G68" s="10">
        <f>IFERROR(vlookup('1.7'!F:F,lookup!$A$10:$B$12,2,false),0)</f>
        <v>5</v>
      </c>
      <c r="H68" s="10">
        <f>IFERROR(vlookup('1.7'!G:G,lookup!$A$14:$B$16,2,false),0)</f>
        <v>5</v>
      </c>
      <c r="I68" s="10">
        <f>IFERROR(vlookup('1.7'!H:H,lookup!$A$18:$B$20,2,false),0)</f>
        <v>5</v>
      </c>
      <c r="J68" s="10">
        <f>IFERROR(vlookup('1.7'!I:I,lookup!$A$22:$B$24,2,false),0)</f>
        <v>3</v>
      </c>
      <c r="K68" s="10">
        <f>IFERROR(vlookup('1.7'!J:J,lookup!$A$26:$B$28,2,false),0)</f>
        <v>3</v>
      </c>
      <c r="M68" s="10">
        <v>67.0</v>
      </c>
      <c r="N68" s="11" t="str">
        <f t="shared" si="1"/>
        <v>bnco0967@signalschool.ac.th</v>
      </c>
      <c r="O68" s="12">
        <f t="shared" si="2"/>
        <v>1</v>
      </c>
      <c r="R68" s="17" t="s">
        <v>284</v>
      </c>
    </row>
    <row r="69">
      <c r="A69" s="8">
        <f>'1.7'!A:A</f>
        <v>46162.48338</v>
      </c>
      <c r="B69" s="2" t="str">
        <f>'1.7'!B:B</f>
        <v>bnco0917@signalschool.ac.th</v>
      </c>
      <c r="C69" s="2" t="str">
        <f>'1.7'!C:C</f>
        <v>พ.ต.ประทีป  คุ้มยิ้ม</v>
      </c>
      <c r="D69" s="9">
        <v>1.0</v>
      </c>
      <c r="E69" s="10">
        <f>IFERROR(vlookup('1.7'!D:D,lookup!$A$2:$B$4,2,false),0)</f>
        <v>5</v>
      </c>
      <c r="F69" s="10">
        <f>IFERROR(vlookup('1.7'!E:E,lookup!$A$6:$B$8,2,false),0)</f>
        <v>5</v>
      </c>
      <c r="G69" s="10">
        <f>IFERROR(vlookup('1.7'!F:F,lookup!$A$10:$B$12,2,false),0)</f>
        <v>5</v>
      </c>
      <c r="H69" s="10">
        <f>IFERROR(vlookup('1.7'!G:G,lookup!$A$14:$B$16,2,false),0)</f>
        <v>5</v>
      </c>
      <c r="I69" s="10">
        <f>IFERROR(vlookup('1.7'!H:H,lookup!$A$18:$B$20,2,false),0)</f>
        <v>5</v>
      </c>
      <c r="J69" s="10">
        <f>IFERROR(vlookup('1.7'!I:I,lookup!$A$22:$B$24,2,false),0)</f>
        <v>5</v>
      </c>
      <c r="K69" s="10">
        <f>IFERROR(vlookup('1.7'!J:J,lookup!$A$26:$B$28,2,false),0)</f>
        <v>5</v>
      </c>
      <c r="M69" s="10">
        <v>68.0</v>
      </c>
      <c r="N69" s="11" t="str">
        <f t="shared" si="1"/>
        <v>bnco0968@signalschool.ac.th</v>
      </c>
      <c r="O69" s="12">
        <f t="shared" si="2"/>
        <v>1</v>
      </c>
      <c r="R69" s="17" t="s">
        <v>285</v>
      </c>
    </row>
    <row r="70">
      <c r="A70" s="8">
        <f>'1.7'!A:A</f>
        <v>46162.51129</v>
      </c>
      <c r="B70" s="2" t="str">
        <f>'1.7'!B:B</f>
        <v>bnco0961@signalschool.ac.th</v>
      </c>
      <c r="C70" s="2" t="str">
        <f>'1.7'!C:C</f>
        <v>พ.ต.ประทีป คุ้มยิ้ม</v>
      </c>
      <c r="D70" s="9">
        <v>1.0</v>
      </c>
      <c r="E70" s="10">
        <f>IFERROR(vlookup('1.7'!D:D,lookup!$A$2:$B$4,2,false),0)</f>
        <v>5</v>
      </c>
      <c r="F70" s="10">
        <f>IFERROR(vlookup('1.7'!E:E,lookup!$A$6:$B$8,2,false),0)</f>
        <v>5</v>
      </c>
      <c r="G70" s="10">
        <f>IFERROR(vlookup('1.7'!F:F,lookup!$A$10:$B$12,2,false),0)</f>
        <v>5</v>
      </c>
      <c r="H70" s="10">
        <f>IFERROR(vlookup('1.7'!G:G,lookup!$A$14:$B$16,2,false),0)</f>
        <v>5</v>
      </c>
      <c r="I70" s="10">
        <f>IFERROR(vlookup('1.7'!H:H,lookup!$A$18:$B$20,2,false),0)</f>
        <v>5</v>
      </c>
      <c r="J70" s="10">
        <f>IFERROR(vlookup('1.7'!I:I,lookup!$A$22:$B$24,2,false),0)</f>
        <v>5</v>
      </c>
      <c r="K70" s="10">
        <f>IFERROR(vlookup('1.7'!J:J,lookup!$A$26:$B$28,2,false),0)</f>
        <v>3</v>
      </c>
      <c r="M70" s="10">
        <v>69.0</v>
      </c>
      <c r="N70" s="11" t="str">
        <f t="shared" si="1"/>
        <v>bnco0969@signalschool.ac.th</v>
      </c>
      <c r="O70" s="12">
        <f t="shared" si="2"/>
        <v>1</v>
      </c>
      <c r="R70" s="17" t="s">
        <v>286</v>
      </c>
    </row>
    <row r="71">
      <c r="A71" s="8">
        <f>'1.7'!A:A</f>
        <v>46162.65406</v>
      </c>
      <c r="B71" s="2" t="str">
        <f>'1.7'!B:B</f>
        <v>bnco0952@signalschool.ac.th</v>
      </c>
      <c r="C71" s="2" t="str">
        <f>'1.7'!C:C</f>
        <v>พ.ต.ประทีป  คุ้มยิ้ม</v>
      </c>
      <c r="D71" s="9">
        <v>1.0</v>
      </c>
      <c r="E71" s="10">
        <f>IFERROR(vlookup('1.7'!D:D,lookup!$A$2:$B$4,2,false),0)</f>
        <v>3</v>
      </c>
      <c r="F71" s="10">
        <f>IFERROR(vlookup('1.7'!E:E,lookup!$A$6:$B$8,2,false),0)</f>
        <v>5</v>
      </c>
      <c r="G71" s="10">
        <f>IFERROR(vlookup('1.7'!F:F,lookup!$A$10:$B$12,2,false),0)</f>
        <v>5</v>
      </c>
      <c r="H71" s="10">
        <f>IFERROR(vlookup('1.7'!G:G,lookup!$A$14:$B$16,2,false),0)</f>
        <v>5</v>
      </c>
      <c r="I71" s="10">
        <f>IFERROR(vlookup('1.7'!H:H,lookup!$A$18:$B$20,2,false),0)</f>
        <v>5</v>
      </c>
      <c r="J71" s="10">
        <f>IFERROR(vlookup('1.7'!I:I,lookup!$A$22:$B$24,2,false),0)</f>
        <v>3</v>
      </c>
      <c r="K71" s="10">
        <f>IFERROR(vlookup('1.7'!J:J,lookup!$A$26:$B$28,2,false),0)</f>
        <v>5</v>
      </c>
      <c r="M71" s="10">
        <v>70.0</v>
      </c>
      <c r="N71" s="11" t="str">
        <f t="shared" si="1"/>
        <v>bnco0970@signalschool.ac.th</v>
      </c>
      <c r="O71" s="12">
        <f t="shared" si="2"/>
        <v>1</v>
      </c>
      <c r="R71" s="17" t="s">
        <v>287</v>
      </c>
    </row>
    <row r="72">
      <c r="A72" s="8">
        <f>'1.7'!A:A</f>
        <v>46162.6714</v>
      </c>
      <c r="B72" s="2" t="str">
        <f>'1.7'!B:B</f>
        <v>bnco0962@signalschool.ac.th</v>
      </c>
      <c r="C72" s="2" t="str">
        <f>'1.7'!C:C</f>
        <v>พ.ต.ประทีป   คุ้มยิ้ม</v>
      </c>
      <c r="D72" s="9">
        <v>1.0</v>
      </c>
      <c r="E72" s="10">
        <f>IFERROR(vlookup('1.7'!D:D,lookup!$A$2:$B$4,2,false),0)</f>
        <v>5</v>
      </c>
      <c r="F72" s="10">
        <f>IFERROR(vlookup('1.7'!E:E,lookup!$A$6:$B$8,2,false),0)</f>
        <v>5</v>
      </c>
      <c r="G72" s="10">
        <f>IFERROR(vlookup('1.7'!F:F,lookup!$A$10:$B$12,2,false),0)</f>
        <v>5</v>
      </c>
      <c r="H72" s="10">
        <f>IFERROR(vlookup('1.7'!G:G,lookup!$A$14:$B$16,2,false),0)</f>
        <v>5</v>
      </c>
      <c r="I72" s="10">
        <f>IFERROR(vlookup('1.7'!H:H,lookup!$A$18:$B$20,2,false),0)</f>
        <v>5</v>
      </c>
      <c r="J72" s="10">
        <f>IFERROR(vlookup('1.7'!I:I,lookup!$A$22:$B$24,2,false),0)</f>
        <v>5</v>
      </c>
      <c r="K72" s="10">
        <f>IFERROR(vlookup('1.7'!J:J,lookup!$A$26:$B$28,2,false),0)</f>
        <v>5</v>
      </c>
      <c r="M72" s="10">
        <v>71.0</v>
      </c>
      <c r="N72" s="11" t="str">
        <f t="shared" si="1"/>
        <v>bnco0971@signalschool.ac.th</v>
      </c>
      <c r="O72" s="12">
        <f t="shared" si="2"/>
        <v>1</v>
      </c>
      <c r="R72" s="17" t="s">
        <v>288</v>
      </c>
    </row>
    <row r="73">
      <c r="A73" s="8">
        <f>'1.7'!A:A</f>
        <v>46162.93052</v>
      </c>
      <c r="B73" s="2" t="str">
        <f>'1.7'!B:B</f>
        <v>bnco0957@signalschool.ac.th</v>
      </c>
      <c r="C73" s="2" t="str">
        <f>'1.7'!C:C</f>
        <v>พ.ต.ประทีป คุ้มยิ้ม</v>
      </c>
      <c r="D73" s="9">
        <v>1.0</v>
      </c>
      <c r="E73" s="10">
        <f>IFERROR(vlookup('1.7'!D:D,lookup!$A$2:$B$4,2,false),0)</f>
        <v>5</v>
      </c>
      <c r="F73" s="10">
        <f>IFERROR(vlookup('1.7'!E:E,lookup!$A$6:$B$8,2,false),0)</f>
        <v>5</v>
      </c>
      <c r="G73" s="10">
        <f>IFERROR(vlookup('1.7'!F:F,lookup!$A$10:$B$12,2,false),0)</f>
        <v>5</v>
      </c>
      <c r="H73" s="10">
        <f>IFERROR(vlookup('1.7'!G:G,lookup!$A$14:$B$16,2,false),0)</f>
        <v>5</v>
      </c>
      <c r="I73" s="10">
        <f>IFERROR(vlookup('1.7'!H:H,lookup!$A$18:$B$20,2,false),0)</f>
        <v>5</v>
      </c>
      <c r="J73" s="10">
        <f>IFERROR(vlookup('1.7'!I:I,lookup!$A$22:$B$24,2,false),0)</f>
        <v>5</v>
      </c>
      <c r="K73" s="10">
        <f>IFERROR(vlookup('1.7'!J:J,lookup!$A$26:$B$28,2,false),0)</f>
        <v>5</v>
      </c>
      <c r="M73" s="10">
        <v>72.0</v>
      </c>
      <c r="N73" s="11" t="str">
        <f t="shared" si="1"/>
        <v>bnco0972@signalschool.ac.th</v>
      </c>
      <c r="O73" s="12">
        <f t="shared" si="2"/>
        <v>1</v>
      </c>
      <c r="R73" s="17" t="s">
        <v>289</v>
      </c>
    </row>
    <row r="74">
      <c r="A74" s="8">
        <f>'1.7'!A:A</f>
        <v>46163.47559</v>
      </c>
      <c r="B74" s="2" t="str">
        <f>'1.7'!B:B</f>
        <v>bnco0936@signalschool.ac.th</v>
      </c>
      <c r="C74" s="2" t="str">
        <f>'1.7'!C:C</f>
        <v>พ.ต.ประทีป คุ้มยิ้ม </v>
      </c>
      <c r="D74" s="9">
        <v>1.0</v>
      </c>
      <c r="E74" s="10">
        <f>IFERROR(vlookup('1.7'!D:D,lookup!$A$2:$B$4,2,false),0)</f>
        <v>5</v>
      </c>
      <c r="F74" s="10">
        <f>IFERROR(vlookup('1.7'!E:E,lookup!$A$6:$B$8,2,false),0)</f>
        <v>3</v>
      </c>
      <c r="G74" s="10">
        <f>IFERROR(vlookup('1.7'!F:F,lookup!$A$10:$B$12,2,false),0)</f>
        <v>5</v>
      </c>
      <c r="H74" s="10">
        <f>IFERROR(vlookup('1.7'!G:G,lookup!$A$14:$B$16,2,false),0)</f>
        <v>5</v>
      </c>
      <c r="I74" s="10">
        <f>IFERROR(vlookup('1.7'!H:H,lookup!$A$18:$B$20,2,false),0)</f>
        <v>5</v>
      </c>
      <c r="J74" s="10">
        <f>IFERROR(vlookup('1.7'!I:I,lookup!$A$22:$B$24,2,false),0)</f>
        <v>5</v>
      </c>
      <c r="K74" s="10">
        <f>IFERROR(vlookup('1.7'!J:J,lookup!$A$26:$B$28,2,false),0)</f>
        <v>5</v>
      </c>
      <c r="M74" s="10">
        <v>73.0</v>
      </c>
      <c r="N74" s="11" t="str">
        <f t="shared" si="1"/>
        <v>bnco0973@signalschool.ac.th</v>
      </c>
      <c r="O74" s="12">
        <f t="shared" si="2"/>
        <v>1</v>
      </c>
      <c r="R74" s="17" t="s">
        <v>290</v>
      </c>
    </row>
    <row r="75">
      <c r="A75" s="8">
        <f>'1.7'!A:A</f>
        <v>46167.92701</v>
      </c>
      <c r="B75" s="2" t="str">
        <f>'1.7'!B:B</f>
        <v>bnco0922@signalschool.ac.th</v>
      </c>
      <c r="C75" s="2" t="str">
        <f>'1.7'!C:C</f>
        <v>พ.ต.ประทีป คุ้มยิ้ม</v>
      </c>
      <c r="D75" s="9">
        <v>1.0</v>
      </c>
      <c r="E75" s="10">
        <f>IFERROR(vlookup('1.7'!D:D,lookup!$A$2:$B$4,2,false),0)</f>
        <v>5</v>
      </c>
      <c r="F75" s="10">
        <f>IFERROR(vlookup('1.7'!E:E,lookup!$A$6:$B$8,2,false),0)</f>
        <v>5</v>
      </c>
      <c r="G75" s="10">
        <f>IFERROR(vlookup('1.7'!F:F,lookup!$A$10:$B$12,2,false),0)</f>
        <v>5</v>
      </c>
      <c r="H75" s="10">
        <f>IFERROR(vlookup('1.7'!G:G,lookup!$A$14:$B$16,2,false),0)</f>
        <v>5</v>
      </c>
      <c r="I75" s="10">
        <f>IFERROR(vlookup('1.7'!H:H,lookup!$A$18:$B$20,2,false),0)</f>
        <v>5</v>
      </c>
      <c r="J75" s="10">
        <f>IFERROR(vlookup('1.7'!I:I,lookup!$A$22:$B$24,2,false),0)</f>
        <v>5</v>
      </c>
      <c r="K75" s="10">
        <f>IFERROR(vlookup('1.7'!J:J,lookup!$A$26:$B$28,2,false),0)</f>
        <v>5</v>
      </c>
      <c r="M75" s="10">
        <v>74.0</v>
      </c>
      <c r="N75" s="11" t="str">
        <f t="shared" si="1"/>
        <v>bnco0974@signalschool.ac.th</v>
      </c>
      <c r="O75" s="12">
        <f t="shared" si="2"/>
        <v>1</v>
      </c>
      <c r="R75" s="17" t="s">
        <v>291</v>
      </c>
    </row>
    <row r="76">
      <c r="A76" s="8">
        <f>'1.7'!A:A</f>
        <v>46189.55352</v>
      </c>
      <c r="B76" s="2" t="str">
        <f>'1.7'!B:B</f>
        <v>bnco0970@signalschool.ac.th</v>
      </c>
      <c r="C76" s="2" t="str">
        <f>'1.7'!C:C</f>
        <v>ส.อ.ภาณุพงศ์ อุทธิยา</v>
      </c>
      <c r="D76" s="9">
        <v>1.0</v>
      </c>
      <c r="E76" s="10">
        <f>IFERROR(vlookup('1.7'!D:D,lookup!$A$2:$B$4,2,false),0)</f>
        <v>5</v>
      </c>
      <c r="F76" s="10">
        <f>IFERROR(vlookup('1.7'!E:E,lookup!$A$6:$B$8,2,false),0)</f>
        <v>5</v>
      </c>
      <c r="G76" s="10">
        <f>IFERROR(vlookup('1.7'!F:F,lookup!$A$10:$B$12,2,false),0)</f>
        <v>5</v>
      </c>
      <c r="H76" s="10">
        <f>IFERROR(vlookup('1.7'!G:G,lookup!$A$14:$B$16,2,false),0)</f>
        <v>5</v>
      </c>
      <c r="I76" s="10">
        <f>IFERROR(vlookup('1.7'!H:H,lookup!$A$18:$B$20,2,false),0)</f>
        <v>5</v>
      </c>
      <c r="J76" s="10">
        <f>IFERROR(vlookup('1.7'!I:I,lookup!$A$22:$B$24,2,false),0)</f>
        <v>5</v>
      </c>
      <c r="K76" s="10">
        <f>IFERROR(vlookup('1.7'!J:J,lookup!$A$26:$B$28,2,false),0)</f>
        <v>5</v>
      </c>
      <c r="M76" s="10">
        <v>75.0</v>
      </c>
      <c r="N76" s="11" t="str">
        <f t="shared" si="1"/>
        <v>bnco0975@signalschool.ac.th</v>
      </c>
      <c r="O76" s="12">
        <f t="shared" si="2"/>
        <v>1</v>
      </c>
      <c r="R76" s="17" t="s">
        <v>292</v>
      </c>
    </row>
    <row r="77">
      <c r="A77" s="8">
        <f>'1.7'!A:A</f>
        <v>46212.62634</v>
      </c>
      <c r="B77" s="2" t="str">
        <f>'1.7'!B:B</f>
        <v>bnco0963@signalschool.ac.th</v>
      </c>
      <c r="C77" s="2" t="str">
        <f>'1.7'!C:C</f>
        <v>พ.อ.สุธิพงษ์ ขำดี</v>
      </c>
      <c r="D77" s="9">
        <v>1.0</v>
      </c>
      <c r="E77" s="10">
        <f>IFERROR(vlookup('1.7'!D:D,lookup!$A$2:$B$4,2,false),0)</f>
        <v>5</v>
      </c>
      <c r="F77" s="10">
        <f>IFERROR(vlookup('1.7'!E:E,lookup!$A$6:$B$8,2,false),0)</f>
        <v>5</v>
      </c>
      <c r="G77" s="10">
        <f>IFERROR(vlookup('1.7'!F:F,lookup!$A$10:$B$12,2,false),0)</f>
        <v>5</v>
      </c>
      <c r="H77" s="10">
        <f>IFERROR(vlookup('1.7'!G:G,lookup!$A$14:$B$16,2,false),0)</f>
        <v>5</v>
      </c>
      <c r="I77" s="10">
        <f>IFERROR(vlookup('1.7'!H:H,lookup!$A$18:$B$20,2,false),0)</f>
        <v>5</v>
      </c>
      <c r="J77" s="10">
        <f>IFERROR(vlookup('1.7'!I:I,lookup!$A$22:$B$24,2,false),0)</f>
        <v>5</v>
      </c>
      <c r="K77" s="10">
        <f>IFERROR(vlookup('1.7'!J:J,lookup!$A$26:$B$28,2,false),0)</f>
        <v>5</v>
      </c>
      <c r="M77" s="10">
        <v>76.0</v>
      </c>
      <c r="N77" s="11" t="str">
        <f t="shared" si="1"/>
        <v>bnco0976@signalschool.ac.th</v>
      </c>
      <c r="O77" s="12">
        <f t="shared" si="2"/>
        <v>1</v>
      </c>
      <c r="R77" s="17" t="s">
        <v>293</v>
      </c>
    </row>
    <row r="78">
      <c r="A78" s="8">
        <f>'1.7'!A:A</f>
        <v>46212.6264</v>
      </c>
      <c r="B78" s="2" t="str">
        <f>'1.7'!B:B</f>
        <v>bnco0944@signalschool.ac.th</v>
      </c>
      <c r="C78" s="2" t="str">
        <f>'1.7'!C:C</f>
        <v>พ.ท.สุธิพงษ์ ขำตี</v>
      </c>
      <c r="D78" s="9">
        <v>1.0</v>
      </c>
      <c r="E78" s="10">
        <f>IFERROR(vlookup('1.7'!D:D,lookup!$A$2:$B$4,2,false),0)</f>
        <v>5</v>
      </c>
      <c r="F78" s="10">
        <f>IFERROR(vlookup('1.7'!E:E,lookup!$A$6:$B$8,2,false),0)</f>
        <v>5</v>
      </c>
      <c r="G78" s="10">
        <f>IFERROR(vlookup('1.7'!F:F,lookup!$A$10:$B$12,2,false),0)</f>
        <v>5</v>
      </c>
      <c r="H78" s="10">
        <f>IFERROR(vlookup('1.7'!G:G,lookup!$A$14:$B$16,2,false),0)</f>
        <v>5</v>
      </c>
      <c r="I78" s="10">
        <f>IFERROR(vlookup('1.7'!H:H,lookup!$A$18:$B$20,2,false),0)</f>
        <v>5</v>
      </c>
      <c r="J78" s="10">
        <f>IFERROR(vlookup('1.7'!I:I,lookup!$A$22:$B$24,2,false),0)</f>
        <v>5</v>
      </c>
      <c r="K78" s="10">
        <f>IFERROR(vlookup('1.7'!J:J,lookup!$A$26:$B$28,2,false),0)</f>
        <v>5</v>
      </c>
      <c r="M78" s="10">
        <v>77.0</v>
      </c>
      <c r="N78" s="11" t="str">
        <f t="shared" si="1"/>
        <v>bnco0977@signalschool.ac.th</v>
      </c>
      <c r="O78" s="12">
        <f t="shared" si="2"/>
        <v>1</v>
      </c>
      <c r="R78" s="17" t="s">
        <v>294</v>
      </c>
    </row>
    <row r="79">
      <c r="A79" s="8">
        <f>'1.7'!A:A</f>
        <v>46212.63201</v>
      </c>
      <c r="B79" s="2" t="str">
        <f>'1.7'!B:B</f>
        <v>bnco0901@signalschool.ac.th</v>
      </c>
      <c r="C79" s="2" t="str">
        <f>'1.7'!C:C</f>
        <v>พ.อ.สุธิพงษ์ ขำดี</v>
      </c>
      <c r="D79" s="9">
        <v>1.0</v>
      </c>
      <c r="E79" s="10">
        <f>IFERROR(vlookup('1.7'!D:D,lookup!$A$2:$B$4,2,false),0)</f>
        <v>5</v>
      </c>
      <c r="F79" s="10">
        <f>IFERROR(vlookup('1.7'!E:E,lookup!$A$6:$B$8,2,false),0)</f>
        <v>5</v>
      </c>
      <c r="G79" s="10">
        <f>IFERROR(vlookup('1.7'!F:F,lookup!$A$10:$B$12,2,false),0)</f>
        <v>5</v>
      </c>
      <c r="H79" s="10">
        <f>IFERROR(vlookup('1.7'!G:G,lookup!$A$14:$B$16,2,false),0)</f>
        <v>5</v>
      </c>
      <c r="I79" s="10">
        <f>IFERROR(vlookup('1.7'!H:H,lookup!$A$18:$B$20,2,false),0)</f>
        <v>5</v>
      </c>
      <c r="J79" s="10">
        <f>IFERROR(vlookup('1.7'!I:I,lookup!$A$22:$B$24,2,false),0)</f>
        <v>5</v>
      </c>
      <c r="K79" s="10">
        <f>IFERROR(vlookup('1.7'!J:J,lookup!$A$26:$B$28,2,false),0)</f>
        <v>5</v>
      </c>
      <c r="M79" s="10">
        <v>78.0</v>
      </c>
      <c r="N79" s="11" t="str">
        <f t="shared" si="1"/>
        <v>bnco0978@signalschool.ac.th</v>
      </c>
      <c r="O79" s="12">
        <f t="shared" si="2"/>
        <v>1</v>
      </c>
      <c r="R79" s="17" t="s">
        <v>295</v>
      </c>
    </row>
    <row r="80">
      <c r="A80" s="8">
        <f>'1.7'!A:A</f>
        <v>46212.63452</v>
      </c>
      <c r="B80" s="2" t="str">
        <f>'1.7'!B:B</f>
        <v>bnco0945@signalschool.ac.th</v>
      </c>
      <c r="C80" s="2" t="str">
        <f>'1.7'!C:C</f>
        <v>พ.ท.สุธิพงษ์ ขำดี</v>
      </c>
      <c r="D80" s="9">
        <v>1.0</v>
      </c>
      <c r="E80" s="10">
        <f>IFERROR(vlookup('1.7'!D:D,lookup!$A$2:$B$4,2,false),0)</f>
        <v>5</v>
      </c>
      <c r="F80" s="10">
        <f>IFERROR(vlookup('1.7'!E:E,lookup!$A$6:$B$8,2,false),0)</f>
        <v>5</v>
      </c>
      <c r="G80" s="10">
        <f>IFERROR(vlookup('1.7'!F:F,lookup!$A$10:$B$12,2,false),0)</f>
        <v>5</v>
      </c>
      <c r="H80" s="10">
        <f>IFERROR(vlookup('1.7'!G:G,lookup!$A$14:$B$16,2,false),0)</f>
        <v>5</v>
      </c>
      <c r="I80" s="10">
        <f>IFERROR(vlookup('1.7'!H:H,lookup!$A$18:$B$20,2,false),0)</f>
        <v>5</v>
      </c>
      <c r="J80" s="10">
        <f>IFERROR(vlookup('1.7'!I:I,lookup!$A$22:$B$24,2,false),0)</f>
        <v>5</v>
      </c>
      <c r="K80" s="10">
        <f>IFERROR(vlookup('1.7'!J:J,lookup!$A$26:$B$28,2,false),0)</f>
        <v>5</v>
      </c>
      <c r="M80" s="10">
        <v>79.0</v>
      </c>
      <c r="N80" s="11" t="str">
        <f t="shared" si="1"/>
        <v>bnco0979@signalschool.ac.th</v>
      </c>
      <c r="O80" s="12">
        <f t="shared" si="2"/>
        <v>1</v>
      </c>
      <c r="R80" s="17" t="s">
        <v>296</v>
      </c>
    </row>
    <row r="81">
      <c r="A81" s="8">
        <f>'1.7'!A:A</f>
        <v>46213.39824</v>
      </c>
      <c r="B81" s="2" t="str">
        <f>'1.7'!B:B</f>
        <v>bnco0943@signalschool.ac.th</v>
      </c>
      <c r="C81" s="2" t="str">
        <f>'1.7'!C:C</f>
        <v>ร.ท.ศุภชัย ป้องเศร้า</v>
      </c>
      <c r="D81" s="9">
        <v>1.0</v>
      </c>
      <c r="E81" s="10">
        <f>IFERROR(vlookup('1.7'!D:D,lookup!$A$2:$B$4,2,false),0)</f>
        <v>5</v>
      </c>
      <c r="F81" s="10">
        <f>IFERROR(vlookup('1.7'!E:E,lookup!$A$6:$B$8,2,false),0)</f>
        <v>5</v>
      </c>
      <c r="G81" s="10">
        <f>IFERROR(vlookup('1.7'!F:F,lookup!$A$10:$B$12,2,false),0)</f>
        <v>5</v>
      </c>
      <c r="H81" s="10">
        <f>IFERROR(vlookup('1.7'!G:G,lookup!$A$14:$B$16,2,false),0)</f>
        <v>5</v>
      </c>
      <c r="I81" s="10">
        <f>IFERROR(vlookup('1.7'!H:H,lookup!$A$18:$B$20,2,false),0)</f>
        <v>5</v>
      </c>
      <c r="J81" s="10">
        <f>IFERROR(vlookup('1.7'!I:I,lookup!$A$22:$B$24,2,false),0)</f>
        <v>5</v>
      </c>
      <c r="K81" s="10">
        <f>IFERROR(vlookup('1.7'!J:J,lookup!$A$26:$B$28,2,false),0)</f>
        <v>5</v>
      </c>
      <c r="M81" s="10">
        <v>80.0</v>
      </c>
      <c r="N81" s="11" t="str">
        <f t="shared" si="1"/>
        <v>bnco0980@signalschool.ac.th</v>
      </c>
      <c r="O81" s="12">
        <f t="shared" si="2"/>
        <v>1</v>
      </c>
      <c r="R81" s="17" t="s">
        <v>297</v>
      </c>
    </row>
    <row r="82">
      <c r="A82" s="8"/>
      <c r="B82" s="2"/>
      <c r="C82" s="2"/>
      <c r="E82" s="14">
        <f t="shared" ref="E82:K82" si="3">AVERAGE(E2:E81)</f>
        <v>4.9</v>
      </c>
      <c r="F82" s="14">
        <f t="shared" si="3"/>
        <v>4.9</v>
      </c>
      <c r="G82" s="14">
        <f t="shared" si="3"/>
        <v>4.9</v>
      </c>
      <c r="H82" s="14">
        <f t="shared" si="3"/>
        <v>4.975</v>
      </c>
      <c r="I82" s="14">
        <f t="shared" si="3"/>
        <v>4.95</v>
      </c>
      <c r="J82" s="14">
        <f t="shared" si="3"/>
        <v>4.7</v>
      </c>
      <c r="K82" s="14">
        <f t="shared" si="3"/>
        <v>4.75</v>
      </c>
      <c r="L82" s="15">
        <f>AVERAGE(E82:K82)</f>
        <v>4.867857143</v>
      </c>
      <c r="N82" s="2" t="s">
        <v>298</v>
      </c>
      <c r="O82" s="10">
        <f>SUM(O2:O81)</f>
        <v>80</v>
      </c>
    </row>
    <row r="83">
      <c r="A83" s="8"/>
      <c r="B83" s="2"/>
      <c r="C83" s="2"/>
      <c r="E83" s="10"/>
      <c r="F83" s="10"/>
      <c r="G83" s="10"/>
      <c r="H83" s="10"/>
      <c r="I83" s="10"/>
      <c r="J83" s="10"/>
      <c r="K83" s="10"/>
      <c r="N83" s="2" t="s">
        <v>299</v>
      </c>
      <c r="O83" s="10">
        <f>(O82*100)/80</f>
        <v>100</v>
      </c>
    </row>
    <row r="84">
      <c r="A84" s="8"/>
      <c r="B84" s="2"/>
      <c r="C84" s="2"/>
      <c r="E84" s="10"/>
      <c r="K84" s="10"/>
    </row>
    <row r="85">
      <c r="A85" s="8"/>
      <c r="B85" s="2"/>
      <c r="C85" s="2"/>
      <c r="E85" s="10"/>
    </row>
    <row r="86">
      <c r="A86" s="8"/>
      <c r="B86" s="2"/>
      <c r="C86" s="2"/>
      <c r="E86" s="10"/>
    </row>
    <row r="87">
      <c r="A87" s="8"/>
      <c r="B87" s="2"/>
      <c r="C87" s="2"/>
      <c r="E87" s="10"/>
    </row>
    <row r="88">
      <c r="A88" s="8"/>
      <c r="B88" s="2"/>
      <c r="C88" s="2"/>
      <c r="E88" s="10"/>
    </row>
    <row r="89">
      <c r="A89" s="8"/>
      <c r="B89" s="2"/>
      <c r="C89" s="2"/>
      <c r="E89" s="10"/>
    </row>
    <row r="90">
      <c r="A90" s="8"/>
      <c r="B90" s="2"/>
      <c r="C90" s="2"/>
      <c r="E90" s="10"/>
    </row>
    <row r="91">
      <c r="A91" s="8"/>
      <c r="B91" s="2"/>
      <c r="C91" s="2"/>
      <c r="E91" s="10"/>
    </row>
    <row r="92">
      <c r="A92" s="8"/>
      <c r="B92" s="2"/>
      <c r="C92" s="2"/>
      <c r="E92" s="10"/>
    </row>
    <row r="93">
      <c r="A93" s="8"/>
      <c r="B93" s="2"/>
      <c r="C93" s="2"/>
      <c r="E93" s="10"/>
    </row>
    <row r="94">
      <c r="A94" s="8"/>
      <c r="B94" s="2"/>
      <c r="C94" s="2"/>
      <c r="E94" s="10"/>
    </row>
    <row r="95">
      <c r="A95" s="8"/>
      <c r="B95" s="2"/>
      <c r="C95" s="2"/>
      <c r="E95" s="10"/>
    </row>
    <row r="96">
      <c r="A96" s="8"/>
      <c r="B96" s="2"/>
      <c r="C96" s="2"/>
      <c r="E96" s="10"/>
    </row>
    <row r="97">
      <c r="A97" s="8"/>
      <c r="B97" s="2"/>
      <c r="C97" s="2"/>
      <c r="E97" s="10"/>
    </row>
    <row r="98">
      <c r="A98" s="8"/>
      <c r="C98" s="2"/>
      <c r="E98" s="10"/>
    </row>
    <row r="99">
      <c r="A99" s="8"/>
      <c r="C99" s="2"/>
      <c r="E99" s="10"/>
    </row>
    <row r="100">
      <c r="A100" s="8"/>
      <c r="C100" s="2"/>
    </row>
    <row r="101">
      <c r="A101" s="8"/>
      <c r="C101" s="2"/>
    </row>
    <row r="102">
      <c r="A102" s="8"/>
      <c r="C102" s="2"/>
    </row>
    <row r="103">
      <c r="A103" s="8"/>
      <c r="C103" s="2"/>
    </row>
    <row r="104">
      <c r="A104" s="8"/>
      <c r="C104" s="2"/>
    </row>
    <row r="105">
      <c r="A105" s="8"/>
      <c r="C105" s="2"/>
    </row>
    <row r="106">
      <c r="A106" s="8"/>
      <c r="C106" s="2"/>
    </row>
    <row r="107">
      <c r="A107" s="8"/>
      <c r="C107" s="2"/>
    </row>
    <row r="108">
      <c r="A108" s="8"/>
      <c r="C108" s="2"/>
    </row>
    <row r="109">
      <c r="A109" s="8"/>
      <c r="C109" s="2"/>
    </row>
    <row r="110">
      <c r="A110" s="8"/>
      <c r="C110" s="2"/>
    </row>
    <row r="111">
      <c r="A111" s="8"/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</sheetData>
  <mergeCells count="1">
    <mergeCell ref="M1:O1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7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4">
        <v>46181.52463856481</v>
      </c>
      <c r="B2" s="6" t="s">
        <v>11</v>
      </c>
      <c r="C2" s="6" t="s">
        <v>397</v>
      </c>
      <c r="D2" s="6" t="s">
        <v>15</v>
      </c>
      <c r="E2" s="6" t="s">
        <v>16</v>
      </c>
      <c r="F2" s="6" t="s">
        <v>17</v>
      </c>
      <c r="G2" s="6" t="s">
        <v>18</v>
      </c>
      <c r="H2" s="6" t="s">
        <v>19</v>
      </c>
      <c r="I2" s="6" t="s">
        <v>20</v>
      </c>
      <c r="J2" s="6" t="s">
        <v>21</v>
      </c>
    </row>
    <row r="3">
      <c r="A3" s="4">
        <v>46189.44613979167</v>
      </c>
      <c r="B3" s="6" t="s">
        <v>27</v>
      </c>
      <c r="C3" s="6" t="s">
        <v>398</v>
      </c>
      <c r="D3" s="6" t="s">
        <v>15</v>
      </c>
      <c r="E3" s="6" t="s">
        <v>16</v>
      </c>
      <c r="F3" s="6" t="s">
        <v>17</v>
      </c>
      <c r="G3" s="6" t="s">
        <v>18</v>
      </c>
      <c r="H3" s="6" t="s">
        <v>19</v>
      </c>
      <c r="I3" s="6" t="s">
        <v>20</v>
      </c>
      <c r="J3" s="6" t="s">
        <v>21</v>
      </c>
      <c r="K3" s="6" t="s">
        <v>29</v>
      </c>
    </row>
    <row r="4">
      <c r="A4" s="4">
        <v>46195.356829641205</v>
      </c>
      <c r="B4" s="6" t="s">
        <v>166</v>
      </c>
      <c r="C4" s="6" t="s">
        <v>399</v>
      </c>
      <c r="D4" s="6" t="s">
        <v>15</v>
      </c>
      <c r="E4" s="6" t="s">
        <v>16</v>
      </c>
      <c r="F4" s="6" t="s">
        <v>43</v>
      </c>
      <c r="G4" s="6" t="s">
        <v>18</v>
      </c>
      <c r="H4" s="6" t="s">
        <v>19</v>
      </c>
      <c r="I4" s="6" t="s">
        <v>20</v>
      </c>
      <c r="J4" s="6" t="s">
        <v>48</v>
      </c>
    </row>
    <row r="5">
      <c r="A5" s="4">
        <v>46204.35475287037</v>
      </c>
      <c r="B5" s="6" t="s">
        <v>30</v>
      </c>
      <c r="C5" s="6" t="s">
        <v>397</v>
      </c>
      <c r="D5" s="6" t="s">
        <v>15</v>
      </c>
      <c r="E5" s="6" t="s">
        <v>16</v>
      </c>
      <c r="F5" s="6" t="s">
        <v>17</v>
      </c>
      <c r="G5" s="6" t="s">
        <v>18</v>
      </c>
      <c r="H5" s="6" t="s">
        <v>19</v>
      </c>
      <c r="I5" s="6" t="s">
        <v>20</v>
      </c>
      <c r="J5" s="6" t="s">
        <v>21</v>
      </c>
      <c r="K5" s="6" t="s">
        <v>34</v>
      </c>
    </row>
    <row r="6">
      <c r="A6" s="4">
        <v>46204.46478145833</v>
      </c>
      <c r="B6" s="6" t="s">
        <v>35</v>
      </c>
      <c r="C6" s="6" t="s">
        <v>397</v>
      </c>
      <c r="D6" s="6" t="s">
        <v>15</v>
      </c>
      <c r="E6" s="6" t="s">
        <v>16</v>
      </c>
      <c r="F6" s="6" t="s">
        <v>17</v>
      </c>
      <c r="G6" s="6" t="s">
        <v>18</v>
      </c>
      <c r="H6" s="6" t="s">
        <v>19</v>
      </c>
      <c r="I6" s="6" t="s">
        <v>20</v>
      </c>
      <c r="J6" s="6" t="s">
        <v>21</v>
      </c>
    </row>
    <row r="7">
      <c r="A7" s="4">
        <v>46206.59950777778</v>
      </c>
      <c r="B7" s="6" t="s">
        <v>37</v>
      </c>
      <c r="C7" s="6" t="s">
        <v>400</v>
      </c>
      <c r="D7" s="6" t="s">
        <v>15</v>
      </c>
      <c r="E7" s="6" t="s">
        <v>16</v>
      </c>
      <c r="F7" s="6" t="s">
        <v>17</v>
      </c>
      <c r="G7" s="6" t="s">
        <v>18</v>
      </c>
      <c r="H7" s="6" t="s">
        <v>19</v>
      </c>
      <c r="I7" s="6" t="s">
        <v>20</v>
      </c>
      <c r="J7" s="6" t="s">
        <v>21</v>
      </c>
      <c r="K7" s="6" t="s">
        <v>219</v>
      </c>
    </row>
    <row r="8">
      <c r="A8" s="4">
        <v>46212.58874738426</v>
      </c>
      <c r="B8" s="6" t="s">
        <v>40</v>
      </c>
      <c r="C8" s="6" t="s">
        <v>401</v>
      </c>
      <c r="D8" s="6" t="s">
        <v>41</v>
      </c>
      <c r="E8" s="6" t="s">
        <v>33</v>
      </c>
      <c r="F8" s="6" t="s">
        <v>43</v>
      </c>
      <c r="G8" s="6" t="s">
        <v>44</v>
      </c>
      <c r="H8" s="6" t="s">
        <v>46</v>
      </c>
      <c r="I8" s="6" t="s">
        <v>47</v>
      </c>
      <c r="J8" s="6" t="s">
        <v>48</v>
      </c>
    </row>
    <row r="9">
      <c r="A9" s="4">
        <v>46212.618135185185</v>
      </c>
      <c r="B9" s="6" t="s">
        <v>49</v>
      </c>
      <c r="C9" s="6" t="s">
        <v>402</v>
      </c>
      <c r="D9" s="6" t="s">
        <v>15</v>
      </c>
      <c r="E9" s="6" t="s">
        <v>16</v>
      </c>
      <c r="F9" s="6" t="s">
        <v>17</v>
      </c>
      <c r="G9" s="6" t="s">
        <v>18</v>
      </c>
      <c r="H9" s="6" t="s">
        <v>19</v>
      </c>
      <c r="I9" s="6" t="s">
        <v>20</v>
      </c>
      <c r="J9" s="6" t="s">
        <v>21</v>
      </c>
    </row>
    <row r="10">
      <c r="A10" s="4">
        <v>46212.61969303241</v>
      </c>
      <c r="B10" s="6" t="s">
        <v>12</v>
      </c>
      <c r="C10" s="6" t="s">
        <v>403</v>
      </c>
      <c r="D10" s="6" t="s">
        <v>15</v>
      </c>
      <c r="E10" s="6" t="s">
        <v>16</v>
      </c>
      <c r="F10" s="6" t="s">
        <v>17</v>
      </c>
      <c r="G10" s="6" t="s">
        <v>18</v>
      </c>
      <c r="H10" s="6" t="s">
        <v>19</v>
      </c>
      <c r="I10" s="6" t="s">
        <v>20</v>
      </c>
      <c r="J10" s="6" t="s">
        <v>21</v>
      </c>
    </row>
    <row r="11">
      <c r="A11" s="4">
        <v>46212.621178726855</v>
      </c>
      <c r="B11" s="6" t="s">
        <v>57</v>
      </c>
      <c r="C11" s="6" t="s">
        <v>397</v>
      </c>
      <c r="D11" s="6" t="s">
        <v>15</v>
      </c>
      <c r="E11" s="6" t="s">
        <v>16</v>
      </c>
      <c r="F11" s="6" t="s">
        <v>17</v>
      </c>
      <c r="G11" s="6" t="s">
        <v>18</v>
      </c>
      <c r="H11" s="6" t="s">
        <v>19</v>
      </c>
      <c r="I11" s="6" t="s">
        <v>20</v>
      </c>
      <c r="J11" s="6" t="s">
        <v>21</v>
      </c>
    </row>
    <row r="12">
      <c r="A12" s="4">
        <v>46212.62198729167</v>
      </c>
      <c r="B12" s="6" t="s">
        <v>106</v>
      </c>
      <c r="C12" s="6" t="s">
        <v>404</v>
      </c>
      <c r="D12" s="6" t="s">
        <v>15</v>
      </c>
      <c r="E12" s="6" t="s">
        <v>16</v>
      </c>
      <c r="F12" s="6" t="s">
        <v>17</v>
      </c>
      <c r="G12" s="6" t="s">
        <v>18</v>
      </c>
      <c r="H12" s="6" t="s">
        <v>19</v>
      </c>
      <c r="I12" s="6" t="s">
        <v>20</v>
      </c>
      <c r="J12" s="6" t="s">
        <v>21</v>
      </c>
    </row>
    <row r="13">
      <c r="A13" s="4">
        <v>46212.62212240741</v>
      </c>
      <c r="B13" s="6" t="s">
        <v>31</v>
      </c>
      <c r="C13" s="6" t="s">
        <v>397</v>
      </c>
      <c r="D13" s="6" t="s">
        <v>15</v>
      </c>
      <c r="E13" s="6" t="s">
        <v>16</v>
      </c>
      <c r="F13" s="6" t="s">
        <v>17</v>
      </c>
      <c r="G13" s="6" t="s">
        <v>18</v>
      </c>
      <c r="H13" s="6" t="s">
        <v>19</v>
      </c>
      <c r="I13" s="6" t="s">
        <v>20</v>
      </c>
      <c r="J13" s="6" t="s">
        <v>21</v>
      </c>
    </row>
    <row r="14">
      <c r="A14" s="4">
        <v>46212.62252798611</v>
      </c>
      <c r="B14" s="6" t="s">
        <v>119</v>
      </c>
      <c r="C14" s="6" t="s">
        <v>405</v>
      </c>
      <c r="D14" s="6" t="s">
        <v>15</v>
      </c>
      <c r="E14" s="6" t="s">
        <v>16</v>
      </c>
      <c r="F14" s="6" t="s">
        <v>17</v>
      </c>
      <c r="G14" s="6" t="s">
        <v>18</v>
      </c>
      <c r="H14" s="6" t="s">
        <v>19</v>
      </c>
      <c r="I14" s="6" t="s">
        <v>20</v>
      </c>
      <c r="J14" s="6" t="s">
        <v>21</v>
      </c>
    </row>
    <row r="15">
      <c r="A15" s="4">
        <v>46212.62349798611</v>
      </c>
      <c r="B15" s="6" t="s">
        <v>75</v>
      </c>
      <c r="C15" s="6" t="s">
        <v>406</v>
      </c>
      <c r="D15" s="6" t="s">
        <v>15</v>
      </c>
      <c r="E15" s="6" t="s">
        <v>16</v>
      </c>
      <c r="F15" s="6" t="s">
        <v>17</v>
      </c>
      <c r="G15" s="6" t="s">
        <v>18</v>
      </c>
      <c r="H15" s="6" t="s">
        <v>19</v>
      </c>
      <c r="I15" s="6" t="s">
        <v>20</v>
      </c>
      <c r="J15" s="6" t="s">
        <v>21</v>
      </c>
    </row>
    <row r="16">
      <c r="A16" s="4">
        <v>46212.623591296295</v>
      </c>
      <c r="B16" s="6" t="s">
        <v>110</v>
      </c>
      <c r="C16" s="6" t="s">
        <v>397</v>
      </c>
      <c r="D16" s="6" t="s">
        <v>15</v>
      </c>
      <c r="E16" s="6" t="s">
        <v>16</v>
      </c>
      <c r="F16" s="6" t="s">
        <v>17</v>
      </c>
      <c r="G16" s="6" t="s">
        <v>18</v>
      </c>
      <c r="H16" s="6" t="s">
        <v>19</v>
      </c>
      <c r="I16" s="6" t="s">
        <v>20</v>
      </c>
      <c r="J16" s="6" t="s">
        <v>21</v>
      </c>
    </row>
    <row r="17">
      <c r="A17" s="4">
        <v>46212.62378378472</v>
      </c>
      <c r="B17" s="6" t="s">
        <v>144</v>
      </c>
      <c r="C17" s="6" t="s">
        <v>403</v>
      </c>
      <c r="D17" s="6" t="s">
        <v>15</v>
      </c>
      <c r="E17" s="6" t="s">
        <v>16</v>
      </c>
      <c r="F17" s="6" t="s">
        <v>17</v>
      </c>
      <c r="G17" s="6" t="s">
        <v>18</v>
      </c>
      <c r="H17" s="6" t="s">
        <v>19</v>
      </c>
      <c r="I17" s="6" t="s">
        <v>20</v>
      </c>
      <c r="J17" s="6" t="s">
        <v>21</v>
      </c>
    </row>
    <row r="18">
      <c r="A18" s="4">
        <v>46212.623862175926</v>
      </c>
      <c r="B18" s="6" t="s">
        <v>101</v>
      </c>
      <c r="C18" s="6" t="s">
        <v>407</v>
      </c>
      <c r="D18" s="6" t="s">
        <v>15</v>
      </c>
      <c r="E18" s="6" t="s">
        <v>16</v>
      </c>
      <c r="F18" s="6" t="s">
        <v>17</v>
      </c>
      <c r="G18" s="6" t="s">
        <v>18</v>
      </c>
      <c r="H18" s="6" t="s">
        <v>19</v>
      </c>
      <c r="I18" s="6" t="s">
        <v>20</v>
      </c>
      <c r="J18" s="6" t="s">
        <v>21</v>
      </c>
    </row>
    <row r="19">
      <c r="A19" s="4">
        <v>46212.623876631944</v>
      </c>
      <c r="B19" s="6" t="s">
        <v>142</v>
      </c>
      <c r="C19" s="6" t="s">
        <v>408</v>
      </c>
      <c r="D19" s="6" t="s">
        <v>15</v>
      </c>
      <c r="E19" s="6" t="s">
        <v>16</v>
      </c>
      <c r="F19" s="6" t="s">
        <v>17</v>
      </c>
      <c r="G19" s="6" t="s">
        <v>18</v>
      </c>
      <c r="H19" s="6" t="s">
        <v>19</v>
      </c>
      <c r="I19" s="6" t="s">
        <v>20</v>
      </c>
      <c r="J19" s="6" t="s">
        <v>21</v>
      </c>
    </row>
    <row r="20">
      <c r="A20" s="4">
        <v>46212.623990810185</v>
      </c>
      <c r="B20" s="6" t="s">
        <v>53</v>
      </c>
      <c r="C20" s="6" t="s">
        <v>397</v>
      </c>
      <c r="D20" s="6" t="s">
        <v>15</v>
      </c>
      <c r="E20" s="6" t="s">
        <v>16</v>
      </c>
      <c r="F20" s="6" t="s">
        <v>17</v>
      </c>
      <c r="G20" s="6" t="s">
        <v>18</v>
      </c>
      <c r="H20" s="6" t="s">
        <v>19</v>
      </c>
      <c r="I20" s="6" t="s">
        <v>20</v>
      </c>
      <c r="J20" s="6" t="s">
        <v>21</v>
      </c>
    </row>
    <row r="21">
      <c r="A21" s="4">
        <v>46212.6241831713</v>
      </c>
      <c r="B21" s="6" t="s">
        <v>93</v>
      </c>
      <c r="C21" s="6" t="s">
        <v>407</v>
      </c>
      <c r="D21" s="6" t="s">
        <v>15</v>
      </c>
      <c r="E21" s="6" t="s">
        <v>16</v>
      </c>
      <c r="F21" s="6" t="s">
        <v>17</v>
      </c>
      <c r="G21" s="6" t="s">
        <v>18</v>
      </c>
      <c r="H21" s="6" t="s">
        <v>19</v>
      </c>
      <c r="I21" s="6" t="s">
        <v>20</v>
      </c>
      <c r="J21" s="6" t="s">
        <v>21</v>
      </c>
    </row>
    <row r="22">
      <c r="A22" s="4">
        <v>46212.62426652778</v>
      </c>
      <c r="B22" s="6" t="s">
        <v>125</v>
      </c>
      <c r="C22" s="6" t="s">
        <v>407</v>
      </c>
      <c r="D22" s="6" t="s">
        <v>15</v>
      </c>
      <c r="E22" s="6" t="s">
        <v>16</v>
      </c>
      <c r="F22" s="6" t="s">
        <v>17</v>
      </c>
      <c r="G22" s="6" t="s">
        <v>18</v>
      </c>
      <c r="H22" s="6" t="s">
        <v>19</v>
      </c>
      <c r="I22" s="6" t="s">
        <v>20</v>
      </c>
      <c r="J22" s="6" t="s">
        <v>21</v>
      </c>
    </row>
    <row r="23">
      <c r="A23" s="4">
        <v>46212.62441079861</v>
      </c>
      <c r="B23" s="6" t="s">
        <v>151</v>
      </c>
      <c r="C23" s="6" t="s">
        <v>397</v>
      </c>
      <c r="D23" s="6" t="s">
        <v>15</v>
      </c>
      <c r="E23" s="6" t="s">
        <v>16</v>
      </c>
      <c r="F23" s="6" t="s">
        <v>17</v>
      </c>
      <c r="G23" s="6" t="s">
        <v>18</v>
      </c>
      <c r="H23" s="6" t="s">
        <v>19</v>
      </c>
      <c r="I23" s="6" t="s">
        <v>20</v>
      </c>
      <c r="J23" s="6" t="s">
        <v>21</v>
      </c>
    </row>
    <row r="24">
      <c r="A24" s="4">
        <v>46212.62442208333</v>
      </c>
      <c r="B24" s="6" t="s">
        <v>25</v>
      </c>
      <c r="C24" s="6" t="s">
        <v>397</v>
      </c>
      <c r="D24" s="6" t="s">
        <v>15</v>
      </c>
      <c r="E24" s="6" t="s">
        <v>16</v>
      </c>
      <c r="F24" s="6" t="s">
        <v>17</v>
      </c>
      <c r="G24" s="6" t="s">
        <v>18</v>
      </c>
      <c r="H24" s="6" t="s">
        <v>19</v>
      </c>
      <c r="I24" s="6" t="s">
        <v>20</v>
      </c>
      <c r="J24" s="6" t="s">
        <v>21</v>
      </c>
    </row>
    <row r="25">
      <c r="A25" s="4">
        <v>46212.62442394676</v>
      </c>
      <c r="B25" s="6" t="s">
        <v>118</v>
      </c>
      <c r="C25" s="6" t="s">
        <v>409</v>
      </c>
      <c r="D25" s="6" t="s">
        <v>15</v>
      </c>
      <c r="E25" s="6" t="s">
        <v>16</v>
      </c>
      <c r="F25" s="6" t="s">
        <v>17</v>
      </c>
      <c r="G25" s="6" t="s">
        <v>18</v>
      </c>
      <c r="H25" s="6" t="s">
        <v>19</v>
      </c>
      <c r="I25" s="6" t="s">
        <v>20</v>
      </c>
      <c r="J25" s="6" t="s">
        <v>21</v>
      </c>
    </row>
    <row r="26">
      <c r="A26" s="4">
        <v>46212.624472800926</v>
      </c>
      <c r="B26" s="6" t="s">
        <v>63</v>
      </c>
      <c r="C26" s="6" t="s">
        <v>407</v>
      </c>
      <c r="D26" s="6" t="s">
        <v>15</v>
      </c>
      <c r="E26" s="6" t="s">
        <v>16</v>
      </c>
      <c r="F26" s="6" t="s">
        <v>17</v>
      </c>
      <c r="G26" s="6" t="s">
        <v>18</v>
      </c>
      <c r="H26" s="6" t="s">
        <v>19</v>
      </c>
      <c r="I26" s="6" t="s">
        <v>20</v>
      </c>
      <c r="J26" s="6" t="s">
        <v>21</v>
      </c>
    </row>
    <row r="27">
      <c r="A27" s="4">
        <v>46212.624679768516</v>
      </c>
      <c r="B27" s="6" t="s">
        <v>74</v>
      </c>
      <c r="C27" s="6" t="s">
        <v>397</v>
      </c>
      <c r="D27" s="6" t="s">
        <v>15</v>
      </c>
      <c r="E27" s="6" t="s">
        <v>16</v>
      </c>
      <c r="F27" s="6" t="s">
        <v>17</v>
      </c>
      <c r="G27" s="6" t="s">
        <v>18</v>
      </c>
      <c r="H27" s="6" t="s">
        <v>19</v>
      </c>
      <c r="I27" s="6" t="s">
        <v>20</v>
      </c>
      <c r="J27" s="6" t="s">
        <v>21</v>
      </c>
    </row>
    <row r="28">
      <c r="A28" s="4">
        <v>46212.62468084491</v>
      </c>
      <c r="B28" s="6" t="s">
        <v>138</v>
      </c>
      <c r="C28" s="6" t="s">
        <v>410</v>
      </c>
      <c r="D28" s="6" t="s">
        <v>15</v>
      </c>
      <c r="E28" s="6" t="s">
        <v>16</v>
      </c>
      <c r="F28" s="6" t="s">
        <v>17</v>
      </c>
      <c r="G28" s="6" t="s">
        <v>18</v>
      </c>
      <c r="H28" s="6" t="s">
        <v>19</v>
      </c>
      <c r="I28" s="6" t="s">
        <v>20</v>
      </c>
      <c r="J28" s="6" t="s">
        <v>21</v>
      </c>
    </row>
    <row r="29">
      <c r="A29" s="4">
        <v>46212.62473605324</v>
      </c>
      <c r="B29" s="6" t="s">
        <v>108</v>
      </c>
      <c r="C29" s="6" t="s">
        <v>407</v>
      </c>
      <c r="D29" s="6" t="s">
        <v>15</v>
      </c>
      <c r="E29" s="6" t="s">
        <v>16</v>
      </c>
      <c r="F29" s="6" t="s">
        <v>17</v>
      </c>
      <c r="G29" s="6" t="s">
        <v>18</v>
      </c>
      <c r="H29" s="6" t="s">
        <v>19</v>
      </c>
      <c r="I29" s="6" t="s">
        <v>20</v>
      </c>
      <c r="J29" s="6" t="s">
        <v>21</v>
      </c>
    </row>
    <row r="30">
      <c r="A30" s="4">
        <v>46212.62479103009</v>
      </c>
      <c r="B30" s="6" t="s">
        <v>91</v>
      </c>
      <c r="C30" s="6" t="s">
        <v>407</v>
      </c>
      <c r="D30" s="6" t="s">
        <v>15</v>
      </c>
      <c r="E30" s="6" t="s">
        <v>16</v>
      </c>
      <c r="F30" s="6" t="s">
        <v>17</v>
      </c>
      <c r="G30" s="6" t="s">
        <v>18</v>
      </c>
      <c r="H30" s="6" t="s">
        <v>19</v>
      </c>
      <c r="I30" s="6" t="s">
        <v>20</v>
      </c>
      <c r="J30" s="6" t="s">
        <v>21</v>
      </c>
    </row>
    <row r="31">
      <c r="A31" s="4">
        <v>46212.62485288194</v>
      </c>
      <c r="B31" s="6" t="s">
        <v>98</v>
      </c>
      <c r="C31" s="6" t="s">
        <v>397</v>
      </c>
      <c r="D31" s="6" t="s">
        <v>15</v>
      </c>
      <c r="E31" s="6" t="s">
        <v>16</v>
      </c>
      <c r="F31" s="6" t="s">
        <v>17</v>
      </c>
      <c r="G31" s="6" t="s">
        <v>18</v>
      </c>
      <c r="H31" s="6" t="s">
        <v>19</v>
      </c>
      <c r="I31" s="6" t="s">
        <v>20</v>
      </c>
      <c r="J31" s="6" t="s">
        <v>21</v>
      </c>
      <c r="K31" s="6" t="s">
        <v>34</v>
      </c>
    </row>
    <row r="32">
      <c r="A32" s="4">
        <v>46212.624891458334</v>
      </c>
      <c r="B32" s="6" t="s">
        <v>79</v>
      </c>
      <c r="C32" s="6" t="s">
        <v>407</v>
      </c>
      <c r="D32" s="6" t="s">
        <v>15</v>
      </c>
      <c r="E32" s="6" t="s">
        <v>16</v>
      </c>
      <c r="F32" s="6" t="s">
        <v>17</v>
      </c>
      <c r="G32" s="6" t="s">
        <v>18</v>
      </c>
      <c r="H32" s="6" t="s">
        <v>19</v>
      </c>
      <c r="I32" s="6" t="s">
        <v>20</v>
      </c>
      <c r="J32" s="6" t="s">
        <v>21</v>
      </c>
    </row>
    <row r="33">
      <c r="A33" s="4">
        <v>46212.624989143515</v>
      </c>
      <c r="B33" s="6" t="s">
        <v>124</v>
      </c>
      <c r="C33" s="6" t="s">
        <v>407</v>
      </c>
      <c r="D33" s="6" t="s">
        <v>15</v>
      </c>
      <c r="E33" s="6" t="s">
        <v>16</v>
      </c>
      <c r="F33" s="6" t="s">
        <v>17</v>
      </c>
      <c r="G33" s="6" t="s">
        <v>18</v>
      </c>
      <c r="H33" s="6" t="s">
        <v>19</v>
      </c>
      <c r="I33" s="6" t="s">
        <v>20</v>
      </c>
      <c r="J33" s="6" t="s">
        <v>21</v>
      </c>
    </row>
    <row r="34">
      <c r="A34" s="4">
        <v>46212.625003078705</v>
      </c>
      <c r="B34" s="6" t="s">
        <v>134</v>
      </c>
      <c r="C34" s="6" t="s">
        <v>397</v>
      </c>
      <c r="D34" s="6" t="s">
        <v>15</v>
      </c>
      <c r="E34" s="6" t="s">
        <v>16</v>
      </c>
      <c r="F34" s="6" t="s">
        <v>17</v>
      </c>
      <c r="G34" s="6" t="s">
        <v>18</v>
      </c>
      <c r="H34" s="6" t="s">
        <v>19</v>
      </c>
      <c r="I34" s="6" t="s">
        <v>20</v>
      </c>
      <c r="J34" s="6" t="s">
        <v>21</v>
      </c>
    </row>
    <row r="35">
      <c r="A35" s="4">
        <v>46212.625105486106</v>
      </c>
      <c r="B35" s="6" t="s">
        <v>100</v>
      </c>
      <c r="C35" s="6" t="s">
        <v>397</v>
      </c>
      <c r="D35" s="6" t="s">
        <v>15</v>
      </c>
      <c r="E35" s="6" t="s">
        <v>16</v>
      </c>
      <c r="F35" s="6" t="s">
        <v>17</v>
      </c>
      <c r="G35" s="6" t="s">
        <v>18</v>
      </c>
      <c r="H35" s="6" t="s">
        <v>19</v>
      </c>
      <c r="I35" s="6" t="s">
        <v>20</v>
      </c>
      <c r="J35" s="6" t="s">
        <v>21</v>
      </c>
    </row>
    <row r="36">
      <c r="A36" s="4">
        <v>46212.62512607639</v>
      </c>
      <c r="B36" s="6" t="s">
        <v>54</v>
      </c>
      <c r="C36" s="6" t="s">
        <v>397</v>
      </c>
      <c r="D36" s="6" t="s">
        <v>15</v>
      </c>
      <c r="E36" s="6" t="s">
        <v>16</v>
      </c>
      <c r="F36" s="6" t="s">
        <v>17</v>
      </c>
      <c r="G36" s="6" t="s">
        <v>18</v>
      </c>
      <c r="H36" s="6" t="s">
        <v>19</v>
      </c>
      <c r="I36" s="6" t="s">
        <v>20</v>
      </c>
      <c r="J36" s="6" t="s">
        <v>21</v>
      </c>
    </row>
    <row r="37">
      <c r="A37" s="4">
        <v>46212.62514231481</v>
      </c>
      <c r="B37" s="6" t="s">
        <v>42</v>
      </c>
      <c r="C37" s="6" t="s">
        <v>411</v>
      </c>
      <c r="D37" s="6" t="s">
        <v>15</v>
      </c>
      <c r="E37" s="6" t="s">
        <v>16</v>
      </c>
      <c r="F37" s="6" t="s">
        <v>17</v>
      </c>
      <c r="G37" s="6" t="s">
        <v>18</v>
      </c>
      <c r="H37" s="6" t="s">
        <v>19</v>
      </c>
      <c r="I37" s="6" t="s">
        <v>20</v>
      </c>
      <c r="J37" s="6" t="s">
        <v>21</v>
      </c>
    </row>
    <row r="38">
      <c r="A38" s="4">
        <v>46212.62519204861</v>
      </c>
      <c r="B38" s="6" t="s">
        <v>22</v>
      </c>
      <c r="C38" s="6" t="s">
        <v>397</v>
      </c>
      <c r="D38" s="6" t="s">
        <v>15</v>
      </c>
      <c r="E38" s="6" t="s">
        <v>16</v>
      </c>
      <c r="F38" s="6" t="s">
        <v>17</v>
      </c>
      <c r="G38" s="6" t="s">
        <v>18</v>
      </c>
      <c r="H38" s="6" t="s">
        <v>19</v>
      </c>
      <c r="I38" s="6" t="s">
        <v>20</v>
      </c>
      <c r="J38" s="6" t="s">
        <v>21</v>
      </c>
    </row>
    <row r="39">
      <c r="A39" s="4">
        <v>46212.62533530092</v>
      </c>
      <c r="B39" s="6" t="s">
        <v>59</v>
      </c>
      <c r="C39" s="6" t="s">
        <v>412</v>
      </c>
      <c r="D39" s="6" t="s">
        <v>15</v>
      </c>
      <c r="E39" s="6" t="s">
        <v>16</v>
      </c>
      <c r="F39" s="6" t="s">
        <v>17</v>
      </c>
      <c r="G39" s="6" t="s">
        <v>18</v>
      </c>
      <c r="H39" s="6" t="s">
        <v>19</v>
      </c>
      <c r="I39" s="6" t="s">
        <v>20</v>
      </c>
      <c r="J39" s="6" t="s">
        <v>21</v>
      </c>
    </row>
    <row r="40">
      <c r="A40" s="4">
        <v>46212.62534302083</v>
      </c>
      <c r="B40" s="6" t="s">
        <v>102</v>
      </c>
      <c r="C40" s="6" t="s">
        <v>397</v>
      </c>
      <c r="D40" s="6" t="s">
        <v>15</v>
      </c>
      <c r="E40" s="6" t="s">
        <v>16</v>
      </c>
      <c r="F40" s="6" t="s">
        <v>17</v>
      </c>
      <c r="G40" s="6" t="s">
        <v>18</v>
      </c>
      <c r="H40" s="6" t="s">
        <v>19</v>
      </c>
      <c r="I40" s="6" t="s">
        <v>20</v>
      </c>
      <c r="J40" s="6" t="s">
        <v>21</v>
      </c>
    </row>
    <row r="41">
      <c r="A41" s="4">
        <v>46212.62535649305</v>
      </c>
      <c r="B41" s="6" t="s">
        <v>105</v>
      </c>
      <c r="C41" s="6" t="s">
        <v>413</v>
      </c>
      <c r="D41" s="6" t="s">
        <v>15</v>
      </c>
      <c r="E41" s="6" t="s">
        <v>16</v>
      </c>
      <c r="F41" s="6" t="s">
        <v>17</v>
      </c>
      <c r="G41" s="6" t="s">
        <v>18</v>
      </c>
      <c r="H41" s="6" t="s">
        <v>19</v>
      </c>
      <c r="I41" s="6" t="s">
        <v>20</v>
      </c>
      <c r="J41" s="6" t="s">
        <v>21</v>
      </c>
      <c r="K41" s="6" t="s">
        <v>115</v>
      </c>
    </row>
    <row r="42">
      <c r="A42" s="4">
        <v>46212.62564038194</v>
      </c>
      <c r="B42" s="6" t="s">
        <v>94</v>
      </c>
      <c r="C42" s="6" t="s">
        <v>414</v>
      </c>
      <c r="D42" s="6" t="s">
        <v>15</v>
      </c>
      <c r="E42" s="6" t="s">
        <v>16</v>
      </c>
      <c r="F42" s="6" t="s">
        <v>17</v>
      </c>
      <c r="G42" s="6" t="s">
        <v>18</v>
      </c>
      <c r="H42" s="6" t="s">
        <v>19</v>
      </c>
      <c r="I42" s="6" t="s">
        <v>20</v>
      </c>
      <c r="J42" s="6" t="s">
        <v>21</v>
      </c>
    </row>
    <row r="43">
      <c r="A43" s="4">
        <v>46212.625864965274</v>
      </c>
      <c r="B43" s="6" t="s">
        <v>76</v>
      </c>
      <c r="C43" s="6" t="s">
        <v>415</v>
      </c>
      <c r="D43" s="6" t="s">
        <v>15</v>
      </c>
      <c r="E43" s="6" t="s">
        <v>16</v>
      </c>
      <c r="F43" s="6" t="s">
        <v>17</v>
      </c>
      <c r="G43" s="6" t="s">
        <v>18</v>
      </c>
      <c r="H43" s="6" t="s">
        <v>19</v>
      </c>
      <c r="I43" s="6" t="s">
        <v>20</v>
      </c>
      <c r="J43" s="6" t="s">
        <v>21</v>
      </c>
    </row>
    <row r="44">
      <c r="A44" s="4">
        <v>46212.62622086806</v>
      </c>
      <c r="B44" s="6" t="s">
        <v>95</v>
      </c>
      <c r="C44" s="6" t="s">
        <v>407</v>
      </c>
      <c r="D44" s="6" t="s">
        <v>15</v>
      </c>
      <c r="E44" s="6" t="s">
        <v>16</v>
      </c>
      <c r="F44" s="6" t="s">
        <v>17</v>
      </c>
      <c r="G44" s="6" t="s">
        <v>18</v>
      </c>
      <c r="H44" s="6" t="s">
        <v>19</v>
      </c>
      <c r="I44" s="6" t="s">
        <v>20</v>
      </c>
      <c r="J44" s="6" t="s">
        <v>21</v>
      </c>
    </row>
    <row r="45">
      <c r="A45" s="4">
        <v>46212.62632646991</v>
      </c>
      <c r="B45" s="6" t="s">
        <v>123</v>
      </c>
      <c r="C45" s="6" t="s">
        <v>416</v>
      </c>
      <c r="D45" s="6" t="s">
        <v>15</v>
      </c>
      <c r="E45" s="6" t="s">
        <v>16</v>
      </c>
      <c r="F45" s="6" t="s">
        <v>17</v>
      </c>
      <c r="G45" s="6" t="s">
        <v>18</v>
      </c>
      <c r="H45" s="6" t="s">
        <v>19</v>
      </c>
      <c r="I45" s="6" t="s">
        <v>20</v>
      </c>
      <c r="J45" s="6" t="s">
        <v>21</v>
      </c>
    </row>
    <row r="46">
      <c r="A46" s="4">
        <v>46212.626332314816</v>
      </c>
      <c r="B46" s="6" t="s">
        <v>65</v>
      </c>
      <c r="C46" s="6" t="s">
        <v>407</v>
      </c>
      <c r="D46" s="6" t="s">
        <v>15</v>
      </c>
      <c r="E46" s="6" t="s">
        <v>16</v>
      </c>
      <c r="F46" s="6" t="s">
        <v>17</v>
      </c>
      <c r="G46" s="6" t="s">
        <v>18</v>
      </c>
      <c r="H46" s="6" t="s">
        <v>46</v>
      </c>
      <c r="I46" s="6" t="s">
        <v>20</v>
      </c>
      <c r="J46" s="6" t="s">
        <v>21</v>
      </c>
    </row>
    <row r="47">
      <c r="A47" s="4">
        <v>46212.62679653935</v>
      </c>
      <c r="B47" s="6" t="s">
        <v>62</v>
      </c>
      <c r="C47" s="6" t="s">
        <v>407</v>
      </c>
      <c r="D47" s="6" t="s">
        <v>15</v>
      </c>
      <c r="E47" s="6" t="s">
        <v>16</v>
      </c>
      <c r="F47" s="6" t="s">
        <v>17</v>
      </c>
      <c r="G47" s="6" t="s">
        <v>18</v>
      </c>
      <c r="H47" s="6" t="s">
        <v>19</v>
      </c>
      <c r="I47" s="6" t="s">
        <v>20</v>
      </c>
      <c r="J47" s="6" t="s">
        <v>21</v>
      </c>
    </row>
    <row r="48">
      <c r="A48" s="4">
        <v>46212.626860185184</v>
      </c>
      <c r="B48" s="6" t="s">
        <v>89</v>
      </c>
      <c r="C48" s="6" t="s">
        <v>407</v>
      </c>
      <c r="D48" s="6" t="s">
        <v>15</v>
      </c>
      <c r="E48" s="6" t="s">
        <v>16</v>
      </c>
      <c r="F48" s="6" t="s">
        <v>17</v>
      </c>
      <c r="G48" s="6" t="s">
        <v>18</v>
      </c>
      <c r="H48" s="6" t="s">
        <v>19</v>
      </c>
      <c r="I48" s="6" t="s">
        <v>20</v>
      </c>
      <c r="J48" s="6" t="s">
        <v>21</v>
      </c>
      <c r="K48" s="6" t="s">
        <v>29</v>
      </c>
    </row>
    <row r="49">
      <c r="A49" s="4">
        <v>46212.626862812496</v>
      </c>
      <c r="B49" s="6" t="s">
        <v>121</v>
      </c>
      <c r="C49" s="6" t="s">
        <v>417</v>
      </c>
      <c r="D49" s="6" t="s">
        <v>15</v>
      </c>
      <c r="E49" s="6" t="s">
        <v>16</v>
      </c>
      <c r="F49" s="6" t="s">
        <v>17</v>
      </c>
      <c r="G49" s="6" t="s">
        <v>18</v>
      </c>
      <c r="H49" s="6" t="s">
        <v>19</v>
      </c>
      <c r="I49" s="6" t="s">
        <v>20</v>
      </c>
      <c r="J49" s="6" t="s">
        <v>21</v>
      </c>
    </row>
    <row r="50">
      <c r="A50" s="4">
        <v>46212.62690809028</v>
      </c>
      <c r="B50" s="6" t="s">
        <v>148</v>
      </c>
      <c r="C50" s="6" t="s">
        <v>407</v>
      </c>
      <c r="D50" s="6" t="s">
        <v>15</v>
      </c>
      <c r="E50" s="6" t="s">
        <v>16</v>
      </c>
      <c r="F50" s="6" t="s">
        <v>17</v>
      </c>
      <c r="G50" s="6" t="s">
        <v>18</v>
      </c>
      <c r="H50" s="6" t="s">
        <v>19</v>
      </c>
      <c r="I50" s="6" t="s">
        <v>20</v>
      </c>
      <c r="J50" s="6" t="s">
        <v>21</v>
      </c>
    </row>
    <row r="51">
      <c r="A51" s="4">
        <v>46212.62691947917</v>
      </c>
      <c r="B51" s="6" t="s">
        <v>88</v>
      </c>
      <c r="C51" s="6" t="s">
        <v>407</v>
      </c>
      <c r="D51" s="6" t="s">
        <v>15</v>
      </c>
      <c r="E51" s="6" t="s">
        <v>16</v>
      </c>
      <c r="F51" s="6" t="s">
        <v>17</v>
      </c>
      <c r="G51" s="6" t="s">
        <v>18</v>
      </c>
      <c r="H51" s="6" t="s">
        <v>19</v>
      </c>
      <c r="I51" s="6" t="s">
        <v>20</v>
      </c>
      <c r="J51" s="6" t="s">
        <v>21</v>
      </c>
    </row>
    <row r="52">
      <c r="A52" s="4">
        <v>46212.62699016204</v>
      </c>
      <c r="B52" s="6" t="s">
        <v>71</v>
      </c>
      <c r="C52" s="6" t="s">
        <v>407</v>
      </c>
      <c r="D52" s="6" t="s">
        <v>15</v>
      </c>
      <c r="E52" s="6" t="s">
        <v>16</v>
      </c>
      <c r="F52" s="6" t="s">
        <v>17</v>
      </c>
      <c r="G52" s="6" t="s">
        <v>18</v>
      </c>
      <c r="H52" s="6" t="s">
        <v>19</v>
      </c>
      <c r="I52" s="6" t="s">
        <v>20</v>
      </c>
      <c r="J52" s="6" t="s">
        <v>21</v>
      </c>
    </row>
    <row r="53">
      <c r="A53" s="4">
        <v>46212.62700994213</v>
      </c>
      <c r="B53" s="6" t="s">
        <v>55</v>
      </c>
      <c r="C53" s="6" t="s">
        <v>407</v>
      </c>
      <c r="D53" s="6" t="s">
        <v>15</v>
      </c>
      <c r="E53" s="6" t="s">
        <v>16</v>
      </c>
      <c r="F53" s="6" t="s">
        <v>17</v>
      </c>
      <c r="G53" s="6" t="s">
        <v>18</v>
      </c>
      <c r="H53" s="6" t="s">
        <v>19</v>
      </c>
      <c r="I53" s="6" t="s">
        <v>20</v>
      </c>
      <c r="J53" s="6" t="s">
        <v>21</v>
      </c>
    </row>
    <row r="54">
      <c r="A54" s="4">
        <v>46212.62703780092</v>
      </c>
      <c r="B54" s="6" t="s">
        <v>51</v>
      </c>
      <c r="C54" s="6" t="s">
        <v>407</v>
      </c>
      <c r="D54" s="6" t="s">
        <v>15</v>
      </c>
      <c r="E54" s="6" t="s">
        <v>33</v>
      </c>
      <c r="F54" s="6" t="s">
        <v>17</v>
      </c>
      <c r="G54" s="6" t="s">
        <v>18</v>
      </c>
      <c r="H54" s="6" t="s">
        <v>19</v>
      </c>
      <c r="I54" s="6" t="s">
        <v>20</v>
      </c>
      <c r="J54" s="6" t="s">
        <v>48</v>
      </c>
    </row>
    <row r="55">
      <c r="A55" s="4">
        <v>46212.62708320602</v>
      </c>
      <c r="B55" s="6" t="s">
        <v>158</v>
      </c>
      <c r="C55" s="6" t="s">
        <v>407</v>
      </c>
      <c r="D55" s="6" t="s">
        <v>15</v>
      </c>
      <c r="E55" s="6" t="s">
        <v>16</v>
      </c>
      <c r="F55" s="6" t="s">
        <v>17</v>
      </c>
      <c r="G55" s="6" t="s">
        <v>18</v>
      </c>
      <c r="H55" s="6" t="s">
        <v>19</v>
      </c>
      <c r="I55" s="6" t="s">
        <v>20</v>
      </c>
      <c r="J55" s="6" t="s">
        <v>21</v>
      </c>
    </row>
    <row r="56">
      <c r="A56" s="4">
        <v>46212.627140173616</v>
      </c>
      <c r="B56" s="6" t="s">
        <v>128</v>
      </c>
      <c r="C56" s="6" t="s">
        <v>407</v>
      </c>
      <c r="D56" s="6" t="s">
        <v>15</v>
      </c>
      <c r="E56" s="6" t="s">
        <v>16</v>
      </c>
      <c r="F56" s="6" t="s">
        <v>17</v>
      </c>
      <c r="G56" s="6" t="s">
        <v>18</v>
      </c>
      <c r="H56" s="6" t="s">
        <v>19</v>
      </c>
      <c r="I56" s="6" t="s">
        <v>20</v>
      </c>
      <c r="J56" s="6" t="s">
        <v>21</v>
      </c>
      <c r="K56" s="6" t="s">
        <v>29</v>
      </c>
    </row>
    <row r="57">
      <c r="A57" s="4">
        <v>46212.62714484954</v>
      </c>
      <c r="B57" s="6" t="s">
        <v>86</v>
      </c>
      <c r="C57" s="6" t="s">
        <v>418</v>
      </c>
      <c r="D57" s="6" t="s">
        <v>15</v>
      </c>
      <c r="E57" s="6" t="s">
        <v>16</v>
      </c>
      <c r="F57" s="6" t="s">
        <v>17</v>
      </c>
      <c r="G57" s="6" t="s">
        <v>18</v>
      </c>
      <c r="H57" s="6" t="s">
        <v>19</v>
      </c>
      <c r="I57" s="6" t="s">
        <v>20</v>
      </c>
      <c r="J57" s="6" t="s">
        <v>21</v>
      </c>
    </row>
    <row r="58">
      <c r="A58" s="4">
        <v>46212.627170798616</v>
      </c>
      <c r="B58" s="6" t="s">
        <v>133</v>
      </c>
      <c r="C58" s="6" t="s">
        <v>419</v>
      </c>
      <c r="D58" s="6" t="s">
        <v>15</v>
      </c>
      <c r="E58" s="6" t="s">
        <v>16</v>
      </c>
      <c r="F58" s="6" t="s">
        <v>17</v>
      </c>
      <c r="G58" s="6" t="s">
        <v>18</v>
      </c>
      <c r="H58" s="6" t="s">
        <v>19</v>
      </c>
      <c r="I58" s="6" t="s">
        <v>20</v>
      </c>
      <c r="J58" s="6" t="s">
        <v>21</v>
      </c>
    </row>
    <row r="59">
      <c r="A59" s="4">
        <v>46212.62720645833</v>
      </c>
      <c r="B59" s="6" t="s">
        <v>104</v>
      </c>
      <c r="C59" s="6" t="s">
        <v>407</v>
      </c>
      <c r="D59" s="6" t="s">
        <v>15</v>
      </c>
      <c r="E59" s="6" t="s">
        <v>16</v>
      </c>
      <c r="F59" s="6" t="s">
        <v>17</v>
      </c>
      <c r="G59" s="6" t="s">
        <v>18</v>
      </c>
      <c r="H59" s="6" t="s">
        <v>19</v>
      </c>
      <c r="I59" s="6" t="s">
        <v>20</v>
      </c>
      <c r="J59" s="6" t="s">
        <v>21</v>
      </c>
    </row>
    <row r="60">
      <c r="A60" s="4">
        <v>46212.62724625</v>
      </c>
      <c r="B60" s="6" t="s">
        <v>161</v>
      </c>
      <c r="C60" s="6" t="s">
        <v>420</v>
      </c>
      <c r="D60" s="6" t="s">
        <v>15</v>
      </c>
      <c r="E60" s="6" t="s">
        <v>16</v>
      </c>
      <c r="F60" s="6" t="s">
        <v>17</v>
      </c>
      <c r="G60" s="6" t="s">
        <v>18</v>
      </c>
      <c r="H60" s="6" t="s">
        <v>19</v>
      </c>
      <c r="I60" s="6" t="s">
        <v>20</v>
      </c>
      <c r="J60" s="6" t="s">
        <v>21</v>
      </c>
    </row>
    <row r="61">
      <c r="A61" s="4">
        <v>46212.627266944444</v>
      </c>
      <c r="B61" s="6" t="s">
        <v>82</v>
      </c>
      <c r="C61" s="6" t="s">
        <v>407</v>
      </c>
      <c r="D61" s="6" t="s">
        <v>15</v>
      </c>
      <c r="E61" s="6" t="s">
        <v>16</v>
      </c>
      <c r="F61" s="6" t="s">
        <v>17</v>
      </c>
      <c r="G61" s="6" t="s">
        <v>18</v>
      </c>
      <c r="H61" s="6" t="s">
        <v>19</v>
      </c>
      <c r="I61" s="6" t="s">
        <v>20</v>
      </c>
      <c r="J61" s="6" t="s">
        <v>21</v>
      </c>
    </row>
    <row r="62">
      <c r="A62" s="4">
        <v>46212.62735329861</v>
      </c>
      <c r="B62" s="6" t="s">
        <v>68</v>
      </c>
      <c r="C62" s="6" t="s">
        <v>421</v>
      </c>
      <c r="D62" s="6" t="s">
        <v>15</v>
      </c>
      <c r="E62" s="6" t="s">
        <v>16</v>
      </c>
      <c r="F62" s="6" t="s">
        <v>17</v>
      </c>
      <c r="G62" s="6" t="s">
        <v>18</v>
      </c>
      <c r="H62" s="6" t="s">
        <v>19</v>
      </c>
      <c r="I62" s="6" t="s">
        <v>20</v>
      </c>
      <c r="J62" s="6" t="s">
        <v>21</v>
      </c>
    </row>
    <row r="63">
      <c r="A63" s="4">
        <v>46212.627377916666</v>
      </c>
      <c r="B63" s="6" t="s">
        <v>114</v>
      </c>
      <c r="C63" s="6" t="s">
        <v>407</v>
      </c>
      <c r="D63" s="6" t="s">
        <v>15</v>
      </c>
      <c r="E63" s="6" t="s">
        <v>16</v>
      </c>
      <c r="F63" s="6" t="s">
        <v>17</v>
      </c>
      <c r="G63" s="6" t="s">
        <v>18</v>
      </c>
      <c r="H63" s="6" t="s">
        <v>19</v>
      </c>
      <c r="I63" s="6" t="s">
        <v>20</v>
      </c>
      <c r="J63" s="6" t="s">
        <v>21</v>
      </c>
    </row>
    <row r="64">
      <c r="A64" s="4">
        <v>46212.62749168981</v>
      </c>
      <c r="B64" s="6" t="s">
        <v>147</v>
      </c>
      <c r="C64" s="6" t="s">
        <v>407</v>
      </c>
      <c r="D64" s="6" t="s">
        <v>15</v>
      </c>
      <c r="E64" s="6" t="s">
        <v>16</v>
      </c>
      <c r="F64" s="6" t="s">
        <v>17</v>
      </c>
      <c r="G64" s="6" t="s">
        <v>18</v>
      </c>
      <c r="H64" s="6" t="s">
        <v>19</v>
      </c>
      <c r="I64" s="6" t="s">
        <v>20</v>
      </c>
      <c r="J64" s="6" t="s">
        <v>21</v>
      </c>
    </row>
    <row r="65">
      <c r="A65" s="4">
        <v>46212.62766171296</v>
      </c>
      <c r="B65" s="6" t="s">
        <v>81</v>
      </c>
      <c r="C65" s="6" t="s">
        <v>407</v>
      </c>
      <c r="D65" s="6" t="s">
        <v>15</v>
      </c>
      <c r="E65" s="6" t="s">
        <v>16</v>
      </c>
      <c r="F65" s="6" t="s">
        <v>17</v>
      </c>
      <c r="G65" s="6" t="s">
        <v>18</v>
      </c>
      <c r="H65" s="6" t="s">
        <v>19</v>
      </c>
      <c r="I65" s="6" t="s">
        <v>20</v>
      </c>
      <c r="J65" s="6" t="s">
        <v>21</v>
      </c>
    </row>
    <row r="66">
      <c r="A66" s="4">
        <v>46212.62771020833</v>
      </c>
      <c r="B66" s="6" t="s">
        <v>61</v>
      </c>
      <c r="C66" s="6" t="s">
        <v>407</v>
      </c>
      <c r="D66" s="6" t="s">
        <v>15</v>
      </c>
      <c r="E66" s="6" t="s">
        <v>16</v>
      </c>
      <c r="F66" s="6" t="s">
        <v>17</v>
      </c>
      <c r="G66" s="6" t="s">
        <v>18</v>
      </c>
      <c r="H66" s="6" t="s">
        <v>19</v>
      </c>
      <c r="I66" s="6" t="s">
        <v>20</v>
      </c>
      <c r="J66" s="6" t="s">
        <v>21</v>
      </c>
    </row>
    <row r="67">
      <c r="A67" s="4">
        <v>46212.62778672454</v>
      </c>
      <c r="B67" s="6" t="s">
        <v>73</v>
      </c>
      <c r="C67" s="6" t="s">
        <v>407</v>
      </c>
      <c r="D67" s="6" t="s">
        <v>15</v>
      </c>
      <c r="E67" s="6" t="s">
        <v>16</v>
      </c>
      <c r="F67" s="6" t="s">
        <v>17</v>
      </c>
      <c r="G67" s="6" t="s">
        <v>18</v>
      </c>
      <c r="H67" s="6" t="s">
        <v>19</v>
      </c>
      <c r="I67" s="6" t="s">
        <v>20</v>
      </c>
      <c r="J67" s="6" t="s">
        <v>21</v>
      </c>
    </row>
    <row r="68">
      <c r="A68" s="4">
        <v>46212.62792355324</v>
      </c>
      <c r="B68" s="6" t="s">
        <v>135</v>
      </c>
      <c r="C68" s="6" t="s">
        <v>407</v>
      </c>
      <c r="D68" s="6" t="s">
        <v>15</v>
      </c>
      <c r="E68" s="6" t="s">
        <v>16</v>
      </c>
      <c r="F68" s="6" t="s">
        <v>17</v>
      </c>
      <c r="G68" s="6" t="s">
        <v>18</v>
      </c>
      <c r="H68" s="6" t="s">
        <v>19</v>
      </c>
      <c r="I68" s="6" t="s">
        <v>20</v>
      </c>
      <c r="J68" s="6" t="s">
        <v>21</v>
      </c>
    </row>
    <row r="69">
      <c r="A69" s="4">
        <v>46212.62813857639</v>
      </c>
      <c r="B69" s="6" t="s">
        <v>92</v>
      </c>
      <c r="C69" s="6" t="s">
        <v>403</v>
      </c>
      <c r="D69" s="6" t="s">
        <v>15</v>
      </c>
      <c r="E69" s="6" t="s">
        <v>16</v>
      </c>
      <c r="F69" s="6" t="s">
        <v>17</v>
      </c>
      <c r="G69" s="6" t="s">
        <v>18</v>
      </c>
      <c r="H69" s="6" t="s">
        <v>19</v>
      </c>
      <c r="I69" s="6" t="s">
        <v>20</v>
      </c>
      <c r="J69" s="6" t="s">
        <v>21</v>
      </c>
    </row>
    <row r="70">
      <c r="A70" s="4">
        <v>46212.62858365741</v>
      </c>
      <c r="B70" s="6" t="s">
        <v>130</v>
      </c>
      <c r="C70" s="6" t="s">
        <v>404</v>
      </c>
      <c r="D70" s="6" t="s">
        <v>15</v>
      </c>
      <c r="E70" s="6" t="s">
        <v>16</v>
      </c>
      <c r="F70" s="6" t="s">
        <v>17</v>
      </c>
      <c r="G70" s="6" t="s">
        <v>18</v>
      </c>
      <c r="H70" s="6" t="s">
        <v>19</v>
      </c>
      <c r="I70" s="6" t="s">
        <v>20</v>
      </c>
      <c r="J70" s="6" t="s">
        <v>21</v>
      </c>
    </row>
    <row r="71">
      <c r="A71" s="4">
        <v>46212.630863321756</v>
      </c>
      <c r="B71" s="6" t="s">
        <v>150</v>
      </c>
      <c r="C71" s="6" t="s">
        <v>407</v>
      </c>
      <c r="D71" s="6" t="s">
        <v>15</v>
      </c>
      <c r="E71" s="6" t="s">
        <v>16</v>
      </c>
      <c r="F71" s="6" t="s">
        <v>17</v>
      </c>
      <c r="G71" s="6" t="s">
        <v>18</v>
      </c>
      <c r="H71" s="6" t="s">
        <v>19</v>
      </c>
      <c r="I71" s="6" t="s">
        <v>20</v>
      </c>
      <c r="J71" s="6" t="s">
        <v>21</v>
      </c>
    </row>
    <row r="72">
      <c r="A72" s="4">
        <v>46212.63198950232</v>
      </c>
      <c r="B72" s="6" t="s">
        <v>137</v>
      </c>
      <c r="C72" s="6" t="s">
        <v>418</v>
      </c>
      <c r="D72" s="6" t="s">
        <v>15</v>
      </c>
      <c r="E72" s="6" t="s">
        <v>16</v>
      </c>
      <c r="F72" s="6" t="s">
        <v>17</v>
      </c>
      <c r="G72" s="6" t="s">
        <v>18</v>
      </c>
      <c r="H72" s="6" t="s">
        <v>19</v>
      </c>
      <c r="I72" s="6" t="s">
        <v>20</v>
      </c>
      <c r="J72" s="6" t="s">
        <v>21</v>
      </c>
    </row>
    <row r="73">
      <c r="A73" s="4">
        <v>46212.63230997685</v>
      </c>
      <c r="B73" s="6" t="s">
        <v>113</v>
      </c>
      <c r="C73" s="6" t="s">
        <v>422</v>
      </c>
      <c r="D73" s="6" t="s">
        <v>15</v>
      </c>
      <c r="E73" s="6" t="s">
        <v>16</v>
      </c>
      <c r="F73" s="6" t="s">
        <v>17</v>
      </c>
      <c r="G73" s="6" t="s">
        <v>18</v>
      </c>
      <c r="H73" s="6" t="s">
        <v>19</v>
      </c>
      <c r="I73" s="6" t="s">
        <v>20</v>
      </c>
      <c r="J73" s="6" t="s">
        <v>21</v>
      </c>
    </row>
    <row r="74">
      <c r="A74" s="4">
        <v>46212.63389328704</v>
      </c>
      <c r="B74" s="6" t="s">
        <v>169</v>
      </c>
      <c r="C74" s="6" t="s">
        <v>409</v>
      </c>
      <c r="D74" s="6" t="s">
        <v>15</v>
      </c>
      <c r="E74" s="6" t="s">
        <v>16</v>
      </c>
      <c r="F74" s="6" t="s">
        <v>17</v>
      </c>
      <c r="G74" s="6" t="s">
        <v>18</v>
      </c>
      <c r="H74" s="6" t="s">
        <v>19</v>
      </c>
      <c r="I74" s="6" t="s">
        <v>20</v>
      </c>
      <c r="J74" s="6" t="s">
        <v>21</v>
      </c>
    </row>
    <row r="75">
      <c r="A75" s="4">
        <v>46212.65991607639</v>
      </c>
      <c r="B75" s="6" t="s">
        <v>126</v>
      </c>
      <c r="C75" s="6" t="s">
        <v>394</v>
      </c>
      <c r="D75" s="6" t="s">
        <v>15</v>
      </c>
      <c r="E75" s="6" t="s">
        <v>16</v>
      </c>
      <c r="F75" s="6" t="s">
        <v>17</v>
      </c>
      <c r="G75" s="6" t="s">
        <v>18</v>
      </c>
      <c r="H75" s="6" t="s">
        <v>19</v>
      </c>
      <c r="I75" s="6" t="s">
        <v>20</v>
      </c>
      <c r="J75" s="6" t="s">
        <v>21</v>
      </c>
    </row>
    <row r="76">
      <c r="A76" s="4">
        <v>46212.71121425926</v>
      </c>
      <c r="B76" s="6" t="s">
        <v>70</v>
      </c>
      <c r="C76" s="6" t="s">
        <v>407</v>
      </c>
      <c r="D76" s="6" t="s">
        <v>15</v>
      </c>
      <c r="E76" s="6" t="s">
        <v>16</v>
      </c>
      <c r="F76" s="6" t="s">
        <v>17</v>
      </c>
      <c r="G76" s="6" t="s">
        <v>18</v>
      </c>
      <c r="H76" s="6" t="s">
        <v>19</v>
      </c>
      <c r="I76" s="6" t="s">
        <v>20</v>
      </c>
      <c r="J76" s="6" t="s">
        <v>21</v>
      </c>
    </row>
    <row r="77">
      <c r="A77" s="4">
        <v>46212.8363527662</v>
      </c>
      <c r="B77" s="6" t="s">
        <v>155</v>
      </c>
      <c r="C77" s="6" t="s">
        <v>407</v>
      </c>
      <c r="D77" s="6" t="s">
        <v>15</v>
      </c>
      <c r="E77" s="6" t="s">
        <v>16</v>
      </c>
      <c r="F77" s="6" t="s">
        <v>17</v>
      </c>
      <c r="G77" s="6" t="s">
        <v>18</v>
      </c>
      <c r="H77" s="6" t="s">
        <v>19</v>
      </c>
      <c r="I77" s="6" t="s">
        <v>20</v>
      </c>
      <c r="J77" s="6" t="s">
        <v>21</v>
      </c>
    </row>
    <row r="78">
      <c r="A78" s="4">
        <v>46213.39829912037</v>
      </c>
      <c r="B78" s="6" t="s">
        <v>162</v>
      </c>
      <c r="C78" s="6" t="s">
        <v>407</v>
      </c>
      <c r="D78" s="6" t="s">
        <v>15</v>
      </c>
      <c r="E78" s="6" t="s">
        <v>16</v>
      </c>
      <c r="F78" s="6" t="s">
        <v>17</v>
      </c>
      <c r="G78" s="6" t="s">
        <v>18</v>
      </c>
      <c r="H78" s="6" t="s">
        <v>19</v>
      </c>
      <c r="I78" s="6" t="s">
        <v>20</v>
      </c>
      <c r="J78" s="6" t="s">
        <v>21</v>
      </c>
    </row>
    <row r="79">
      <c r="A79" s="4">
        <v>46213.39997614583</v>
      </c>
      <c r="B79" s="6" t="s">
        <v>67</v>
      </c>
      <c r="C79" s="6" t="s">
        <v>407</v>
      </c>
      <c r="D79" s="6" t="s">
        <v>15</v>
      </c>
      <c r="E79" s="6" t="s">
        <v>16</v>
      </c>
      <c r="F79" s="6" t="s">
        <v>17</v>
      </c>
      <c r="G79" s="6" t="s">
        <v>18</v>
      </c>
      <c r="H79" s="6" t="s">
        <v>19</v>
      </c>
      <c r="I79" s="6" t="s">
        <v>20</v>
      </c>
      <c r="J79" s="6" t="s">
        <v>21</v>
      </c>
    </row>
    <row r="80">
      <c r="A80" s="4">
        <v>46213.40889489584</v>
      </c>
      <c r="B80" s="6" t="s">
        <v>171</v>
      </c>
      <c r="C80" s="6" t="s">
        <v>397</v>
      </c>
      <c r="D80" s="6" t="s">
        <v>15</v>
      </c>
      <c r="E80" s="6" t="s">
        <v>16</v>
      </c>
      <c r="F80" s="6" t="s">
        <v>17</v>
      </c>
      <c r="G80" s="6" t="s">
        <v>18</v>
      </c>
      <c r="H80" s="6" t="s">
        <v>19</v>
      </c>
      <c r="I80" s="6" t="s">
        <v>20</v>
      </c>
      <c r="J80" s="6" t="s">
        <v>21</v>
      </c>
    </row>
    <row r="81">
      <c r="A81" s="4">
        <v>46213.45748776621</v>
      </c>
      <c r="B81" s="6" t="s">
        <v>172</v>
      </c>
      <c r="C81" s="6" t="s">
        <v>407</v>
      </c>
      <c r="D81" s="6" t="s">
        <v>15</v>
      </c>
      <c r="E81" s="6" t="s">
        <v>16</v>
      </c>
      <c r="F81" s="6" t="s">
        <v>17</v>
      </c>
      <c r="G81" s="6" t="s">
        <v>18</v>
      </c>
      <c r="H81" s="6" t="s">
        <v>19</v>
      </c>
      <c r="I81" s="6" t="s">
        <v>20</v>
      </c>
      <c r="J81" s="6" t="s">
        <v>21</v>
      </c>
      <c r="K81" s="6" t="s">
        <v>115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4" max="4" width="2.13"/>
    <col customWidth="1" min="14" max="14" width="24.5"/>
  </cols>
  <sheetData>
    <row r="1">
      <c r="A1" s="2" t="s">
        <v>0</v>
      </c>
      <c r="B1" s="2" t="s">
        <v>1</v>
      </c>
      <c r="C1" s="3" t="s">
        <v>2</v>
      </c>
      <c r="D1" s="5"/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3" t="s">
        <v>9</v>
      </c>
      <c r="L1" s="2"/>
      <c r="M1" s="7" t="s">
        <v>24</v>
      </c>
    </row>
    <row r="2">
      <c r="A2" s="8">
        <f>'1.8'!A:A</f>
        <v>46181.52464</v>
      </c>
      <c r="B2" s="2" t="str">
        <f>'1.8'!B:B</f>
        <v>bnco0910@signalschool.ac.th</v>
      </c>
      <c r="C2" s="2" t="str">
        <f>'1.8'!C:C</f>
        <v>จ.ส.ต.พรสุพพัต วุฒิสุวรรณ</v>
      </c>
      <c r="D2" s="9">
        <v>1.0</v>
      </c>
      <c r="E2" s="10">
        <f>IFERROR(vlookup('1.8'!D:D,lookup!$A$2:$B$4,2,false),0)</f>
        <v>5</v>
      </c>
      <c r="F2" s="10">
        <f>IFERROR(vlookup('1.8'!E:E,lookup!$A$6:$B$8,2,false),0)</f>
        <v>5</v>
      </c>
      <c r="G2" s="10">
        <f>IFERROR(vlookup('1.8'!F:F,lookup!$A$10:$B$12,2,false),0)</f>
        <v>5</v>
      </c>
      <c r="H2" s="10">
        <f>IFERROR(vlookup('1.8'!G:G,lookup!$A$14:$B$16,2,false),0)</f>
        <v>5</v>
      </c>
      <c r="I2" s="10">
        <f>IFERROR(vlookup('1.8'!H:H,lookup!$A$18:$B$20,2,false),0)</f>
        <v>5</v>
      </c>
      <c r="J2" s="10">
        <f>IFERROR(vlookup('1.8'!I:I,lookup!$A$22:$B$24,2,false),0)</f>
        <v>5</v>
      </c>
      <c r="K2" s="10">
        <f>IFERROR(vlookup('1.8'!J:J,lookup!$A$26:$B$28,2,false),0)</f>
        <v>5</v>
      </c>
      <c r="L2" s="2"/>
      <c r="M2" s="10">
        <v>1.0</v>
      </c>
      <c r="N2" s="11" t="str">
        <f t="shared" ref="N2:N81" si="1">CONCAT(R2,"@signalschool.ac.th")</f>
        <v>bnco0901@signalschool.ac.th</v>
      </c>
      <c r="O2" s="12">
        <f t="shared" ref="O2:O81" si="2">IFERROR(VLOOKUP(N2,B$2:D$81,3,FALSE),0)</f>
        <v>1</v>
      </c>
      <c r="R2" s="17" t="s">
        <v>116</v>
      </c>
    </row>
    <row r="3">
      <c r="A3" s="8">
        <f>'1.8'!A:A</f>
        <v>46189.44614</v>
      </c>
      <c r="B3" s="2" t="str">
        <f>'1.8'!B:B</f>
        <v>bnco0940@signalschool.ac.th</v>
      </c>
      <c r="C3" s="2" t="str">
        <f>'1.8'!C:C</f>
        <v> จ.ส.ต.พรสุพพัต วุฒิสุวรรณ</v>
      </c>
      <c r="D3" s="9">
        <v>1.0</v>
      </c>
      <c r="E3" s="10">
        <f>IFERROR(vlookup('1.8'!D:D,lookup!$A$2:$B$4,2,false),0)</f>
        <v>5</v>
      </c>
      <c r="F3" s="10">
        <f>IFERROR(vlookup('1.8'!E:E,lookup!$A$6:$B$8,2,false),0)</f>
        <v>5</v>
      </c>
      <c r="G3" s="10">
        <f>IFERROR(vlookup('1.8'!F:F,lookup!$A$10:$B$12,2,false),0)</f>
        <v>5</v>
      </c>
      <c r="H3" s="10">
        <f>IFERROR(vlookup('1.8'!G:G,lookup!$A$14:$B$16,2,false),0)</f>
        <v>5</v>
      </c>
      <c r="I3" s="10">
        <f>IFERROR(vlookup('1.8'!H:H,lookup!$A$18:$B$20,2,false),0)</f>
        <v>5</v>
      </c>
      <c r="J3" s="10">
        <f>IFERROR(vlookup('1.8'!I:I,lookup!$A$22:$B$24,2,false),0)</f>
        <v>5</v>
      </c>
      <c r="K3" s="10">
        <f>IFERROR(vlookup('1.8'!J:J,lookup!$A$26:$B$28,2,false),0)</f>
        <v>5</v>
      </c>
      <c r="L3" s="2"/>
      <c r="M3" s="10">
        <v>2.0</v>
      </c>
      <c r="N3" s="11" t="str">
        <f t="shared" si="1"/>
        <v>bnco0902@signalschool.ac.th</v>
      </c>
      <c r="O3" s="12">
        <f t="shared" si="2"/>
        <v>1</v>
      </c>
      <c r="R3" s="17" t="s">
        <v>157</v>
      </c>
    </row>
    <row r="4">
      <c r="A4" s="8">
        <f>'1.8'!A:A</f>
        <v>46195.35683</v>
      </c>
      <c r="B4" s="2" t="str">
        <f>'1.8'!B:B</f>
        <v>bnco0980@signalschool.ac.th</v>
      </c>
      <c r="C4" s="2" t="str">
        <f>'1.8'!C:C</f>
        <v>จ.ส.อ.พรสุพพัต  วุฒสุวรรณ</v>
      </c>
      <c r="D4" s="9">
        <v>1.0</v>
      </c>
      <c r="E4" s="10">
        <f>IFERROR(vlookup('1.8'!D:D,lookup!$A$2:$B$4,2,false),0)</f>
        <v>5</v>
      </c>
      <c r="F4" s="10">
        <f>IFERROR(vlookup('1.8'!E:E,lookup!$A$6:$B$8,2,false),0)</f>
        <v>5</v>
      </c>
      <c r="G4" s="10">
        <f>IFERROR(vlookup('1.8'!F:F,lookup!$A$10:$B$12,2,false),0)</f>
        <v>3</v>
      </c>
      <c r="H4" s="10">
        <f>IFERROR(vlookup('1.8'!G:G,lookup!$A$14:$B$16,2,false),0)</f>
        <v>5</v>
      </c>
      <c r="I4" s="10">
        <f>IFERROR(vlookup('1.8'!H:H,lookup!$A$18:$B$20,2,false),0)</f>
        <v>5</v>
      </c>
      <c r="J4" s="10">
        <f>IFERROR(vlookup('1.8'!I:I,lookup!$A$22:$B$24,2,false),0)</f>
        <v>5</v>
      </c>
      <c r="K4" s="10">
        <f>IFERROR(vlookup('1.8'!J:J,lookup!$A$26:$B$28,2,false),0)</f>
        <v>3</v>
      </c>
      <c r="L4" s="2"/>
      <c r="M4" s="10">
        <v>3.0</v>
      </c>
      <c r="N4" s="11" t="str">
        <f t="shared" si="1"/>
        <v>bnco0903@signalschool.ac.th</v>
      </c>
      <c r="O4" s="12">
        <f t="shared" si="2"/>
        <v>1</v>
      </c>
      <c r="R4" s="17" t="s">
        <v>182</v>
      </c>
    </row>
    <row r="5">
      <c r="A5" s="8">
        <f>'1.8'!A:A</f>
        <v>46204.35475</v>
      </c>
      <c r="B5" s="2" t="str">
        <f>'1.8'!B:B</f>
        <v>bnco0950@signalschool.ac.th</v>
      </c>
      <c r="C5" s="2" t="str">
        <f>'1.8'!C:C</f>
        <v>จ.ส.ต.พรสุพพัต วุฒิสุวรรณ</v>
      </c>
      <c r="D5" s="9">
        <v>1.0</v>
      </c>
      <c r="E5" s="10">
        <f>IFERROR(vlookup('1.8'!D:D,lookup!$A$2:$B$4,2,false),0)</f>
        <v>5</v>
      </c>
      <c r="F5" s="10">
        <f>IFERROR(vlookup('1.8'!E:E,lookup!$A$6:$B$8,2,false),0)</f>
        <v>5</v>
      </c>
      <c r="G5" s="10">
        <f>IFERROR(vlookup('1.8'!F:F,lookup!$A$10:$B$12,2,false),0)</f>
        <v>5</v>
      </c>
      <c r="H5" s="10">
        <f>IFERROR(vlookup('1.8'!G:G,lookup!$A$14:$B$16,2,false),0)</f>
        <v>5</v>
      </c>
      <c r="I5" s="10">
        <f>IFERROR(vlookup('1.8'!H:H,lookup!$A$18:$B$20,2,false),0)</f>
        <v>5</v>
      </c>
      <c r="J5" s="10">
        <f>IFERROR(vlookup('1.8'!I:I,lookup!$A$22:$B$24,2,false),0)</f>
        <v>5</v>
      </c>
      <c r="K5" s="10">
        <f>IFERROR(vlookup('1.8'!J:J,lookup!$A$26:$B$28,2,false),0)</f>
        <v>5</v>
      </c>
      <c r="L5" s="2"/>
      <c r="M5" s="10">
        <v>4.0</v>
      </c>
      <c r="N5" s="11" t="str">
        <f t="shared" si="1"/>
        <v>bnco0904@signalschool.ac.th</v>
      </c>
      <c r="O5" s="12">
        <f t="shared" si="2"/>
        <v>1</v>
      </c>
      <c r="R5" s="17" t="s">
        <v>193</v>
      </c>
    </row>
    <row r="6">
      <c r="A6" s="8">
        <f>'1.8'!A:A</f>
        <v>46204.46478</v>
      </c>
      <c r="B6" s="2" t="str">
        <f>'1.8'!B:B</f>
        <v>bnco0951@signalschool.ac.th</v>
      </c>
      <c r="C6" s="2" t="str">
        <f>'1.8'!C:C</f>
        <v>จ.ส.ต.พรสุพพัต วุฒิสุวรรณ</v>
      </c>
      <c r="D6" s="9">
        <v>1.0</v>
      </c>
      <c r="E6" s="10">
        <f>IFERROR(vlookup('1.8'!D:D,lookup!$A$2:$B$4,2,false),0)</f>
        <v>5</v>
      </c>
      <c r="F6" s="10">
        <f>IFERROR(vlookup('1.8'!E:E,lookup!$A$6:$B$8,2,false),0)</f>
        <v>5</v>
      </c>
      <c r="G6" s="10">
        <f>IFERROR(vlookup('1.8'!F:F,lookup!$A$10:$B$12,2,false),0)</f>
        <v>5</v>
      </c>
      <c r="H6" s="10">
        <f>IFERROR(vlookup('1.8'!G:G,lookup!$A$14:$B$16,2,false),0)</f>
        <v>5</v>
      </c>
      <c r="I6" s="10">
        <f>IFERROR(vlookup('1.8'!H:H,lookup!$A$18:$B$20,2,false),0)</f>
        <v>5</v>
      </c>
      <c r="J6" s="10">
        <f>IFERROR(vlookup('1.8'!I:I,lookup!$A$22:$B$24,2,false),0)</f>
        <v>5</v>
      </c>
      <c r="K6" s="10">
        <f>IFERROR(vlookup('1.8'!J:J,lookup!$A$26:$B$28,2,false),0)</f>
        <v>5</v>
      </c>
      <c r="L6" s="2"/>
      <c r="M6" s="10">
        <v>5.0</v>
      </c>
      <c r="N6" s="11" t="str">
        <f t="shared" si="1"/>
        <v>bnco0905@signalschool.ac.th</v>
      </c>
      <c r="O6" s="12">
        <f t="shared" si="2"/>
        <v>1</v>
      </c>
      <c r="R6" s="17" t="s">
        <v>197</v>
      </c>
    </row>
    <row r="7">
      <c r="A7" s="8">
        <f>'1.8'!A:A</f>
        <v>46206.59951</v>
      </c>
      <c r="B7" s="2" t="str">
        <f>'1.8'!B:B</f>
        <v>bnco0920@signalschool.ac.th</v>
      </c>
      <c r="C7" s="2" t="str">
        <f>'1.8'!C:C</f>
        <v>พ.ต.หญิงกฤติญา / จ.ส.ต.พรสุพพัต / ส.อ.วริทธิ์พล / จ.ส.อ.วีระศักดิ์ / ส.อ.มงคล</v>
      </c>
      <c r="D7" s="9">
        <v>1.0</v>
      </c>
      <c r="E7" s="10">
        <f>IFERROR(vlookup('1.8'!D:D,lookup!$A$2:$B$4,2,false),0)</f>
        <v>5</v>
      </c>
      <c r="F7" s="10">
        <f>IFERROR(vlookup('1.8'!E:E,lookup!$A$6:$B$8,2,false),0)</f>
        <v>5</v>
      </c>
      <c r="G7" s="10">
        <f>IFERROR(vlookup('1.8'!F:F,lookup!$A$10:$B$12,2,false),0)</f>
        <v>5</v>
      </c>
      <c r="H7" s="10">
        <f>IFERROR(vlookup('1.8'!G:G,lookup!$A$14:$B$16,2,false),0)</f>
        <v>5</v>
      </c>
      <c r="I7" s="10">
        <f>IFERROR(vlookup('1.8'!H:H,lookup!$A$18:$B$20,2,false),0)</f>
        <v>5</v>
      </c>
      <c r="J7" s="10">
        <f>IFERROR(vlookup('1.8'!I:I,lookup!$A$22:$B$24,2,false),0)</f>
        <v>5</v>
      </c>
      <c r="K7" s="10">
        <f>IFERROR(vlookup('1.8'!J:J,lookup!$A$26:$B$28,2,false),0)</f>
        <v>5</v>
      </c>
      <c r="L7" s="2"/>
      <c r="M7" s="10">
        <v>6.0</v>
      </c>
      <c r="N7" s="11" t="str">
        <f t="shared" si="1"/>
        <v>bnco0906@signalschool.ac.th</v>
      </c>
      <c r="O7" s="12">
        <f t="shared" si="2"/>
        <v>1</v>
      </c>
      <c r="R7" s="17" t="s">
        <v>203</v>
      </c>
    </row>
    <row r="8">
      <c r="A8" s="8">
        <f>'1.8'!A:A</f>
        <v>46212.58875</v>
      </c>
      <c r="B8" s="2" t="str">
        <f>'1.8'!B:B</f>
        <v>bnco0906@signalschool.ac.th</v>
      </c>
      <c r="C8" s="2" t="str">
        <f>'1.8'!C:C</f>
        <v>ส.อ.มงคล บุญญะถิติ ส.อ.วิริทธิ์พล แข็งธัญญะกรณ์</v>
      </c>
      <c r="D8" s="9">
        <v>1.0</v>
      </c>
      <c r="E8" s="10">
        <f>IFERROR(vlookup('1.8'!D:D,lookup!$A$2:$B$4,2,false),0)</f>
        <v>3</v>
      </c>
      <c r="F8" s="10">
        <f>IFERROR(vlookup('1.8'!E:E,lookup!$A$6:$B$8,2,false),0)</f>
        <v>3</v>
      </c>
      <c r="G8" s="10">
        <f>IFERROR(vlookup('1.8'!F:F,lookup!$A$10:$B$12,2,false),0)</f>
        <v>3</v>
      </c>
      <c r="H8" s="10">
        <f>IFERROR(vlookup('1.8'!G:G,lookup!$A$14:$B$16,2,false),0)</f>
        <v>3</v>
      </c>
      <c r="I8" s="10">
        <f>IFERROR(vlookup('1.8'!H:H,lookup!$A$18:$B$20,2,false),0)</f>
        <v>3</v>
      </c>
      <c r="J8" s="10">
        <f>IFERROR(vlookup('1.8'!I:I,lookup!$A$22:$B$24,2,false),0)</f>
        <v>3</v>
      </c>
      <c r="K8" s="10">
        <f>IFERROR(vlookup('1.8'!J:J,lookup!$A$26:$B$28,2,false),0)</f>
        <v>3</v>
      </c>
      <c r="L8" s="2"/>
      <c r="M8" s="10">
        <v>7.0</v>
      </c>
      <c r="N8" s="11" t="str">
        <f t="shared" si="1"/>
        <v>bnco0907@signalschool.ac.th</v>
      </c>
      <c r="O8" s="12">
        <f t="shared" si="2"/>
        <v>1</v>
      </c>
      <c r="R8" s="17" t="s">
        <v>206</v>
      </c>
    </row>
    <row r="9">
      <c r="A9" s="8">
        <f>'1.8'!A:A</f>
        <v>46212.61814</v>
      </c>
      <c r="B9" s="2" t="str">
        <f>'1.8'!B:B</f>
        <v>bnco0955@signalschool.ac.th</v>
      </c>
      <c r="C9" s="2" t="str">
        <f>'1.8'!C:C</f>
        <v>อาจารย์ประจำวิชาการพัฒนาทักษะดิจิทัลที่จำเป็นระดับต้น</v>
      </c>
      <c r="D9" s="9">
        <v>1.0</v>
      </c>
      <c r="E9" s="10">
        <f>IFERROR(vlookup('1.8'!D:D,lookup!$A$2:$B$4,2,false),0)</f>
        <v>5</v>
      </c>
      <c r="F9" s="10">
        <f>IFERROR(vlookup('1.8'!E:E,lookup!$A$6:$B$8,2,false),0)</f>
        <v>5</v>
      </c>
      <c r="G9" s="10">
        <f>IFERROR(vlookup('1.8'!F:F,lookup!$A$10:$B$12,2,false),0)</f>
        <v>5</v>
      </c>
      <c r="H9" s="10">
        <f>IFERROR(vlookup('1.8'!G:G,lookup!$A$14:$B$16,2,false),0)</f>
        <v>5</v>
      </c>
      <c r="I9" s="10">
        <f>IFERROR(vlookup('1.8'!H:H,lookup!$A$18:$B$20,2,false),0)</f>
        <v>5</v>
      </c>
      <c r="J9" s="10">
        <f>IFERROR(vlookup('1.8'!I:I,lookup!$A$22:$B$24,2,false),0)</f>
        <v>5</v>
      </c>
      <c r="K9" s="10">
        <f>IFERROR(vlookup('1.8'!J:J,lookup!$A$26:$B$28,2,false),0)</f>
        <v>5</v>
      </c>
      <c r="L9" s="2"/>
      <c r="M9" s="10">
        <v>8.0</v>
      </c>
      <c r="N9" s="11" t="str">
        <f t="shared" si="1"/>
        <v>bnco0908@signalschool.ac.th</v>
      </c>
      <c r="O9" s="12">
        <f t="shared" si="2"/>
        <v>1</v>
      </c>
      <c r="R9" s="17" t="s">
        <v>211</v>
      </c>
    </row>
    <row r="10">
      <c r="A10" s="8">
        <f>'1.8'!A:A</f>
        <v>46212.61969</v>
      </c>
      <c r="B10" s="2" t="str">
        <f>'1.8'!B:B</f>
        <v>bnco0958@signalschool.ac.th</v>
      </c>
      <c r="C10" s="2" t="str">
        <f>'1.8'!C:C</f>
        <v>จ.ส.ต.พรสุพพัต วุฒิสุวรรณ ส.อ.วิริทธิ์พล แข็งธัญญะกรณ์ ส.อ.มงคล บุญญะถิติ</v>
      </c>
      <c r="D10" s="9">
        <v>1.0</v>
      </c>
      <c r="E10" s="10">
        <f>IFERROR(vlookup('1.8'!D:D,lookup!$A$2:$B$4,2,false),0)</f>
        <v>5</v>
      </c>
      <c r="F10" s="10">
        <f>IFERROR(vlookup('1.8'!E:E,lookup!$A$6:$B$8,2,false),0)</f>
        <v>5</v>
      </c>
      <c r="G10" s="10">
        <f>IFERROR(vlookup('1.8'!F:F,lookup!$A$10:$B$12,2,false),0)</f>
        <v>5</v>
      </c>
      <c r="H10" s="10">
        <f>IFERROR(vlookup('1.8'!G:G,lookup!$A$14:$B$16,2,false),0)</f>
        <v>5</v>
      </c>
      <c r="I10" s="10">
        <f>IFERROR(vlookup('1.8'!H:H,lookup!$A$18:$B$20,2,false),0)</f>
        <v>5</v>
      </c>
      <c r="J10" s="10">
        <f>IFERROR(vlookup('1.8'!I:I,lookup!$A$22:$B$24,2,false),0)</f>
        <v>5</v>
      </c>
      <c r="K10" s="10">
        <f>IFERROR(vlookup('1.8'!J:J,lookup!$A$26:$B$28,2,false),0)</f>
        <v>5</v>
      </c>
      <c r="L10" s="2"/>
      <c r="M10" s="10">
        <v>9.0</v>
      </c>
      <c r="N10" s="11" t="str">
        <f t="shared" si="1"/>
        <v>bnco0909@signalschool.ac.th</v>
      </c>
      <c r="O10" s="12">
        <f t="shared" si="2"/>
        <v>1</v>
      </c>
      <c r="R10" s="17" t="s">
        <v>212</v>
      </c>
    </row>
    <row r="11">
      <c r="A11" s="8">
        <f>'1.8'!A:A</f>
        <v>46212.62118</v>
      </c>
      <c r="B11" s="2" t="str">
        <f>'1.8'!B:B</f>
        <v>bnco0924@signalschool.ac.th</v>
      </c>
      <c r="C11" s="2" t="str">
        <f>'1.8'!C:C</f>
        <v>จ.ส.ต.พรสุพพัต วุฒิสุวรรณ</v>
      </c>
      <c r="D11" s="9">
        <v>1.0</v>
      </c>
      <c r="E11" s="10">
        <f>IFERROR(vlookup('1.8'!D:D,lookup!$A$2:$B$4,2,false),0)</f>
        <v>5</v>
      </c>
      <c r="F11" s="10">
        <f>IFERROR(vlookup('1.8'!E:E,lookup!$A$6:$B$8,2,false),0)</f>
        <v>5</v>
      </c>
      <c r="G11" s="10">
        <f>IFERROR(vlookup('1.8'!F:F,lookup!$A$10:$B$12,2,false),0)</f>
        <v>5</v>
      </c>
      <c r="H11" s="10">
        <f>IFERROR(vlookup('1.8'!G:G,lookup!$A$14:$B$16,2,false),0)</f>
        <v>5</v>
      </c>
      <c r="I11" s="10">
        <f>IFERROR(vlookup('1.8'!H:H,lookup!$A$18:$B$20,2,false),0)</f>
        <v>5</v>
      </c>
      <c r="J11" s="10">
        <f>IFERROR(vlookup('1.8'!I:I,lookup!$A$22:$B$24,2,false),0)</f>
        <v>5</v>
      </c>
      <c r="K11" s="10">
        <f>IFERROR(vlookup('1.8'!J:J,lookup!$A$26:$B$28,2,false),0)</f>
        <v>5</v>
      </c>
      <c r="L11" s="2"/>
      <c r="M11" s="10">
        <v>10.0</v>
      </c>
      <c r="N11" s="11" t="str">
        <f t="shared" si="1"/>
        <v>bnco0910@signalschool.ac.th</v>
      </c>
      <c r="O11" s="12">
        <f t="shared" si="2"/>
        <v>1</v>
      </c>
      <c r="R11" s="17" t="s">
        <v>213</v>
      </c>
    </row>
    <row r="12">
      <c r="A12" s="8">
        <f>'1.8'!A:A</f>
        <v>46212.62199</v>
      </c>
      <c r="B12" s="2" t="str">
        <f>'1.8'!B:B</f>
        <v>bnco0972@signalschool.ac.th</v>
      </c>
      <c r="C12" s="2" t="str">
        <f>'1.8'!C:C</f>
        <v>จ.ส.ต.พรสุพพัต  วุฒิสุวรรณ</v>
      </c>
      <c r="D12" s="9">
        <v>1.0</v>
      </c>
      <c r="E12" s="10">
        <f>IFERROR(vlookup('1.8'!D:D,lookup!$A$2:$B$4,2,false),0)</f>
        <v>5</v>
      </c>
      <c r="F12" s="10">
        <f>IFERROR(vlookup('1.8'!E:E,lookup!$A$6:$B$8,2,false),0)</f>
        <v>5</v>
      </c>
      <c r="G12" s="10">
        <f>IFERROR(vlookup('1.8'!F:F,lookup!$A$10:$B$12,2,false),0)</f>
        <v>5</v>
      </c>
      <c r="H12" s="10">
        <f>IFERROR(vlookup('1.8'!G:G,lookup!$A$14:$B$16,2,false),0)</f>
        <v>5</v>
      </c>
      <c r="I12" s="10">
        <f>IFERROR(vlookup('1.8'!H:H,lookup!$A$18:$B$20,2,false),0)</f>
        <v>5</v>
      </c>
      <c r="J12" s="10">
        <f>IFERROR(vlookup('1.8'!I:I,lookup!$A$22:$B$24,2,false),0)</f>
        <v>5</v>
      </c>
      <c r="K12" s="10">
        <f>IFERROR(vlookup('1.8'!J:J,lookup!$A$26:$B$28,2,false),0)</f>
        <v>5</v>
      </c>
      <c r="L12" s="2"/>
      <c r="M12" s="10">
        <v>11.0</v>
      </c>
      <c r="N12" s="11" t="str">
        <f t="shared" si="1"/>
        <v>bnco0911@signalschool.ac.th</v>
      </c>
      <c r="O12" s="12">
        <f t="shared" si="2"/>
        <v>1</v>
      </c>
      <c r="R12" s="17" t="s">
        <v>214</v>
      </c>
    </row>
    <row r="13">
      <c r="A13" s="8">
        <f>'1.8'!A:A</f>
        <v>46212.62212</v>
      </c>
      <c r="B13" s="2" t="str">
        <f>'1.8'!B:B</f>
        <v>bnco0971@signalschool.ac.th</v>
      </c>
      <c r="C13" s="2" t="str">
        <f>'1.8'!C:C</f>
        <v>จ.ส.ต.พรสุพพัต วุฒิสุวรรณ</v>
      </c>
      <c r="D13" s="9">
        <v>1.0</v>
      </c>
      <c r="E13" s="10">
        <f>IFERROR(vlookup('1.8'!D:D,lookup!$A$2:$B$4,2,false),0)</f>
        <v>5</v>
      </c>
      <c r="F13" s="10">
        <f>IFERROR(vlookup('1.8'!E:E,lookup!$A$6:$B$8,2,false),0)</f>
        <v>5</v>
      </c>
      <c r="G13" s="10">
        <f>IFERROR(vlookup('1.8'!F:F,lookup!$A$10:$B$12,2,false),0)</f>
        <v>5</v>
      </c>
      <c r="H13" s="10">
        <f>IFERROR(vlookup('1.8'!G:G,lookup!$A$14:$B$16,2,false),0)</f>
        <v>5</v>
      </c>
      <c r="I13" s="10">
        <f>IFERROR(vlookup('1.8'!H:H,lookup!$A$18:$B$20,2,false),0)</f>
        <v>5</v>
      </c>
      <c r="J13" s="10">
        <f>IFERROR(vlookup('1.8'!I:I,lookup!$A$22:$B$24,2,false),0)</f>
        <v>5</v>
      </c>
      <c r="K13" s="10">
        <f>IFERROR(vlookup('1.8'!J:J,lookup!$A$26:$B$28,2,false),0)</f>
        <v>5</v>
      </c>
      <c r="L13" s="2"/>
      <c r="M13" s="10">
        <v>12.0</v>
      </c>
      <c r="N13" s="11" t="str">
        <f t="shared" si="1"/>
        <v>bnco0912@signalschool.ac.th</v>
      </c>
      <c r="O13" s="12">
        <f t="shared" si="2"/>
        <v>1</v>
      </c>
      <c r="R13" s="17" t="s">
        <v>222</v>
      </c>
    </row>
    <row r="14">
      <c r="A14" s="8">
        <f>'1.8'!A:A</f>
        <v>46212.62253</v>
      </c>
      <c r="B14" s="2" t="str">
        <f>'1.8'!B:B</f>
        <v>bnco0928@signalschool.ac.th</v>
      </c>
      <c r="C14" s="2" t="str">
        <f>'1.8'!C:C</f>
        <v>จ.ส.ต.พรสุพพัต. วุฒิสุวรรณ</v>
      </c>
      <c r="D14" s="9">
        <v>1.0</v>
      </c>
      <c r="E14" s="10">
        <f>IFERROR(vlookup('1.8'!D:D,lookup!$A$2:$B$4,2,false),0)</f>
        <v>5</v>
      </c>
      <c r="F14" s="10">
        <f>IFERROR(vlookup('1.8'!E:E,lookup!$A$6:$B$8,2,false),0)</f>
        <v>5</v>
      </c>
      <c r="G14" s="10">
        <f>IFERROR(vlookup('1.8'!F:F,lookup!$A$10:$B$12,2,false),0)</f>
        <v>5</v>
      </c>
      <c r="H14" s="10">
        <f>IFERROR(vlookup('1.8'!G:G,lookup!$A$14:$B$16,2,false),0)</f>
        <v>5</v>
      </c>
      <c r="I14" s="10">
        <f>IFERROR(vlookup('1.8'!H:H,lookup!$A$18:$B$20,2,false),0)</f>
        <v>5</v>
      </c>
      <c r="J14" s="10">
        <f>IFERROR(vlookup('1.8'!I:I,lookup!$A$22:$B$24,2,false),0)</f>
        <v>5</v>
      </c>
      <c r="K14" s="10">
        <f>IFERROR(vlookup('1.8'!J:J,lookup!$A$26:$B$28,2,false),0)</f>
        <v>5</v>
      </c>
      <c r="L14" s="2"/>
      <c r="M14" s="10">
        <v>13.0</v>
      </c>
      <c r="N14" s="11" t="str">
        <f t="shared" si="1"/>
        <v>bnco0913@signalschool.ac.th</v>
      </c>
      <c r="O14" s="12">
        <f t="shared" si="2"/>
        <v>1</v>
      </c>
      <c r="R14" s="17" t="s">
        <v>227</v>
      </c>
    </row>
    <row r="15">
      <c r="A15" s="8">
        <f>'1.8'!A:A</f>
        <v>46212.6235</v>
      </c>
      <c r="B15" s="2" t="str">
        <f>'1.8'!B:B</f>
        <v>bnco0923@signalschool.ac.th</v>
      </c>
      <c r="C15" s="2" t="str">
        <f>'1.8'!C:C</f>
        <v>จ.ส.ต. พรสุพพัต วุฒิสุวรรณ,ส.อ. วิริทธิ์พล แข็งธัญญะกรณ์,ส.อ. มงคล บุญญะถิติ</v>
      </c>
      <c r="D15" s="9">
        <v>1.0</v>
      </c>
      <c r="E15" s="10">
        <f>IFERROR(vlookup('1.8'!D:D,lookup!$A$2:$B$4,2,false),0)</f>
        <v>5</v>
      </c>
      <c r="F15" s="10">
        <f>IFERROR(vlookup('1.8'!E:E,lookup!$A$6:$B$8,2,false),0)</f>
        <v>5</v>
      </c>
      <c r="G15" s="10">
        <f>IFERROR(vlookup('1.8'!F:F,lookup!$A$10:$B$12,2,false),0)</f>
        <v>5</v>
      </c>
      <c r="H15" s="10">
        <f>IFERROR(vlookup('1.8'!G:G,lookup!$A$14:$B$16,2,false),0)</f>
        <v>5</v>
      </c>
      <c r="I15" s="10">
        <f>IFERROR(vlookup('1.8'!H:H,lookup!$A$18:$B$20,2,false),0)</f>
        <v>5</v>
      </c>
      <c r="J15" s="10">
        <f>IFERROR(vlookup('1.8'!I:I,lookup!$A$22:$B$24,2,false),0)</f>
        <v>5</v>
      </c>
      <c r="K15" s="10">
        <f>IFERROR(vlookup('1.8'!J:J,lookup!$A$26:$B$28,2,false),0)</f>
        <v>5</v>
      </c>
      <c r="L15" s="2"/>
      <c r="M15" s="10">
        <v>14.0</v>
      </c>
      <c r="N15" s="11" t="str">
        <f t="shared" si="1"/>
        <v>bnco0914@signalschool.ac.th</v>
      </c>
      <c r="O15" s="12">
        <f t="shared" si="2"/>
        <v>1</v>
      </c>
      <c r="R15" s="17" t="s">
        <v>230</v>
      </c>
    </row>
    <row r="16">
      <c r="A16" s="8">
        <f>'1.8'!A:A</f>
        <v>46212.62359</v>
      </c>
      <c r="B16" s="2" t="str">
        <f>'1.8'!B:B</f>
        <v>bnco0918@signalschool.ac.th</v>
      </c>
      <c r="C16" s="2" t="str">
        <f>'1.8'!C:C</f>
        <v>จ.ส.ต.พรสุพพัต วุฒิสุวรรณ</v>
      </c>
      <c r="D16" s="9">
        <v>1.0</v>
      </c>
      <c r="E16" s="10">
        <f>IFERROR(vlookup('1.8'!D:D,lookup!$A$2:$B$4,2,false),0)</f>
        <v>5</v>
      </c>
      <c r="F16" s="10">
        <f>IFERROR(vlookup('1.8'!E:E,lookup!$A$6:$B$8,2,false),0)</f>
        <v>5</v>
      </c>
      <c r="G16" s="10">
        <f>IFERROR(vlookup('1.8'!F:F,lookup!$A$10:$B$12,2,false),0)</f>
        <v>5</v>
      </c>
      <c r="H16" s="10">
        <f>IFERROR(vlookup('1.8'!G:G,lookup!$A$14:$B$16,2,false),0)</f>
        <v>5</v>
      </c>
      <c r="I16" s="10">
        <f>IFERROR(vlookup('1.8'!H:H,lookup!$A$18:$B$20,2,false),0)</f>
        <v>5</v>
      </c>
      <c r="J16" s="10">
        <f>IFERROR(vlookup('1.8'!I:I,lookup!$A$22:$B$24,2,false),0)</f>
        <v>5</v>
      </c>
      <c r="K16" s="10">
        <f>IFERROR(vlookup('1.8'!J:J,lookup!$A$26:$B$28,2,false),0)</f>
        <v>5</v>
      </c>
      <c r="L16" s="2"/>
      <c r="M16" s="10">
        <v>15.0</v>
      </c>
      <c r="N16" s="11" t="str">
        <f t="shared" si="1"/>
        <v>bnco0915@signalschool.ac.th</v>
      </c>
      <c r="O16" s="12">
        <f t="shared" si="2"/>
        <v>1</v>
      </c>
      <c r="R16" s="17" t="s">
        <v>232</v>
      </c>
    </row>
    <row r="17">
      <c r="A17" s="8">
        <f>'1.8'!A:A</f>
        <v>46212.62378</v>
      </c>
      <c r="B17" s="2" t="str">
        <f>'1.8'!B:B</f>
        <v>bnco0913@signalschool.ac.th</v>
      </c>
      <c r="C17" s="2" t="str">
        <f>'1.8'!C:C</f>
        <v>จ.ส.ต.พรสุพพัต วุฒิสุวรรณ ส.อ.วิริทธิ์พล แข็งธัญญะกรณ์ ส.อ.มงคล บุญญะถิติ</v>
      </c>
      <c r="D17" s="9">
        <v>1.0</v>
      </c>
      <c r="E17" s="10">
        <f>IFERROR(vlookup('1.8'!D:D,lookup!$A$2:$B$4,2,false),0)</f>
        <v>5</v>
      </c>
      <c r="F17" s="10">
        <f>IFERROR(vlookup('1.8'!E:E,lookup!$A$6:$B$8,2,false),0)</f>
        <v>5</v>
      </c>
      <c r="G17" s="10">
        <f>IFERROR(vlookup('1.8'!F:F,lookup!$A$10:$B$12,2,false),0)</f>
        <v>5</v>
      </c>
      <c r="H17" s="10">
        <f>IFERROR(vlookup('1.8'!G:G,lookup!$A$14:$B$16,2,false),0)</f>
        <v>5</v>
      </c>
      <c r="I17" s="10">
        <f>IFERROR(vlookup('1.8'!H:H,lookup!$A$18:$B$20,2,false),0)</f>
        <v>5</v>
      </c>
      <c r="J17" s="10">
        <f>IFERROR(vlookup('1.8'!I:I,lookup!$A$22:$B$24,2,false),0)</f>
        <v>5</v>
      </c>
      <c r="K17" s="10">
        <f>IFERROR(vlookup('1.8'!J:J,lookup!$A$26:$B$28,2,false),0)</f>
        <v>5</v>
      </c>
      <c r="L17" s="2"/>
      <c r="M17" s="10">
        <v>16.0</v>
      </c>
      <c r="N17" s="11" t="str">
        <f t="shared" si="1"/>
        <v>bnco0916@signalschool.ac.th</v>
      </c>
      <c r="O17" s="12">
        <f t="shared" si="2"/>
        <v>1</v>
      </c>
      <c r="R17" s="17" t="s">
        <v>233</v>
      </c>
    </row>
    <row r="18">
      <c r="A18" s="8">
        <f>'1.8'!A:A</f>
        <v>46212.62386</v>
      </c>
      <c r="B18" s="2" t="str">
        <f>'1.8'!B:B</f>
        <v>bnco0977@signalschool.ac.th</v>
      </c>
      <c r="C18" s="2" t="str">
        <f>'1.8'!C:C</f>
        <v>จ.ส.ต.พรสุพพัต วุฒิสุวรรณ , ส.อ.วิริทธิ์พล แข็งธัญญะกรณ์ , ส.อ.มงคล บุญญะถิติ</v>
      </c>
      <c r="D18" s="9">
        <v>1.0</v>
      </c>
      <c r="E18" s="10">
        <f>IFERROR(vlookup('1.8'!D:D,lookup!$A$2:$B$4,2,false),0)</f>
        <v>5</v>
      </c>
      <c r="F18" s="10">
        <f>IFERROR(vlookup('1.8'!E:E,lookup!$A$6:$B$8,2,false),0)</f>
        <v>5</v>
      </c>
      <c r="G18" s="10">
        <f>IFERROR(vlookup('1.8'!F:F,lookup!$A$10:$B$12,2,false),0)</f>
        <v>5</v>
      </c>
      <c r="H18" s="10">
        <f>IFERROR(vlookup('1.8'!G:G,lookup!$A$14:$B$16,2,false),0)</f>
        <v>5</v>
      </c>
      <c r="I18" s="10">
        <f>IFERROR(vlookup('1.8'!H:H,lookup!$A$18:$B$20,2,false),0)</f>
        <v>5</v>
      </c>
      <c r="J18" s="10">
        <f>IFERROR(vlookup('1.8'!I:I,lookup!$A$22:$B$24,2,false),0)</f>
        <v>5</v>
      </c>
      <c r="K18" s="10">
        <f>IFERROR(vlookup('1.8'!J:J,lookup!$A$26:$B$28,2,false),0)</f>
        <v>5</v>
      </c>
      <c r="L18" s="2"/>
      <c r="M18" s="10">
        <v>17.0</v>
      </c>
      <c r="N18" s="11" t="str">
        <f t="shared" si="1"/>
        <v>bnco0917@signalschool.ac.th</v>
      </c>
      <c r="O18" s="12">
        <f t="shared" si="2"/>
        <v>1</v>
      </c>
      <c r="R18" s="17" t="s">
        <v>234</v>
      </c>
    </row>
    <row r="19">
      <c r="A19" s="8">
        <f>'1.8'!A:A</f>
        <v>46212.62388</v>
      </c>
      <c r="B19" s="2" t="str">
        <f>'1.8'!B:B</f>
        <v>bnco0942@signalschool.ac.th</v>
      </c>
      <c r="C19" s="2" t="str">
        <f>'1.8'!C:C</f>
        <v>จ.ส.ต.พรสุพัต  วุฒิสุวรรณ</v>
      </c>
      <c r="D19" s="9">
        <v>1.0</v>
      </c>
      <c r="E19" s="10">
        <f>IFERROR(vlookup('1.8'!D:D,lookup!$A$2:$B$4,2,false),0)</f>
        <v>5</v>
      </c>
      <c r="F19" s="10">
        <f>IFERROR(vlookup('1.8'!E:E,lookup!$A$6:$B$8,2,false),0)</f>
        <v>5</v>
      </c>
      <c r="G19" s="10">
        <f>IFERROR(vlookup('1.8'!F:F,lookup!$A$10:$B$12,2,false),0)</f>
        <v>5</v>
      </c>
      <c r="H19" s="10">
        <f>IFERROR(vlookup('1.8'!G:G,lookup!$A$14:$B$16,2,false),0)</f>
        <v>5</v>
      </c>
      <c r="I19" s="10">
        <f>IFERROR(vlookup('1.8'!H:H,lookup!$A$18:$B$20,2,false),0)</f>
        <v>5</v>
      </c>
      <c r="J19" s="10">
        <f>IFERROR(vlookup('1.8'!I:I,lookup!$A$22:$B$24,2,false),0)</f>
        <v>5</v>
      </c>
      <c r="K19" s="10">
        <f>IFERROR(vlookup('1.8'!J:J,lookup!$A$26:$B$28,2,false),0)</f>
        <v>5</v>
      </c>
      <c r="L19" s="2"/>
      <c r="M19" s="10">
        <v>18.0</v>
      </c>
      <c r="N19" s="11" t="str">
        <f t="shared" si="1"/>
        <v>bnco0918@signalschool.ac.th</v>
      </c>
      <c r="O19" s="12">
        <f t="shared" si="2"/>
        <v>1</v>
      </c>
      <c r="R19" s="17" t="s">
        <v>235</v>
      </c>
    </row>
    <row r="20">
      <c r="A20" s="8">
        <f>'1.8'!A:A</f>
        <v>46212.62399</v>
      </c>
      <c r="B20" s="2" t="str">
        <f>'1.8'!B:B</f>
        <v>bnco0943@signalschool.ac.th</v>
      </c>
      <c r="C20" s="2" t="str">
        <f>'1.8'!C:C</f>
        <v>จ.ส.ต.พรสุพพัต วุฒิสุวรรณ</v>
      </c>
      <c r="D20" s="9">
        <v>1.0</v>
      </c>
      <c r="E20" s="10">
        <f>IFERROR(vlookup('1.8'!D:D,lookup!$A$2:$B$4,2,false),0)</f>
        <v>5</v>
      </c>
      <c r="F20" s="10">
        <f>IFERROR(vlookup('1.8'!E:E,lookup!$A$6:$B$8,2,false),0)</f>
        <v>5</v>
      </c>
      <c r="G20" s="10">
        <f>IFERROR(vlookup('1.8'!F:F,lookup!$A$10:$B$12,2,false),0)</f>
        <v>5</v>
      </c>
      <c r="H20" s="10">
        <f>IFERROR(vlookup('1.8'!G:G,lookup!$A$14:$B$16,2,false),0)</f>
        <v>5</v>
      </c>
      <c r="I20" s="10">
        <f>IFERROR(vlookup('1.8'!H:H,lookup!$A$18:$B$20,2,false),0)</f>
        <v>5</v>
      </c>
      <c r="J20" s="10">
        <f>IFERROR(vlookup('1.8'!I:I,lookup!$A$22:$B$24,2,false),0)</f>
        <v>5</v>
      </c>
      <c r="K20" s="10">
        <f>IFERROR(vlookup('1.8'!J:J,lookup!$A$26:$B$28,2,false),0)</f>
        <v>5</v>
      </c>
      <c r="L20" s="2"/>
      <c r="M20" s="10">
        <v>19.0</v>
      </c>
      <c r="N20" s="11" t="str">
        <f t="shared" si="1"/>
        <v>bnco0919@signalschool.ac.th</v>
      </c>
      <c r="O20" s="12">
        <f t="shared" si="2"/>
        <v>1</v>
      </c>
      <c r="R20" s="17" t="s">
        <v>236</v>
      </c>
    </row>
    <row r="21">
      <c r="A21" s="8">
        <f>'1.8'!A:A</f>
        <v>46212.62418</v>
      </c>
      <c r="B21" s="2" t="str">
        <f>'1.8'!B:B</f>
        <v>bnco0904@signalschool.ac.th</v>
      </c>
      <c r="C21" s="2" t="str">
        <f>'1.8'!C:C</f>
        <v>จ.ส.ต.พรสุพพัต วุฒิสุวรรณ , ส.อ.วิริทธิ์พล แข็งธัญญะกรณ์ , ส.อ.มงคล บุญญะถิติ</v>
      </c>
      <c r="D21" s="9">
        <v>1.0</v>
      </c>
      <c r="E21" s="10">
        <f>IFERROR(vlookup('1.8'!D:D,lookup!$A$2:$B$4,2,false),0)</f>
        <v>5</v>
      </c>
      <c r="F21" s="10">
        <f>IFERROR(vlookup('1.8'!E:E,lookup!$A$6:$B$8,2,false),0)</f>
        <v>5</v>
      </c>
      <c r="G21" s="10">
        <f>IFERROR(vlookup('1.8'!F:F,lookup!$A$10:$B$12,2,false),0)</f>
        <v>5</v>
      </c>
      <c r="H21" s="10">
        <f>IFERROR(vlookup('1.8'!G:G,lookup!$A$14:$B$16,2,false),0)</f>
        <v>5</v>
      </c>
      <c r="I21" s="10">
        <f>IFERROR(vlookup('1.8'!H:H,lookup!$A$18:$B$20,2,false),0)</f>
        <v>5</v>
      </c>
      <c r="J21" s="10">
        <f>IFERROR(vlookup('1.8'!I:I,lookup!$A$22:$B$24,2,false),0)</f>
        <v>5</v>
      </c>
      <c r="K21" s="10">
        <f>IFERROR(vlookup('1.8'!J:J,lookup!$A$26:$B$28,2,false),0)</f>
        <v>5</v>
      </c>
      <c r="L21" s="2"/>
      <c r="M21" s="10">
        <v>20.0</v>
      </c>
      <c r="N21" s="11" t="str">
        <f t="shared" si="1"/>
        <v>bnco0920@signalschool.ac.th</v>
      </c>
      <c r="O21" s="12">
        <f t="shared" si="2"/>
        <v>1</v>
      </c>
      <c r="R21" s="17" t="s">
        <v>237</v>
      </c>
    </row>
    <row r="22">
      <c r="A22" s="8">
        <f>'1.8'!A:A</f>
        <v>46212.62427</v>
      </c>
      <c r="B22" s="2" t="str">
        <f>'1.8'!B:B</f>
        <v>bnco0930@signalschool.ac.th</v>
      </c>
      <c r="C22" s="2" t="str">
        <f>'1.8'!C:C</f>
        <v>จ.ส.ต.พรสุพพัต วุฒิสุวรรณ , ส.อ.วิริทธิ์พล แข็งธัญญะกรณ์ , ส.อ.มงคล บุญญะถิติ</v>
      </c>
      <c r="D22" s="9">
        <v>1.0</v>
      </c>
      <c r="E22" s="10">
        <f>IFERROR(vlookup('1.8'!D:D,lookup!$A$2:$B$4,2,false),0)</f>
        <v>5</v>
      </c>
      <c r="F22" s="10">
        <f>IFERROR(vlookup('1.8'!E:E,lookup!$A$6:$B$8,2,false),0)</f>
        <v>5</v>
      </c>
      <c r="G22" s="10">
        <f>IFERROR(vlookup('1.8'!F:F,lookup!$A$10:$B$12,2,false),0)</f>
        <v>5</v>
      </c>
      <c r="H22" s="10">
        <f>IFERROR(vlookup('1.8'!G:G,lookup!$A$14:$B$16,2,false),0)</f>
        <v>5</v>
      </c>
      <c r="I22" s="10">
        <f>IFERROR(vlookup('1.8'!H:H,lookup!$A$18:$B$20,2,false),0)</f>
        <v>5</v>
      </c>
      <c r="J22" s="10">
        <f>IFERROR(vlookup('1.8'!I:I,lookup!$A$22:$B$24,2,false),0)</f>
        <v>5</v>
      </c>
      <c r="K22" s="10">
        <f>IFERROR(vlookup('1.8'!J:J,lookup!$A$26:$B$28,2,false),0)</f>
        <v>5</v>
      </c>
      <c r="L22" s="2"/>
      <c r="M22" s="10">
        <v>21.0</v>
      </c>
      <c r="N22" s="11" t="str">
        <f t="shared" si="1"/>
        <v>bnco0921@signalschool.ac.th</v>
      </c>
      <c r="O22" s="12">
        <f t="shared" si="2"/>
        <v>1</v>
      </c>
      <c r="R22" s="17" t="s">
        <v>238</v>
      </c>
    </row>
    <row r="23">
      <c r="A23" s="8">
        <f>'1.8'!A:A</f>
        <v>46212.62441</v>
      </c>
      <c r="B23" s="2" t="str">
        <f>'1.8'!B:B</f>
        <v>bnco0979@signalschool.ac.th</v>
      </c>
      <c r="C23" s="2" t="str">
        <f>'1.8'!C:C</f>
        <v>จ.ส.ต.พรสุพพัต วุฒิสุวรรณ</v>
      </c>
      <c r="D23" s="9">
        <v>1.0</v>
      </c>
      <c r="E23" s="10">
        <f>IFERROR(vlookup('1.8'!D:D,lookup!$A$2:$B$4,2,false),0)</f>
        <v>5</v>
      </c>
      <c r="F23" s="10">
        <f>IFERROR(vlookup('1.8'!E:E,lookup!$A$6:$B$8,2,false),0)</f>
        <v>5</v>
      </c>
      <c r="G23" s="10">
        <f>IFERROR(vlookup('1.8'!F:F,lookup!$A$10:$B$12,2,false),0)</f>
        <v>5</v>
      </c>
      <c r="H23" s="10">
        <f>IFERROR(vlookup('1.8'!G:G,lookup!$A$14:$B$16,2,false),0)</f>
        <v>5</v>
      </c>
      <c r="I23" s="10">
        <f>IFERROR(vlookup('1.8'!H:H,lookup!$A$18:$B$20,2,false),0)</f>
        <v>5</v>
      </c>
      <c r="J23" s="10">
        <f>IFERROR(vlookup('1.8'!I:I,lookup!$A$22:$B$24,2,false),0)</f>
        <v>5</v>
      </c>
      <c r="K23" s="10">
        <f>IFERROR(vlookup('1.8'!J:J,lookup!$A$26:$B$28,2,false),0)</f>
        <v>5</v>
      </c>
      <c r="L23" s="2"/>
      <c r="M23" s="10">
        <v>22.0</v>
      </c>
      <c r="N23" s="11" t="str">
        <f t="shared" si="1"/>
        <v>bnco0922@signalschool.ac.th</v>
      </c>
      <c r="O23" s="12">
        <f t="shared" si="2"/>
        <v>1</v>
      </c>
      <c r="R23" s="17" t="s">
        <v>239</v>
      </c>
    </row>
    <row r="24">
      <c r="A24" s="8">
        <f>'1.8'!A:A</f>
        <v>46212.62442</v>
      </c>
      <c r="B24" s="2" t="str">
        <f>'1.8'!B:B</f>
        <v>bnco0934@signalschool.ac.th</v>
      </c>
      <c r="C24" s="2" t="str">
        <f>'1.8'!C:C</f>
        <v>จ.ส.ต.พรสุพพัต วุฒิสุวรรณ</v>
      </c>
      <c r="D24" s="9">
        <v>1.0</v>
      </c>
      <c r="E24" s="10">
        <f>IFERROR(vlookup('1.8'!D:D,lookup!$A$2:$B$4,2,false),0)</f>
        <v>5</v>
      </c>
      <c r="F24" s="10">
        <f>IFERROR(vlookup('1.8'!E:E,lookup!$A$6:$B$8,2,false),0)</f>
        <v>5</v>
      </c>
      <c r="G24" s="10">
        <f>IFERROR(vlookup('1.8'!F:F,lookup!$A$10:$B$12,2,false),0)</f>
        <v>5</v>
      </c>
      <c r="H24" s="10">
        <f>IFERROR(vlookup('1.8'!G:G,lookup!$A$14:$B$16,2,false),0)</f>
        <v>5</v>
      </c>
      <c r="I24" s="10">
        <f>IFERROR(vlookup('1.8'!H:H,lookup!$A$18:$B$20,2,false),0)</f>
        <v>5</v>
      </c>
      <c r="J24" s="10">
        <f>IFERROR(vlookup('1.8'!I:I,lookup!$A$22:$B$24,2,false),0)</f>
        <v>5</v>
      </c>
      <c r="K24" s="10">
        <f>IFERROR(vlookup('1.8'!J:J,lookup!$A$26:$B$28,2,false),0)</f>
        <v>5</v>
      </c>
      <c r="L24" s="2"/>
      <c r="M24" s="10">
        <v>23.0</v>
      </c>
      <c r="N24" s="11" t="str">
        <f t="shared" si="1"/>
        <v>bnco0923@signalschool.ac.th</v>
      </c>
      <c r="O24" s="12">
        <f t="shared" si="2"/>
        <v>1</v>
      </c>
      <c r="R24" s="17" t="s">
        <v>240</v>
      </c>
    </row>
    <row r="25">
      <c r="A25" s="8">
        <f>'1.8'!A:A</f>
        <v>46212.62442</v>
      </c>
      <c r="B25" s="2" t="str">
        <f>'1.8'!B:B</f>
        <v>bnco0921@signalschool.ac.th</v>
      </c>
      <c r="C25" s="2" t="str">
        <f>'1.8'!C:C</f>
        <v>ส.อ.มงคล บุญญะถิติ</v>
      </c>
      <c r="D25" s="9">
        <v>1.0</v>
      </c>
      <c r="E25" s="10">
        <f>IFERROR(vlookup('1.8'!D:D,lookup!$A$2:$B$4,2,false),0)</f>
        <v>5</v>
      </c>
      <c r="F25" s="10">
        <f>IFERROR(vlookup('1.8'!E:E,lookup!$A$6:$B$8,2,false),0)</f>
        <v>5</v>
      </c>
      <c r="G25" s="10">
        <f>IFERROR(vlookup('1.8'!F:F,lookup!$A$10:$B$12,2,false),0)</f>
        <v>5</v>
      </c>
      <c r="H25" s="10">
        <f>IFERROR(vlookup('1.8'!G:G,lookup!$A$14:$B$16,2,false),0)</f>
        <v>5</v>
      </c>
      <c r="I25" s="10">
        <f>IFERROR(vlookup('1.8'!H:H,lookup!$A$18:$B$20,2,false),0)</f>
        <v>5</v>
      </c>
      <c r="J25" s="10">
        <f>IFERROR(vlookup('1.8'!I:I,lookup!$A$22:$B$24,2,false),0)</f>
        <v>5</v>
      </c>
      <c r="K25" s="10">
        <f>IFERROR(vlookup('1.8'!J:J,lookup!$A$26:$B$28,2,false),0)</f>
        <v>5</v>
      </c>
      <c r="L25" s="2"/>
      <c r="M25" s="10">
        <v>24.0</v>
      </c>
      <c r="N25" s="11" t="str">
        <f t="shared" si="1"/>
        <v>bnco0924@signalschool.ac.th</v>
      </c>
      <c r="O25" s="12">
        <f t="shared" si="2"/>
        <v>1</v>
      </c>
      <c r="R25" s="17" t="s">
        <v>241</v>
      </c>
    </row>
    <row r="26">
      <c r="A26" s="8">
        <f>'1.8'!A:A</f>
        <v>46212.62447</v>
      </c>
      <c r="B26" s="2" t="str">
        <f>'1.8'!B:B</f>
        <v>bnco0925@signalschool.ac.th</v>
      </c>
      <c r="C26" s="2" t="str">
        <f>'1.8'!C:C</f>
        <v>จ.ส.ต.พรสุพพัต วุฒิสุวรรณ , ส.อ.วิริทธิ์พล แข็งธัญญะกรณ์ , ส.อ.มงคล บุญญะถิติ</v>
      </c>
      <c r="D26" s="9">
        <v>1.0</v>
      </c>
      <c r="E26" s="10">
        <f>IFERROR(vlookup('1.8'!D:D,lookup!$A$2:$B$4,2,false),0)</f>
        <v>5</v>
      </c>
      <c r="F26" s="10">
        <f>IFERROR(vlookup('1.8'!E:E,lookup!$A$6:$B$8,2,false),0)</f>
        <v>5</v>
      </c>
      <c r="G26" s="10">
        <f>IFERROR(vlookup('1.8'!F:F,lookup!$A$10:$B$12,2,false),0)</f>
        <v>5</v>
      </c>
      <c r="H26" s="10">
        <f>IFERROR(vlookup('1.8'!G:G,lookup!$A$14:$B$16,2,false),0)</f>
        <v>5</v>
      </c>
      <c r="I26" s="10">
        <f>IFERROR(vlookup('1.8'!H:H,lookup!$A$18:$B$20,2,false),0)</f>
        <v>5</v>
      </c>
      <c r="J26" s="10">
        <f>IFERROR(vlookup('1.8'!I:I,lookup!$A$22:$B$24,2,false),0)</f>
        <v>5</v>
      </c>
      <c r="K26" s="10">
        <f>IFERROR(vlookup('1.8'!J:J,lookup!$A$26:$B$28,2,false),0)</f>
        <v>5</v>
      </c>
      <c r="L26" s="2"/>
      <c r="M26" s="10">
        <v>25.0</v>
      </c>
      <c r="N26" s="11" t="str">
        <f t="shared" si="1"/>
        <v>bnco0925@signalschool.ac.th</v>
      </c>
      <c r="O26" s="12">
        <f t="shared" si="2"/>
        <v>1</v>
      </c>
      <c r="R26" s="17" t="s">
        <v>242</v>
      </c>
    </row>
    <row r="27">
      <c r="A27" s="8">
        <f>'1.8'!A:A</f>
        <v>46212.62468</v>
      </c>
      <c r="B27" s="2" t="str">
        <f>'1.8'!B:B</f>
        <v>bnco0903@signalschool.ac.th</v>
      </c>
      <c r="C27" s="2" t="str">
        <f>'1.8'!C:C</f>
        <v>จ.ส.ต.พรสุพพัต วุฒิสุวรรณ</v>
      </c>
      <c r="D27" s="9">
        <v>1.0</v>
      </c>
      <c r="E27" s="10">
        <f>IFERROR(vlookup('1.8'!D:D,lookup!$A$2:$B$4,2,false),0)</f>
        <v>5</v>
      </c>
      <c r="F27" s="10">
        <f>IFERROR(vlookup('1.8'!E:E,lookup!$A$6:$B$8,2,false),0)</f>
        <v>5</v>
      </c>
      <c r="G27" s="10">
        <f>IFERROR(vlookup('1.8'!F:F,lookup!$A$10:$B$12,2,false),0)</f>
        <v>5</v>
      </c>
      <c r="H27" s="10">
        <f>IFERROR(vlookup('1.8'!G:G,lookup!$A$14:$B$16,2,false),0)</f>
        <v>5</v>
      </c>
      <c r="I27" s="10">
        <f>IFERROR(vlookup('1.8'!H:H,lookup!$A$18:$B$20,2,false),0)</f>
        <v>5</v>
      </c>
      <c r="J27" s="10">
        <f>IFERROR(vlookup('1.8'!I:I,lookup!$A$22:$B$24,2,false),0)</f>
        <v>5</v>
      </c>
      <c r="K27" s="10">
        <f>IFERROR(vlookup('1.8'!J:J,lookup!$A$26:$B$28,2,false),0)</f>
        <v>5</v>
      </c>
      <c r="L27" s="2"/>
      <c r="M27" s="10">
        <v>26.0</v>
      </c>
      <c r="N27" s="11" t="str">
        <f t="shared" si="1"/>
        <v>bnco0926@signalschool.ac.th</v>
      </c>
      <c r="O27" s="12">
        <f t="shared" si="2"/>
        <v>1</v>
      </c>
      <c r="R27" s="17" t="s">
        <v>243</v>
      </c>
    </row>
    <row r="28">
      <c r="A28" s="8">
        <f>'1.8'!A:A</f>
        <v>46212.62468</v>
      </c>
      <c r="B28" s="2" t="str">
        <f>'1.8'!B:B</f>
        <v>bnco0909@signalschool.ac.th</v>
      </c>
      <c r="C28" s="2" t="str">
        <f>'1.8'!C:C</f>
        <v>ส.อ. มงคล</v>
      </c>
      <c r="D28" s="9">
        <v>1.0</v>
      </c>
      <c r="E28" s="10">
        <f>IFERROR(vlookup('1.8'!D:D,lookup!$A$2:$B$4,2,false),0)</f>
        <v>5</v>
      </c>
      <c r="F28" s="10">
        <f>IFERROR(vlookup('1.8'!E:E,lookup!$A$6:$B$8,2,false),0)</f>
        <v>5</v>
      </c>
      <c r="G28" s="10">
        <f>IFERROR(vlookup('1.8'!F:F,lookup!$A$10:$B$12,2,false),0)</f>
        <v>5</v>
      </c>
      <c r="H28" s="10">
        <f>IFERROR(vlookup('1.8'!G:G,lookup!$A$14:$B$16,2,false),0)</f>
        <v>5</v>
      </c>
      <c r="I28" s="10">
        <f>IFERROR(vlookup('1.8'!H:H,lookup!$A$18:$B$20,2,false),0)</f>
        <v>5</v>
      </c>
      <c r="J28" s="10">
        <f>IFERROR(vlookup('1.8'!I:I,lookup!$A$22:$B$24,2,false),0)</f>
        <v>5</v>
      </c>
      <c r="K28" s="10">
        <f>IFERROR(vlookup('1.8'!J:J,lookup!$A$26:$B$28,2,false),0)</f>
        <v>5</v>
      </c>
      <c r="L28" s="2"/>
      <c r="M28" s="10">
        <v>27.0</v>
      </c>
      <c r="N28" s="11" t="str">
        <f t="shared" si="1"/>
        <v>bnco0927@signalschool.ac.th</v>
      </c>
      <c r="O28" s="12">
        <f t="shared" si="2"/>
        <v>1</v>
      </c>
      <c r="R28" s="17" t="s">
        <v>244</v>
      </c>
    </row>
    <row r="29">
      <c r="A29" s="8">
        <f>'1.8'!A:A</f>
        <v>46212.62474</v>
      </c>
      <c r="B29" s="2" t="str">
        <f>'1.8'!B:B</f>
        <v>bnco0926@signalschool.ac.th</v>
      </c>
      <c r="C29" s="2" t="str">
        <f>'1.8'!C:C</f>
        <v>จ.ส.ต.พรสุพพัต วุฒิสุวรรณ , ส.อ.วิริทธิ์พล แข็งธัญญะกรณ์ , ส.อ.มงคล บุญญะถิติ</v>
      </c>
      <c r="D29" s="9">
        <v>1.0</v>
      </c>
      <c r="E29" s="10">
        <f>IFERROR(vlookup('1.8'!D:D,lookup!$A$2:$B$4,2,false),0)</f>
        <v>5</v>
      </c>
      <c r="F29" s="10">
        <f>IFERROR(vlookup('1.8'!E:E,lookup!$A$6:$B$8,2,false),0)</f>
        <v>5</v>
      </c>
      <c r="G29" s="10">
        <f>IFERROR(vlookup('1.8'!F:F,lookup!$A$10:$B$12,2,false),0)</f>
        <v>5</v>
      </c>
      <c r="H29" s="10">
        <f>IFERROR(vlookup('1.8'!G:G,lookup!$A$14:$B$16,2,false),0)</f>
        <v>5</v>
      </c>
      <c r="I29" s="10">
        <f>IFERROR(vlookup('1.8'!H:H,lookup!$A$18:$B$20,2,false),0)</f>
        <v>5</v>
      </c>
      <c r="J29" s="10">
        <f>IFERROR(vlookup('1.8'!I:I,lookup!$A$22:$B$24,2,false),0)</f>
        <v>5</v>
      </c>
      <c r="K29" s="10">
        <f>IFERROR(vlookup('1.8'!J:J,lookup!$A$26:$B$28,2,false),0)</f>
        <v>5</v>
      </c>
      <c r="L29" s="2"/>
      <c r="M29" s="10">
        <v>28.0</v>
      </c>
      <c r="N29" s="11" t="str">
        <f t="shared" si="1"/>
        <v>bnco0928@signalschool.ac.th</v>
      </c>
      <c r="O29" s="12">
        <f t="shared" si="2"/>
        <v>1</v>
      </c>
      <c r="R29" s="17" t="s">
        <v>245</v>
      </c>
    </row>
    <row r="30">
      <c r="A30" s="8">
        <f>'1.8'!A:A</f>
        <v>46212.62479</v>
      </c>
      <c r="B30" s="2" t="str">
        <f>'1.8'!B:B</f>
        <v>bnco0949@signalschool.ac.th</v>
      </c>
      <c r="C30" s="2" t="str">
        <f>'1.8'!C:C</f>
        <v>จ.ส.ต.พรสุพพัต วุฒิสุวรรณ , ส.อ.วิริทธิ์พล แข็งธัญญะกรณ์ , ส.อ.มงคล บุญญะถิติ</v>
      </c>
      <c r="D30" s="9">
        <v>1.0</v>
      </c>
      <c r="E30" s="10">
        <f>IFERROR(vlookup('1.8'!D:D,lookup!$A$2:$B$4,2,false),0)</f>
        <v>5</v>
      </c>
      <c r="F30" s="10">
        <f>IFERROR(vlookup('1.8'!E:E,lookup!$A$6:$B$8,2,false),0)</f>
        <v>5</v>
      </c>
      <c r="G30" s="10">
        <f>IFERROR(vlookup('1.8'!F:F,lookup!$A$10:$B$12,2,false),0)</f>
        <v>5</v>
      </c>
      <c r="H30" s="10">
        <f>IFERROR(vlookup('1.8'!G:G,lookup!$A$14:$B$16,2,false),0)</f>
        <v>5</v>
      </c>
      <c r="I30" s="10">
        <f>IFERROR(vlookup('1.8'!H:H,lookup!$A$18:$B$20,2,false),0)</f>
        <v>5</v>
      </c>
      <c r="J30" s="10">
        <f>IFERROR(vlookup('1.8'!I:I,lookup!$A$22:$B$24,2,false),0)</f>
        <v>5</v>
      </c>
      <c r="K30" s="10">
        <f>IFERROR(vlookup('1.8'!J:J,lookup!$A$26:$B$28,2,false),0)</f>
        <v>5</v>
      </c>
      <c r="L30" s="2"/>
      <c r="M30" s="10">
        <v>29.0</v>
      </c>
      <c r="N30" s="11" t="str">
        <f t="shared" si="1"/>
        <v>bnco0929@signalschool.ac.th</v>
      </c>
      <c r="O30" s="12">
        <f t="shared" si="2"/>
        <v>1</v>
      </c>
      <c r="R30" s="17" t="s">
        <v>246</v>
      </c>
    </row>
    <row r="31">
      <c r="A31" s="8">
        <f>'1.8'!A:A</f>
        <v>46212.62485</v>
      </c>
      <c r="B31" s="2" t="str">
        <f>'1.8'!B:B</f>
        <v>bnco0948@signalschool.ac.th</v>
      </c>
      <c r="C31" s="2" t="str">
        <f>'1.8'!C:C</f>
        <v>จ.ส.ต.พรสุพพัต วุฒิสุวรรณ</v>
      </c>
      <c r="D31" s="9">
        <v>1.0</v>
      </c>
      <c r="E31" s="10">
        <f>IFERROR(vlookup('1.8'!D:D,lookup!$A$2:$B$4,2,false),0)</f>
        <v>5</v>
      </c>
      <c r="F31" s="10">
        <f>IFERROR(vlookup('1.8'!E:E,lookup!$A$6:$B$8,2,false),0)</f>
        <v>5</v>
      </c>
      <c r="G31" s="10">
        <f>IFERROR(vlookup('1.8'!F:F,lookup!$A$10:$B$12,2,false),0)</f>
        <v>5</v>
      </c>
      <c r="H31" s="10">
        <f>IFERROR(vlookup('1.8'!G:G,lookup!$A$14:$B$16,2,false),0)</f>
        <v>5</v>
      </c>
      <c r="I31" s="10">
        <f>IFERROR(vlookup('1.8'!H:H,lookup!$A$18:$B$20,2,false),0)</f>
        <v>5</v>
      </c>
      <c r="J31" s="10">
        <f>IFERROR(vlookup('1.8'!I:I,lookup!$A$22:$B$24,2,false),0)</f>
        <v>5</v>
      </c>
      <c r="K31" s="10">
        <f>IFERROR(vlookup('1.8'!J:J,lookup!$A$26:$B$28,2,false),0)</f>
        <v>5</v>
      </c>
      <c r="L31" s="2"/>
      <c r="M31" s="10">
        <v>30.0</v>
      </c>
      <c r="N31" s="11" t="str">
        <f t="shared" si="1"/>
        <v>bnco0930@signalschool.ac.th</v>
      </c>
      <c r="O31" s="12">
        <f t="shared" si="2"/>
        <v>1</v>
      </c>
      <c r="R31" s="17" t="s">
        <v>247</v>
      </c>
    </row>
    <row r="32">
      <c r="A32" s="8">
        <f>'1.8'!A:A</f>
        <v>46212.62489</v>
      </c>
      <c r="B32" s="2" t="str">
        <f>'1.8'!B:B</f>
        <v>bnco0932@signalschool.ac.th</v>
      </c>
      <c r="C32" s="2" t="str">
        <f>'1.8'!C:C</f>
        <v>จ.ส.ต.พรสุพพัต วุฒิสุวรรณ , ส.อ.วิริทธิ์พล แข็งธัญญะกรณ์ , ส.อ.มงคล บุญญะถิติ</v>
      </c>
      <c r="D32" s="9">
        <v>1.0</v>
      </c>
      <c r="E32" s="10">
        <f>IFERROR(vlookup('1.8'!D:D,lookup!$A$2:$B$4,2,false),0)</f>
        <v>5</v>
      </c>
      <c r="F32" s="10">
        <f>IFERROR(vlookup('1.8'!E:E,lookup!$A$6:$B$8,2,false),0)</f>
        <v>5</v>
      </c>
      <c r="G32" s="10">
        <f>IFERROR(vlookup('1.8'!F:F,lookup!$A$10:$B$12,2,false),0)</f>
        <v>5</v>
      </c>
      <c r="H32" s="10">
        <f>IFERROR(vlookup('1.8'!G:G,lookup!$A$14:$B$16,2,false),0)</f>
        <v>5</v>
      </c>
      <c r="I32" s="10">
        <f>IFERROR(vlookup('1.8'!H:H,lookup!$A$18:$B$20,2,false),0)</f>
        <v>5</v>
      </c>
      <c r="J32" s="10">
        <f>IFERROR(vlookup('1.8'!I:I,lookup!$A$22:$B$24,2,false),0)</f>
        <v>5</v>
      </c>
      <c r="K32" s="10">
        <f>IFERROR(vlookup('1.8'!J:J,lookup!$A$26:$B$28,2,false),0)</f>
        <v>5</v>
      </c>
      <c r="L32" s="2"/>
      <c r="M32" s="10">
        <v>31.0</v>
      </c>
      <c r="N32" s="11" t="str">
        <f t="shared" si="1"/>
        <v>bnco0931@signalschool.ac.th</v>
      </c>
      <c r="O32" s="12">
        <f t="shared" si="2"/>
        <v>1</v>
      </c>
      <c r="R32" s="17" t="s">
        <v>248</v>
      </c>
    </row>
    <row r="33">
      <c r="A33" s="8">
        <f>'1.8'!A:A</f>
        <v>46212.62499</v>
      </c>
      <c r="B33" s="2" t="str">
        <f>'1.8'!B:B</f>
        <v>bnco0908@signalschool.ac.th</v>
      </c>
      <c r="C33" s="2" t="str">
        <f>'1.8'!C:C</f>
        <v>จ.ส.ต.พรสุพพัต วุฒิสุวรรณ , ส.อ.วิริทธิ์พล แข็งธัญญะกรณ์ , ส.อ.มงคล บุญญะถิติ</v>
      </c>
      <c r="D33" s="9">
        <v>1.0</v>
      </c>
      <c r="E33" s="10">
        <f>IFERROR(vlookup('1.8'!D:D,lookup!$A$2:$B$4,2,false),0)</f>
        <v>5</v>
      </c>
      <c r="F33" s="10">
        <f>IFERROR(vlookup('1.8'!E:E,lookup!$A$6:$B$8,2,false),0)</f>
        <v>5</v>
      </c>
      <c r="G33" s="10">
        <f>IFERROR(vlookup('1.8'!F:F,lookup!$A$10:$B$12,2,false),0)</f>
        <v>5</v>
      </c>
      <c r="H33" s="10">
        <f>IFERROR(vlookup('1.8'!G:G,lookup!$A$14:$B$16,2,false),0)</f>
        <v>5</v>
      </c>
      <c r="I33" s="10">
        <f>IFERROR(vlookup('1.8'!H:H,lookup!$A$18:$B$20,2,false),0)</f>
        <v>5</v>
      </c>
      <c r="J33" s="10">
        <f>IFERROR(vlookup('1.8'!I:I,lookup!$A$22:$B$24,2,false),0)</f>
        <v>5</v>
      </c>
      <c r="K33" s="10">
        <f>IFERROR(vlookup('1.8'!J:J,lookup!$A$26:$B$28,2,false),0)</f>
        <v>5</v>
      </c>
      <c r="L33" s="2"/>
      <c r="M33" s="10">
        <v>32.0</v>
      </c>
      <c r="N33" s="11" t="str">
        <f t="shared" si="1"/>
        <v>bnco0932@signalschool.ac.th</v>
      </c>
      <c r="O33" s="12">
        <f t="shared" si="2"/>
        <v>1</v>
      </c>
      <c r="R33" s="17" t="s">
        <v>249</v>
      </c>
    </row>
    <row r="34">
      <c r="A34" s="8">
        <f>'1.8'!A:A</f>
        <v>46212.625</v>
      </c>
      <c r="B34" s="2" t="str">
        <f>'1.8'!B:B</f>
        <v>bnco0927@signalschool.ac.th</v>
      </c>
      <c r="C34" s="2" t="str">
        <f>'1.8'!C:C</f>
        <v>จ.ส.ต.พรสุพพัต วุฒิสุวรรณ</v>
      </c>
      <c r="D34" s="9">
        <v>1.0</v>
      </c>
      <c r="E34" s="10">
        <f>IFERROR(vlookup('1.8'!D:D,lookup!$A$2:$B$4,2,false),0)</f>
        <v>5</v>
      </c>
      <c r="F34" s="10">
        <f>IFERROR(vlookup('1.8'!E:E,lookup!$A$6:$B$8,2,false),0)</f>
        <v>5</v>
      </c>
      <c r="G34" s="10">
        <f>IFERROR(vlookup('1.8'!F:F,lookup!$A$10:$B$12,2,false),0)</f>
        <v>5</v>
      </c>
      <c r="H34" s="10">
        <f>IFERROR(vlookup('1.8'!G:G,lookup!$A$14:$B$16,2,false),0)</f>
        <v>5</v>
      </c>
      <c r="I34" s="10">
        <f>IFERROR(vlookup('1.8'!H:H,lookup!$A$18:$B$20,2,false),0)</f>
        <v>5</v>
      </c>
      <c r="J34" s="10">
        <f>IFERROR(vlookup('1.8'!I:I,lookup!$A$22:$B$24,2,false),0)</f>
        <v>5</v>
      </c>
      <c r="K34" s="10">
        <f>IFERROR(vlookup('1.8'!J:J,lookup!$A$26:$B$28,2,false),0)</f>
        <v>5</v>
      </c>
      <c r="L34" s="2"/>
      <c r="M34" s="10">
        <v>33.0</v>
      </c>
      <c r="N34" s="11" t="str">
        <f t="shared" si="1"/>
        <v>bnco0933@signalschool.ac.th</v>
      </c>
      <c r="O34" s="12">
        <f t="shared" si="2"/>
        <v>1</v>
      </c>
      <c r="R34" s="17" t="s">
        <v>250</v>
      </c>
    </row>
    <row r="35">
      <c r="A35" s="8">
        <f>'1.8'!A:A</f>
        <v>46212.62511</v>
      </c>
      <c r="B35" s="2" t="str">
        <f>'1.8'!B:B</f>
        <v>bnco0916@signalschool.ac.th</v>
      </c>
      <c r="C35" s="2" t="str">
        <f>'1.8'!C:C</f>
        <v>จ.ส.ต.พรสุพพัต วุฒิสุวรรณ</v>
      </c>
      <c r="D35" s="9">
        <v>1.0</v>
      </c>
      <c r="E35" s="10">
        <f>IFERROR(vlookup('1.8'!D:D,lookup!$A$2:$B$4,2,false),0)</f>
        <v>5</v>
      </c>
      <c r="F35" s="10">
        <f>IFERROR(vlookup('1.8'!E:E,lookup!$A$6:$B$8,2,false),0)</f>
        <v>5</v>
      </c>
      <c r="G35" s="10">
        <f>IFERROR(vlookup('1.8'!F:F,lookup!$A$10:$B$12,2,false),0)</f>
        <v>5</v>
      </c>
      <c r="H35" s="10">
        <f>IFERROR(vlookup('1.8'!G:G,lookup!$A$14:$B$16,2,false),0)</f>
        <v>5</v>
      </c>
      <c r="I35" s="10">
        <f>IFERROR(vlookup('1.8'!H:H,lookup!$A$18:$B$20,2,false),0)</f>
        <v>5</v>
      </c>
      <c r="J35" s="10">
        <f>IFERROR(vlookup('1.8'!I:I,lookup!$A$22:$B$24,2,false),0)</f>
        <v>5</v>
      </c>
      <c r="K35" s="10">
        <f>IFERROR(vlookup('1.8'!J:J,lookup!$A$26:$B$28,2,false),0)</f>
        <v>5</v>
      </c>
      <c r="L35" s="2"/>
      <c r="M35" s="10">
        <v>34.0</v>
      </c>
      <c r="N35" s="11" t="str">
        <f t="shared" si="1"/>
        <v>bnco0934@signalschool.ac.th</v>
      </c>
      <c r="O35" s="12">
        <f t="shared" si="2"/>
        <v>1</v>
      </c>
      <c r="R35" s="17" t="s">
        <v>251</v>
      </c>
    </row>
    <row r="36">
      <c r="A36" s="8">
        <f>'1.8'!A:A</f>
        <v>46212.62513</v>
      </c>
      <c r="B36" s="2" t="str">
        <f>'1.8'!B:B</f>
        <v>bnco0919@signalschool.ac.th</v>
      </c>
      <c r="C36" s="2" t="str">
        <f>'1.8'!C:C</f>
        <v>จ.ส.ต.พรสุพพัต วุฒิสุวรรณ</v>
      </c>
      <c r="D36" s="9">
        <v>1.0</v>
      </c>
      <c r="E36" s="10">
        <f>IFERROR(vlookup('1.8'!D:D,lookup!$A$2:$B$4,2,false),0)</f>
        <v>5</v>
      </c>
      <c r="F36" s="10">
        <f>IFERROR(vlookup('1.8'!E:E,lookup!$A$6:$B$8,2,false),0)</f>
        <v>5</v>
      </c>
      <c r="G36" s="10">
        <f>IFERROR(vlookup('1.8'!F:F,lookup!$A$10:$B$12,2,false),0)</f>
        <v>5</v>
      </c>
      <c r="H36" s="10">
        <f>IFERROR(vlookup('1.8'!G:G,lookup!$A$14:$B$16,2,false),0)</f>
        <v>5</v>
      </c>
      <c r="I36" s="10">
        <f>IFERROR(vlookup('1.8'!H:H,lookup!$A$18:$B$20,2,false),0)</f>
        <v>5</v>
      </c>
      <c r="J36" s="10">
        <f>IFERROR(vlookup('1.8'!I:I,lookup!$A$22:$B$24,2,false),0)</f>
        <v>5</v>
      </c>
      <c r="K36" s="10">
        <f>IFERROR(vlookup('1.8'!J:J,lookup!$A$26:$B$28,2,false),0)</f>
        <v>5</v>
      </c>
      <c r="L36" s="2"/>
      <c r="M36" s="10">
        <v>35.0</v>
      </c>
      <c r="N36" s="11" t="str">
        <f t="shared" si="1"/>
        <v>bnco0935@signalschool.ac.th</v>
      </c>
      <c r="O36" s="12">
        <f t="shared" si="2"/>
        <v>1</v>
      </c>
      <c r="R36" s="17" t="s">
        <v>252</v>
      </c>
    </row>
    <row r="37">
      <c r="A37" s="8">
        <f>'1.8'!A:A</f>
        <v>46212.62514</v>
      </c>
      <c r="B37" s="2" t="str">
        <f>'1.8'!B:B</f>
        <v>bnco0967@signalschool.ac.th</v>
      </c>
      <c r="C37" s="2" t="str">
        <f>'1.8'!C:C</f>
        <v>จ.ส.ต.พรสุพพัต วุฒิสุวรรณ / ส.อ.วิริทธิ์พล แข็งธัญญะกรณ์ / ส.อ.มงคล บุญญะถิติ</v>
      </c>
      <c r="D37" s="9">
        <v>1.0</v>
      </c>
      <c r="E37" s="10">
        <f>IFERROR(vlookup('1.8'!D:D,lookup!$A$2:$B$4,2,false),0)</f>
        <v>5</v>
      </c>
      <c r="F37" s="10">
        <f>IFERROR(vlookup('1.8'!E:E,lookup!$A$6:$B$8,2,false),0)</f>
        <v>5</v>
      </c>
      <c r="G37" s="10">
        <f>IFERROR(vlookup('1.8'!F:F,lookup!$A$10:$B$12,2,false),0)</f>
        <v>5</v>
      </c>
      <c r="H37" s="10">
        <f>IFERROR(vlookup('1.8'!G:G,lookup!$A$14:$B$16,2,false),0)</f>
        <v>5</v>
      </c>
      <c r="I37" s="10">
        <f>IFERROR(vlookup('1.8'!H:H,lookup!$A$18:$B$20,2,false),0)</f>
        <v>5</v>
      </c>
      <c r="J37" s="10">
        <f>IFERROR(vlookup('1.8'!I:I,lookup!$A$22:$B$24,2,false),0)</f>
        <v>5</v>
      </c>
      <c r="K37" s="10">
        <f>IFERROR(vlookup('1.8'!J:J,lookup!$A$26:$B$28,2,false),0)</f>
        <v>5</v>
      </c>
      <c r="L37" s="2"/>
      <c r="M37" s="10">
        <v>36.0</v>
      </c>
      <c r="N37" s="11" t="str">
        <f t="shared" si="1"/>
        <v>bnco0936@signalschool.ac.th</v>
      </c>
      <c r="O37" s="12">
        <f t="shared" si="2"/>
        <v>1</v>
      </c>
      <c r="R37" s="17" t="s">
        <v>253</v>
      </c>
    </row>
    <row r="38">
      <c r="A38" s="8">
        <f>'1.8'!A:A</f>
        <v>46212.62519</v>
      </c>
      <c r="B38" s="2" t="str">
        <f>'1.8'!B:B</f>
        <v>bnco0936@signalschool.ac.th</v>
      </c>
      <c r="C38" s="2" t="str">
        <f>'1.8'!C:C</f>
        <v>จ.ส.ต.พรสุพพัต วุฒิสุวรรณ</v>
      </c>
      <c r="D38" s="9">
        <v>1.0</v>
      </c>
      <c r="E38" s="10">
        <f>IFERROR(vlookup('1.8'!D:D,lookup!$A$2:$B$4,2,false),0)</f>
        <v>5</v>
      </c>
      <c r="F38" s="10">
        <f>IFERROR(vlookup('1.8'!E:E,lookup!$A$6:$B$8,2,false),0)</f>
        <v>5</v>
      </c>
      <c r="G38" s="10">
        <f>IFERROR(vlookup('1.8'!F:F,lookup!$A$10:$B$12,2,false),0)</f>
        <v>5</v>
      </c>
      <c r="H38" s="10">
        <f>IFERROR(vlookup('1.8'!G:G,lookup!$A$14:$B$16,2,false),0)</f>
        <v>5</v>
      </c>
      <c r="I38" s="10">
        <f>IFERROR(vlookup('1.8'!H:H,lookup!$A$18:$B$20,2,false),0)</f>
        <v>5</v>
      </c>
      <c r="J38" s="10">
        <f>IFERROR(vlookup('1.8'!I:I,lookup!$A$22:$B$24,2,false),0)</f>
        <v>5</v>
      </c>
      <c r="K38" s="10">
        <f>IFERROR(vlookup('1.8'!J:J,lookup!$A$26:$B$28,2,false),0)</f>
        <v>5</v>
      </c>
      <c r="L38" s="2"/>
      <c r="M38" s="10">
        <v>37.0</v>
      </c>
      <c r="N38" s="11" t="str">
        <f t="shared" si="1"/>
        <v>bnco0937@signalschool.ac.th</v>
      </c>
      <c r="O38" s="12">
        <f t="shared" si="2"/>
        <v>1</v>
      </c>
      <c r="R38" s="17" t="s">
        <v>254</v>
      </c>
    </row>
    <row r="39">
      <c r="A39" s="8">
        <f>'1.8'!A:A</f>
        <v>46212.62534</v>
      </c>
      <c r="B39" s="2" t="str">
        <f>'1.8'!B:B</f>
        <v>bnco0970@signalschool.ac.th</v>
      </c>
      <c r="C39" s="2" t="str">
        <f>'1.8'!C:C</f>
        <v>จ.ส.ต.พรสุพพัด วุฒสุวรรณ</v>
      </c>
      <c r="D39" s="9">
        <v>1.0</v>
      </c>
      <c r="E39" s="10">
        <f>IFERROR(vlookup('1.8'!D:D,lookup!$A$2:$B$4,2,false),0)</f>
        <v>5</v>
      </c>
      <c r="F39" s="10">
        <f>IFERROR(vlookup('1.8'!E:E,lookup!$A$6:$B$8,2,false),0)</f>
        <v>5</v>
      </c>
      <c r="G39" s="10">
        <f>IFERROR(vlookup('1.8'!F:F,lookup!$A$10:$B$12,2,false),0)</f>
        <v>5</v>
      </c>
      <c r="H39" s="10">
        <f>IFERROR(vlookup('1.8'!G:G,lookup!$A$14:$B$16,2,false),0)</f>
        <v>5</v>
      </c>
      <c r="I39" s="10">
        <f>IFERROR(vlookup('1.8'!H:H,lookup!$A$18:$B$20,2,false),0)</f>
        <v>5</v>
      </c>
      <c r="J39" s="10">
        <f>IFERROR(vlookup('1.8'!I:I,lookup!$A$22:$B$24,2,false),0)</f>
        <v>5</v>
      </c>
      <c r="K39" s="10">
        <f>IFERROR(vlookup('1.8'!J:J,lookup!$A$26:$B$28,2,false),0)</f>
        <v>5</v>
      </c>
      <c r="L39" s="2"/>
      <c r="M39" s="10">
        <v>38.0</v>
      </c>
      <c r="N39" s="11" t="str">
        <f t="shared" si="1"/>
        <v>bnco0938@signalschool.ac.th</v>
      </c>
      <c r="O39" s="12">
        <f t="shared" si="2"/>
        <v>1</v>
      </c>
      <c r="R39" s="17" t="s">
        <v>255</v>
      </c>
    </row>
    <row r="40">
      <c r="A40" s="8">
        <f>'1.8'!A:A</f>
        <v>46212.62534</v>
      </c>
      <c r="B40" s="2" t="str">
        <f>'1.8'!B:B</f>
        <v>bnco0914@signalschool.ac.th</v>
      </c>
      <c r="C40" s="2" t="str">
        <f>'1.8'!C:C</f>
        <v>จ.ส.ต.พรสุพพัต วุฒิสุวรรณ</v>
      </c>
      <c r="D40" s="9">
        <v>1.0</v>
      </c>
      <c r="E40" s="10">
        <f>IFERROR(vlookup('1.8'!D:D,lookup!$A$2:$B$4,2,false),0)</f>
        <v>5</v>
      </c>
      <c r="F40" s="10">
        <f>IFERROR(vlookup('1.8'!E:E,lookup!$A$6:$B$8,2,false),0)</f>
        <v>5</v>
      </c>
      <c r="G40" s="10">
        <f>IFERROR(vlookup('1.8'!F:F,lookup!$A$10:$B$12,2,false),0)</f>
        <v>5</v>
      </c>
      <c r="H40" s="10">
        <f>IFERROR(vlookup('1.8'!G:G,lookup!$A$14:$B$16,2,false),0)</f>
        <v>5</v>
      </c>
      <c r="I40" s="10">
        <f>IFERROR(vlookup('1.8'!H:H,lookup!$A$18:$B$20,2,false),0)</f>
        <v>5</v>
      </c>
      <c r="J40" s="10">
        <f>IFERROR(vlookup('1.8'!I:I,lookup!$A$22:$B$24,2,false),0)</f>
        <v>5</v>
      </c>
      <c r="K40" s="10">
        <f>IFERROR(vlookup('1.8'!J:J,lookup!$A$26:$B$28,2,false),0)</f>
        <v>5</v>
      </c>
      <c r="L40" s="2"/>
      <c r="M40" s="10">
        <v>39.0</v>
      </c>
      <c r="N40" s="11" t="str">
        <f t="shared" si="1"/>
        <v>bnco0939@signalschool.ac.th</v>
      </c>
      <c r="O40" s="12">
        <f t="shared" si="2"/>
        <v>1</v>
      </c>
      <c r="R40" s="17" t="s">
        <v>256</v>
      </c>
    </row>
    <row r="41">
      <c r="A41" s="8">
        <f>'1.8'!A:A</f>
        <v>46212.62536</v>
      </c>
      <c r="B41" s="2" t="str">
        <f>'1.8'!B:B</f>
        <v>bnco0968@signalschool.ac.th</v>
      </c>
      <c r="C41" s="2" t="str">
        <f>'1.8'!C:C</f>
        <v>จ.ส.ต.พรสุพพัต วัฒิสุวรรณ</v>
      </c>
      <c r="D41" s="9">
        <v>1.0</v>
      </c>
      <c r="E41" s="10">
        <f>IFERROR(vlookup('1.8'!D:D,lookup!$A$2:$B$4,2,false),0)</f>
        <v>5</v>
      </c>
      <c r="F41" s="10">
        <f>IFERROR(vlookup('1.8'!E:E,lookup!$A$6:$B$8,2,false),0)</f>
        <v>5</v>
      </c>
      <c r="G41" s="10">
        <f>IFERROR(vlookup('1.8'!F:F,lookup!$A$10:$B$12,2,false),0)</f>
        <v>5</v>
      </c>
      <c r="H41" s="10">
        <f>IFERROR(vlookup('1.8'!G:G,lookup!$A$14:$B$16,2,false),0)</f>
        <v>5</v>
      </c>
      <c r="I41" s="10">
        <f>IFERROR(vlookup('1.8'!H:H,lookup!$A$18:$B$20,2,false),0)</f>
        <v>5</v>
      </c>
      <c r="J41" s="10">
        <f>IFERROR(vlookup('1.8'!I:I,lookup!$A$22:$B$24,2,false),0)</f>
        <v>5</v>
      </c>
      <c r="K41" s="10">
        <f>IFERROR(vlookup('1.8'!J:J,lookup!$A$26:$B$28,2,false),0)</f>
        <v>5</v>
      </c>
      <c r="L41" s="2"/>
      <c r="M41" s="10">
        <v>40.0</v>
      </c>
      <c r="N41" s="11" t="str">
        <f t="shared" si="1"/>
        <v>bnco0940@signalschool.ac.th</v>
      </c>
      <c r="O41" s="12">
        <f t="shared" si="2"/>
        <v>1</v>
      </c>
      <c r="R41" s="17" t="s">
        <v>257</v>
      </c>
    </row>
    <row r="42">
      <c r="A42" s="8">
        <f>'1.8'!A:A</f>
        <v>46212.62564</v>
      </c>
      <c r="B42" s="2" t="str">
        <f>'1.8'!B:B</f>
        <v>bnco0978@signalschool.ac.th</v>
      </c>
      <c r="C42" s="2" t="str">
        <f>'1.8'!C:C</f>
        <v>จ.ส.ต.พรสุพัต  วุฒิสุวรรณ  ส.อ.วิริทธิ์พล  แข็งธัญญะกรณ์  ส.อ.มงคล  บุญญะธิติ</v>
      </c>
      <c r="D42" s="9">
        <v>1.0</v>
      </c>
      <c r="E42" s="10">
        <f>IFERROR(vlookup('1.8'!D:D,lookup!$A$2:$B$4,2,false),0)</f>
        <v>5</v>
      </c>
      <c r="F42" s="10">
        <f>IFERROR(vlookup('1.8'!E:E,lookup!$A$6:$B$8,2,false),0)</f>
        <v>5</v>
      </c>
      <c r="G42" s="10">
        <f>IFERROR(vlookup('1.8'!F:F,lookup!$A$10:$B$12,2,false),0)</f>
        <v>5</v>
      </c>
      <c r="H42" s="10">
        <f>IFERROR(vlookup('1.8'!G:G,lookup!$A$14:$B$16,2,false),0)</f>
        <v>5</v>
      </c>
      <c r="I42" s="10">
        <f>IFERROR(vlookup('1.8'!H:H,lookup!$A$18:$B$20,2,false),0)</f>
        <v>5</v>
      </c>
      <c r="J42" s="10">
        <f>IFERROR(vlookup('1.8'!I:I,lookup!$A$22:$B$24,2,false),0)</f>
        <v>5</v>
      </c>
      <c r="K42" s="10">
        <f>IFERROR(vlookup('1.8'!J:J,lookup!$A$26:$B$28,2,false),0)</f>
        <v>5</v>
      </c>
      <c r="L42" s="2"/>
      <c r="M42" s="10">
        <v>41.0</v>
      </c>
      <c r="N42" s="11" t="str">
        <f t="shared" si="1"/>
        <v>bnco0941@signalschool.ac.th</v>
      </c>
      <c r="O42" s="12">
        <f t="shared" si="2"/>
        <v>1</v>
      </c>
      <c r="R42" s="17" t="s">
        <v>258</v>
      </c>
    </row>
    <row r="43">
      <c r="A43" s="8">
        <f>'1.8'!A:A</f>
        <v>46212.62586</v>
      </c>
      <c r="B43" s="2" t="str">
        <f>'1.8'!B:B</f>
        <v>bnco0962@signalschool.ac.th</v>
      </c>
      <c r="C43" s="2" t="str">
        <f>'1.8'!C:C</f>
        <v>จ.ส.ต.พรสุพพัต   วุฒิสุวรรณ</v>
      </c>
      <c r="D43" s="9">
        <v>1.0</v>
      </c>
      <c r="E43" s="10">
        <f>IFERROR(vlookup('1.8'!D:D,lookup!$A$2:$B$4,2,false),0)</f>
        <v>5</v>
      </c>
      <c r="F43" s="10">
        <f>IFERROR(vlookup('1.8'!E:E,lookup!$A$6:$B$8,2,false),0)</f>
        <v>5</v>
      </c>
      <c r="G43" s="10">
        <f>IFERROR(vlookup('1.8'!F:F,lookup!$A$10:$B$12,2,false),0)</f>
        <v>5</v>
      </c>
      <c r="H43" s="10">
        <f>IFERROR(vlookup('1.8'!G:G,lookup!$A$14:$B$16,2,false),0)</f>
        <v>5</v>
      </c>
      <c r="I43" s="10">
        <f>IFERROR(vlookup('1.8'!H:H,lookup!$A$18:$B$20,2,false),0)</f>
        <v>5</v>
      </c>
      <c r="J43" s="10">
        <f>IFERROR(vlookup('1.8'!I:I,lookup!$A$22:$B$24,2,false),0)</f>
        <v>5</v>
      </c>
      <c r="K43" s="10">
        <f>IFERROR(vlookup('1.8'!J:J,lookup!$A$26:$B$28,2,false),0)</f>
        <v>5</v>
      </c>
      <c r="L43" s="2"/>
      <c r="M43" s="10">
        <v>42.0</v>
      </c>
      <c r="N43" s="11" t="str">
        <f t="shared" si="1"/>
        <v>bnco0942@signalschool.ac.th</v>
      </c>
      <c r="O43" s="12">
        <f t="shared" si="2"/>
        <v>1</v>
      </c>
      <c r="R43" s="17" t="s">
        <v>259</v>
      </c>
    </row>
    <row r="44">
      <c r="A44" s="8">
        <f>'1.8'!A:A</f>
        <v>46212.62622</v>
      </c>
      <c r="B44" s="2" t="str">
        <f>'1.8'!B:B</f>
        <v>bnco0965@signalschool.ac.th</v>
      </c>
      <c r="C44" s="2" t="str">
        <f>'1.8'!C:C</f>
        <v>จ.ส.ต.พรสุพพัต วุฒิสุวรรณ , ส.อ.วิริทธิ์พล แข็งธัญญะกรณ์ , ส.อ.มงคล บุญญะถิติ</v>
      </c>
      <c r="D44" s="9">
        <v>1.0</v>
      </c>
      <c r="E44" s="10">
        <f>IFERROR(vlookup('1.8'!D:D,lookup!$A$2:$B$4,2,false),0)</f>
        <v>5</v>
      </c>
      <c r="F44" s="10">
        <f>IFERROR(vlookup('1.8'!E:E,lookup!$A$6:$B$8,2,false),0)</f>
        <v>5</v>
      </c>
      <c r="G44" s="10">
        <f>IFERROR(vlookup('1.8'!F:F,lookup!$A$10:$B$12,2,false),0)</f>
        <v>5</v>
      </c>
      <c r="H44" s="10">
        <f>IFERROR(vlookup('1.8'!G:G,lookup!$A$14:$B$16,2,false),0)</f>
        <v>5</v>
      </c>
      <c r="I44" s="10">
        <f>IFERROR(vlookup('1.8'!H:H,lookup!$A$18:$B$20,2,false),0)</f>
        <v>5</v>
      </c>
      <c r="J44" s="10">
        <f>IFERROR(vlookup('1.8'!I:I,lookup!$A$22:$B$24,2,false),0)</f>
        <v>5</v>
      </c>
      <c r="K44" s="10">
        <f>IFERROR(vlookup('1.8'!J:J,lookup!$A$26:$B$28,2,false),0)</f>
        <v>5</v>
      </c>
      <c r="L44" s="2"/>
      <c r="M44" s="10">
        <v>43.0</v>
      </c>
      <c r="N44" s="11" t="str">
        <f t="shared" si="1"/>
        <v>bnco0943@signalschool.ac.th</v>
      </c>
      <c r="O44" s="12">
        <f t="shared" si="2"/>
        <v>1</v>
      </c>
      <c r="R44" s="17" t="s">
        <v>260</v>
      </c>
    </row>
    <row r="45">
      <c r="A45" s="8">
        <f>'1.8'!A:A</f>
        <v>46212.62633</v>
      </c>
      <c r="B45" s="2" t="str">
        <f>'1.8'!B:B</f>
        <v>bnco0964@signalschool.ac.th</v>
      </c>
      <c r="C45" s="2" t="str">
        <f>'1.8'!C:C</f>
        <v>จ.ส.ต.พรสุพพัต วุฒิสุวรรณ สอ.วิริทธิ์พล แข็งธัญญะกรณ์ ส.อ.มงคล บุญญะถิติ</v>
      </c>
      <c r="D45" s="9">
        <v>1.0</v>
      </c>
      <c r="E45" s="10">
        <f>IFERROR(vlookup('1.8'!D:D,lookup!$A$2:$B$4,2,false),0)</f>
        <v>5</v>
      </c>
      <c r="F45" s="10">
        <f>IFERROR(vlookup('1.8'!E:E,lookup!$A$6:$B$8,2,false),0)</f>
        <v>5</v>
      </c>
      <c r="G45" s="10">
        <f>IFERROR(vlookup('1.8'!F:F,lookup!$A$10:$B$12,2,false),0)</f>
        <v>5</v>
      </c>
      <c r="H45" s="10">
        <f>IFERROR(vlookup('1.8'!G:G,lookup!$A$14:$B$16,2,false),0)</f>
        <v>5</v>
      </c>
      <c r="I45" s="10">
        <f>IFERROR(vlookup('1.8'!H:H,lookup!$A$18:$B$20,2,false),0)</f>
        <v>5</v>
      </c>
      <c r="J45" s="10">
        <f>IFERROR(vlookup('1.8'!I:I,lookup!$A$22:$B$24,2,false),0)</f>
        <v>5</v>
      </c>
      <c r="K45" s="10">
        <f>IFERROR(vlookup('1.8'!J:J,lookup!$A$26:$B$28,2,false),0)</f>
        <v>5</v>
      </c>
      <c r="L45" s="2"/>
      <c r="M45" s="10">
        <v>44.0</v>
      </c>
      <c r="N45" s="11" t="str">
        <f t="shared" si="1"/>
        <v>bnco0944@signalschool.ac.th</v>
      </c>
      <c r="O45" s="12">
        <f t="shared" si="2"/>
        <v>1</v>
      </c>
      <c r="R45" s="17" t="s">
        <v>261</v>
      </c>
    </row>
    <row r="46">
      <c r="A46" s="8">
        <f>'1.8'!A:A</f>
        <v>46212.62633</v>
      </c>
      <c r="B46" s="2" t="str">
        <f>'1.8'!B:B</f>
        <v>bnco0938@signalschool.ac.th</v>
      </c>
      <c r="C46" s="2" t="str">
        <f>'1.8'!C:C</f>
        <v>จ.ส.ต.พรสุพพัต วุฒิสุวรรณ , ส.อ.วิริทธิ์พล แข็งธัญญะกรณ์ , ส.อ.มงคล บุญญะถิติ</v>
      </c>
      <c r="D46" s="9">
        <v>1.0</v>
      </c>
      <c r="E46" s="10">
        <f>IFERROR(vlookup('1.8'!D:D,lookup!$A$2:$B$4,2,false),0)</f>
        <v>5</v>
      </c>
      <c r="F46" s="10">
        <f>IFERROR(vlookup('1.8'!E:E,lookup!$A$6:$B$8,2,false),0)</f>
        <v>5</v>
      </c>
      <c r="G46" s="10">
        <f>IFERROR(vlookup('1.8'!F:F,lookup!$A$10:$B$12,2,false),0)</f>
        <v>5</v>
      </c>
      <c r="H46" s="10">
        <f>IFERROR(vlookup('1.8'!G:G,lookup!$A$14:$B$16,2,false),0)</f>
        <v>5</v>
      </c>
      <c r="I46" s="10">
        <f>IFERROR(vlookup('1.8'!H:H,lookup!$A$18:$B$20,2,false),0)</f>
        <v>3</v>
      </c>
      <c r="J46" s="10">
        <f>IFERROR(vlookup('1.8'!I:I,lookup!$A$22:$B$24,2,false),0)</f>
        <v>5</v>
      </c>
      <c r="K46" s="10">
        <f>IFERROR(vlookup('1.8'!J:J,lookup!$A$26:$B$28,2,false),0)</f>
        <v>5</v>
      </c>
      <c r="L46" s="2"/>
      <c r="M46" s="10">
        <v>45.0</v>
      </c>
      <c r="N46" s="11" t="str">
        <f t="shared" si="1"/>
        <v>bnco0945@signalschool.ac.th</v>
      </c>
      <c r="O46" s="12">
        <f t="shared" si="2"/>
        <v>1</v>
      </c>
      <c r="R46" s="17" t="s">
        <v>262</v>
      </c>
    </row>
    <row r="47">
      <c r="A47" s="8">
        <f>'1.8'!A:A</f>
        <v>46212.6268</v>
      </c>
      <c r="B47" s="2" t="str">
        <f>'1.8'!B:B</f>
        <v>bnco0973@signalschool.ac.th</v>
      </c>
      <c r="C47" s="2" t="str">
        <f>'1.8'!C:C</f>
        <v>จ.ส.ต.พรสุพพัต วุฒิสุวรรณ , ส.อ.วิริทธิ์พล แข็งธัญญะกรณ์ , ส.อ.มงคล บุญญะถิติ</v>
      </c>
      <c r="D47" s="9">
        <v>1.0</v>
      </c>
      <c r="E47" s="10">
        <f>IFERROR(vlookup('1.8'!D:D,lookup!$A$2:$B$4,2,false),0)</f>
        <v>5</v>
      </c>
      <c r="F47" s="10">
        <f>IFERROR(vlookup('1.8'!E:E,lookup!$A$6:$B$8,2,false),0)</f>
        <v>5</v>
      </c>
      <c r="G47" s="10">
        <f>IFERROR(vlookup('1.8'!F:F,lookup!$A$10:$B$12,2,false),0)</f>
        <v>5</v>
      </c>
      <c r="H47" s="10">
        <f>IFERROR(vlookup('1.8'!G:G,lookup!$A$14:$B$16,2,false),0)</f>
        <v>5</v>
      </c>
      <c r="I47" s="10">
        <f>IFERROR(vlookup('1.8'!H:H,lookup!$A$18:$B$20,2,false),0)</f>
        <v>5</v>
      </c>
      <c r="J47" s="10">
        <f>IFERROR(vlookup('1.8'!I:I,lookup!$A$22:$B$24,2,false),0)</f>
        <v>5</v>
      </c>
      <c r="K47" s="10">
        <f>IFERROR(vlookup('1.8'!J:J,lookup!$A$26:$B$28,2,false),0)</f>
        <v>5</v>
      </c>
      <c r="L47" s="2"/>
      <c r="M47" s="10">
        <v>46.0</v>
      </c>
      <c r="N47" s="11" t="str">
        <f t="shared" si="1"/>
        <v>bnco0946@signalschool.ac.th</v>
      </c>
      <c r="O47" s="12">
        <f t="shared" si="2"/>
        <v>1</v>
      </c>
      <c r="R47" s="17" t="s">
        <v>263</v>
      </c>
    </row>
    <row r="48">
      <c r="A48" s="8">
        <f>'1.8'!A:A</f>
        <v>46212.62686</v>
      </c>
      <c r="B48" s="2" t="str">
        <f>'1.8'!B:B</f>
        <v>bnco0922@signalschool.ac.th</v>
      </c>
      <c r="C48" s="2" t="str">
        <f>'1.8'!C:C</f>
        <v>จ.ส.ต.พรสุพพัต วุฒิสุวรรณ , ส.อ.วิริทธิ์พล แข็งธัญญะกรณ์ , ส.อ.มงคล บุญญะถิติ</v>
      </c>
      <c r="D48" s="9">
        <v>1.0</v>
      </c>
      <c r="E48" s="10">
        <f>IFERROR(vlookup('1.8'!D:D,lookup!$A$2:$B$4,2,false),0)</f>
        <v>5</v>
      </c>
      <c r="F48" s="10">
        <f>IFERROR(vlookup('1.8'!E:E,lookup!$A$6:$B$8,2,false),0)</f>
        <v>5</v>
      </c>
      <c r="G48" s="10">
        <f>IFERROR(vlookup('1.8'!F:F,lookup!$A$10:$B$12,2,false),0)</f>
        <v>5</v>
      </c>
      <c r="H48" s="10">
        <f>IFERROR(vlookup('1.8'!G:G,lookup!$A$14:$B$16,2,false),0)</f>
        <v>5</v>
      </c>
      <c r="I48" s="10">
        <f>IFERROR(vlookup('1.8'!H:H,lookup!$A$18:$B$20,2,false),0)</f>
        <v>5</v>
      </c>
      <c r="J48" s="10">
        <f>IFERROR(vlookup('1.8'!I:I,lookup!$A$22:$B$24,2,false),0)</f>
        <v>5</v>
      </c>
      <c r="K48" s="10">
        <f>IFERROR(vlookup('1.8'!J:J,lookup!$A$26:$B$28,2,false),0)</f>
        <v>5</v>
      </c>
      <c r="L48" s="2"/>
      <c r="M48" s="10">
        <v>47.0</v>
      </c>
      <c r="N48" s="11" t="str">
        <f t="shared" si="1"/>
        <v>bnco0947@signalschool.ac.th</v>
      </c>
      <c r="O48" s="12">
        <f t="shared" si="2"/>
        <v>1</v>
      </c>
      <c r="R48" s="17" t="s">
        <v>264</v>
      </c>
    </row>
    <row r="49">
      <c r="A49" s="8">
        <f>'1.8'!A:A</f>
        <v>46212.62686</v>
      </c>
      <c r="B49" s="2" t="str">
        <f>'1.8'!B:B</f>
        <v>bnco0915@signalschool.ac.th</v>
      </c>
      <c r="C49" s="2" t="str">
        <f>'1.8'!C:C</f>
        <v>จ.ส.ต.พรสุพพัต วุฒิสุวรรณ ส.อ.​วิริทธิ์พล​ แข็งธัญญะกรณ์ ส.อ.มงคล​ บุญญะถิติ</v>
      </c>
      <c r="D49" s="9">
        <v>1.0</v>
      </c>
      <c r="E49" s="10">
        <f>IFERROR(vlookup('1.8'!D:D,lookup!$A$2:$B$4,2,false),0)</f>
        <v>5</v>
      </c>
      <c r="F49" s="10">
        <f>IFERROR(vlookup('1.8'!E:E,lookup!$A$6:$B$8,2,false),0)</f>
        <v>5</v>
      </c>
      <c r="G49" s="10">
        <f>IFERROR(vlookup('1.8'!F:F,lookup!$A$10:$B$12,2,false),0)</f>
        <v>5</v>
      </c>
      <c r="H49" s="10">
        <f>IFERROR(vlookup('1.8'!G:G,lookup!$A$14:$B$16,2,false),0)</f>
        <v>5</v>
      </c>
      <c r="I49" s="10">
        <f>IFERROR(vlookup('1.8'!H:H,lookup!$A$18:$B$20,2,false),0)</f>
        <v>5</v>
      </c>
      <c r="J49" s="10">
        <f>IFERROR(vlookup('1.8'!I:I,lookup!$A$22:$B$24,2,false),0)</f>
        <v>5</v>
      </c>
      <c r="K49" s="10">
        <f>IFERROR(vlookup('1.8'!J:J,lookup!$A$26:$B$28,2,false),0)</f>
        <v>5</v>
      </c>
      <c r="L49" s="2"/>
      <c r="M49" s="10">
        <v>48.0</v>
      </c>
      <c r="N49" s="11" t="str">
        <f t="shared" si="1"/>
        <v>bnco0948@signalschool.ac.th</v>
      </c>
      <c r="O49" s="12">
        <f t="shared" si="2"/>
        <v>1</v>
      </c>
      <c r="R49" s="17" t="s">
        <v>265</v>
      </c>
    </row>
    <row r="50">
      <c r="A50" s="8">
        <f>'1.8'!A:A</f>
        <v>46212.62691</v>
      </c>
      <c r="B50" s="2" t="str">
        <f>'1.8'!B:B</f>
        <v>bnco0912@signalschool.ac.th</v>
      </c>
      <c r="C50" s="2" t="str">
        <f>'1.8'!C:C</f>
        <v>จ.ส.ต.พรสุพพัต วุฒิสุวรรณ , ส.อ.วิริทธิ์พล แข็งธัญญะกรณ์ , ส.อ.มงคล บุญญะถิติ</v>
      </c>
      <c r="D50" s="9">
        <v>1.0</v>
      </c>
      <c r="E50" s="10">
        <f>IFERROR(vlookup('1.8'!D:D,lookup!$A$2:$B$4,2,false),0)</f>
        <v>5</v>
      </c>
      <c r="F50" s="10">
        <f>IFERROR(vlookup('1.8'!E:E,lookup!$A$6:$B$8,2,false),0)</f>
        <v>5</v>
      </c>
      <c r="G50" s="10">
        <f>IFERROR(vlookup('1.8'!F:F,lookup!$A$10:$B$12,2,false),0)</f>
        <v>5</v>
      </c>
      <c r="H50" s="10">
        <f>IFERROR(vlookup('1.8'!G:G,lookup!$A$14:$B$16,2,false),0)</f>
        <v>5</v>
      </c>
      <c r="I50" s="10">
        <f>IFERROR(vlookup('1.8'!H:H,lookup!$A$18:$B$20,2,false),0)</f>
        <v>5</v>
      </c>
      <c r="J50" s="10">
        <f>IFERROR(vlookup('1.8'!I:I,lookup!$A$22:$B$24,2,false),0)</f>
        <v>5</v>
      </c>
      <c r="K50" s="10">
        <f>IFERROR(vlookup('1.8'!J:J,lookup!$A$26:$B$28,2,false),0)</f>
        <v>5</v>
      </c>
      <c r="L50" s="2"/>
      <c r="M50" s="10">
        <v>49.0</v>
      </c>
      <c r="N50" s="11" t="str">
        <f t="shared" si="1"/>
        <v>bnco0949@signalschool.ac.th</v>
      </c>
      <c r="O50" s="12">
        <f t="shared" si="2"/>
        <v>1</v>
      </c>
      <c r="R50" s="17" t="s">
        <v>266</v>
      </c>
    </row>
    <row r="51">
      <c r="A51" s="8">
        <f>'1.8'!A:A</f>
        <v>46212.62692</v>
      </c>
      <c r="B51" s="2" t="str">
        <f>'1.8'!B:B</f>
        <v>bnco0963@signalschool.ac.th</v>
      </c>
      <c r="C51" s="2" t="str">
        <f>'1.8'!C:C</f>
        <v>จ.ส.ต.พรสุพพัต วุฒิสุวรรณ , ส.อ.วิริทธิ์พล แข็งธัญญะกรณ์ , ส.อ.มงคล บุญญะถิติ</v>
      </c>
      <c r="D51" s="9">
        <v>1.0</v>
      </c>
      <c r="E51" s="10">
        <f>IFERROR(vlookup('1.8'!D:D,lookup!$A$2:$B$4,2,false),0)</f>
        <v>5</v>
      </c>
      <c r="F51" s="10">
        <f>IFERROR(vlookup('1.8'!E:E,lookup!$A$6:$B$8,2,false),0)</f>
        <v>5</v>
      </c>
      <c r="G51" s="10">
        <f>IFERROR(vlookup('1.8'!F:F,lookup!$A$10:$B$12,2,false),0)</f>
        <v>5</v>
      </c>
      <c r="H51" s="10">
        <f>IFERROR(vlookup('1.8'!G:G,lookup!$A$14:$B$16,2,false),0)</f>
        <v>5</v>
      </c>
      <c r="I51" s="10">
        <f>IFERROR(vlookup('1.8'!H:H,lookup!$A$18:$B$20,2,false),0)</f>
        <v>5</v>
      </c>
      <c r="J51" s="10">
        <f>IFERROR(vlookup('1.8'!I:I,lookup!$A$22:$B$24,2,false),0)</f>
        <v>5</v>
      </c>
      <c r="K51" s="10">
        <f>IFERROR(vlookup('1.8'!J:J,lookup!$A$26:$B$28,2,false),0)</f>
        <v>5</v>
      </c>
      <c r="L51" s="2"/>
      <c r="M51" s="10">
        <v>50.0</v>
      </c>
      <c r="N51" s="11" t="str">
        <f t="shared" si="1"/>
        <v>bnco0950@signalschool.ac.th</v>
      </c>
      <c r="O51" s="12">
        <f t="shared" si="2"/>
        <v>1</v>
      </c>
      <c r="R51" s="17" t="s">
        <v>267</v>
      </c>
    </row>
    <row r="52">
      <c r="A52" s="8">
        <f>'1.8'!A:A</f>
        <v>46212.62699</v>
      </c>
      <c r="B52" s="2" t="str">
        <f>'1.8'!B:B</f>
        <v>bnco0933@signalschool.ac.th</v>
      </c>
      <c r="C52" s="2" t="str">
        <f>'1.8'!C:C</f>
        <v>จ.ส.ต.พรสุพพัต วุฒิสุวรรณ , ส.อ.วิริทธิ์พล แข็งธัญญะกรณ์ , ส.อ.มงคล บุญญะถิติ</v>
      </c>
      <c r="D52" s="9">
        <v>1.0</v>
      </c>
      <c r="E52" s="10">
        <f>IFERROR(vlookup('1.8'!D:D,lookup!$A$2:$B$4,2,false),0)</f>
        <v>5</v>
      </c>
      <c r="F52" s="10">
        <f>IFERROR(vlookup('1.8'!E:E,lookup!$A$6:$B$8,2,false),0)</f>
        <v>5</v>
      </c>
      <c r="G52" s="10">
        <f>IFERROR(vlookup('1.8'!F:F,lookup!$A$10:$B$12,2,false),0)</f>
        <v>5</v>
      </c>
      <c r="H52" s="10">
        <f>IFERROR(vlookup('1.8'!G:G,lookup!$A$14:$B$16,2,false),0)</f>
        <v>5</v>
      </c>
      <c r="I52" s="10">
        <f>IFERROR(vlookup('1.8'!H:H,lookup!$A$18:$B$20,2,false),0)</f>
        <v>5</v>
      </c>
      <c r="J52" s="10">
        <f>IFERROR(vlookup('1.8'!I:I,lookup!$A$22:$B$24,2,false),0)</f>
        <v>5</v>
      </c>
      <c r="K52" s="10">
        <f>IFERROR(vlookup('1.8'!J:J,lookup!$A$26:$B$28,2,false),0)</f>
        <v>5</v>
      </c>
      <c r="L52" s="2"/>
      <c r="M52" s="10">
        <v>51.0</v>
      </c>
      <c r="N52" s="11" t="str">
        <f t="shared" si="1"/>
        <v>bnco0951@signalschool.ac.th</v>
      </c>
      <c r="O52" s="12">
        <f t="shared" si="2"/>
        <v>1</v>
      </c>
      <c r="R52" s="17" t="s">
        <v>268</v>
      </c>
    </row>
    <row r="53">
      <c r="A53" s="8">
        <f>'1.8'!A:A</f>
        <v>46212.62701</v>
      </c>
      <c r="B53" s="2" t="str">
        <f>'1.8'!B:B</f>
        <v>bnco0937@signalschool.ac.th</v>
      </c>
      <c r="C53" s="2" t="str">
        <f>'1.8'!C:C</f>
        <v>จ.ส.ต.พรสุพพัต วุฒิสุวรรณ , ส.อ.วิริทธิ์พล แข็งธัญญะกรณ์ , ส.อ.มงคล บุญญะถิติ</v>
      </c>
      <c r="D53" s="9">
        <v>1.0</v>
      </c>
      <c r="E53" s="10">
        <f>IFERROR(vlookup('1.8'!D:D,lookup!$A$2:$B$4,2,false),0)</f>
        <v>5</v>
      </c>
      <c r="F53" s="10">
        <f>IFERROR(vlookup('1.8'!E:E,lookup!$A$6:$B$8,2,false),0)</f>
        <v>5</v>
      </c>
      <c r="G53" s="10">
        <f>IFERROR(vlookup('1.8'!F:F,lookup!$A$10:$B$12,2,false),0)</f>
        <v>5</v>
      </c>
      <c r="H53" s="10">
        <f>IFERROR(vlookup('1.8'!G:G,lookup!$A$14:$B$16,2,false),0)</f>
        <v>5</v>
      </c>
      <c r="I53" s="10">
        <f>IFERROR(vlookup('1.8'!H:H,lookup!$A$18:$B$20,2,false),0)</f>
        <v>5</v>
      </c>
      <c r="J53" s="10">
        <f>IFERROR(vlookup('1.8'!I:I,lookup!$A$22:$B$24,2,false),0)</f>
        <v>5</v>
      </c>
      <c r="K53" s="10">
        <f>IFERROR(vlookup('1.8'!J:J,lookup!$A$26:$B$28,2,false),0)</f>
        <v>5</v>
      </c>
      <c r="L53" s="2"/>
      <c r="M53" s="10">
        <v>52.0</v>
      </c>
      <c r="N53" s="11" t="str">
        <f t="shared" si="1"/>
        <v>bnco0952@signalschool.ac.th</v>
      </c>
      <c r="O53" s="12">
        <f t="shared" si="2"/>
        <v>1</v>
      </c>
      <c r="R53" s="17" t="s">
        <v>269</v>
      </c>
    </row>
    <row r="54">
      <c r="A54" s="8">
        <f>'1.8'!A:A</f>
        <v>46212.62704</v>
      </c>
      <c r="B54" s="2" t="str">
        <f>'1.8'!B:B</f>
        <v>bnco0974@signalschool.ac.th</v>
      </c>
      <c r="C54" s="2" t="str">
        <f>'1.8'!C:C</f>
        <v>จ.ส.ต.พรสุพพัต วุฒิสุวรรณ , ส.อ.วิริทธิ์พล แข็งธัญญะกรณ์ , ส.อ.มงคล บุญญะถิติ</v>
      </c>
      <c r="D54" s="9">
        <v>1.0</v>
      </c>
      <c r="E54" s="10">
        <f>IFERROR(vlookup('1.8'!D:D,lookup!$A$2:$B$4,2,false),0)</f>
        <v>5</v>
      </c>
      <c r="F54" s="10">
        <f>IFERROR(vlookup('1.8'!E:E,lookup!$A$6:$B$8,2,false),0)</f>
        <v>3</v>
      </c>
      <c r="G54" s="10">
        <f>IFERROR(vlookup('1.8'!F:F,lookup!$A$10:$B$12,2,false),0)</f>
        <v>5</v>
      </c>
      <c r="H54" s="10">
        <f>IFERROR(vlookup('1.8'!G:G,lookup!$A$14:$B$16,2,false),0)</f>
        <v>5</v>
      </c>
      <c r="I54" s="10">
        <f>IFERROR(vlookup('1.8'!H:H,lookup!$A$18:$B$20,2,false),0)</f>
        <v>5</v>
      </c>
      <c r="J54" s="10">
        <f>IFERROR(vlookup('1.8'!I:I,lookup!$A$22:$B$24,2,false),0)</f>
        <v>5</v>
      </c>
      <c r="K54" s="10">
        <f>IFERROR(vlookup('1.8'!J:J,lookup!$A$26:$B$28,2,false),0)</f>
        <v>3</v>
      </c>
      <c r="L54" s="2"/>
      <c r="M54" s="10">
        <v>53.0</v>
      </c>
      <c r="N54" s="11" t="str">
        <f t="shared" si="1"/>
        <v>bnco0953@signalschool.ac.th</v>
      </c>
      <c r="O54" s="12">
        <f t="shared" si="2"/>
        <v>1</v>
      </c>
      <c r="R54" s="17" t="s">
        <v>270</v>
      </c>
    </row>
    <row r="55">
      <c r="A55" s="8">
        <f>'1.8'!A:A</f>
        <v>46212.62708</v>
      </c>
      <c r="B55" s="2" t="str">
        <f>'1.8'!B:B</f>
        <v>bnco0947@signalschool.ac.th</v>
      </c>
      <c r="C55" s="2" t="str">
        <f>'1.8'!C:C</f>
        <v>จ.ส.ต.พรสุพพัต วุฒิสุวรรณ , ส.อ.วิริทธิ์พล แข็งธัญญะกรณ์ , ส.อ.มงคล บุญญะถิติ</v>
      </c>
      <c r="D55" s="9">
        <v>1.0</v>
      </c>
      <c r="E55" s="10">
        <f>IFERROR(vlookup('1.8'!D:D,lookup!$A$2:$B$4,2,false),0)</f>
        <v>5</v>
      </c>
      <c r="F55" s="10">
        <f>IFERROR(vlookup('1.8'!E:E,lookup!$A$6:$B$8,2,false),0)</f>
        <v>5</v>
      </c>
      <c r="G55" s="10">
        <f>IFERROR(vlookup('1.8'!F:F,lookup!$A$10:$B$12,2,false),0)</f>
        <v>5</v>
      </c>
      <c r="H55" s="10">
        <f>IFERROR(vlookup('1.8'!G:G,lookup!$A$14:$B$16,2,false),0)</f>
        <v>5</v>
      </c>
      <c r="I55" s="10">
        <f>IFERROR(vlookup('1.8'!H:H,lookup!$A$18:$B$20,2,false),0)</f>
        <v>5</v>
      </c>
      <c r="J55" s="10">
        <f>IFERROR(vlookup('1.8'!I:I,lookup!$A$22:$B$24,2,false),0)</f>
        <v>5</v>
      </c>
      <c r="K55" s="10">
        <f>IFERROR(vlookup('1.8'!J:J,lookup!$A$26:$B$28,2,false),0)</f>
        <v>5</v>
      </c>
      <c r="L55" s="2"/>
      <c r="M55" s="10">
        <v>54.0</v>
      </c>
      <c r="N55" s="11" t="str">
        <f t="shared" si="1"/>
        <v>bnco0954@signalschool.ac.th</v>
      </c>
      <c r="O55" s="12">
        <f t="shared" si="2"/>
        <v>1</v>
      </c>
      <c r="R55" s="17" t="s">
        <v>271</v>
      </c>
    </row>
    <row r="56">
      <c r="A56" s="8">
        <f>'1.8'!A:A</f>
        <v>46212.62714</v>
      </c>
      <c r="B56" s="2" t="str">
        <f>'1.8'!B:B</f>
        <v>bnco0957@signalschool.ac.th</v>
      </c>
      <c r="C56" s="2" t="str">
        <f>'1.8'!C:C</f>
        <v>จ.ส.ต.พรสุพพัต วุฒิสุวรรณ , ส.อ.วิริทธิ์พล แข็งธัญญะกรณ์ , ส.อ.มงคล บุญญะถิติ</v>
      </c>
      <c r="D56" s="9">
        <v>1.0</v>
      </c>
      <c r="E56" s="10">
        <f>IFERROR(vlookup('1.8'!D:D,lookup!$A$2:$B$4,2,false),0)</f>
        <v>5</v>
      </c>
      <c r="F56" s="10">
        <f>IFERROR(vlookup('1.8'!E:E,lookup!$A$6:$B$8,2,false),0)</f>
        <v>5</v>
      </c>
      <c r="G56" s="10">
        <f>IFERROR(vlookup('1.8'!F:F,lookup!$A$10:$B$12,2,false),0)</f>
        <v>5</v>
      </c>
      <c r="H56" s="10">
        <f>IFERROR(vlookup('1.8'!G:G,lookup!$A$14:$B$16,2,false),0)</f>
        <v>5</v>
      </c>
      <c r="I56" s="10">
        <f>IFERROR(vlookup('1.8'!H:H,lookup!$A$18:$B$20,2,false),0)</f>
        <v>5</v>
      </c>
      <c r="J56" s="10">
        <f>IFERROR(vlookup('1.8'!I:I,lookup!$A$22:$B$24,2,false),0)</f>
        <v>5</v>
      </c>
      <c r="K56" s="10">
        <f>IFERROR(vlookup('1.8'!J:J,lookup!$A$26:$B$28,2,false),0)</f>
        <v>5</v>
      </c>
      <c r="L56" s="13"/>
      <c r="M56" s="10">
        <v>55.0</v>
      </c>
      <c r="N56" s="11" t="str">
        <f t="shared" si="1"/>
        <v>bnco0955@signalschool.ac.th</v>
      </c>
      <c r="O56" s="12">
        <f t="shared" si="2"/>
        <v>1</v>
      </c>
      <c r="R56" s="17" t="s">
        <v>272</v>
      </c>
    </row>
    <row r="57">
      <c r="A57" s="8">
        <f>'1.8'!A:A</f>
        <v>46212.62714</v>
      </c>
      <c r="B57" s="2" t="str">
        <f>'1.8'!B:B</f>
        <v>bnco0956@signalschool.ac.th</v>
      </c>
      <c r="C57" s="2" t="str">
        <f>'1.8'!C:C</f>
        <v>จ.ส.ต.พรสุพพัต ส.อ.วิริทธิ์พล ส.อ.มงคล วุฒิสุวรรณ แข็งธัญญะกรณ์ บุญญะถิติ</v>
      </c>
      <c r="D57" s="9">
        <v>1.0</v>
      </c>
      <c r="E57" s="10">
        <f>IFERROR(vlookup('1.8'!D:D,lookup!$A$2:$B$4,2,false),0)</f>
        <v>5</v>
      </c>
      <c r="F57" s="10">
        <f>IFERROR(vlookup('1.8'!E:E,lookup!$A$6:$B$8,2,false),0)</f>
        <v>5</v>
      </c>
      <c r="G57" s="10">
        <f>IFERROR(vlookup('1.8'!F:F,lookup!$A$10:$B$12,2,false),0)</f>
        <v>5</v>
      </c>
      <c r="H57" s="10">
        <f>IFERROR(vlookup('1.8'!G:G,lookup!$A$14:$B$16,2,false),0)</f>
        <v>5</v>
      </c>
      <c r="I57" s="10">
        <f>IFERROR(vlookup('1.8'!H:H,lookup!$A$18:$B$20,2,false),0)</f>
        <v>5</v>
      </c>
      <c r="J57" s="10">
        <f>IFERROR(vlookup('1.8'!I:I,lookup!$A$22:$B$24,2,false),0)</f>
        <v>5</v>
      </c>
      <c r="K57" s="10">
        <f>IFERROR(vlookup('1.8'!J:J,lookup!$A$26:$B$28,2,false),0)</f>
        <v>5</v>
      </c>
      <c r="L57" s="13"/>
      <c r="M57" s="10">
        <v>56.0</v>
      </c>
      <c r="N57" s="11" t="str">
        <f t="shared" si="1"/>
        <v>bnco0956@signalschool.ac.th</v>
      </c>
      <c r="O57" s="12">
        <f t="shared" si="2"/>
        <v>1</v>
      </c>
      <c r="R57" s="17" t="s">
        <v>273</v>
      </c>
    </row>
    <row r="58">
      <c r="A58" s="8">
        <f>'1.8'!A:A</f>
        <v>46212.62717</v>
      </c>
      <c r="B58" s="2" t="str">
        <f>'1.8'!B:B</f>
        <v>bnco0944@signalschool.ac.th</v>
      </c>
      <c r="C58" s="2" t="str">
        <f>'1.8'!C:C</f>
        <v>จ.ส.ต.พรสุพัต วุฒิสุวรรณ </v>
      </c>
      <c r="D58" s="9">
        <v>1.0</v>
      </c>
      <c r="E58" s="10">
        <f>IFERROR(vlookup('1.8'!D:D,lookup!$A$2:$B$4,2,false),0)</f>
        <v>5</v>
      </c>
      <c r="F58" s="10">
        <f>IFERROR(vlookup('1.8'!E:E,lookup!$A$6:$B$8,2,false),0)</f>
        <v>5</v>
      </c>
      <c r="G58" s="10">
        <f>IFERROR(vlookup('1.8'!F:F,lookup!$A$10:$B$12,2,false),0)</f>
        <v>5</v>
      </c>
      <c r="H58" s="10">
        <f>IFERROR(vlookup('1.8'!G:G,lookup!$A$14:$B$16,2,false),0)</f>
        <v>5</v>
      </c>
      <c r="I58" s="10">
        <f>IFERROR(vlookup('1.8'!H:H,lookup!$A$18:$B$20,2,false),0)</f>
        <v>5</v>
      </c>
      <c r="J58" s="10">
        <f>IFERROR(vlookup('1.8'!I:I,lookup!$A$22:$B$24,2,false),0)</f>
        <v>5</v>
      </c>
      <c r="K58" s="10">
        <f>IFERROR(vlookup('1.8'!J:J,lookup!$A$26:$B$28,2,false),0)</f>
        <v>5</v>
      </c>
      <c r="L58" s="13"/>
      <c r="M58" s="10">
        <v>57.0</v>
      </c>
      <c r="N58" s="11" t="str">
        <f t="shared" si="1"/>
        <v>bnco0957@signalschool.ac.th</v>
      </c>
      <c r="O58" s="12">
        <f t="shared" si="2"/>
        <v>1</v>
      </c>
      <c r="R58" s="17" t="s">
        <v>274</v>
      </c>
    </row>
    <row r="59">
      <c r="A59" s="8">
        <f>'1.8'!A:A</f>
        <v>46212.62721</v>
      </c>
      <c r="B59" s="2" t="str">
        <f>'1.8'!B:B</f>
        <v>bnco0960@signalschool.ac.th</v>
      </c>
      <c r="C59" s="2" t="str">
        <f>'1.8'!C:C</f>
        <v>จ.ส.ต.พรสุพพัต วุฒิสุวรรณ , ส.อ.วิริทธิ์พล แข็งธัญญะกรณ์ , ส.อ.มงคล บุญญะถิติ</v>
      </c>
      <c r="D59" s="9">
        <v>1.0</v>
      </c>
      <c r="E59" s="10">
        <f>IFERROR(vlookup('1.8'!D:D,lookup!$A$2:$B$4,2,false),0)</f>
        <v>5</v>
      </c>
      <c r="F59" s="10">
        <f>IFERROR(vlookup('1.8'!E:E,lookup!$A$6:$B$8,2,false),0)</f>
        <v>5</v>
      </c>
      <c r="G59" s="10">
        <f>IFERROR(vlookup('1.8'!F:F,lookup!$A$10:$B$12,2,false),0)</f>
        <v>5</v>
      </c>
      <c r="H59" s="10">
        <f>IFERROR(vlookup('1.8'!G:G,lookup!$A$14:$B$16,2,false),0)</f>
        <v>5</v>
      </c>
      <c r="I59" s="10">
        <f>IFERROR(vlookup('1.8'!H:H,lookup!$A$18:$B$20,2,false),0)</f>
        <v>5</v>
      </c>
      <c r="J59" s="10">
        <f>IFERROR(vlookup('1.8'!I:I,lookup!$A$22:$B$24,2,false),0)</f>
        <v>5</v>
      </c>
      <c r="K59" s="10">
        <f>IFERROR(vlookup('1.8'!J:J,lookup!$A$26:$B$28,2,false),0)</f>
        <v>5</v>
      </c>
      <c r="L59" s="14"/>
      <c r="M59" s="10">
        <v>58.0</v>
      </c>
      <c r="N59" s="11" t="str">
        <f t="shared" si="1"/>
        <v>bnco0958@signalschool.ac.th</v>
      </c>
      <c r="O59" s="12">
        <f t="shared" si="2"/>
        <v>1</v>
      </c>
      <c r="R59" s="17" t="s">
        <v>275</v>
      </c>
    </row>
    <row r="60">
      <c r="A60" s="8">
        <f>'1.8'!A:A</f>
        <v>46212.62725</v>
      </c>
      <c r="B60" s="2" t="str">
        <f>'1.8'!B:B</f>
        <v>bnco0929@signalschool.ac.th</v>
      </c>
      <c r="C60" s="2" t="str">
        <f>'1.8'!C:C</f>
        <v>จ.ส.ต.พรสุพพัต  วุฒิสุวรรณ </v>
      </c>
      <c r="D60" s="9">
        <v>1.0</v>
      </c>
      <c r="E60" s="10">
        <f>IFERROR(vlookup('1.8'!D:D,lookup!$A$2:$B$4,2,false),0)</f>
        <v>5</v>
      </c>
      <c r="F60" s="10">
        <f>IFERROR(vlookup('1.8'!E:E,lookup!$A$6:$B$8,2,false),0)</f>
        <v>5</v>
      </c>
      <c r="G60" s="10">
        <f>IFERROR(vlookup('1.8'!F:F,lookup!$A$10:$B$12,2,false),0)</f>
        <v>5</v>
      </c>
      <c r="H60" s="10">
        <f>IFERROR(vlookup('1.8'!G:G,lookup!$A$14:$B$16,2,false),0)</f>
        <v>5</v>
      </c>
      <c r="I60" s="10">
        <f>IFERROR(vlookup('1.8'!H:H,lookup!$A$18:$B$20,2,false),0)</f>
        <v>5</v>
      </c>
      <c r="J60" s="10">
        <f>IFERROR(vlookup('1.8'!I:I,lookup!$A$22:$B$24,2,false),0)</f>
        <v>5</v>
      </c>
      <c r="K60" s="10">
        <f>IFERROR(vlookup('1.8'!J:J,lookup!$A$26:$B$28,2,false),0)</f>
        <v>5</v>
      </c>
      <c r="L60" s="10"/>
      <c r="M60" s="10">
        <v>59.0</v>
      </c>
      <c r="N60" s="11" t="str">
        <f t="shared" si="1"/>
        <v>bnco0959@signalschool.ac.th</v>
      </c>
      <c r="O60" s="12">
        <f t="shared" si="2"/>
        <v>1</v>
      </c>
      <c r="R60" s="17" t="s">
        <v>276</v>
      </c>
    </row>
    <row r="61">
      <c r="A61" s="8">
        <f>'1.8'!A:A</f>
        <v>46212.62727</v>
      </c>
      <c r="B61" s="2" t="str">
        <f>'1.8'!B:B</f>
        <v>bnco0941@signalschool.ac.th</v>
      </c>
      <c r="C61" s="2" t="str">
        <f>'1.8'!C:C</f>
        <v>จ.ส.ต.พรสุพพัต วุฒิสุวรรณ , ส.อ.วิริทธิ์พล แข็งธัญญะกรณ์ , ส.อ.มงคล บุญญะถิติ</v>
      </c>
      <c r="D61" s="9">
        <v>1.0</v>
      </c>
      <c r="E61" s="10">
        <f>IFERROR(vlookup('1.8'!D:D,lookup!$A$2:$B$4,2,false),0)</f>
        <v>5</v>
      </c>
      <c r="F61" s="10">
        <f>IFERROR(vlookup('1.8'!E:E,lookup!$A$6:$B$8,2,false),0)</f>
        <v>5</v>
      </c>
      <c r="G61" s="10">
        <f>IFERROR(vlookup('1.8'!F:F,lookup!$A$10:$B$12,2,false),0)</f>
        <v>5</v>
      </c>
      <c r="H61" s="10">
        <f>IFERROR(vlookup('1.8'!G:G,lookup!$A$14:$B$16,2,false),0)</f>
        <v>5</v>
      </c>
      <c r="I61" s="10">
        <f>IFERROR(vlookup('1.8'!H:H,lookup!$A$18:$B$20,2,false),0)</f>
        <v>5</v>
      </c>
      <c r="J61" s="10">
        <f>IFERROR(vlookup('1.8'!I:I,lookup!$A$22:$B$24,2,false),0)</f>
        <v>5</v>
      </c>
      <c r="K61" s="10">
        <f>IFERROR(vlookup('1.8'!J:J,lookup!$A$26:$B$28,2,false),0)</f>
        <v>5</v>
      </c>
      <c r="M61" s="10">
        <v>60.0</v>
      </c>
      <c r="N61" s="11" t="str">
        <f t="shared" si="1"/>
        <v>bnco0960@signalschool.ac.th</v>
      </c>
      <c r="O61" s="12">
        <f t="shared" si="2"/>
        <v>1</v>
      </c>
      <c r="R61" s="17" t="s">
        <v>277</v>
      </c>
    </row>
    <row r="62">
      <c r="A62" s="8">
        <f>'1.8'!A:A</f>
        <v>46212.62735</v>
      </c>
      <c r="B62" s="2" t="str">
        <f>'1.8'!B:B</f>
        <v>bnco0905@signalschool.ac.th</v>
      </c>
      <c r="C62" s="2" t="str">
        <f>'1.8'!C:C</f>
        <v> จ.ส.ต.พรสุพพัต วุฒิสุวรรณ , ส.อ.วิริทธิ์พล แข็งธัญญะกรณ์ , ส.อ.มงคล บุญญะถิติ</v>
      </c>
      <c r="D62" s="9">
        <v>1.0</v>
      </c>
      <c r="E62" s="10">
        <f>IFERROR(vlookup('1.8'!D:D,lookup!$A$2:$B$4,2,false),0)</f>
        <v>5</v>
      </c>
      <c r="F62" s="10">
        <f>IFERROR(vlookup('1.8'!E:E,lookup!$A$6:$B$8,2,false),0)</f>
        <v>5</v>
      </c>
      <c r="G62" s="10">
        <f>IFERROR(vlookup('1.8'!F:F,lookup!$A$10:$B$12,2,false),0)</f>
        <v>5</v>
      </c>
      <c r="H62" s="10">
        <f>IFERROR(vlookup('1.8'!G:G,lookup!$A$14:$B$16,2,false),0)</f>
        <v>5</v>
      </c>
      <c r="I62" s="10">
        <f>IFERROR(vlookup('1.8'!H:H,lookup!$A$18:$B$20,2,false),0)</f>
        <v>5</v>
      </c>
      <c r="J62" s="10">
        <f>IFERROR(vlookup('1.8'!I:I,lookup!$A$22:$B$24,2,false),0)</f>
        <v>5</v>
      </c>
      <c r="K62" s="10">
        <f>IFERROR(vlookup('1.8'!J:J,lookup!$A$26:$B$28,2,false),0)</f>
        <v>5</v>
      </c>
      <c r="M62" s="10">
        <v>61.0</v>
      </c>
      <c r="N62" s="11" t="str">
        <f t="shared" si="1"/>
        <v>bnco0961@signalschool.ac.th</v>
      </c>
      <c r="O62" s="12">
        <f t="shared" si="2"/>
        <v>1</v>
      </c>
      <c r="R62" s="17" t="s">
        <v>278</v>
      </c>
    </row>
    <row r="63">
      <c r="A63" s="8">
        <f>'1.8'!A:A</f>
        <v>46212.62738</v>
      </c>
      <c r="B63" s="2" t="str">
        <f>'1.8'!B:B</f>
        <v>bnco0959@signalschool.ac.th</v>
      </c>
      <c r="C63" s="2" t="str">
        <f>'1.8'!C:C</f>
        <v>จ.ส.ต.พรสุพพัต วุฒิสุวรรณ , ส.อ.วิริทธิ์พล แข็งธัญญะกรณ์ , ส.อ.มงคล บุญญะถิติ</v>
      </c>
      <c r="D63" s="9">
        <v>1.0</v>
      </c>
      <c r="E63" s="10">
        <f>IFERROR(vlookup('1.8'!D:D,lookup!$A$2:$B$4,2,false),0)</f>
        <v>5</v>
      </c>
      <c r="F63" s="10">
        <f>IFERROR(vlookup('1.8'!E:E,lookup!$A$6:$B$8,2,false),0)</f>
        <v>5</v>
      </c>
      <c r="G63" s="10">
        <f>IFERROR(vlookup('1.8'!F:F,lookup!$A$10:$B$12,2,false),0)</f>
        <v>5</v>
      </c>
      <c r="H63" s="10">
        <f>IFERROR(vlookup('1.8'!G:G,lookup!$A$14:$B$16,2,false),0)</f>
        <v>5</v>
      </c>
      <c r="I63" s="10">
        <f>IFERROR(vlookup('1.8'!H:H,lookup!$A$18:$B$20,2,false),0)</f>
        <v>5</v>
      </c>
      <c r="J63" s="10">
        <f>IFERROR(vlookup('1.8'!I:I,lookup!$A$22:$B$24,2,false),0)</f>
        <v>5</v>
      </c>
      <c r="K63" s="10">
        <f>IFERROR(vlookup('1.8'!J:J,lookup!$A$26:$B$28,2,false),0)</f>
        <v>5</v>
      </c>
      <c r="M63" s="10">
        <v>62.0</v>
      </c>
      <c r="N63" s="11" t="str">
        <f t="shared" si="1"/>
        <v>bnco0962@signalschool.ac.th</v>
      </c>
      <c r="O63" s="12">
        <f t="shared" si="2"/>
        <v>1</v>
      </c>
      <c r="R63" s="17" t="s">
        <v>279</v>
      </c>
    </row>
    <row r="64">
      <c r="A64" s="8">
        <f>'1.8'!A:A</f>
        <v>46212.62749</v>
      </c>
      <c r="B64" s="2" t="str">
        <f>'1.8'!B:B</f>
        <v>bnco0902@signalschool.ac.th</v>
      </c>
      <c r="C64" s="2" t="str">
        <f>'1.8'!C:C</f>
        <v>จ.ส.ต.พรสุพพัต วุฒิสุวรรณ , ส.อ.วิริทธิ์พล แข็งธัญญะกรณ์ , ส.อ.มงคล บุญญะถิติ</v>
      </c>
      <c r="D64" s="9">
        <v>1.0</v>
      </c>
      <c r="E64" s="10">
        <f>IFERROR(vlookup('1.8'!D:D,lookup!$A$2:$B$4,2,false),0)</f>
        <v>5</v>
      </c>
      <c r="F64" s="10">
        <f>IFERROR(vlookup('1.8'!E:E,lookup!$A$6:$B$8,2,false),0)</f>
        <v>5</v>
      </c>
      <c r="G64" s="10">
        <f>IFERROR(vlookup('1.8'!F:F,lookup!$A$10:$B$12,2,false),0)</f>
        <v>5</v>
      </c>
      <c r="H64" s="10">
        <f>IFERROR(vlookup('1.8'!G:G,lookup!$A$14:$B$16,2,false),0)</f>
        <v>5</v>
      </c>
      <c r="I64" s="10">
        <f>IFERROR(vlookup('1.8'!H:H,lookup!$A$18:$B$20,2,false),0)</f>
        <v>5</v>
      </c>
      <c r="J64" s="10">
        <f>IFERROR(vlookup('1.8'!I:I,lookup!$A$22:$B$24,2,false),0)</f>
        <v>5</v>
      </c>
      <c r="K64" s="10">
        <f>IFERROR(vlookup('1.8'!J:J,lookup!$A$26:$B$28,2,false),0)</f>
        <v>5</v>
      </c>
      <c r="M64" s="10">
        <v>63.0</v>
      </c>
      <c r="N64" s="11" t="str">
        <f t="shared" si="1"/>
        <v>bnco0963@signalschool.ac.th</v>
      </c>
      <c r="O64" s="12">
        <f t="shared" si="2"/>
        <v>1</v>
      </c>
      <c r="R64" s="17" t="s">
        <v>280</v>
      </c>
    </row>
    <row r="65">
      <c r="A65" s="8">
        <f>'1.8'!A:A</f>
        <v>46212.62766</v>
      </c>
      <c r="B65" s="2" t="str">
        <f>'1.8'!B:B</f>
        <v>bnco0901@signalschool.ac.th</v>
      </c>
      <c r="C65" s="2" t="str">
        <f>'1.8'!C:C</f>
        <v>จ.ส.ต.พรสุพพัต วุฒิสุวรรณ , ส.อ.วิริทธิ์พล แข็งธัญญะกรณ์ , ส.อ.มงคล บุญญะถิติ</v>
      </c>
      <c r="D65" s="9">
        <v>1.0</v>
      </c>
      <c r="E65" s="10">
        <f>IFERROR(vlookup('1.8'!D:D,lookup!$A$2:$B$4,2,false),0)</f>
        <v>5</v>
      </c>
      <c r="F65" s="10">
        <f>IFERROR(vlookup('1.8'!E:E,lookup!$A$6:$B$8,2,false),0)</f>
        <v>5</v>
      </c>
      <c r="G65" s="10">
        <f>IFERROR(vlookup('1.8'!F:F,lookup!$A$10:$B$12,2,false),0)</f>
        <v>5</v>
      </c>
      <c r="H65" s="10">
        <f>IFERROR(vlookup('1.8'!G:G,lookup!$A$14:$B$16,2,false),0)</f>
        <v>5</v>
      </c>
      <c r="I65" s="10">
        <f>IFERROR(vlookup('1.8'!H:H,lookup!$A$18:$B$20,2,false),0)</f>
        <v>5</v>
      </c>
      <c r="J65" s="10">
        <f>IFERROR(vlookup('1.8'!I:I,lookup!$A$22:$B$24,2,false),0)</f>
        <v>5</v>
      </c>
      <c r="K65" s="10">
        <f>IFERROR(vlookup('1.8'!J:J,lookup!$A$26:$B$28,2,false),0)</f>
        <v>5</v>
      </c>
      <c r="M65" s="10">
        <v>64.0</v>
      </c>
      <c r="N65" s="11" t="str">
        <f t="shared" si="1"/>
        <v>bnco0964@signalschool.ac.th</v>
      </c>
      <c r="O65" s="12">
        <f t="shared" si="2"/>
        <v>1</v>
      </c>
      <c r="R65" s="17" t="s">
        <v>281</v>
      </c>
    </row>
    <row r="66">
      <c r="A66" s="8">
        <f>'1.8'!A:A</f>
        <v>46212.62771</v>
      </c>
      <c r="B66" s="2" t="str">
        <f>'1.8'!B:B</f>
        <v>bnco0939@signalschool.ac.th</v>
      </c>
      <c r="C66" s="2" t="str">
        <f>'1.8'!C:C</f>
        <v>จ.ส.ต.พรสุพพัต วุฒิสุวรรณ , ส.อ.วิริทธิ์พล แข็งธัญญะกรณ์ , ส.อ.มงคล บุญญะถิติ</v>
      </c>
      <c r="D66" s="9">
        <v>1.0</v>
      </c>
      <c r="E66" s="10">
        <f>IFERROR(vlookup('1.8'!D:D,lookup!$A$2:$B$4,2,false),0)</f>
        <v>5</v>
      </c>
      <c r="F66" s="10">
        <f>IFERROR(vlookup('1.8'!E:E,lookup!$A$6:$B$8,2,false),0)</f>
        <v>5</v>
      </c>
      <c r="G66" s="10">
        <f>IFERROR(vlookup('1.8'!F:F,lookup!$A$10:$B$12,2,false),0)</f>
        <v>5</v>
      </c>
      <c r="H66" s="10">
        <f>IFERROR(vlookup('1.8'!G:G,lookup!$A$14:$B$16,2,false),0)</f>
        <v>5</v>
      </c>
      <c r="I66" s="10">
        <f>IFERROR(vlookup('1.8'!H:H,lookup!$A$18:$B$20,2,false),0)</f>
        <v>5</v>
      </c>
      <c r="J66" s="10">
        <f>IFERROR(vlookup('1.8'!I:I,lookup!$A$22:$B$24,2,false),0)</f>
        <v>5</v>
      </c>
      <c r="K66" s="10">
        <f>IFERROR(vlookup('1.8'!J:J,lookup!$A$26:$B$28,2,false),0)</f>
        <v>5</v>
      </c>
      <c r="M66" s="10">
        <v>65.0</v>
      </c>
      <c r="N66" s="11" t="str">
        <f t="shared" si="1"/>
        <v>bnco0965@signalschool.ac.th</v>
      </c>
      <c r="O66" s="12">
        <f t="shared" si="2"/>
        <v>1</v>
      </c>
      <c r="R66" s="17" t="s">
        <v>282</v>
      </c>
    </row>
    <row r="67">
      <c r="A67" s="8">
        <f>'1.8'!A:A</f>
        <v>46212.62779</v>
      </c>
      <c r="B67" s="2" t="str">
        <f>'1.8'!B:B</f>
        <v>bnco0952@signalschool.ac.th</v>
      </c>
      <c r="C67" s="2" t="str">
        <f>'1.8'!C:C</f>
        <v>จ.ส.ต.พรสุพพัต วุฒิสุวรรณ , ส.อ.วิริทธิ์พล แข็งธัญญะกรณ์ , ส.อ.มงคล บุญญะถิติ</v>
      </c>
      <c r="D67" s="9">
        <v>1.0</v>
      </c>
      <c r="E67" s="10">
        <f>IFERROR(vlookup('1.8'!D:D,lookup!$A$2:$B$4,2,false),0)</f>
        <v>5</v>
      </c>
      <c r="F67" s="10">
        <f>IFERROR(vlookup('1.8'!E:E,lookup!$A$6:$B$8,2,false),0)</f>
        <v>5</v>
      </c>
      <c r="G67" s="10">
        <f>IFERROR(vlookup('1.8'!F:F,lookup!$A$10:$B$12,2,false),0)</f>
        <v>5</v>
      </c>
      <c r="H67" s="10">
        <f>IFERROR(vlookup('1.8'!G:G,lookup!$A$14:$B$16,2,false),0)</f>
        <v>5</v>
      </c>
      <c r="I67" s="10">
        <f>IFERROR(vlookup('1.8'!H:H,lookup!$A$18:$B$20,2,false),0)</f>
        <v>5</v>
      </c>
      <c r="J67" s="10">
        <f>IFERROR(vlookup('1.8'!I:I,lookup!$A$22:$B$24,2,false),0)</f>
        <v>5</v>
      </c>
      <c r="K67" s="10">
        <f>IFERROR(vlookup('1.8'!J:J,lookup!$A$26:$B$28,2,false),0)</f>
        <v>5</v>
      </c>
      <c r="M67" s="10">
        <v>66.0</v>
      </c>
      <c r="N67" s="11" t="str">
        <f t="shared" si="1"/>
        <v>bnco0966@signalschool.ac.th</v>
      </c>
      <c r="O67" s="12">
        <f t="shared" si="2"/>
        <v>1</v>
      </c>
      <c r="R67" s="17" t="s">
        <v>283</v>
      </c>
    </row>
    <row r="68">
      <c r="A68" s="8">
        <f>'1.8'!A:A</f>
        <v>46212.62792</v>
      </c>
      <c r="B68" s="2" t="str">
        <f>'1.8'!B:B</f>
        <v>bnco0969@signalschool.ac.th</v>
      </c>
      <c r="C68" s="2" t="str">
        <f>'1.8'!C:C</f>
        <v>จ.ส.ต.พรสุพพัต วุฒิสุวรรณ , ส.อ.วิริทธิ์พล แข็งธัญญะกรณ์ , ส.อ.มงคล บุญญะถิติ</v>
      </c>
      <c r="D68" s="9">
        <v>1.0</v>
      </c>
      <c r="E68" s="10">
        <f>IFERROR(vlookup('1.8'!D:D,lookup!$A$2:$B$4,2,false),0)</f>
        <v>5</v>
      </c>
      <c r="F68" s="10">
        <f>IFERROR(vlookup('1.8'!E:E,lookup!$A$6:$B$8,2,false),0)</f>
        <v>5</v>
      </c>
      <c r="G68" s="10">
        <f>IFERROR(vlookup('1.8'!F:F,lookup!$A$10:$B$12,2,false),0)</f>
        <v>5</v>
      </c>
      <c r="H68" s="10">
        <f>IFERROR(vlookup('1.8'!G:G,lookup!$A$14:$B$16,2,false),0)</f>
        <v>5</v>
      </c>
      <c r="I68" s="10">
        <f>IFERROR(vlookup('1.8'!H:H,lookup!$A$18:$B$20,2,false),0)</f>
        <v>5</v>
      </c>
      <c r="J68" s="10">
        <f>IFERROR(vlookup('1.8'!I:I,lookup!$A$22:$B$24,2,false),0)</f>
        <v>5</v>
      </c>
      <c r="K68" s="10">
        <f>IFERROR(vlookup('1.8'!J:J,lookup!$A$26:$B$28,2,false),0)</f>
        <v>5</v>
      </c>
      <c r="M68" s="10">
        <v>67.0</v>
      </c>
      <c r="N68" s="11" t="str">
        <f t="shared" si="1"/>
        <v>bnco0967@signalschool.ac.th</v>
      </c>
      <c r="O68" s="12">
        <f t="shared" si="2"/>
        <v>1</v>
      </c>
      <c r="R68" s="17" t="s">
        <v>284</v>
      </c>
    </row>
    <row r="69">
      <c r="A69" s="8">
        <f>'1.8'!A:A</f>
        <v>46212.62814</v>
      </c>
      <c r="B69" s="2" t="str">
        <f>'1.8'!B:B</f>
        <v>bnco0911@signalschool.ac.th</v>
      </c>
      <c r="C69" s="2" t="str">
        <f>'1.8'!C:C</f>
        <v>จ.ส.ต.พรสุพพัต วุฒิสุวรรณ ส.อ.วิริทธิ์พล แข็งธัญญะกรณ์ ส.อ.มงคล บุญญะถิติ</v>
      </c>
      <c r="D69" s="9">
        <v>1.0</v>
      </c>
      <c r="E69" s="10">
        <f>IFERROR(vlookup('1.8'!D:D,lookup!$A$2:$B$4,2,false),0)</f>
        <v>5</v>
      </c>
      <c r="F69" s="10">
        <f>IFERROR(vlookup('1.8'!E:E,lookup!$A$6:$B$8,2,false),0)</f>
        <v>5</v>
      </c>
      <c r="G69" s="10">
        <f>IFERROR(vlookup('1.8'!F:F,lookup!$A$10:$B$12,2,false),0)</f>
        <v>5</v>
      </c>
      <c r="H69" s="10">
        <f>IFERROR(vlookup('1.8'!G:G,lookup!$A$14:$B$16,2,false),0)</f>
        <v>5</v>
      </c>
      <c r="I69" s="10">
        <f>IFERROR(vlookup('1.8'!H:H,lookup!$A$18:$B$20,2,false),0)</f>
        <v>5</v>
      </c>
      <c r="J69" s="10">
        <f>IFERROR(vlookup('1.8'!I:I,lookup!$A$22:$B$24,2,false),0)</f>
        <v>5</v>
      </c>
      <c r="K69" s="10">
        <f>IFERROR(vlookup('1.8'!J:J,lookup!$A$26:$B$28,2,false),0)</f>
        <v>5</v>
      </c>
      <c r="M69" s="10">
        <v>68.0</v>
      </c>
      <c r="N69" s="11" t="str">
        <f t="shared" si="1"/>
        <v>bnco0968@signalschool.ac.th</v>
      </c>
      <c r="O69" s="12">
        <f t="shared" si="2"/>
        <v>1</v>
      </c>
      <c r="R69" s="17" t="s">
        <v>285</v>
      </c>
    </row>
    <row r="70">
      <c r="A70" s="8">
        <f>'1.8'!A:A</f>
        <v>46212.62858</v>
      </c>
      <c r="B70" s="2" t="str">
        <f>'1.8'!B:B</f>
        <v>bnco0976@signalschool.ac.th</v>
      </c>
      <c r="C70" s="2" t="str">
        <f>'1.8'!C:C</f>
        <v>จ.ส.ต.พรสุพพัต  วุฒิสุวรรณ</v>
      </c>
      <c r="D70" s="9">
        <v>1.0</v>
      </c>
      <c r="E70" s="10">
        <f>IFERROR(vlookup('1.8'!D:D,lookup!$A$2:$B$4,2,false),0)</f>
        <v>5</v>
      </c>
      <c r="F70" s="10">
        <f>IFERROR(vlookup('1.8'!E:E,lookup!$A$6:$B$8,2,false),0)</f>
        <v>5</v>
      </c>
      <c r="G70" s="10">
        <f>IFERROR(vlookup('1.8'!F:F,lookup!$A$10:$B$12,2,false),0)</f>
        <v>5</v>
      </c>
      <c r="H70" s="10">
        <f>IFERROR(vlookup('1.8'!G:G,lookup!$A$14:$B$16,2,false),0)</f>
        <v>5</v>
      </c>
      <c r="I70" s="10">
        <f>IFERROR(vlookup('1.8'!H:H,lookup!$A$18:$B$20,2,false),0)</f>
        <v>5</v>
      </c>
      <c r="J70" s="10">
        <f>IFERROR(vlookup('1.8'!I:I,lookup!$A$22:$B$24,2,false),0)</f>
        <v>5</v>
      </c>
      <c r="K70" s="10">
        <f>IFERROR(vlookup('1.8'!J:J,lookup!$A$26:$B$28,2,false),0)</f>
        <v>5</v>
      </c>
      <c r="M70" s="10">
        <v>69.0</v>
      </c>
      <c r="N70" s="11" t="str">
        <f t="shared" si="1"/>
        <v>bnco0969@signalschool.ac.th</v>
      </c>
      <c r="O70" s="12">
        <f t="shared" si="2"/>
        <v>1</v>
      </c>
      <c r="R70" s="17" t="s">
        <v>286</v>
      </c>
    </row>
    <row r="71">
      <c r="A71" s="8">
        <f>'1.8'!A:A</f>
        <v>46212.63086</v>
      </c>
      <c r="B71" s="2" t="str">
        <f>'1.8'!B:B</f>
        <v>bnco0946@signalschool.ac.th</v>
      </c>
      <c r="C71" s="2" t="str">
        <f>'1.8'!C:C</f>
        <v>จ.ส.ต.พรสุพพัต วุฒิสุวรรณ , ส.อ.วิริทธิ์พล แข็งธัญญะกรณ์ , ส.อ.มงคล บุญญะถิติ</v>
      </c>
      <c r="D71" s="9">
        <v>1.0</v>
      </c>
      <c r="E71" s="10">
        <f>IFERROR(vlookup('1.8'!D:D,lookup!$A$2:$B$4,2,false),0)</f>
        <v>5</v>
      </c>
      <c r="F71" s="10">
        <f>IFERROR(vlookup('1.8'!E:E,lookup!$A$6:$B$8,2,false),0)</f>
        <v>5</v>
      </c>
      <c r="G71" s="10">
        <f>IFERROR(vlookup('1.8'!F:F,lookup!$A$10:$B$12,2,false),0)</f>
        <v>5</v>
      </c>
      <c r="H71" s="10">
        <f>IFERROR(vlookup('1.8'!G:G,lookup!$A$14:$B$16,2,false),0)</f>
        <v>5</v>
      </c>
      <c r="I71" s="10">
        <f>IFERROR(vlookup('1.8'!H:H,lookup!$A$18:$B$20,2,false),0)</f>
        <v>5</v>
      </c>
      <c r="J71" s="10">
        <f>IFERROR(vlookup('1.8'!I:I,lookup!$A$22:$B$24,2,false),0)</f>
        <v>5</v>
      </c>
      <c r="K71" s="10">
        <f>IFERROR(vlookup('1.8'!J:J,lookup!$A$26:$B$28,2,false),0)</f>
        <v>5</v>
      </c>
      <c r="M71" s="10">
        <v>70.0</v>
      </c>
      <c r="N71" s="11" t="str">
        <f t="shared" si="1"/>
        <v>bnco0970@signalschool.ac.th</v>
      </c>
      <c r="O71" s="12">
        <f t="shared" si="2"/>
        <v>1</v>
      </c>
      <c r="R71" s="17" t="s">
        <v>287</v>
      </c>
    </row>
    <row r="72">
      <c r="A72" s="8">
        <f>'1.8'!A:A</f>
        <v>46212.63199</v>
      </c>
      <c r="B72" s="2" t="str">
        <f>'1.8'!B:B</f>
        <v>bnco0945@signalschool.ac.th</v>
      </c>
      <c r="C72" s="2" t="str">
        <f>'1.8'!C:C</f>
        <v>จ.ส.ต.พรสุพพัต ส.อ.วิริทธิ์พล ส.อ.มงคล วุฒิสุวรรณ แข็งธัญญะกรณ์ บุญญะถิติ</v>
      </c>
      <c r="D72" s="9">
        <v>1.0</v>
      </c>
      <c r="E72" s="10">
        <f>IFERROR(vlookup('1.8'!D:D,lookup!$A$2:$B$4,2,false),0)</f>
        <v>5</v>
      </c>
      <c r="F72" s="10">
        <f>IFERROR(vlookup('1.8'!E:E,lookup!$A$6:$B$8,2,false),0)</f>
        <v>5</v>
      </c>
      <c r="G72" s="10">
        <f>IFERROR(vlookup('1.8'!F:F,lookup!$A$10:$B$12,2,false),0)</f>
        <v>5</v>
      </c>
      <c r="H72" s="10">
        <f>IFERROR(vlookup('1.8'!G:G,lookup!$A$14:$B$16,2,false),0)</f>
        <v>5</v>
      </c>
      <c r="I72" s="10">
        <f>IFERROR(vlookup('1.8'!H:H,lookup!$A$18:$B$20,2,false),0)</f>
        <v>5</v>
      </c>
      <c r="J72" s="10">
        <f>IFERROR(vlookup('1.8'!I:I,lookup!$A$22:$B$24,2,false),0)</f>
        <v>5</v>
      </c>
      <c r="K72" s="10">
        <f>IFERROR(vlookup('1.8'!J:J,lookup!$A$26:$B$28,2,false),0)</f>
        <v>5</v>
      </c>
      <c r="M72" s="10">
        <v>71.0</v>
      </c>
      <c r="N72" s="11" t="str">
        <f t="shared" si="1"/>
        <v>bnco0971@signalschool.ac.th</v>
      </c>
      <c r="O72" s="12">
        <f t="shared" si="2"/>
        <v>1</v>
      </c>
      <c r="R72" s="17" t="s">
        <v>288</v>
      </c>
    </row>
    <row r="73">
      <c r="A73" s="8">
        <f>'1.8'!A:A</f>
        <v>46212.63231</v>
      </c>
      <c r="B73" s="2" t="str">
        <f>'1.8'!B:B</f>
        <v>bnco0953@signalschool.ac.th</v>
      </c>
      <c r="C73" s="2" t="str">
        <f>'1.8'!C:C</f>
        <v>จ.ส.ต.พรสุพพัต วุฒิสุวรรณ ,ส.อ.วิริทธิ์พล แข็งธัญญะกรณ์,ส.อ.มงคล บุญญะถิติ</v>
      </c>
      <c r="D73" s="9">
        <v>1.0</v>
      </c>
      <c r="E73" s="10">
        <f>IFERROR(vlookup('1.8'!D:D,lookup!$A$2:$B$4,2,false),0)</f>
        <v>5</v>
      </c>
      <c r="F73" s="10">
        <f>IFERROR(vlookup('1.8'!E:E,lookup!$A$6:$B$8,2,false),0)</f>
        <v>5</v>
      </c>
      <c r="G73" s="10">
        <f>IFERROR(vlookup('1.8'!F:F,lookup!$A$10:$B$12,2,false),0)</f>
        <v>5</v>
      </c>
      <c r="H73" s="10">
        <f>IFERROR(vlookup('1.8'!G:G,lookup!$A$14:$B$16,2,false),0)</f>
        <v>5</v>
      </c>
      <c r="I73" s="10">
        <f>IFERROR(vlookup('1.8'!H:H,lookup!$A$18:$B$20,2,false),0)</f>
        <v>5</v>
      </c>
      <c r="J73" s="10">
        <f>IFERROR(vlookup('1.8'!I:I,lookup!$A$22:$B$24,2,false),0)</f>
        <v>5</v>
      </c>
      <c r="K73" s="10">
        <f>IFERROR(vlookup('1.8'!J:J,lookup!$A$26:$B$28,2,false),0)</f>
        <v>5</v>
      </c>
      <c r="M73" s="10">
        <v>72.0</v>
      </c>
      <c r="N73" s="11" t="str">
        <f t="shared" si="1"/>
        <v>bnco0972@signalschool.ac.th</v>
      </c>
      <c r="O73" s="12">
        <f t="shared" si="2"/>
        <v>1</v>
      </c>
      <c r="R73" s="17" t="s">
        <v>289</v>
      </c>
    </row>
    <row r="74">
      <c r="A74" s="8">
        <f>'1.8'!A:A</f>
        <v>46212.63389</v>
      </c>
      <c r="B74" s="2" t="str">
        <f>'1.8'!B:B</f>
        <v>bnco0917@signalschool.ac.th</v>
      </c>
      <c r="C74" s="2" t="str">
        <f>'1.8'!C:C</f>
        <v>ส.อ.มงคล บุญญะถิติ</v>
      </c>
      <c r="D74" s="9">
        <v>1.0</v>
      </c>
      <c r="E74" s="10">
        <f>IFERROR(vlookup('1.8'!D:D,lookup!$A$2:$B$4,2,false),0)</f>
        <v>5</v>
      </c>
      <c r="F74" s="10">
        <f>IFERROR(vlookup('1.8'!E:E,lookup!$A$6:$B$8,2,false),0)</f>
        <v>5</v>
      </c>
      <c r="G74" s="10">
        <f>IFERROR(vlookup('1.8'!F:F,lookup!$A$10:$B$12,2,false),0)</f>
        <v>5</v>
      </c>
      <c r="H74" s="10">
        <f>IFERROR(vlookup('1.8'!G:G,lookup!$A$14:$B$16,2,false),0)</f>
        <v>5</v>
      </c>
      <c r="I74" s="10">
        <f>IFERROR(vlookup('1.8'!H:H,lookup!$A$18:$B$20,2,false),0)</f>
        <v>5</v>
      </c>
      <c r="J74" s="10">
        <f>IFERROR(vlookup('1.8'!I:I,lookup!$A$22:$B$24,2,false),0)</f>
        <v>5</v>
      </c>
      <c r="K74" s="10">
        <f>IFERROR(vlookup('1.8'!J:J,lookup!$A$26:$B$28,2,false),0)</f>
        <v>5</v>
      </c>
      <c r="M74" s="10">
        <v>73.0</v>
      </c>
      <c r="N74" s="11" t="str">
        <f t="shared" si="1"/>
        <v>bnco0973@signalschool.ac.th</v>
      </c>
      <c r="O74" s="12">
        <f t="shared" si="2"/>
        <v>1</v>
      </c>
      <c r="R74" s="17" t="s">
        <v>290</v>
      </c>
    </row>
    <row r="75">
      <c r="A75" s="8">
        <f>'1.8'!A:A</f>
        <v>46212.65992</v>
      </c>
      <c r="B75" s="2" t="str">
        <f>'1.8'!B:B</f>
        <v>bnco0966@signalschool.ac.th</v>
      </c>
      <c r="C75" s="2" t="str">
        <f>'1.8'!C:C</f>
        <v>พ.อ.สุธิพงษ์ ขำดี</v>
      </c>
      <c r="D75" s="9">
        <v>1.0</v>
      </c>
      <c r="E75" s="10">
        <f>IFERROR(vlookup('1.8'!D:D,lookup!$A$2:$B$4,2,false),0)</f>
        <v>5</v>
      </c>
      <c r="F75" s="10">
        <f>IFERROR(vlookup('1.8'!E:E,lookup!$A$6:$B$8,2,false),0)</f>
        <v>5</v>
      </c>
      <c r="G75" s="10">
        <f>IFERROR(vlookup('1.8'!F:F,lookup!$A$10:$B$12,2,false),0)</f>
        <v>5</v>
      </c>
      <c r="H75" s="10">
        <f>IFERROR(vlookup('1.8'!G:G,lookup!$A$14:$B$16,2,false),0)</f>
        <v>5</v>
      </c>
      <c r="I75" s="10">
        <f>IFERROR(vlookup('1.8'!H:H,lookup!$A$18:$B$20,2,false),0)</f>
        <v>5</v>
      </c>
      <c r="J75" s="10">
        <f>IFERROR(vlookup('1.8'!I:I,lookup!$A$22:$B$24,2,false),0)</f>
        <v>5</v>
      </c>
      <c r="K75" s="10">
        <f>IFERROR(vlookup('1.8'!J:J,lookup!$A$26:$B$28,2,false),0)</f>
        <v>5</v>
      </c>
      <c r="M75" s="10">
        <v>74.0</v>
      </c>
      <c r="N75" s="11" t="str">
        <f t="shared" si="1"/>
        <v>bnco0974@signalschool.ac.th</v>
      </c>
      <c r="O75" s="12">
        <f t="shared" si="2"/>
        <v>1</v>
      </c>
      <c r="R75" s="17" t="s">
        <v>291</v>
      </c>
    </row>
    <row r="76">
      <c r="A76" s="8">
        <f>'1.8'!A:A</f>
        <v>46212.71121</v>
      </c>
      <c r="B76" s="2" t="str">
        <f>'1.8'!B:B</f>
        <v>bnco0954@signalschool.ac.th</v>
      </c>
      <c r="C76" s="2" t="str">
        <f>'1.8'!C:C</f>
        <v>จ.ส.ต.พรสุพพัต วุฒิสุวรรณ , ส.อ.วิริทธิ์พล แข็งธัญญะกรณ์ , ส.อ.มงคล บุญญะถิติ</v>
      </c>
      <c r="D76" s="9">
        <v>1.0</v>
      </c>
      <c r="E76" s="10">
        <f>IFERROR(vlookup('1.8'!D:D,lookup!$A$2:$B$4,2,false),0)</f>
        <v>5</v>
      </c>
      <c r="F76" s="10">
        <f>IFERROR(vlookup('1.8'!E:E,lookup!$A$6:$B$8,2,false),0)</f>
        <v>5</v>
      </c>
      <c r="G76" s="10">
        <f>IFERROR(vlookup('1.8'!F:F,lookup!$A$10:$B$12,2,false),0)</f>
        <v>5</v>
      </c>
      <c r="H76" s="10">
        <f>IFERROR(vlookup('1.8'!G:G,lookup!$A$14:$B$16,2,false),0)</f>
        <v>5</v>
      </c>
      <c r="I76" s="10">
        <f>IFERROR(vlookup('1.8'!H:H,lookup!$A$18:$B$20,2,false),0)</f>
        <v>5</v>
      </c>
      <c r="J76" s="10">
        <f>IFERROR(vlookup('1.8'!I:I,lookup!$A$22:$B$24,2,false),0)</f>
        <v>5</v>
      </c>
      <c r="K76" s="10">
        <f>IFERROR(vlookup('1.8'!J:J,lookup!$A$26:$B$28,2,false),0)</f>
        <v>5</v>
      </c>
      <c r="M76" s="10">
        <v>75.0</v>
      </c>
      <c r="N76" s="11" t="str">
        <f t="shared" si="1"/>
        <v>bnco0975@signalschool.ac.th</v>
      </c>
      <c r="O76" s="12">
        <f t="shared" si="2"/>
        <v>1</v>
      </c>
      <c r="R76" s="17" t="s">
        <v>292</v>
      </c>
    </row>
    <row r="77">
      <c r="A77" s="8">
        <f>'1.8'!A:A</f>
        <v>46212.83635</v>
      </c>
      <c r="B77" s="2" t="str">
        <f>'1.8'!B:B</f>
        <v>bnco0907@signalschool.ac.th</v>
      </c>
      <c r="C77" s="2" t="str">
        <f>'1.8'!C:C</f>
        <v>จ.ส.ต.พรสุพพัต วุฒิสุวรรณ , ส.อ.วิริทธิ์พล แข็งธัญญะกรณ์ , ส.อ.มงคล บุญญะถิติ</v>
      </c>
      <c r="D77" s="9">
        <v>1.0</v>
      </c>
      <c r="E77" s="10">
        <f>IFERROR(vlookup('1.8'!D:D,lookup!$A$2:$B$4,2,false),0)</f>
        <v>5</v>
      </c>
      <c r="F77" s="10">
        <f>IFERROR(vlookup('1.8'!E:E,lookup!$A$6:$B$8,2,false),0)</f>
        <v>5</v>
      </c>
      <c r="G77" s="10">
        <f>IFERROR(vlookup('1.8'!F:F,lookup!$A$10:$B$12,2,false),0)</f>
        <v>5</v>
      </c>
      <c r="H77" s="10">
        <f>IFERROR(vlookup('1.8'!G:G,lookup!$A$14:$B$16,2,false),0)</f>
        <v>5</v>
      </c>
      <c r="I77" s="10">
        <f>IFERROR(vlookup('1.8'!H:H,lookup!$A$18:$B$20,2,false),0)</f>
        <v>5</v>
      </c>
      <c r="J77" s="10">
        <f>IFERROR(vlookup('1.8'!I:I,lookup!$A$22:$B$24,2,false),0)</f>
        <v>5</v>
      </c>
      <c r="K77" s="10">
        <f>IFERROR(vlookup('1.8'!J:J,lookup!$A$26:$B$28,2,false),0)</f>
        <v>5</v>
      </c>
      <c r="M77" s="10">
        <v>76.0</v>
      </c>
      <c r="N77" s="11" t="str">
        <f t="shared" si="1"/>
        <v>bnco0976@signalschool.ac.th</v>
      </c>
      <c r="O77" s="12">
        <f t="shared" si="2"/>
        <v>1</v>
      </c>
      <c r="R77" s="17" t="s">
        <v>293</v>
      </c>
    </row>
    <row r="78">
      <c r="A78" s="8">
        <f>'1.8'!A:A</f>
        <v>46213.3983</v>
      </c>
      <c r="B78" s="2" t="str">
        <f>'1.8'!B:B</f>
        <v>bnco0961@signalschool.ac.th</v>
      </c>
      <c r="C78" s="2" t="str">
        <f>'1.8'!C:C</f>
        <v>จ.ส.ต.พรสุพพัต วุฒิสุวรรณ , ส.อ.วิริทธิ์พล แข็งธัญญะกรณ์ , ส.อ.มงคล บุญญะถิติ</v>
      </c>
      <c r="D78" s="9">
        <v>1.0</v>
      </c>
      <c r="E78" s="10">
        <f>IFERROR(vlookup('1.8'!D:D,lookup!$A$2:$B$4,2,false),0)</f>
        <v>5</v>
      </c>
      <c r="F78" s="10">
        <f>IFERROR(vlookup('1.8'!E:E,lookup!$A$6:$B$8,2,false),0)</f>
        <v>5</v>
      </c>
      <c r="G78" s="10">
        <f>IFERROR(vlookup('1.8'!F:F,lookup!$A$10:$B$12,2,false),0)</f>
        <v>5</v>
      </c>
      <c r="H78" s="10">
        <f>IFERROR(vlookup('1.8'!G:G,lookup!$A$14:$B$16,2,false),0)</f>
        <v>5</v>
      </c>
      <c r="I78" s="10">
        <f>IFERROR(vlookup('1.8'!H:H,lookup!$A$18:$B$20,2,false),0)</f>
        <v>5</v>
      </c>
      <c r="J78" s="10">
        <f>IFERROR(vlookup('1.8'!I:I,lookup!$A$22:$B$24,2,false),0)</f>
        <v>5</v>
      </c>
      <c r="K78" s="10">
        <f>IFERROR(vlookup('1.8'!J:J,lookup!$A$26:$B$28,2,false),0)</f>
        <v>5</v>
      </c>
      <c r="M78" s="10">
        <v>77.0</v>
      </c>
      <c r="N78" s="11" t="str">
        <f t="shared" si="1"/>
        <v>bnco0977@signalschool.ac.th</v>
      </c>
      <c r="O78" s="12">
        <f t="shared" si="2"/>
        <v>1</v>
      </c>
      <c r="R78" s="17" t="s">
        <v>294</v>
      </c>
    </row>
    <row r="79">
      <c r="A79" s="8">
        <f>'1.8'!A:A</f>
        <v>46213.39998</v>
      </c>
      <c r="B79" s="2" t="str">
        <f>'1.8'!B:B</f>
        <v>bnco0935@signalschool.ac.th</v>
      </c>
      <c r="C79" s="2" t="str">
        <f>'1.8'!C:C</f>
        <v>จ.ส.ต.พรสุพพัต วุฒิสุวรรณ , ส.อ.วิริทธิ์พล แข็งธัญญะกรณ์ , ส.อ.มงคล บุญญะถิติ</v>
      </c>
      <c r="D79" s="9">
        <v>1.0</v>
      </c>
      <c r="E79" s="10">
        <f>IFERROR(vlookup('1.8'!D:D,lookup!$A$2:$B$4,2,false),0)</f>
        <v>5</v>
      </c>
      <c r="F79" s="10">
        <f>IFERROR(vlookup('1.8'!E:E,lookup!$A$6:$B$8,2,false),0)</f>
        <v>5</v>
      </c>
      <c r="G79" s="10">
        <f>IFERROR(vlookup('1.8'!F:F,lookup!$A$10:$B$12,2,false),0)</f>
        <v>5</v>
      </c>
      <c r="H79" s="10">
        <f>IFERROR(vlookup('1.8'!G:G,lookup!$A$14:$B$16,2,false),0)</f>
        <v>5</v>
      </c>
      <c r="I79" s="10">
        <f>IFERROR(vlookup('1.8'!H:H,lookup!$A$18:$B$20,2,false),0)</f>
        <v>5</v>
      </c>
      <c r="J79" s="10">
        <f>IFERROR(vlookup('1.8'!I:I,lookup!$A$22:$B$24,2,false),0)</f>
        <v>5</v>
      </c>
      <c r="K79" s="10">
        <f>IFERROR(vlookup('1.8'!J:J,lookup!$A$26:$B$28,2,false),0)</f>
        <v>5</v>
      </c>
      <c r="M79" s="10">
        <v>78.0</v>
      </c>
      <c r="N79" s="11" t="str">
        <f t="shared" si="1"/>
        <v>bnco0978@signalschool.ac.th</v>
      </c>
      <c r="O79" s="12">
        <f t="shared" si="2"/>
        <v>1</v>
      </c>
      <c r="R79" s="17" t="s">
        <v>295</v>
      </c>
    </row>
    <row r="80">
      <c r="A80" s="8">
        <f>'1.8'!A:A</f>
        <v>46213.40889</v>
      </c>
      <c r="B80" s="2" t="str">
        <f>'1.8'!B:B</f>
        <v>bnco0931@signalschool.ac.th</v>
      </c>
      <c r="C80" s="2" t="str">
        <f>'1.8'!C:C</f>
        <v>จ.ส.ต.พรสุพพัต วุฒิสุวรรณ</v>
      </c>
      <c r="D80" s="9">
        <v>1.0</v>
      </c>
      <c r="E80" s="10">
        <f>IFERROR(vlookup('1.8'!D:D,lookup!$A$2:$B$4,2,false),0)</f>
        <v>5</v>
      </c>
      <c r="F80" s="10">
        <f>IFERROR(vlookup('1.8'!E:E,lookup!$A$6:$B$8,2,false),0)</f>
        <v>5</v>
      </c>
      <c r="G80" s="10">
        <f>IFERROR(vlookup('1.8'!F:F,lookup!$A$10:$B$12,2,false),0)</f>
        <v>5</v>
      </c>
      <c r="H80" s="10">
        <f>IFERROR(vlookup('1.8'!G:G,lookup!$A$14:$B$16,2,false),0)</f>
        <v>5</v>
      </c>
      <c r="I80" s="10">
        <f>IFERROR(vlookup('1.8'!H:H,lookup!$A$18:$B$20,2,false),0)</f>
        <v>5</v>
      </c>
      <c r="J80" s="10">
        <f>IFERROR(vlookup('1.8'!I:I,lookup!$A$22:$B$24,2,false),0)</f>
        <v>5</v>
      </c>
      <c r="K80" s="10">
        <f>IFERROR(vlookup('1.8'!J:J,lookup!$A$26:$B$28,2,false),0)</f>
        <v>5</v>
      </c>
      <c r="M80" s="10">
        <v>79.0</v>
      </c>
      <c r="N80" s="11" t="str">
        <f t="shared" si="1"/>
        <v>bnco0979@signalschool.ac.th</v>
      </c>
      <c r="O80" s="12">
        <f t="shared" si="2"/>
        <v>1</v>
      </c>
      <c r="R80" s="17" t="s">
        <v>296</v>
      </c>
    </row>
    <row r="81">
      <c r="A81" s="8">
        <f>'1.8'!A:A</f>
        <v>46213.45749</v>
      </c>
      <c r="B81" s="2" t="str">
        <f>'1.8'!B:B</f>
        <v>bnco0975@signalschool.ac.th</v>
      </c>
      <c r="C81" s="2" t="str">
        <f>'1.8'!C:C</f>
        <v>จ.ส.ต.พรสุพพัต วุฒิสุวรรณ , ส.อ.วิริทธิ์พล แข็งธัญญะกรณ์ , ส.อ.มงคล บุญญะถิติ</v>
      </c>
      <c r="D81" s="9">
        <v>1.0</v>
      </c>
      <c r="E81" s="10">
        <f>IFERROR(vlookup('1.8'!D:D,lookup!$A$2:$B$4,2,false),0)</f>
        <v>5</v>
      </c>
      <c r="F81" s="10">
        <f>IFERROR(vlookup('1.8'!E:E,lookup!$A$6:$B$8,2,false),0)</f>
        <v>5</v>
      </c>
      <c r="G81" s="10">
        <f>IFERROR(vlookup('1.8'!F:F,lookup!$A$10:$B$12,2,false),0)</f>
        <v>5</v>
      </c>
      <c r="H81" s="10">
        <f>IFERROR(vlookup('1.8'!G:G,lookup!$A$14:$B$16,2,false),0)</f>
        <v>5</v>
      </c>
      <c r="I81" s="10">
        <f>IFERROR(vlookup('1.8'!H:H,lookup!$A$18:$B$20,2,false),0)</f>
        <v>5</v>
      </c>
      <c r="J81" s="10">
        <f>IFERROR(vlookup('1.8'!I:I,lookup!$A$22:$B$24,2,false),0)</f>
        <v>5</v>
      </c>
      <c r="K81" s="10">
        <f>IFERROR(vlookup('1.8'!J:J,lookup!$A$26:$B$28,2,false),0)</f>
        <v>5</v>
      </c>
      <c r="M81" s="10">
        <v>80.0</v>
      </c>
      <c r="N81" s="11" t="str">
        <f t="shared" si="1"/>
        <v>bnco0980@signalschool.ac.th</v>
      </c>
      <c r="O81" s="12">
        <f t="shared" si="2"/>
        <v>1</v>
      </c>
      <c r="R81" s="17" t="s">
        <v>297</v>
      </c>
    </row>
    <row r="82">
      <c r="A82" s="8"/>
      <c r="B82" s="2"/>
      <c r="C82" s="2"/>
      <c r="E82" s="14">
        <f t="shared" ref="E82:K82" si="3">AVERAGE(E2:E81)</f>
        <v>4.975</v>
      </c>
      <c r="F82" s="14">
        <f t="shared" si="3"/>
        <v>4.95</v>
      </c>
      <c r="G82" s="14">
        <f t="shared" si="3"/>
        <v>4.95</v>
      </c>
      <c r="H82" s="14">
        <f t="shared" si="3"/>
        <v>4.975</v>
      </c>
      <c r="I82" s="14">
        <f t="shared" si="3"/>
        <v>4.95</v>
      </c>
      <c r="J82" s="14">
        <f t="shared" si="3"/>
        <v>4.975</v>
      </c>
      <c r="K82" s="14">
        <f t="shared" si="3"/>
        <v>4.925</v>
      </c>
      <c r="L82" s="15">
        <f>AVERAGE(E82:K82)</f>
        <v>4.957142857</v>
      </c>
      <c r="N82" s="2" t="s">
        <v>298</v>
      </c>
      <c r="O82" s="10">
        <f>SUM(O2:O81)</f>
        <v>80</v>
      </c>
    </row>
    <row r="83">
      <c r="A83" s="8"/>
      <c r="B83" s="2"/>
      <c r="C83" s="2"/>
      <c r="E83" s="10"/>
      <c r="F83" s="10"/>
      <c r="G83" s="10"/>
      <c r="H83" s="10"/>
      <c r="I83" s="10"/>
      <c r="J83" s="10"/>
      <c r="K83" s="10"/>
      <c r="N83" s="2" t="s">
        <v>299</v>
      </c>
      <c r="O83" s="10">
        <f>(O82*100)/80</f>
        <v>100</v>
      </c>
    </row>
    <row r="84">
      <c r="A84" s="8"/>
      <c r="B84" s="2"/>
      <c r="C84" s="2"/>
      <c r="E84" s="10"/>
      <c r="K84" s="10"/>
    </row>
    <row r="85">
      <c r="A85" s="8"/>
      <c r="B85" s="2"/>
      <c r="C85" s="2"/>
      <c r="E85" s="10"/>
    </row>
    <row r="86">
      <c r="A86" s="8"/>
      <c r="B86" s="2"/>
      <c r="C86" s="2"/>
      <c r="E86" s="10"/>
    </row>
    <row r="87">
      <c r="A87" s="8"/>
      <c r="B87" s="2"/>
      <c r="C87" s="2"/>
      <c r="E87" s="10"/>
    </row>
    <row r="88">
      <c r="A88" s="8"/>
      <c r="B88" s="2"/>
      <c r="C88" s="2"/>
      <c r="E88" s="10"/>
    </row>
    <row r="89">
      <c r="A89" s="8"/>
      <c r="B89" s="2"/>
      <c r="C89" s="2"/>
      <c r="E89" s="10"/>
    </row>
    <row r="90">
      <c r="A90" s="8"/>
      <c r="B90" s="2"/>
      <c r="C90" s="2"/>
      <c r="E90" s="10"/>
    </row>
    <row r="91">
      <c r="A91" s="8"/>
      <c r="B91" s="2"/>
      <c r="C91" s="2"/>
      <c r="E91" s="10"/>
    </row>
    <row r="92">
      <c r="A92" s="8"/>
      <c r="B92" s="2"/>
      <c r="C92" s="2"/>
      <c r="E92" s="10"/>
    </row>
    <row r="93">
      <c r="A93" s="8"/>
      <c r="B93" s="2"/>
      <c r="C93" s="2"/>
      <c r="E93" s="10"/>
    </row>
    <row r="94">
      <c r="A94" s="8"/>
      <c r="B94" s="2"/>
      <c r="C94" s="2"/>
      <c r="E94" s="10"/>
    </row>
    <row r="95">
      <c r="A95" s="8"/>
      <c r="B95" s="2"/>
      <c r="C95" s="2"/>
      <c r="E95" s="10"/>
    </row>
    <row r="96">
      <c r="A96" s="8"/>
      <c r="B96" s="2"/>
      <c r="C96" s="2"/>
      <c r="E96" s="10"/>
    </row>
    <row r="97">
      <c r="A97" s="8"/>
      <c r="B97" s="2"/>
      <c r="C97" s="2"/>
      <c r="E97" s="10"/>
    </row>
    <row r="98">
      <c r="A98" s="8"/>
      <c r="C98" s="2"/>
      <c r="E98" s="10"/>
    </row>
    <row r="99">
      <c r="A99" s="8"/>
      <c r="C99" s="2"/>
      <c r="E99" s="10"/>
    </row>
    <row r="100">
      <c r="A100" s="8"/>
      <c r="C100" s="2"/>
    </row>
    <row r="101">
      <c r="A101" s="8"/>
      <c r="C101" s="2"/>
    </row>
    <row r="102">
      <c r="A102" s="8"/>
      <c r="C102" s="2"/>
    </row>
    <row r="103">
      <c r="A103" s="8"/>
      <c r="C103" s="2"/>
    </row>
    <row r="104">
      <c r="A104" s="8"/>
      <c r="C104" s="2"/>
    </row>
    <row r="105">
      <c r="A105" s="8"/>
      <c r="C105" s="2"/>
    </row>
    <row r="106">
      <c r="A106" s="8"/>
      <c r="C106" s="2"/>
    </row>
    <row r="107">
      <c r="A107" s="8"/>
      <c r="C107" s="2"/>
    </row>
    <row r="108">
      <c r="A108" s="8"/>
      <c r="C108" s="2"/>
    </row>
    <row r="109">
      <c r="A109" s="8"/>
      <c r="C109" s="2"/>
    </row>
    <row r="110">
      <c r="A110" s="8"/>
      <c r="C110" s="2"/>
    </row>
    <row r="111">
      <c r="A111" s="8"/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</sheetData>
  <mergeCells count="1">
    <mergeCell ref="M1:O1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7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4">
        <v>46154.42951696759</v>
      </c>
      <c r="B2" s="6" t="s">
        <v>79</v>
      </c>
      <c r="C2" s="6" t="s">
        <v>423</v>
      </c>
      <c r="D2" s="6" t="s">
        <v>15</v>
      </c>
      <c r="E2" s="6" t="s">
        <v>16</v>
      </c>
      <c r="F2" s="6" t="s">
        <v>17</v>
      </c>
      <c r="G2" s="6" t="s">
        <v>18</v>
      </c>
      <c r="H2" s="6" t="s">
        <v>19</v>
      </c>
      <c r="I2" s="6" t="s">
        <v>20</v>
      </c>
      <c r="J2" s="6" t="s">
        <v>21</v>
      </c>
      <c r="K2" s="6" t="s">
        <v>424</v>
      </c>
    </row>
    <row r="3">
      <c r="A3" s="4">
        <v>46154.4298313426</v>
      </c>
      <c r="B3" s="6" t="s">
        <v>75</v>
      </c>
      <c r="C3" s="6" t="s">
        <v>423</v>
      </c>
      <c r="D3" s="6" t="s">
        <v>15</v>
      </c>
      <c r="E3" s="6" t="s">
        <v>16</v>
      </c>
      <c r="F3" s="6" t="s">
        <v>17</v>
      </c>
      <c r="G3" s="6" t="s">
        <v>18</v>
      </c>
      <c r="H3" s="6" t="s">
        <v>19</v>
      </c>
      <c r="I3" s="6" t="s">
        <v>20</v>
      </c>
      <c r="J3" s="6" t="s">
        <v>21</v>
      </c>
    </row>
    <row r="4">
      <c r="A4" s="4">
        <v>46154.42985418982</v>
      </c>
      <c r="B4" s="6" t="s">
        <v>137</v>
      </c>
      <c r="C4" s="6" t="s">
        <v>423</v>
      </c>
      <c r="D4" s="6" t="s">
        <v>15</v>
      </c>
      <c r="E4" s="6" t="s">
        <v>16</v>
      </c>
      <c r="F4" s="6" t="s">
        <v>17</v>
      </c>
      <c r="G4" s="6" t="s">
        <v>18</v>
      </c>
      <c r="H4" s="6" t="s">
        <v>19</v>
      </c>
      <c r="I4" s="6" t="s">
        <v>20</v>
      </c>
      <c r="J4" s="6" t="s">
        <v>21</v>
      </c>
      <c r="K4" s="6" t="s">
        <v>425</v>
      </c>
    </row>
    <row r="5">
      <c r="A5" s="4">
        <v>46154.430017418985</v>
      </c>
      <c r="B5" s="6" t="s">
        <v>63</v>
      </c>
      <c r="C5" s="6" t="s">
        <v>423</v>
      </c>
      <c r="D5" s="6" t="s">
        <v>15</v>
      </c>
      <c r="E5" s="6" t="s">
        <v>16</v>
      </c>
      <c r="F5" s="6" t="s">
        <v>17</v>
      </c>
      <c r="G5" s="6" t="s">
        <v>18</v>
      </c>
      <c r="H5" s="6" t="s">
        <v>19</v>
      </c>
      <c r="I5" s="6" t="s">
        <v>20</v>
      </c>
      <c r="J5" s="6" t="s">
        <v>21</v>
      </c>
    </row>
    <row r="6">
      <c r="A6" s="4">
        <v>46154.43015743056</v>
      </c>
      <c r="B6" s="6" t="s">
        <v>74</v>
      </c>
      <c r="C6" s="6" t="s">
        <v>423</v>
      </c>
      <c r="D6" s="6" t="s">
        <v>15</v>
      </c>
      <c r="E6" s="6" t="s">
        <v>16</v>
      </c>
      <c r="F6" s="6" t="s">
        <v>17</v>
      </c>
      <c r="G6" s="6" t="s">
        <v>18</v>
      </c>
      <c r="H6" s="6" t="s">
        <v>19</v>
      </c>
      <c r="I6" s="6" t="s">
        <v>20</v>
      </c>
      <c r="J6" s="6" t="s">
        <v>21</v>
      </c>
      <c r="K6" s="6" t="s">
        <v>426</v>
      </c>
    </row>
    <row r="7">
      <c r="A7" s="4">
        <v>46154.43018199074</v>
      </c>
      <c r="B7" s="6" t="s">
        <v>73</v>
      </c>
      <c r="C7" s="6" t="s">
        <v>423</v>
      </c>
      <c r="D7" s="6" t="s">
        <v>15</v>
      </c>
      <c r="E7" s="6" t="s">
        <v>16</v>
      </c>
      <c r="F7" s="6" t="s">
        <v>17</v>
      </c>
      <c r="G7" s="6" t="s">
        <v>18</v>
      </c>
      <c r="H7" s="6" t="s">
        <v>19</v>
      </c>
      <c r="I7" s="6" t="s">
        <v>20</v>
      </c>
      <c r="J7" s="6" t="s">
        <v>21</v>
      </c>
    </row>
    <row r="8">
      <c r="A8" s="4">
        <v>46154.43025488426</v>
      </c>
      <c r="B8" s="6" t="s">
        <v>86</v>
      </c>
      <c r="C8" s="6" t="s">
        <v>423</v>
      </c>
      <c r="D8" s="6" t="s">
        <v>15</v>
      </c>
      <c r="E8" s="6" t="s">
        <v>16</v>
      </c>
      <c r="F8" s="6" t="s">
        <v>17</v>
      </c>
      <c r="G8" s="6" t="s">
        <v>18</v>
      </c>
      <c r="H8" s="6" t="s">
        <v>19</v>
      </c>
      <c r="I8" s="6" t="s">
        <v>20</v>
      </c>
      <c r="J8" s="6" t="s">
        <v>21</v>
      </c>
      <c r="K8" s="6" t="s">
        <v>427</v>
      </c>
    </row>
    <row r="9">
      <c r="A9" s="4">
        <v>46154.43060609954</v>
      </c>
      <c r="B9" s="6" t="s">
        <v>55</v>
      </c>
      <c r="C9" s="6" t="s">
        <v>428</v>
      </c>
      <c r="D9" s="6" t="s">
        <v>15</v>
      </c>
      <c r="E9" s="6" t="s">
        <v>16</v>
      </c>
      <c r="F9" s="6" t="s">
        <v>17</v>
      </c>
      <c r="G9" s="6" t="s">
        <v>18</v>
      </c>
      <c r="H9" s="6" t="s">
        <v>19</v>
      </c>
      <c r="I9" s="6" t="s">
        <v>20</v>
      </c>
      <c r="J9" s="6" t="s">
        <v>21</v>
      </c>
    </row>
    <row r="10">
      <c r="A10" s="4">
        <v>46154.43107046296</v>
      </c>
      <c r="B10" s="6" t="s">
        <v>91</v>
      </c>
      <c r="C10" s="6" t="s">
        <v>423</v>
      </c>
      <c r="D10" s="6" t="s">
        <v>15</v>
      </c>
      <c r="E10" s="6" t="s">
        <v>16</v>
      </c>
      <c r="F10" s="6" t="s">
        <v>17</v>
      </c>
      <c r="G10" s="6" t="s">
        <v>18</v>
      </c>
      <c r="H10" s="6" t="s">
        <v>19</v>
      </c>
      <c r="I10" s="6" t="s">
        <v>20</v>
      </c>
      <c r="J10" s="6" t="s">
        <v>21</v>
      </c>
    </row>
    <row r="11">
      <c r="A11" s="4">
        <v>46154.4313734375</v>
      </c>
      <c r="B11" s="6" t="s">
        <v>89</v>
      </c>
      <c r="C11" s="6" t="s">
        <v>423</v>
      </c>
      <c r="D11" s="6" t="s">
        <v>15</v>
      </c>
      <c r="E11" s="6" t="s">
        <v>16</v>
      </c>
      <c r="F11" s="6" t="s">
        <v>17</v>
      </c>
      <c r="G11" s="6" t="s">
        <v>18</v>
      </c>
      <c r="H11" s="6" t="s">
        <v>19</v>
      </c>
      <c r="I11" s="6" t="s">
        <v>20</v>
      </c>
      <c r="J11" s="6" t="s">
        <v>21</v>
      </c>
    </row>
    <row r="12">
      <c r="A12" s="4">
        <v>46154.43139408565</v>
      </c>
      <c r="B12" s="6" t="s">
        <v>62</v>
      </c>
      <c r="C12" s="6" t="s">
        <v>423</v>
      </c>
      <c r="D12" s="6" t="s">
        <v>15</v>
      </c>
      <c r="E12" s="6" t="s">
        <v>16</v>
      </c>
      <c r="F12" s="6" t="s">
        <v>17</v>
      </c>
      <c r="G12" s="6" t="s">
        <v>18</v>
      </c>
      <c r="H12" s="6" t="s">
        <v>19</v>
      </c>
      <c r="I12" s="6" t="s">
        <v>20</v>
      </c>
      <c r="J12" s="6" t="s">
        <v>21</v>
      </c>
    </row>
    <row r="13">
      <c r="A13" s="4">
        <v>46154.43165572917</v>
      </c>
      <c r="B13" s="6" t="s">
        <v>67</v>
      </c>
      <c r="C13" s="6" t="s">
        <v>423</v>
      </c>
      <c r="D13" s="6" t="s">
        <v>15</v>
      </c>
      <c r="E13" s="6" t="s">
        <v>16</v>
      </c>
      <c r="F13" s="6" t="s">
        <v>17</v>
      </c>
      <c r="G13" s="6" t="s">
        <v>18</v>
      </c>
      <c r="H13" s="6" t="s">
        <v>19</v>
      </c>
      <c r="I13" s="6" t="s">
        <v>20</v>
      </c>
      <c r="J13" s="6" t="s">
        <v>21</v>
      </c>
      <c r="K13" s="6" t="s">
        <v>29</v>
      </c>
    </row>
    <row r="14">
      <c r="A14" s="4">
        <v>46154.431854525465</v>
      </c>
      <c r="B14" s="6" t="s">
        <v>101</v>
      </c>
      <c r="C14" s="6" t="s">
        <v>423</v>
      </c>
      <c r="D14" s="6" t="s">
        <v>15</v>
      </c>
      <c r="E14" s="6" t="s">
        <v>16</v>
      </c>
      <c r="F14" s="6" t="s">
        <v>17</v>
      </c>
      <c r="G14" s="6" t="s">
        <v>18</v>
      </c>
      <c r="H14" s="6" t="s">
        <v>19</v>
      </c>
      <c r="I14" s="6" t="s">
        <v>20</v>
      </c>
      <c r="J14" s="6" t="s">
        <v>21</v>
      </c>
    </row>
    <row r="15">
      <c r="A15" s="4">
        <v>46154.43190733796</v>
      </c>
      <c r="B15" s="6" t="s">
        <v>144</v>
      </c>
      <c r="C15" s="6" t="s">
        <v>423</v>
      </c>
      <c r="D15" s="6" t="s">
        <v>15</v>
      </c>
      <c r="E15" s="6" t="s">
        <v>16</v>
      </c>
      <c r="F15" s="6" t="s">
        <v>17</v>
      </c>
      <c r="G15" s="6" t="s">
        <v>18</v>
      </c>
      <c r="H15" s="6" t="s">
        <v>19</v>
      </c>
      <c r="I15" s="6" t="s">
        <v>20</v>
      </c>
      <c r="J15" s="6" t="s">
        <v>21</v>
      </c>
    </row>
    <row r="16">
      <c r="A16" s="4">
        <v>46154.43249746528</v>
      </c>
      <c r="B16" s="6" t="s">
        <v>150</v>
      </c>
      <c r="C16" s="6" t="s">
        <v>423</v>
      </c>
      <c r="D16" s="6" t="s">
        <v>15</v>
      </c>
      <c r="E16" s="6" t="s">
        <v>16</v>
      </c>
      <c r="F16" s="6" t="s">
        <v>17</v>
      </c>
      <c r="G16" s="6" t="s">
        <v>18</v>
      </c>
      <c r="H16" s="6" t="s">
        <v>19</v>
      </c>
      <c r="I16" s="6" t="s">
        <v>20</v>
      </c>
      <c r="J16" s="6" t="s">
        <v>21</v>
      </c>
    </row>
    <row r="17">
      <c r="A17" s="4">
        <v>46154.43267081019</v>
      </c>
      <c r="B17" s="6" t="s">
        <v>429</v>
      </c>
      <c r="C17" s="6" t="s">
        <v>423</v>
      </c>
      <c r="D17" s="6" t="s">
        <v>15</v>
      </c>
      <c r="E17" s="6" t="s">
        <v>16</v>
      </c>
      <c r="F17" s="6" t="s">
        <v>17</v>
      </c>
      <c r="G17" s="6" t="s">
        <v>18</v>
      </c>
      <c r="H17" s="6" t="s">
        <v>19</v>
      </c>
      <c r="I17" s="6" t="s">
        <v>20</v>
      </c>
      <c r="J17" s="6" t="s">
        <v>21</v>
      </c>
    </row>
    <row r="18">
      <c r="A18" s="4">
        <v>46154.432723125</v>
      </c>
      <c r="B18" s="6" t="s">
        <v>92</v>
      </c>
      <c r="C18" s="6" t="s">
        <v>428</v>
      </c>
      <c r="D18" s="6" t="s">
        <v>15</v>
      </c>
      <c r="E18" s="6" t="s">
        <v>16</v>
      </c>
      <c r="F18" s="6" t="s">
        <v>17</v>
      </c>
      <c r="G18" s="6" t="s">
        <v>18</v>
      </c>
      <c r="H18" s="6" t="s">
        <v>19</v>
      </c>
      <c r="I18" s="6" t="s">
        <v>20</v>
      </c>
      <c r="J18" s="6" t="s">
        <v>21</v>
      </c>
    </row>
    <row r="19">
      <c r="A19" s="4">
        <v>46154.43315673611</v>
      </c>
      <c r="B19" s="6" t="s">
        <v>172</v>
      </c>
      <c r="C19" s="6" t="s">
        <v>430</v>
      </c>
      <c r="D19" s="6" t="s">
        <v>15</v>
      </c>
      <c r="E19" s="6" t="s">
        <v>16</v>
      </c>
      <c r="F19" s="6" t="s">
        <v>17</v>
      </c>
      <c r="G19" s="6" t="s">
        <v>18</v>
      </c>
      <c r="H19" s="6" t="s">
        <v>19</v>
      </c>
      <c r="I19" s="6" t="s">
        <v>20</v>
      </c>
      <c r="J19" s="6" t="s">
        <v>48</v>
      </c>
    </row>
    <row r="20">
      <c r="A20" s="4">
        <v>46154.433230104165</v>
      </c>
      <c r="B20" s="6" t="s">
        <v>42</v>
      </c>
      <c r="C20" s="6" t="s">
        <v>423</v>
      </c>
      <c r="D20" s="6" t="s">
        <v>15</v>
      </c>
      <c r="E20" s="6" t="s">
        <v>16</v>
      </c>
      <c r="F20" s="6" t="s">
        <v>17</v>
      </c>
      <c r="G20" s="6" t="s">
        <v>18</v>
      </c>
      <c r="H20" s="6" t="s">
        <v>19</v>
      </c>
      <c r="I20" s="6" t="s">
        <v>20</v>
      </c>
      <c r="J20" s="6" t="s">
        <v>21</v>
      </c>
    </row>
    <row r="21">
      <c r="A21" s="4">
        <v>46154.43428700231</v>
      </c>
      <c r="B21" s="6" t="s">
        <v>121</v>
      </c>
      <c r="C21" s="6" t="s">
        <v>423</v>
      </c>
      <c r="D21" s="6" t="s">
        <v>15</v>
      </c>
      <c r="E21" s="6" t="s">
        <v>16</v>
      </c>
      <c r="F21" s="6" t="s">
        <v>17</v>
      </c>
      <c r="G21" s="6" t="s">
        <v>18</v>
      </c>
      <c r="H21" s="6" t="s">
        <v>19</v>
      </c>
      <c r="I21" s="6" t="s">
        <v>20</v>
      </c>
      <c r="J21" s="6" t="s">
        <v>21</v>
      </c>
    </row>
    <row r="22">
      <c r="A22" s="4">
        <v>46154.4347671875</v>
      </c>
      <c r="B22" s="6" t="s">
        <v>37</v>
      </c>
      <c r="C22" s="6" t="s">
        <v>423</v>
      </c>
      <c r="D22" s="6" t="s">
        <v>15</v>
      </c>
      <c r="E22" s="6" t="s">
        <v>16</v>
      </c>
      <c r="F22" s="6" t="s">
        <v>17</v>
      </c>
      <c r="G22" s="6" t="s">
        <v>18</v>
      </c>
      <c r="H22" s="6" t="s">
        <v>19</v>
      </c>
      <c r="I22" s="6" t="s">
        <v>20</v>
      </c>
      <c r="J22" s="6" t="s">
        <v>21</v>
      </c>
      <c r="K22" s="6" t="s">
        <v>431</v>
      </c>
    </row>
    <row r="23">
      <c r="A23" s="4">
        <v>46154.43507561342</v>
      </c>
      <c r="B23" s="6" t="s">
        <v>118</v>
      </c>
      <c r="C23" s="6" t="s">
        <v>423</v>
      </c>
      <c r="D23" s="6" t="s">
        <v>15</v>
      </c>
      <c r="E23" s="6" t="s">
        <v>16</v>
      </c>
      <c r="F23" s="6" t="s">
        <v>17</v>
      </c>
      <c r="G23" s="6" t="s">
        <v>18</v>
      </c>
      <c r="H23" s="6" t="s">
        <v>19</v>
      </c>
      <c r="I23" s="6" t="s">
        <v>20</v>
      </c>
      <c r="J23" s="6" t="s">
        <v>21</v>
      </c>
      <c r="K23" s="6" t="s">
        <v>432</v>
      </c>
    </row>
    <row r="24">
      <c r="A24" s="4">
        <v>46154.43554020833</v>
      </c>
      <c r="B24" s="6" t="s">
        <v>95</v>
      </c>
      <c r="C24" s="6" t="s">
        <v>433</v>
      </c>
      <c r="D24" s="6" t="s">
        <v>15</v>
      </c>
      <c r="E24" s="6" t="s">
        <v>16</v>
      </c>
      <c r="F24" s="6" t="s">
        <v>17</v>
      </c>
      <c r="G24" s="6" t="s">
        <v>18</v>
      </c>
      <c r="H24" s="6" t="s">
        <v>19</v>
      </c>
      <c r="I24" s="6" t="s">
        <v>20</v>
      </c>
      <c r="J24" s="6" t="s">
        <v>21</v>
      </c>
      <c r="K24" s="6" t="s">
        <v>97</v>
      </c>
    </row>
    <row r="25">
      <c r="A25" s="4">
        <v>46154.43613671296</v>
      </c>
      <c r="B25" s="6" t="s">
        <v>151</v>
      </c>
      <c r="C25" s="6" t="s">
        <v>434</v>
      </c>
      <c r="D25" s="6" t="s">
        <v>15</v>
      </c>
      <c r="E25" s="6" t="s">
        <v>16</v>
      </c>
      <c r="F25" s="6" t="s">
        <v>17</v>
      </c>
      <c r="G25" s="6" t="s">
        <v>18</v>
      </c>
      <c r="H25" s="6" t="s">
        <v>19</v>
      </c>
      <c r="I25" s="6" t="s">
        <v>20</v>
      </c>
      <c r="J25" s="6" t="s">
        <v>21</v>
      </c>
      <c r="K25" s="6" t="s">
        <v>435</v>
      </c>
    </row>
    <row r="26">
      <c r="A26" s="4">
        <v>46154.43633778935</v>
      </c>
      <c r="B26" s="6" t="s">
        <v>113</v>
      </c>
      <c r="C26" s="6" t="s">
        <v>423</v>
      </c>
      <c r="D26" s="6" t="s">
        <v>15</v>
      </c>
      <c r="E26" s="6" t="s">
        <v>16</v>
      </c>
      <c r="F26" s="6" t="s">
        <v>17</v>
      </c>
      <c r="G26" s="6" t="s">
        <v>18</v>
      </c>
      <c r="H26" s="6" t="s">
        <v>19</v>
      </c>
      <c r="I26" s="6" t="s">
        <v>20</v>
      </c>
      <c r="J26" s="6" t="s">
        <v>21</v>
      </c>
    </row>
    <row r="27">
      <c r="A27" s="4">
        <v>46154.43641199074</v>
      </c>
      <c r="B27" s="6" t="s">
        <v>105</v>
      </c>
      <c r="C27" s="6" t="s">
        <v>423</v>
      </c>
      <c r="D27" s="6" t="s">
        <v>15</v>
      </c>
      <c r="E27" s="6" t="s">
        <v>16</v>
      </c>
      <c r="F27" s="6" t="s">
        <v>17</v>
      </c>
      <c r="G27" s="6" t="s">
        <v>18</v>
      </c>
      <c r="H27" s="6" t="s">
        <v>19</v>
      </c>
      <c r="I27" s="6" t="s">
        <v>20</v>
      </c>
      <c r="J27" s="6" t="s">
        <v>21</v>
      </c>
    </row>
    <row r="28">
      <c r="A28" s="4">
        <v>46154.43652707176</v>
      </c>
      <c r="B28" s="6" t="s">
        <v>169</v>
      </c>
      <c r="C28" s="6" t="s">
        <v>423</v>
      </c>
      <c r="D28" s="6" t="s">
        <v>15</v>
      </c>
      <c r="E28" s="6" t="s">
        <v>16</v>
      </c>
      <c r="F28" s="6" t="s">
        <v>17</v>
      </c>
      <c r="G28" s="6" t="s">
        <v>18</v>
      </c>
      <c r="H28" s="6" t="s">
        <v>19</v>
      </c>
      <c r="I28" s="6" t="s">
        <v>47</v>
      </c>
      <c r="J28" s="6" t="s">
        <v>21</v>
      </c>
    </row>
    <row r="29">
      <c r="A29" s="4">
        <v>46154.43705491898</v>
      </c>
      <c r="B29" s="6" t="s">
        <v>106</v>
      </c>
      <c r="C29" s="6" t="s">
        <v>423</v>
      </c>
      <c r="D29" s="6" t="s">
        <v>15</v>
      </c>
      <c r="E29" s="6" t="s">
        <v>16</v>
      </c>
      <c r="F29" s="6" t="s">
        <v>17</v>
      </c>
      <c r="G29" s="6" t="s">
        <v>18</v>
      </c>
      <c r="H29" s="6" t="s">
        <v>19</v>
      </c>
      <c r="I29" s="6" t="s">
        <v>20</v>
      </c>
      <c r="J29" s="6" t="s">
        <v>21</v>
      </c>
      <c r="K29" s="6" t="s">
        <v>436</v>
      </c>
    </row>
    <row r="30">
      <c r="A30" s="4">
        <v>46154.43847666666</v>
      </c>
      <c r="B30" s="6" t="s">
        <v>94</v>
      </c>
      <c r="C30" s="6" t="s">
        <v>423</v>
      </c>
      <c r="D30" s="6" t="s">
        <v>15</v>
      </c>
      <c r="E30" s="6" t="s">
        <v>33</v>
      </c>
      <c r="F30" s="6" t="s">
        <v>17</v>
      </c>
      <c r="G30" s="6" t="s">
        <v>18</v>
      </c>
      <c r="H30" s="6" t="s">
        <v>19</v>
      </c>
      <c r="I30" s="6" t="s">
        <v>20</v>
      </c>
      <c r="J30" s="6" t="s">
        <v>21</v>
      </c>
    </row>
    <row r="31">
      <c r="A31" s="4">
        <v>46154.43900277778</v>
      </c>
      <c r="B31" s="6" t="s">
        <v>81</v>
      </c>
      <c r="C31" s="6" t="s">
        <v>423</v>
      </c>
      <c r="D31" s="6" t="s">
        <v>15</v>
      </c>
      <c r="E31" s="6" t="s">
        <v>16</v>
      </c>
      <c r="F31" s="6" t="s">
        <v>17</v>
      </c>
      <c r="G31" s="6" t="s">
        <v>18</v>
      </c>
      <c r="H31" s="6" t="s">
        <v>19</v>
      </c>
      <c r="I31" s="6" t="s">
        <v>20</v>
      </c>
      <c r="J31" s="6" t="s">
        <v>21</v>
      </c>
    </row>
    <row r="32">
      <c r="A32" s="4">
        <v>46154.43910783565</v>
      </c>
      <c r="B32" s="6" t="s">
        <v>158</v>
      </c>
      <c r="C32" s="6" t="s">
        <v>437</v>
      </c>
      <c r="D32" s="6" t="s">
        <v>15</v>
      </c>
      <c r="E32" s="6" t="s">
        <v>16</v>
      </c>
      <c r="F32" s="6" t="s">
        <v>17</v>
      </c>
      <c r="G32" s="6" t="s">
        <v>18</v>
      </c>
      <c r="H32" s="6" t="s">
        <v>19</v>
      </c>
      <c r="I32" s="6" t="s">
        <v>20</v>
      </c>
      <c r="J32" s="6" t="s">
        <v>21</v>
      </c>
    </row>
    <row r="33">
      <c r="A33" s="4">
        <v>46154.43946908565</v>
      </c>
      <c r="B33" s="6" t="s">
        <v>147</v>
      </c>
      <c r="C33" s="6" t="s">
        <v>438</v>
      </c>
      <c r="D33" s="6" t="s">
        <v>15</v>
      </c>
      <c r="E33" s="6" t="s">
        <v>16</v>
      </c>
      <c r="F33" s="6" t="s">
        <v>17</v>
      </c>
      <c r="G33" s="6" t="s">
        <v>18</v>
      </c>
      <c r="H33" s="6" t="s">
        <v>19</v>
      </c>
      <c r="I33" s="6" t="s">
        <v>20</v>
      </c>
      <c r="J33" s="6" t="s">
        <v>21</v>
      </c>
    </row>
    <row r="34">
      <c r="A34" s="4">
        <v>46154.439695821755</v>
      </c>
      <c r="B34" s="6" t="s">
        <v>70</v>
      </c>
      <c r="C34" s="6" t="s">
        <v>423</v>
      </c>
      <c r="D34" s="6" t="s">
        <v>15</v>
      </c>
      <c r="E34" s="6" t="s">
        <v>16</v>
      </c>
      <c r="F34" s="6" t="s">
        <v>17</v>
      </c>
      <c r="G34" s="6" t="s">
        <v>18</v>
      </c>
      <c r="H34" s="6" t="s">
        <v>19</v>
      </c>
      <c r="I34" s="6" t="s">
        <v>47</v>
      </c>
      <c r="J34" s="6" t="s">
        <v>48</v>
      </c>
    </row>
    <row r="35">
      <c r="A35" s="4">
        <v>46154.43996675926</v>
      </c>
      <c r="B35" s="6" t="s">
        <v>27</v>
      </c>
      <c r="C35" s="6" t="s">
        <v>423</v>
      </c>
      <c r="D35" s="6" t="s">
        <v>15</v>
      </c>
      <c r="E35" s="6" t="s">
        <v>16</v>
      </c>
      <c r="F35" s="6" t="s">
        <v>17</v>
      </c>
      <c r="G35" s="6" t="s">
        <v>18</v>
      </c>
      <c r="H35" s="6" t="s">
        <v>19</v>
      </c>
      <c r="I35" s="6" t="s">
        <v>20</v>
      </c>
      <c r="J35" s="6" t="s">
        <v>21</v>
      </c>
    </row>
    <row r="36">
      <c r="A36" s="4">
        <v>46154.44040925926</v>
      </c>
      <c r="B36" s="6" t="s">
        <v>171</v>
      </c>
      <c r="C36" s="6" t="s">
        <v>423</v>
      </c>
      <c r="D36" s="6" t="s">
        <v>15</v>
      </c>
      <c r="E36" s="6" t="s">
        <v>16</v>
      </c>
      <c r="F36" s="6" t="s">
        <v>17</v>
      </c>
      <c r="G36" s="6" t="s">
        <v>18</v>
      </c>
      <c r="H36" s="6" t="s">
        <v>19</v>
      </c>
      <c r="I36" s="6" t="s">
        <v>20</v>
      </c>
      <c r="J36" s="6" t="s">
        <v>21</v>
      </c>
    </row>
    <row r="37">
      <c r="A37" s="4">
        <v>46154.4408715162</v>
      </c>
      <c r="B37" s="6" t="s">
        <v>82</v>
      </c>
      <c r="C37" s="6" t="s">
        <v>423</v>
      </c>
      <c r="D37" s="6" t="s">
        <v>15</v>
      </c>
      <c r="E37" s="6" t="s">
        <v>16</v>
      </c>
      <c r="F37" s="6" t="s">
        <v>17</v>
      </c>
      <c r="G37" s="6" t="s">
        <v>18</v>
      </c>
      <c r="H37" s="6" t="s">
        <v>19</v>
      </c>
      <c r="I37" s="6" t="s">
        <v>20</v>
      </c>
      <c r="J37" s="6" t="s">
        <v>21</v>
      </c>
    </row>
    <row r="38">
      <c r="A38" s="4">
        <v>46154.440920023146</v>
      </c>
      <c r="B38" s="6" t="s">
        <v>148</v>
      </c>
      <c r="C38" s="6" t="s">
        <v>423</v>
      </c>
      <c r="D38" s="6" t="s">
        <v>15</v>
      </c>
      <c r="E38" s="6" t="s">
        <v>16</v>
      </c>
      <c r="F38" s="6" t="s">
        <v>17</v>
      </c>
      <c r="G38" s="6" t="s">
        <v>18</v>
      </c>
      <c r="H38" s="6" t="s">
        <v>19</v>
      </c>
      <c r="I38" s="6" t="s">
        <v>20</v>
      </c>
      <c r="J38" s="6" t="s">
        <v>21</v>
      </c>
      <c r="K38" s="6" t="s">
        <v>439</v>
      </c>
    </row>
    <row r="39">
      <c r="A39" s="4">
        <v>46154.44094226852</v>
      </c>
      <c r="B39" s="6" t="s">
        <v>124</v>
      </c>
      <c r="C39" s="6" t="s">
        <v>423</v>
      </c>
      <c r="D39" s="6" t="s">
        <v>15</v>
      </c>
      <c r="E39" s="6" t="s">
        <v>16</v>
      </c>
      <c r="F39" s="6" t="s">
        <v>17</v>
      </c>
      <c r="G39" s="6" t="s">
        <v>18</v>
      </c>
      <c r="H39" s="6" t="s">
        <v>19</v>
      </c>
      <c r="I39" s="6" t="s">
        <v>20</v>
      </c>
      <c r="J39" s="6" t="s">
        <v>21</v>
      </c>
    </row>
    <row r="40">
      <c r="A40" s="4">
        <v>46154.4410784838</v>
      </c>
      <c r="B40" s="6" t="s">
        <v>142</v>
      </c>
      <c r="C40" s="6" t="s">
        <v>440</v>
      </c>
      <c r="D40" s="6" t="s">
        <v>15</v>
      </c>
      <c r="E40" s="6" t="s">
        <v>16</v>
      </c>
      <c r="F40" s="6" t="s">
        <v>17</v>
      </c>
      <c r="G40" s="6" t="s">
        <v>18</v>
      </c>
      <c r="H40" s="6" t="s">
        <v>19</v>
      </c>
      <c r="I40" s="6" t="s">
        <v>20</v>
      </c>
      <c r="J40" s="6" t="s">
        <v>21</v>
      </c>
    </row>
    <row r="41">
      <c r="A41" s="4">
        <v>46154.44449524306</v>
      </c>
      <c r="B41" s="6" t="s">
        <v>49</v>
      </c>
      <c r="C41" s="6" t="s">
        <v>423</v>
      </c>
      <c r="D41" s="6" t="s">
        <v>15</v>
      </c>
      <c r="E41" s="6" t="s">
        <v>16</v>
      </c>
      <c r="F41" s="6" t="s">
        <v>17</v>
      </c>
      <c r="G41" s="6" t="s">
        <v>18</v>
      </c>
      <c r="H41" s="6" t="s">
        <v>19</v>
      </c>
      <c r="I41" s="6" t="s">
        <v>20</v>
      </c>
      <c r="J41" s="6" t="s">
        <v>21</v>
      </c>
      <c r="K41" s="6" t="s">
        <v>441</v>
      </c>
    </row>
    <row r="42">
      <c r="A42" s="4">
        <v>46154.44461012731</v>
      </c>
      <c r="B42" s="6" t="s">
        <v>61</v>
      </c>
      <c r="C42" s="6" t="s">
        <v>423</v>
      </c>
      <c r="D42" s="6" t="s">
        <v>15</v>
      </c>
      <c r="E42" s="6" t="s">
        <v>16</v>
      </c>
      <c r="F42" s="6" t="s">
        <v>17</v>
      </c>
      <c r="G42" s="6" t="s">
        <v>18</v>
      </c>
      <c r="H42" s="6" t="s">
        <v>19</v>
      </c>
      <c r="I42" s="6" t="s">
        <v>20</v>
      </c>
      <c r="J42" s="6" t="s">
        <v>21</v>
      </c>
    </row>
    <row r="43">
      <c r="A43" s="4">
        <v>46154.445081990736</v>
      </c>
      <c r="B43" s="6" t="s">
        <v>110</v>
      </c>
      <c r="C43" s="6" t="s">
        <v>423</v>
      </c>
      <c r="D43" s="6" t="s">
        <v>15</v>
      </c>
      <c r="E43" s="6" t="s">
        <v>16</v>
      </c>
      <c r="F43" s="6" t="s">
        <v>17</v>
      </c>
      <c r="G43" s="6" t="s">
        <v>18</v>
      </c>
      <c r="H43" s="6" t="s">
        <v>19</v>
      </c>
      <c r="I43" s="6" t="s">
        <v>20</v>
      </c>
      <c r="J43" s="6" t="s">
        <v>21</v>
      </c>
    </row>
    <row r="44">
      <c r="A44" s="4">
        <v>46154.44604833334</v>
      </c>
      <c r="B44" s="6" t="s">
        <v>53</v>
      </c>
      <c r="C44" s="6" t="s">
        <v>423</v>
      </c>
      <c r="D44" s="6" t="s">
        <v>15</v>
      </c>
      <c r="E44" s="6" t="s">
        <v>16</v>
      </c>
      <c r="F44" s="6" t="s">
        <v>17</v>
      </c>
      <c r="G44" s="6" t="s">
        <v>18</v>
      </c>
      <c r="H44" s="6" t="s">
        <v>19</v>
      </c>
      <c r="I44" s="6" t="s">
        <v>20</v>
      </c>
      <c r="J44" s="6" t="s">
        <v>21</v>
      </c>
    </row>
    <row r="45">
      <c r="A45" s="4">
        <v>46154.44638328704</v>
      </c>
      <c r="B45" s="6" t="s">
        <v>162</v>
      </c>
      <c r="C45" s="6" t="s">
        <v>423</v>
      </c>
      <c r="D45" s="6" t="s">
        <v>15</v>
      </c>
      <c r="E45" s="6" t="s">
        <v>16</v>
      </c>
      <c r="F45" s="6" t="s">
        <v>17</v>
      </c>
      <c r="G45" s="6" t="s">
        <v>18</v>
      </c>
      <c r="H45" s="6" t="s">
        <v>19</v>
      </c>
      <c r="I45" s="6" t="s">
        <v>20</v>
      </c>
      <c r="J45" s="6" t="s">
        <v>21</v>
      </c>
    </row>
    <row r="46">
      <c r="A46" s="4">
        <v>46154.44898450232</v>
      </c>
      <c r="B46" s="6" t="s">
        <v>76</v>
      </c>
      <c r="C46" s="6" t="s">
        <v>442</v>
      </c>
      <c r="D46" s="6" t="s">
        <v>15</v>
      </c>
      <c r="E46" s="6" t="s">
        <v>16</v>
      </c>
      <c r="F46" s="6" t="s">
        <v>17</v>
      </c>
      <c r="G46" s="6" t="s">
        <v>18</v>
      </c>
      <c r="H46" s="6" t="s">
        <v>19</v>
      </c>
      <c r="I46" s="6" t="s">
        <v>20</v>
      </c>
      <c r="J46" s="6" t="s">
        <v>21</v>
      </c>
    </row>
    <row r="47">
      <c r="A47" s="4">
        <v>46154.449687395834</v>
      </c>
      <c r="B47" s="6" t="s">
        <v>126</v>
      </c>
      <c r="C47" s="6" t="s">
        <v>423</v>
      </c>
      <c r="D47" s="6" t="s">
        <v>15</v>
      </c>
      <c r="E47" s="6" t="s">
        <v>16</v>
      </c>
      <c r="F47" s="6" t="s">
        <v>17</v>
      </c>
      <c r="G47" s="6" t="s">
        <v>18</v>
      </c>
      <c r="H47" s="6" t="s">
        <v>19</v>
      </c>
      <c r="I47" s="6" t="s">
        <v>20</v>
      </c>
      <c r="J47" s="6" t="s">
        <v>21</v>
      </c>
    </row>
    <row r="48">
      <c r="A48" s="4">
        <v>46154.45065252315</v>
      </c>
      <c r="B48" s="6" t="s">
        <v>102</v>
      </c>
      <c r="C48" s="6" t="s">
        <v>423</v>
      </c>
      <c r="D48" s="6" t="s">
        <v>15</v>
      </c>
      <c r="E48" s="6" t="s">
        <v>16</v>
      </c>
      <c r="F48" s="6" t="s">
        <v>17</v>
      </c>
      <c r="G48" s="6" t="s">
        <v>18</v>
      </c>
      <c r="H48" s="6" t="s">
        <v>19</v>
      </c>
      <c r="I48" s="6" t="s">
        <v>20</v>
      </c>
      <c r="J48" s="6" t="s">
        <v>21</v>
      </c>
      <c r="K48" s="6" t="s">
        <v>443</v>
      </c>
    </row>
    <row r="49">
      <c r="A49" s="4">
        <v>46154.451873252314</v>
      </c>
      <c r="B49" s="6" t="s">
        <v>135</v>
      </c>
      <c r="C49" s="6" t="s">
        <v>423</v>
      </c>
      <c r="D49" s="6" t="s">
        <v>15</v>
      </c>
      <c r="E49" s="6" t="s">
        <v>16</v>
      </c>
      <c r="F49" s="6" t="s">
        <v>17</v>
      </c>
      <c r="G49" s="6" t="s">
        <v>18</v>
      </c>
      <c r="H49" s="6" t="s">
        <v>19</v>
      </c>
      <c r="I49" s="6" t="s">
        <v>20</v>
      </c>
      <c r="J49" s="6" t="s">
        <v>21</v>
      </c>
    </row>
    <row r="50">
      <c r="A50" s="4">
        <v>46154.45334018518</v>
      </c>
      <c r="B50" s="6" t="s">
        <v>128</v>
      </c>
      <c r="C50" s="6" t="s">
        <v>423</v>
      </c>
      <c r="D50" s="6" t="s">
        <v>41</v>
      </c>
      <c r="E50" s="6" t="s">
        <v>16</v>
      </c>
      <c r="F50" s="6" t="s">
        <v>17</v>
      </c>
      <c r="G50" s="6" t="s">
        <v>18</v>
      </c>
      <c r="H50" s="6" t="s">
        <v>19</v>
      </c>
      <c r="I50" s="6" t="s">
        <v>20</v>
      </c>
      <c r="J50" s="6" t="s">
        <v>21</v>
      </c>
      <c r="K50" s="6" t="s">
        <v>29</v>
      </c>
    </row>
    <row r="51">
      <c r="A51" s="4">
        <v>46154.45752736111</v>
      </c>
      <c r="B51" s="6" t="s">
        <v>138</v>
      </c>
      <c r="C51" s="6" t="s">
        <v>444</v>
      </c>
      <c r="D51" s="6" t="s">
        <v>15</v>
      </c>
      <c r="E51" s="6" t="s">
        <v>16</v>
      </c>
      <c r="F51" s="6" t="s">
        <v>17</v>
      </c>
      <c r="G51" s="6" t="s">
        <v>18</v>
      </c>
      <c r="H51" s="6" t="s">
        <v>19</v>
      </c>
      <c r="I51" s="6" t="s">
        <v>20</v>
      </c>
      <c r="J51" s="6" t="s">
        <v>21</v>
      </c>
    </row>
    <row r="52">
      <c r="A52" s="4">
        <v>46154.45788458333</v>
      </c>
      <c r="B52" s="6" t="s">
        <v>65</v>
      </c>
      <c r="C52" s="6" t="s">
        <v>423</v>
      </c>
      <c r="D52" s="6" t="s">
        <v>15</v>
      </c>
      <c r="E52" s="6" t="s">
        <v>16</v>
      </c>
      <c r="F52" s="6" t="s">
        <v>17</v>
      </c>
      <c r="G52" s="6" t="s">
        <v>18</v>
      </c>
      <c r="H52" s="6" t="s">
        <v>19</v>
      </c>
      <c r="I52" s="6" t="s">
        <v>20</v>
      </c>
      <c r="J52" s="6" t="s">
        <v>21</v>
      </c>
    </row>
    <row r="53">
      <c r="A53" s="4">
        <v>46154.46340289352</v>
      </c>
      <c r="B53" s="6" t="s">
        <v>71</v>
      </c>
      <c r="C53" s="6" t="s">
        <v>428</v>
      </c>
      <c r="D53" s="6" t="s">
        <v>15</v>
      </c>
      <c r="E53" s="6" t="s">
        <v>16</v>
      </c>
      <c r="F53" s="6" t="s">
        <v>17</v>
      </c>
      <c r="G53" s="6" t="s">
        <v>18</v>
      </c>
      <c r="H53" s="6" t="s">
        <v>19</v>
      </c>
      <c r="I53" s="6" t="s">
        <v>20</v>
      </c>
      <c r="J53" s="6" t="s">
        <v>21</v>
      </c>
      <c r="K53" s="6" t="s">
        <v>445</v>
      </c>
    </row>
    <row r="54">
      <c r="A54" s="4">
        <v>46154.463803819446</v>
      </c>
      <c r="B54" s="6" t="s">
        <v>51</v>
      </c>
      <c r="C54" s="6" t="s">
        <v>423</v>
      </c>
      <c r="D54" s="6" t="s">
        <v>15</v>
      </c>
      <c r="E54" s="6" t="s">
        <v>16</v>
      </c>
      <c r="F54" s="6" t="s">
        <v>17</v>
      </c>
      <c r="G54" s="6" t="s">
        <v>18</v>
      </c>
      <c r="H54" s="6" t="s">
        <v>19</v>
      </c>
      <c r="I54" s="6" t="s">
        <v>47</v>
      </c>
      <c r="J54" s="6" t="s">
        <v>21</v>
      </c>
      <c r="K54" s="6" t="s">
        <v>446</v>
      </c>
    </row>
    <row r="55">
      <c r="A55" s="4">
        <v>46154.46712774306</v>
      </c>
      <c r="B55" s="6" t="s">
        <v>35</v>
      </c>
      <c r="C55" s="6" t="s">
        <v>447</v>
      </c>
      <c r="D55" s="6" t="s">
        <v>15</v>
      </c>
      <c r="E55" s="6" t="s">
        <v>16</v>
      </c>
      <c r="F55" s="6" t="s">
        <v>17</v>
      </c>
      <c r="G55" s="6" t="s">
        <v>18</v>
      </c>
      <c r="H55" s="6" t="s">
        <v>19</v>
      </c>
      <c r="I55" s="6" t="s">
        <v>20</v>
      </c>
      <c r="J55" s="6" t="s">
        <v>21</v>
      </c>
      <c r="K55" s="6" t="s">
        <v>448</v>
      </c>
    </row>
    <row r="56">
      <c r="A56" s="4">
        <v>46154.482676134256</v>
      </c>
      <c r="B56" s="6" t="s">
        <v>130</v>
      </c>
      <c r="C56" s="6" t="s">
        <v>428</v>
      </c>
      <c r="D56" s="6" t="s">
        <v>15</v>
      </c>
      <c r="E56" s="6" t="s">
        <v>16</v>
      </c>
      <c r="F56" s="6" t="s">
        <v>17</v>
      </c>
      <c r="G56" s="6" t="s">
        <v>18</v>
      </c>
      <c r="H56" s="6" t="s">
        <v>19</v>
      </c>
      <c r="I56" s="6" t="s">
        <v>20</v>
      </c>
      <c r="J56" s="6" t="s">
        <v>21</v>
      </c>
      <c r="K56" s="6" t="s">
        <v>449</v>
      </c>
    </row>
    <row r="57">
      <c r="A57" s="4">
        <v>46154.48418381944</v>
      </c>
      <c r="B57" s="6" t="s">
        <v>30</v>
      </c>
      <c r="C57" s="6" t="s">
        <v>423</v>
      </c>
      <c r="D57" s="6" t="s">
        <v>15</v>
      </c>
      <c r="E57" s="6" t="s">
        <v>16</v>
      </c>
      <c r="F57" s="6" t="s">
        <v>17</v>
      </c>
      <c r="G57" s="6" t="s">
        <v>18</v>
      </c>
      <c r="H57" s="6" t="s">
        <v>19</v>
      </c>
      <c r="I57" s="6" t="s">
        <v>20</v>
      </c>
      <c r="J57" s="6" t="s">
        <v>21</v>
      </c>
      <c r="K57" s="6" t="s">
        <v>450</v>
      </c>
    </row>
    <row r="58">
      <c r="A58" s="4">
        <v>46154.49203006944</v>
      </c>
      <c r="B58" s="6" t="s">
        <v>161</v>
      </c>
      <c r="C58" s="6" t="s">
        <v>451</v>
      </c>
      <c r="D58" s="6" t="s">
        <v>15</v>
      </c>
      <c r="E58" s="6" t="s">
        <v>16</v>
      </c>
      <c r="F58" s="6" t="s">
        <v>17</v>
      </c>
      <c r="G58" s="6" t="s">
        <v>18</v>
      </c>
      <c r="H58" s="6" t="s">
        <v>19</v>
      </c>
      <c r="I58" s="6" t="s">
        <v>20</v>
      </c>
      <c r="J58" s="6" t="s">
        <v>21</v>
      </c>
    </row>
    <row r="59">
      <c r="A59" s="4">
        <v>46154.52917861111</v>
      </c>
      <c r="B59" s="6" t="s">
        <v>98</v>
      </c>
      <c r="C59" s="6" t="s">
        <v>452</v>
      </c>
      <c r="D59" s="6" t="s">
        <v>15</v>
      </c>
      <c r="E59" s="6" t="s">
        <v>16</v>
      </c>
      <c r="F59" s="6" t="s">
        <v>17</v>
      </c>
      <c r="G59" s="6" t="s">
        <v>18</v>
      </c>
      <c r="H59" s="6" t="s">
        <v>19</v>
      </c>
      <c r="I59" s="6" t="s">
        <v>20</v>
      </c>
      <c r="J59" s="6" t="s">
        <v>21</v>
      </c>
    </row>
    <row r="60">
      <c r="A60" s="4">
        <v>46154.54109296296</v>
      </c>
      <c r="B60" s="6" t="s">
        <v>88</v>
      </c>
      <c r="C60" s="6" t="s">
        <v>423</v>
      </c>
      <c r="D60" s="6" t="s">
        <v>15</v>
      </c>
      <c r="E60" s="6" t="s">
        <v>16</v>
      </c>
      <c r="F60" s="6" t="s">
        <v>17</v>
      </c>
      <c r="G60" s="6" t="s">
        <v>18</v>
      </c>
      <c r="H60" s="6" t="s">
        <v>19</v>
      </c>
      <c r="I60" s="6" t="s">
        <v>20</v>
      </c>
      <c r="J60" s="6" t="s">
        <v>21</v>
      </c>
    </row>
    <row r="61">
      <c r="A61" s="4">
        <v>46154.54447395833</v>
      </c>
      <c r="B61" s="6" t="s">
        <v>114</v>
      </c>
      <c r="C61" s="6" t="s">
        <v>423</v>
      </c>
      <c r="D61" s="6" t="s">
        <v>15</v>
      </c>
      <c r="E61" s="6" t="s">
        <v>16</v>
      </c>
      <c r="F61" s="6" t="s">
        <v>17</v>
      </c>
      <c r="G61" s="6" t="s">
        <v>18</v>
      </c>
      <c r="H61" s="6" t="s">
        <v>19</v>
      </c>
      <c r="I61" s="6" t="s">
        <v>20</v>
      </c>
      <c r="J61" s="6" t="s">
        <v>21</v>
      </c>
    </row>
    <row r="62">
      <c r="A62" s="4">
        <v>46154.54481489584</v>
      </c>
      <c r="B62" s="6" t="s">
        <v>104</v>
      </c>
      <c r="C62" s="6" t="s">
        <v>423</v>
      </c>
      <c r="D62" s="6" t="s">
        <v>15</v>
      </c>
      <c r="E62" s="6" t="s">
        <v>33</v>
      </c>
      <c r="F62" s="6" t="s">
        <v>17</v>
      </c>
      <c r="G62" s="6" t="s">
        <v>18</v>
      </c>
      <c r="H62" s="6" t="s">
        <v>19</v>
      </c>
      <c r="I62" s="6" t="s">
        <v>20</v>
      </c>
      <c r="J62" s="6" t="s">
        <v>21</v>
      </c>
    </row>
    <row r="63">
      <c r="A63" s="4">
        <v>46154.545581087965</v>
      </c>
      <c r="B63" s="6" t="s">
        <v>68</v>
      </c>
      <c r="C63" s="6" t="s">
        <v>453</v>
      </c>
      <c r="D63" s="6" t="s">
        <v>15</v>
      </c>
      <c r="E63" s="6" t="s">
        <v>16</v>
      </c>
      <c r="F63" s="6" t="s">
        <v>17</v>
      </c>
      <c r="G63" s="6" t="s">
        <v>18</v>
      </c>
      <c r="H63" s="6" t="s">
        <v>19</v>
      </c>
      <c r="I63" s="6" t="s">
        <v>20</v>
      </c>
      <c r="J63" s="6" t="s">
        <v>21</v>
      </c>
    </row>
    <row r="64">
      <c r="A64" s="4">
        <v>46154.54808289352</v>
      </c>
      <c r="B64" s="6" t="s">
        <v>54</v>
      </c>
      <c r="C64" s="6" t="s">
        <v>423</v>
      </c>
      <c r="D64" s="6" t="s">
        <v>15</v>
      </c>
      <c r="E64" s="6" t="s">
        <v>16</v>
      </c>
      <c r="F64" s="6" t="s">
        <v>17</v>
      </c>
      <c r="G64" s="6" t="s">
        <v>18</v>
      </c>
      <c r="H64" s="6" t="s">
        <v>19</v>
      </c>
      <c r="I64" s="6" t="s">
        <v>20</v>
      </c>
      <c r="J64" s="6" t="s">
        <v>21</v>
      </c>
    </row>
    <row r="65">
      <c r="A65" s="4">
        <v>46154.54939487268</v>
      </c>
      <c r="B65" s="6" t="s">
        <v>93</v>
      </c>
      <c r="C65" s="6" t="s">
        <v>423</v>
      </c>
      <c r="D65" s="6" t="s">
        <v>15</v>
      </c>
      <c r="E65" s="6" t="s">
        <v>16</v>
      </c>
      <c r="F65" s="6" t="s">
        <v>17</v>
      </c>
      <c r="G65" s="6" t="s">
        <v>18</v>
      </c>
      <c r="H65" s="6" t="s">
        <v>19</v>
      </c>
      <c r="I65" s="6" t="s">
        <v>20</v>
      </c>
      <c r="J65" s="6" t="s">
        <v>21</v>
      </c>
      <c r="K65" s="6" t="s">
        <v>454</v>
      </c>
    </row>
    <row r="66">
      <c r="A66" s="4">
        <v>46154.557667395835</v>
      </c>
      <c r="B66" s="6" t="s">
        <v>125</v>
      </c>
      <c r="C66" s="6" t="s">
        <v>423</v>
      </c>
      <c r="D66" s="6" t="s">
        <v>15</v>
      </c>
      <c r="E66" s="6" t="s">
        <v>16</v>
      </c>
      <c r="F66" s="6" t="s">
        <v>17</v>
      </c>
      <c r="G66" s="6" t="s">
        <v>18</v>
      </c>
      <c r="H66" s="6" t="s">
        <v>19</v>
      </c>
      <c r="I66" s="6" t="s">
        <v>20</v>
      </c>
      <c r="J66" s="6" t="s">
        <v>21</v>
      </c>
    </row>
    <row r="67">
      <c r="A67" s="4">
        <v>46154.56090081019</v>
      </c>
      <c r="B67" s="6" t="s">
        <v>59</v>
      </c>
      <c r="C67" s="6" t="s">
        <v>60</v>
      </c>
      <c r="D67" s="6" t="s">
        <v>15</v>
      </c>
      <c r="E67" s="6" t="s">
        <v>16</v>
      </c>
      <c r="F67" s="6" t="s">
        <v>17</v>
      </c>
      <c r="G67" s="6" t="s">
        <v>18</v>
      </c>
      <c r="H67" s="6" t="s">
        <v>19</v>
      </c>
      <c r="I67" s="6" t="s">
        <v>20</v>
      </c>
      <c r="J67" s="6" t="s">
        <v>21</v>
      </c>
    </row>
    <row r="68">
      <c r="A68" s="4">
        <v>46154.56404278935</v>
      </c>
      <c r="B68" s="6" t="s">
        <v>25</v>
      </c>
      <c r="C68" s="6" t="s">
        <v>423</v>
      </c>
      <c r="D68" s="6" t="s">
        <v>15</v>
      </c>
      <c r="E68" s="6" t="s">
        <v>16</v>
      </c>
      <c r="F68" s="6" t="s">
        <v>17</v>
      </c>
      <c r="G68" s="6" t="s">
        <v>18</v>
      </c>
      <c r="H68" s="6" t="s">
        <v>19</v>
      </c>
      <c r="I68" s="6" t="s">
        <v>20</v>
      </c>
      <c r="J68" s="6" t="s">
        <v>21</v>
      </c>
    </row>
    <row r="69">
      <c r="A69" s="4">
        <v>46154.56902372686</v>
      </c>
      <c r="B69" s="6" t="s">
        <v>11</v>
      </c>
      <c r="C69" s="6" t="s">
        <v>430</v>
      </c>
      <c r="D69" s="6" t="s">
        <v>15</v>
      </c>
      <c r="E69" s="6" t="s">
        <v>16</v>
      </c>
      <c r="F69" s="6" t="s">
        <v>17</v>
      </c>
      <c r="G69" s="6" t="s">
        <v>18</v>
      </c>
      <c r="H69" s="6" t="s">
        <v>19</v>
      </c>
      <c r="I69" s="6" t="s">
        <v>20</v>
      </c>
      <c r="J69" s="6" t="s">
        <v>21</v>
      </c>
    </row>
    <row r="70">
      <c r="A70" s="4">
        <v>46154.576113055555</v>
      </c>
      <c r="B70" s="6" t="s">
        <v>108</v>
      </c>
      <c r="C70" s="6" t="s">
        <v>423</v>
      </c>
      <c r="D70" s="6" t="s">
        <v>15</v>
      </c>
      <c r="E70" s="6" t="s">
        <v>16</v>
      </c>
      <c r="F70" s="6" t="s">
        <v>17</v>
      </c>
      <c r="G70" s="6" t="s">
        <v>18</v>
      </c>
      <c r="H70" s="6" t="s">
        <v>19</v>
      </c>
      <c r="I70" s="6" t="s">
        <v>20</v>
      </c>
      <c r="J70" s="6" t="s">
        <v>21</v>
      </c>
    </row>
    <row r="71">
      <c r="A71" s="4">
        <v>46154.579967129626</v>
      </c>
      <c r="B71" s="6" t="s">
        <v>166</v>
      </c>
      <c r="C71" s="6" t="s">
        <v>423</v>
      </c>
      <c r="D71" s="6" t="s">
        <v>15</v>
      </c>
      <c r="E71" s="6" t="s">
        <v>16</v>
      </c>
      <c r="F71" s="6" t="s">
        <v>17</v>
      </c>
      <c r="G71" s="6" t="s">
        <v>18</v>
      </c>
      <c r="H71" s="6" t="s">
        <v>19</v>
      </c>
      <c r="I71" s="6" t="s">
        <v>47</v>
      </c>
      <c r="J71" s="6" t="s">
        <v>48</v>
      </c>
    </row>
    <row r="72">
      <c r="A72" s="4">
        <v>46154.58527542824</v>
      </c>
      <c r="B72" s="6" t="s">
        <v>134</v>
      </c>
      <c r="C72" s="6" t="s">
        <v>423</v>
      </c>
      <c r="D72" s="6" t="s">
        <v>15</v>
      </c>
      <c r="E72" s="6" t="s">
        <v>33</v>
      </c>
      <c r="F72" s="6" t="s">
        <v>17</v>
      </c>
      <c r="G72" s="6" t="s">
        <v>18</v>
      </c>
      <c r="H72" s="6" t="s">
        <v>19</v>
      </c>
      <c r="I72" s="6" t="s">
        <v>20</v>
      </c>
      <c r="J72" s="6" t="s">
        <v>21</v>
      </c>
    </row>
    <row r="73">
      <c r="A73" s="4">
        <v>46154.58832460648</v>
      </c>
      <c r="B73" s="6" t="s">
        <v>155</v>
      </c>
      <c r="C73" s="6" t="s">
        <v>423</v>
      </c>
      <c r="D73" s="6" t="s">
        <v>15</v>
      </c>
      <c r="E73" s="6" t="s">
        <v>16</v>
      </c>
      <c r="F73" s="6" t="s">
        <v>17</v>
      </c>
      <c r="G73" s="6" t="s">
        <v>18</v>
      </c>
      <c r="H73" s="6" t="s">
        <v>19</v>
      </c>
      <c r="I73" s="6" t="s">
        <v>20</v>
      </c>
      <c r="J73" s="6" t="s">
        <v>21</v>
      </c>
    </row>
    <row r="74">
      <c r="A74" s="4">
        <v>46154.603981712964</v>
      </c>
      <c r="B74" s="6" t="s">
        <v>123</v>
      </c>
      <c r="C74" s="6" t="s">
        <v>423</v>
      </c>
      <c r="D74" s="6" t="s">
        <v>15</v>
      </c>
      <c r="E74" s="6" t="s">
        <v>16</v>
      </c>
      <c r="F74" s="6" t="s">
        <v>17</v>
      </c>
      <c r="G74" s="6" t="s">
        <v>18</v>
      </c>
      <c r="H74" s="6" t="s">
        <v>19</v>
      </c>
      <c r="I74" s="6" t="s">
        <v>20</v>
      </c>
      <c r="J74" s="6" t="s">
        <v>21</v>
      </c>
    </row>
    <row r="75">
      <c r="A75" s="4">
        <v>46157.0509290162</v>
      </c>
      <c r="B75" s="6" t="s">
        <v>31</v>
      </c>
      <c r="C75" s="6" t="s">
        <v>423</v>
      </c>
      <c r="D75" s="6" t="s">
        <v>15</v>
      </c>
      <c r="E75" s="6" t="s">
        <v>16</v>
      </c>
      <c r="F75" s="6" t="s">
        <v>17</v>
      </c>
      <c r="G75" s="6" t="s">
        <v>18</v>
      </c>
      <c r="H75" s="6" t="s">
        <v>19</v>
      </c>
      <c r="I75" s="6" t="s">
        <v>20</v>
      </c>
      <c r="J75" s="6" t="s">
        <v>21</v>
      </c>
    </row>
    <row r="76">
      <c r="A76" s="4">
        <v>46157.37448745371</v>
      </c>
      <c r="B76" s="6" t="s">
        <v>119</v>
      </c>
      <c r="C76" s="6" t="s">
        <v>423</v>
      </c>
      <c r="D76" s="6" t="s">
        <v>41</v>
      </c>
      <c r="E76" s="6" t="s">
        <v>16</v>
      </c>
      <c r="F76" s="6" t="s">
        <v>17</v>
      </c>
      <c r="G76" s="6" t="s">
        <v>18</v>
      </c>
      <c r="H76" s="6" t="s">
        <v>19</v>
      </c>
      <c r="I76" s="6" t="s">
        <v>20</v>
      </c>
      <c r="J76" s="6" t="s">
        <v>21</v>
      </c>
    </row>
    <row r="77">
      <c r="A77" s="4">
        <v>46160.40742365741</v>
      </c>
      <c r="B77" s="6" t="s">
        <v>100</v>
      </c>
      <c r="C77" s="6" t="s">
        <v>423</v>
      </c>
      <c r="D77" s="6" t="s">
        <v>15</v>
      </c>
      <c r="E77" s="6" t="s">
        <v>16</v>
      </c>
      <c r="F77" s="6" t="s">
        <v>17</v>
      </c>
      <c r="G77" s="6" t="s">
        <v>18</v>
      </c>
      <c r="H77" s="6" t="s">
        <v>19</v>
      </c>
      <c r="I77" s="6" t="s">
        <v>20</v>
      </c>
      <c r="J77" s="6" t="s">
        <v>21</v>
      </c>
      <c r="K77" s="6" t="s">
        <v>386</v>
      </c>
    </row>
    <row r="78">
      <c r="A78" s="4">
        <v>46160.53968236111</v>
      </c>
      <c r="B78" s="6" t="s">
        <v>40</v>
      </c>
      <c r="C78" s="6" t="s">
        <v>428</v>
      </c>
      <c r="D78" s="6" t="s">
        <v>15</v>
      </c>
      <c r="E78" s="6" t="s">
        <v>16</v>
      </c>
      <c r="F78" s="6" t="s">
        <v>17</v>
      </c>
      <c r="G78" s="6" t="s">
        <v>18</v>
      </c>
      <c r="H78" s="6" t="s">
        <v>19</v>
      </c>
      <c r="I78" s="6" t="s">
        <v>20</v>
      </c>
      <c r="J78" s="6" t="s">
        <v>21</v>
      </c>
    </row>
    <row r="79">
      <c r="A79" s="4">
        <v>46183.59511041667</v>
      </c>
      <c r="B79" s="6" t="s">
        <v>12</v>
      </c>
      <c r="C79" s="6" t="s">
        <v>423</v>
      </c>
      <c r="D79" s="6" t="s">
        <v>15</v>
      </c>
      <c r="E79" s="6" t="s">
        <v>16</v>
      </c>
      <c r="F79" s="6" t="s">
        <v>17</v>
      </c>
      <c r="G79" s="6" t="s">
        <v>18</v>
      </c>
      <c r="H79" s="6" t="s">
        <v>19</v>
      </c>
      <c r="I79" s="6" t="s">
        <v>20</v>
      </c>
      <c r="J79" s="6" t="s">
        <v>21</v>
      </c>
    </row>
    <row r="80">
      <c r="A80" s="4">
        <v>46212.62207056713</v>
      </c>
      <c r="B80" s="6" t="s">
        <v>57</v>
      </c>
      <c r="C80" s="6" t="s">
        <v>455</v>
      </c>
      <c r="D80" s="6" t="s">
        <v>15</v>
      </c>
      <c r="E80" s="6" t="s">
        <v>33</v>
      </c>
      <c r="F80" s="6" t="s">
        <v>17</v>
      </c>
      <c r="G80" s="6" t="s">
        <v>18</v>
      </c>
      <c r="H80" s="6" t="s">
        <v>19</v>
      </c>
      <c r="I80" s="6" t="s">
        <v>20</v>
      </c>
      <c r="J80" s="6" t="s">
        <v>21</v>
      </c>
    </row>
    <row r="81">
      <c r="A81" s="4">
        <v>46212.62568181713</v>
      </c>
      <c r="B81" s="6" t="s">
        <v>22</v>
      </c>
      <c r="C81" s="6" t="s">
        <v>456</v>
      </c>
      <c r="D81" s="6" t="s">
        <v>15</v>
      </c>
      <c r="E81" s="6" t="s">
        <v>16</v>
      </c>
      <c r="F81" s="6" t="s">
        <v>17</v>
      </c>
      <c r="G81" s="6" t="s">
        <v>18</v>
      </c>
      <c r="H81" s="6" t="s">
        <v>19</v>
      </c>
      <c r="I81" s="6" t="s">
        <v>20</v>
      </c>
      <c r="J81" s="6" t="s">
        <v>21</v>
      </c>
    </row>
    <row r="82">
      <c r="A82" s="4">
        <v>46212.628558888886</v>
      </c>
      <c r="B82" s="6" t="s">
        <v>133</v>
      </c>
      <c r="C82" s="6" t="s">
        <v>457</v>
      </c>
      <c r="D82" s="6" t="s">
        <v>15</v>
      </c>
      <c r="E82" s="6" t="s">
        <v>16</v>
      </c>
      <c r="F82" s="6" t="s">
        <v>17</v>
      </c>
      <c r="G82" s="6" t="s">
        <v>18</v>
      </c>
      <c r="H82" s="6" t="s">
        <v>19</v>
      </c>
      <c r="I82" s="6" t="s">
        <v>20</v>
      </c>
      <c r="J82" s="6" t="s">
        <v>21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4" max="4" width="2.13"/>
    <col customWidth="1" min="14" max="14" width="24.5"/>
  </cols>
  <sheetData>
    <row r="1">
      <c r="A1" s="2" t="s">
        <v>0</v>
      </c>
      <c r="B1" s="2" t="s">
        <v>1</v>
      </c>
      <c r="C1" s="3" t="s">
        <v>2</v>
      </c>
      <c r="D1" s="5"/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3" t="s">
        <v>9</v>
      </c>
      <c r="L1" s="2"/>
      <c r="M1" s="7" t="s">
        <v>24</v>
      </c>
    </row>
    <row r="2">
      <c r="A2" s="8">
        <f>'1.9'!A:A</f>
        <v>46154.42952</v>
      </c>
      <c r="B2" s="2" t="str">
        <f>'1.9'!B:B</f>
        <v>bnco0932@signalschool.ac.th</v>
      </c>
      <c r="C2" s="2" t="str">
        <f>'1.9'!C:C</f>
        <v>พ.ต.หญิงพิมพ์ชนก จิรัฎฐิติกาล</v>
      </c>
      <c r="D2" s="9">
        <v>1.0</v>
      </c>
      <c r="E2" s="10">
        <f>IFERROR(vlookup('1.9'!D:D,lookup!$A$2:$B$4,2,false),0)</f>
        <v>5</v>
      </c>
      <c r="F2" s="10">
        <f>IFERROR(vlookup('1.9'!E:E,lookup!$A$6:$B$8,2,false),0)</f>
        <v>5</v>
      </c>
      <c r="G2" s="10">
        <f>IFERROR(vlookup('1.9'!F:F,lookup!$A$10:$B$12,2,false),0)</f>
        <v>5</v>
      </c>
      <c r="H2" s="10">
        <f>IFERROR(vlookup('1.9'!G:G,lookup!$A$14:$B$16,2,false),0)</f>
        <v>5</v>
      </c>
      <c r="I2" s="10">
        <f>IFERROR(vlookup('1.9'!H:H,lookup!$A$18:$B$20,2,false),0)</f>
        <v>5</v>
      </c>
      <c r="J2" s="10">
        <f>IFERROR(vlookup('1.9'!I:I,lookup!$A$22:$B$24,2,false),0)</f>
        <v>5</v>
      </c>
      <c r="K2" s="10">
        <f>IFERROR(vlookup('1.9'!J:J,lookup!$A$26:$B$28,2,false),0)</f>
        <v>5</v>
      </c>
      <c r="L2" s="2"/>
      <c r="M2" s="10">
        <v>1.0</v>
      </c>
      <c r="N2" s="11" t="str">
        <f t="shared" ref="N2:N81" si="1">CONCAT(R2,"@signalschool.ac.th")</f>
        <v>bnco0901@signalschool.ac.th</v>
      </c>
      <c r="O2" s="12">
        <f t="shared" ref="O2:O81" si="2">IFERROR(VLOOKUP(N2,B$2:D$81,3,FALSE),0)</f>
        <v>1</v>
      </c>
      <c r="R2" s="17" t="s">
        <v>116</v>
      </c>
    </row>
    <row r="3">
      <c r="A3" s="8">
        <f>'1.9'!A:A</f>
        <v>46154.42983</v>
      </c>
      <c r="B3" s="2" t="str">
        <f>'1.9'!B:B</f>
        <v>bnco0923@signalschool.ac.th</v>
      </c>
      <c r="C3" s="2" t="str">
        <f>'1.9'!C:C</f>
        <v>พ.ต.หญิงพิมพ์ชนก จิรัฎฐิติกาล</v>
      </c>
      <c r="D3" s="9">
        <v>1.0</v>
      </c>
      <c r="E3" s="10">
        <f>IFERROR(vlookup('1.9'!D:D,lookup!$A$2:$B$4,2,false),0)</f>
        <v>5</v>
      </c>
      <c r="F3" s="10">
        <f>IFERROR(vlookup('1.9'!E:E,lookup!$A$6:$B$8,2,false),0)</f>
        <v>5</v>
      </c>
      <c r="G3" s="10">
        <f>IFERROR(vlookup('1.9'!F:F,lookup!$A$10:$B$12,2,false),0)</f>
        <v>5</v>
      </c>
      <c r="H3" s="10">
        <f>IFERROR(vlookup('1.9'!G:G,lookup!$A$14:$B$16,2,false),0)</f>
        <v>5</v>
      </c>
      <c r="I3" s="10">
        <f>IFERROR(vlookup('1.9'!H:H,lookup!$A$18:$B$20,2,false),0)</f>
        <v>5</v>
      </c>
      <c r="J3" s="10">
        <f>IFERROR(vlookup('1.9'!I:I,lookup!$A$22:$B$24,2,false),0)</f>
        <v>5</v>
      </c>
      <c r="K3" s="10">
        <f>IFERROR(vlookup('1.9'!J:J,lookup!$A$26:$B$28,2,false),0)</f>
        <v>5</v>
      </c>
      <c r="L3" s="2"/>
      <c r="M3" s="10">
        <v>2.0</v>
      </c>
      <c r="N3" s="11" t="str">
        <f t="shared" si="1"/>
        <v>bnco0902@signalschool.ac.th</v>
      </c>
      <c r="O3" s="12">
        <f t="shared" si="2"/>
        <v>1</v>
      </c>
      <c r="R3" s="17" t="s">
        <v>157</v>
      </c>
    </row>
    <row r="4">
      <c r="A4" s="8">
        <f>'1.9'!A:A</f>
        <v>46154.42985</v>
      </c>
      <c r="B4" s="2" t="str">
        <f>'1.9'!B:B</f>
        <v>bnco0945@signalschool.ac.th</v>
      </c>
      <c r="C4" s="2" t="str">
        <f>'1.9'!C:C</f>
        <v>พ.ต.หญิงพิมพ์ชนก จิรัฎฐิติกาล</v>
      </c>
      <c r="D4" s="9">
        <v>1.0</v>
      </c>
      <c r="E4" s="10">
        <f>IFERROR(vlookup('1.9'!D:D,lookup!$A$2:$B$4,2,false),0)</f>
        <v>5</v>
      </c>
      <c r="F4" s="10">
        <f>IFERROR(vlookup('1.9'!E:E,lookup!$A$6:$B$8,2,false),0)</f>
        <v>5</v>
      </c>
      <c r="G4" s="10">
        <f>IFERROR(vlookup('1.9'!F:F,lookup!$A$10:$B$12,2,false),0)</f>
        <v>5</v>
      </c>
      <c r="H4" s="10">
        <f>IFERROR(vlookup('1.9'!G:G,lookup!$A$14:$B$16,2,false),0)</f>
        <v>5</v>
      </c>
      <c r="I4" s="10">
        <f>IFERROR(vlookup('1.9'!H:H,lookup!$A$18:$B$20,2,false),0)</f>
        <v>5</v>
      </c>
      <c r="J4" s="10">
        <f>IFERROR(vlookup('1.9'!I:I,lookup!$A$22:$B$24,2,false),0)</f>
        <v>5</v>
      </c>
      <c r="K4" s="10">
        <f>IFERROR(vlookup('1.9'!J:J,lookup!$A$26:$B$28,2,false),0)</f>
        <v>5</v>
      </c>
      <c r="L4" s="2"/>
      <c r="M4" s="10">
        <v>3.0</v>
      </c>
      <c r="N4" s="11" t="str">
        <f t="shared" si="1"/>
        <v>bnco0903@signalschool.ac.th</v>
      </c>
      <c r="O4" s="12">
        <f t="shared" si="2"/>
        <v>1</v>
      </c>
      <c r="R4" s="17" t="s">
        <v>182</v>
      </c>
    </row>
    <row r="5">
      <c r="A5" s="8">
        <f>'1.9'!A:A</f>
        <v>46154.43002</v>
      </c>
      <c r="B5" s="2" t="str">
        <f>'1.9'!B:B</f>
        <v>bnco0925@signalschool.ac.th</v>
      </c>
      <c r="C5" s="2" t="str">
        <f>'1.9'!C:C</f>
        <v>พ.ต.หญิงพิมพ์ชนก จิรัฎฐิติกาล</v>
      </c>
      <c r="D5" s="9">
        <v>1.0</v>
      </c>
      <c r="E5" s="10">
        <f>IFERROR(vlookup('1.9'!D:D,lookup!$A$2:$B$4,2,false),0)</f>
        <v>5</v>
      </c>
      <c r="F5" s="10">
        <f>IFERROR(vlookup('1.9'!E:E,lookup!$A$6:$B$8,2,false),0)</f>
        <v>5</v>
      </c>
      <c r="G5" s="10">
        <f>IFERROR(vlookup('1.9'!F:F,lookup!$A$10:$B$12,2,false),0)</f>
        <v>5</v>
      </c>
      <c r="H5" s="10">
        <f>IFERROR(vlookup('1.9'!G:G,lookup!$A$14:$B$16,2,false),0)</f>
        <v>5</v>
      </c>
      <c r="I5" s="10">
        <f>IFERROR(vlookup('1.9'!H:H,lookup!$A$18:$B$20,2,false),0)</f>
        <v>5</v>
      </c>
      <c r="J5" s="10">
        <f>IFERROR(vlookup('1.9'!I:I,lookup!$A$22:$B$24,2,false),0)</f>
        <v>5</v>
      </c>
      <c r="K5" s="10">
        <f>IFERROR(vlookup('1.9'!J:J,lookup!$A$26:$B$28,2,false),0)</f>
        <v>5</v>
      </c>
      <c r="L5" s="2"/>
      <c r="M5" s="10">
        <v>4.0</v>
      </c>
      <c r="N5" s="11" t="str">
        <f t="shared" si="1"/>
        <v>bnco0904@signalschool.ac.th</v>
      </c>
      <c r="O5" s="12">
        <f t="shared" si="2"/>
        <v>1</v>
      </c>
      <c r="R5" s="17" t="s">
        <v>193</v>
      </c>
    </row>
    <row r="6">
      <c r="A6" s="8">
        <f>'1.9'!A:A</f>
        <v>46154.43016</v>
      </c>
      <c r="B6" s="2" t="str">
        <f>'1.9'!B:B</f>
        <v>bnco0903@signalschool.ac.th</v>
      </c>
      <c r="C6" s="2" t="str">
        <f>'1.9'!C:C</f>
        <v>พ.ต.หญิงพิมพ์ชนก จิรัฎฐิติกาล</v>
      </c>
      <c r="D6" s="9">
        <v>1.0</v>
      </c>
      <c r="E6" s="10">
        <f>IFERROR(vlookup('1.9'!D:D,lookup!$A$2:$B$4,2,false),0)</f>
        <v>5</v>
      </c>
      <c r="F6" s="10">
        <f>IFERROR(vlookup('1.9'!E:E,lookup!$A$6:$B$8,2,false),0)</f>
        <v>5</v>
      </c>
      <c r="G6" s="10">
        <f>IFERROR(vlookup('1.9'!F:F,lookup!$A$10:$B$12,2,false),0)</f>
        <v>5</v>
      </c>
      <c r="H6" s="10">
        <f>IFERROR(vlookup('1.9'!G:G,lookup!$A$14:$B$16,2,false),0)</f>
        <v>5</v>
      </c>
      <c r="I6" s="10">
        <f>IFERROR(vlookup('1.9'!H:H,lookup!$A$18:$B$20,2,false),0)</f>
        <v>5</v>
      </c>
      <c r="J6" s="10">
        <f>IFERROR(vlookup('1.9'!I:I,lookup!$A$22:$B$24,2,false),0)</f>
        <v>5</v>
      </c>
      <c r="K6" s="10">
        <f>IFERROR(vlookup('1.9'!J:J,lookup!$A$26:$B$28,2,false),0)</f>
        <v>5</v>
      </c>
      <c r="L6" s="2"/>
      <c r="M6" s="10">
        <v>5.0</v>
      </c>
      <c r="N6" s="11" t="str">
        <f t="shared" si="1"/>
        <v>bnco0905@signalschool.ac.th</v>
      </c>
      <c r="O6" s="12">
        <f t="shared" si="2"/>
        <v>1</v>
      </c>
      <c r="R6" s="17" t="s">
        <v>197</v>
      </c>
    </row>
    <row r="7">
      <c r="A7" s="8">
        <f>'1.9'!A:A</f>
        <v>46154.43018</v>
      </c>
      <c r="B7" s="2" t="str">
        <f>'1.9'!B:B</f>
        <v>bnco0952@signalschool.ac.th</v>
      </c>
      <c r="C7" s="2" t="str">
        <f>'1.9'!C:C</f>
        <v>พ.ต.หญิงพิมพ์ชนก จิรัฎฐิติกาล</v>
      </c>
      <c r="D7" s="9">
        <v>1.0</v>
      </c>
      <c r="E7" s="10">
        <f>IFERROR(vlookup('1.9'!D:D,lookup!$A$2:$B$4,2,false),0)</f>
        <v>5</v>
      </c>
      <c r="F7" s="10">
        <f>IFERROR(vlookup('1.9'!E:E,lookup!$A$6:$B$8,2,false),0)</f>
        <v>5</v>
      </c>
      <c r="G7" s="10">
        <f>IFERROR(vlookup('1.9'!F:F,lookup!$A$10:$B$12,2,false),0)</f>
        <v>5</v>
      </c>
      <c r="H7" s="10">
        <f>IFERROR(vlookup('1.9'!G:G,lookup!$A$14:$B$16,2,false),0)</f>
        <v>5</v>
      </c>
      <c r="I7" s="10">
        <f>IFERROR(vlookup('1.9'!H:H,lookup!$A$18:$B$20,2,false),0)</f>
        <v>5</v>
      </c>
      <c r="J7" s="10">
        <f>IFERROR(vlookup('1.9'!I:I,lookup!$A$22:$B$24,2,false),0)</f>
        <v>5</v>
      </c>
      <c r="K7" s="10">
        <f>IFERROR(vlookup('1.9'!J:J,lookup!$A$26:$B$28,2,false),0)</f>
        <v>5</v>
      </c>
      <c r="L7" s="2"/>
      <c r="M7" s="10">
        <v>6.0</v>
      </c>
      <c r="N7" s="11" t="str">
        <f t="shared" si="1"/>
        <v>bnco0906@signalschool.ac.th</v>
      </c>
      <c r="O7" s="12">
        <f t="shared" si="2"/>
        <v>1</v>
      </c>
      <c r="R7" s="17" t="s">
        <v>203</v>
      </c>
    </row>
    <row r="8">
      <c r="A8" s="8">
        <f>'1.9'!A:A</f>
        <v>46154.43025</v>
      </c>
      <c r="B8" s="2" t="str">
        <f>'1.9'!B:B</f>
        <v>bnco0956@signalschool.ac.th</v>
      </c>
      <c r="C8" s="2" t="str">
        <f>'1.9'!C:C</f>
        <v>พ.ต.หญิงพิมพ์ชนก จิรัฎฐิติกาล</v>
      </c>
      <c r="D8" s="9">
        <v>1.0</v>
      </c>
      <c r="E8" s="10">
        <f>IFERROR(vlookup('1.9'!D:D,lookup!$A$2:$B$4,2,false),0)</f>
        <v>5</v>
      </c>
      <c r="F8" s="10">
        <f>IFERROR(vlookup('1.9'!E:E,lookup!$A$6:$B$8,2,false),0)</f>
        <v>5</v>
      </c>
      <c r="G8" s="10">
        <f>IFERROR(vlookup('1.9'!F:F,lookup!$A$10:$B$12,2,false),0)</f>
        <v>5</v>
      </c>
      <c r="H8" s="10">
        <f>IFERROR(vlookup('1.9'!G:G,lookup!$A$14:$B$16,2,false),0)</f>
        <v>5</v>
      </c>
      <c r="I8" s="10">
        <f>IFERROR(vlookup('1.9'!H:H,lookup!$A$18:$B$20,2,false),0)</f>
        <v>5</v>
      </c>
      <c r="J8" s="10">
        <f>IFERROR(vlookup('1.9'!I:I,lookup!$A$22:$B$24,2,false),0)</f>
        <v>5</v>
      </c>
      <c r="K8" s="10">
        <f>IFERROR(vlookup('1.9'!J:J,lookup!$A$26:$B$28,2,false),0)</f>
        <v>5</v>
      </c>
      <c r="L8" s="2"/>
      <c r="M8" s="10">
        <v>7.0</v>
      </c>
      <c r="N8" s="11" t="str">
        <f t="shared" si="1"/>
        <v>bnco0907@signalschool.ac.th</v>
      </c>
      <c r="O8" s="12">
        <f t="shared" si="2"/>
        <v>1</v>
      </c>
      <c r="R8" s="17" t="s">
        <v>206</v>
      </c>
    </row>
    <row r="9">
      <c r="A9" s="8">
        <f>'1.9'!A:A</f>
        <v>46154.43061</v>
      </c>
      <c r="B9" s="2" t="str">
        <f>'1.9'!B:B</f>
        <v>bnco0937@signalschool.ac.th</v>
      </c>
      <c r="C9" s="2" t="str">
        <f>'1.9'!C:C</f>
        <v>พ.ต.หญิง พิมพ์ชนก จิรัฎฐิติกาล</v>
      </c>
      <c r="D9" s="9">
        <v>1.0</v>
      </c>
      <c r="E9" s="10">
        <f>IFERROR(vlookup('1.9'!D:D,lookup!$A$2:$B$4,2,false),0)</f>
        <v>5</v>
      </c>
      <c r="F9" s="10">
        <f>IFERROR(vlookup('1.9'!E:E,lookup!$A$6:$B$8,2,false),0)</f>
        <v>5</v>
      </c>
      <c r="G9" s="10">
        <f>IFERROR(vlookup('1.9'!F:F,lookup!$A$10:$B$12,2,false),0)</f>
        <v>5</v>
      </c>
      <c r="H9" s="10">
        <f>IFERROR(vlookup('1.9'!G:G,lookup!$A$14:$B$16,2,false),0)</f>
        <v>5</v>
      </c>
      <c r="I9" s="10">
        <f>IFERROR(vlookup('1.9'!H:H,lookup!$A$18:$B$20,2,false),0)</f>
        <v>5</v>
      </c>
      <c r="J9" s="10">
        <f>IFERROR(vlookup('1.9'!I:I,lookup!$A$22:$B$24,2,false),0)</f>
        <v>5</v>
      </c>
      <c r="K9" s="10">
        <f>IFERROR(vlookup('1.9'!J:J,lookup!$A$26:$B$28,2,false),0)</f>
        <v>5</v>
      </c>
      <c r="L9" s="2"/>
      <c r="M9" s="10">
        <v>8.0</v>
      </c>
      <c r="N9" s="11" t="str">
        <f t="shared" si="1"/>
        <v>bnco0908@signalschool.ac.th</v>
      </c>
      <c r="O9" s="12">
        <f t="shared" si="2"/>
        <v>1</v>
      </c>
      <c r="R9" s="17" t="s">
        <v>211</v>
      </c>
    </row>
    <row r="10">
      <c r="A10" s="8">
        <f>'1.9'!A:A</f>
        <v>46154.43107</v>
      </c>
      <c r="B10" s="2" t="str">
        <f>'1.9'!B:B</f>
        <v>bnco0949@signalschool.ac.th</v>
      </c>
      <c r="C10" s="2" t="str">
        <f>'1.9'!C:C</f>
        <v>พ.ต.หญิงพิมพ์ชนก จิรัฎฐิติกาล</v>
      </c>
      <c r="D10" s="9">
        <v>1.0</v>
      </c>
      <c r="E10" s="10">
        <f>IFERROR(vlookup('1.9'!D:D,lookup!$A$2:$B$4,2,false),0)</f>
        <v>5</v>
      </c>
      <c r="F10" s="10">
        <f>IFERROR(vlookup('1.9'!E:E,lookup!$A$6:$B$8,2,false),0)</f>
        <v>5</v>
      </c>
      <c r="G10" s="10">
        <f>IFERROR(vlookup('1.9'!F:F,lookup!$A$10:$B$12,2,false),0)</f>
        <v>5</v>
      </c>
      <c r="H10" s="10">
        <f>IFERROR(vlookup('1.9'!G:G,lookup!$A$14:$B$16,2,false),0)</f>
        <v>5</v>
      </c>
      <c r="I10" s="10">
        <f>IFERROR(vlookup('1.9'!H:H,lookup!$A$18:$B$20,2,false),0)</f>
        <v>5</v>
      </c>
      <c r="J10" s="10">
        <f>IFERROR(vlookup('1.9'!I:I,lookup!$A$22:$B$24,2,false),0)</f>
        <v>5</v>
      </c>
      <c r="K10" s="10">
        <f>IFERROR(vlookup('1.9'!J:J,lookup!$A$26:$B$28,2,false),0)</f>
        <v>5</v>
      </c>
      <c r="L10" s="2"/>
      <c r="M10" s="10">
        <v>9.0</v>
      </c>
      <c r="N10" s="11" t="str">
        <f t="shared" si="1"/>
        <v>bnco0909@signalschool.ac.th</v>
      </c>
      <c r="O10" s="12">
        <f t="shared" si="2"/>
        <v>1</v>
      </c>
      <c r="R10" s="17" t="s">
        <v>212</v>
      </c>
    </row>
    <row r="11">
      <c r="A11" s="8">
        <f>'1.9'!A:A</f>
        <v>46154.43137</v>
      </c>
      <c r="B11" s="2" t="str">
        <f>'1.9'!B:B</f>
        <v>bnco0922@signalschool.ac.th</v>
      </c>
      <c r="C11" s="2" t="str">
        <f>'1.9'!C:C</f>
        <v>พ.ต.หญิงพิมพ์ชนก จิรัฎฐิติกาล</v>
      </c>
      <c r="D11" s="9">
        <v>1.0</v>
      </c>
      <c r="E11" s="10">
        <f>IFERROR(vlookup('1.9'!D:D,lookup!$A$2:$B$4,2,false),0)</f>
        <v>5</v>
      </c>
      <c r="F11" s="10">
        <f>IFERROR(vlookup('1.9'!E:E,lookup!$A$6:$B$8,2,false),0)</f>
        <v>5</v>
      </c>
      <c r="G11" s="10">
        <f>IFERROR(vlookup('1.9'!F:F,lookup!$A$10:$B$12,2,false),0)</f>
        <v>5</v>
      </c>
      <c r="H11" s="10">
        <f>IFERROR(vlookup('1.9'!G:G,lookup!$A$14:$B$16,2,false),0)</f>
        <v>5</v>
      </c>
      <c r="I11" s="10">
        <f>IFERROR(vlookup('1.9'!H:H,lookup!$A$18:$B$20,2,false),0)</f>
        <v>5</v>
      </c>
      <c r="J11" s="10">
        <f>IFERROR(vlookup('1.9'!I:I,lookup!$A$22:$B$24,2,false),0)</f>
        <v>5</v>
      </c>
      <c r="K11" s="10">
        <f>IFERROR(vlookup('1.9'!J:J,lookup!$A$26:$B$28,2,false),0)</f>
        <v>5</v>
      </c>
      <c r="L11" s="2"/>
      <c r="M11" s="10">
        <v>10.0</v>
      </c>
      <c r="N11" s="11" t="str">
        <f t="shared" si="1"/>
        <v>bnco0910@signalschool.ac.th</v>
      </c>
      <c r="O11" s="12">
        <f t="shared" si="2"/>
        <v>1</v>
      </c>
      <c r="R11" s="17" t="s">
        <v>213</v>
      </c>
    </row>
    <row r="12">
      <c r="A12" s="8">
        <f>'1.9'!A:A</f>
        <v>46154.43139</v>
      </c>
      <c r="B12" s="2" t="str">
        <f>'1.9'!B:B</f>
        <v>bnco0973@signalschool.ac.th</v>
      </c>
      <c r="C12" s="2" t="str">
        <f>'1.9'!C:C</f>
        <v>พ.ต.หญิงพิมพ์ชนก จิรัฎฐิติกาล</v>
      </c>
      <c r="D12" s="9">
        <v>1.0</v>
      </c>
      <c r="E12" s="10">
        <f>IFERROR(vlookup('1.9'!D:D,lookup!$A$2:$B$4,2,false),0)</f>
        <v>5</v>
      </c>
      <c r="F12" s="10">
        <f>IFERROR(vlookup('1.9'!E:E,lookup!$A$6:$B$8,2,false),0)</f>
        <v>5</v>
      </c>
      <c r="G12" s="10">
        <f>IFERROR(vlookup('1.9'!F:F,lookup!$A$10:$B$12,2,false),0)</f>
        <v>5</v>
      </c>
      <c r="H12" s="10">
        <f>IFERROR(vlookup('1.9'!G:G,lookup!$A$14:$B$16,2,false),0)</f>
        <v>5</v>
      </c>
      <c r="I12" s="10">
        <f>IFERROR(vlookup('1.9'!H:H,lookup!$A$18:$B$20,2,false),0)</f>
        <v>5</v>
      </c>
      <c r="J12" s="10">
        <f>IFERROR(vlookup('1.9'!I:I,lookup!$A$22:$B$24,2,false),0)</f>
        <v>5</v>
      </c>
      <c r="K12" s="10">
        <f>IFERROR(vlookup('1.9'!J:J,lookup!$A$26:$B$28,2,false),0)</f>
        <v>5</v>
      </c>
      <c r="L12" s="2"/>
      <c r="M12" s="10">
        <v>11.0</v>
      </c>
      <c r="N12" s="11" t="str">
        <f t="shared" si="1"/>
        <v>bnco0911@signalschool.ac.th</v>
      </c>
      <c r="O12" s="12">
        <f t="shared" si="2"/>
        <v>1</v>
      </c>
      <c r="R12" s="17" t="s">
        <v>214</v>
      </c>
    </row>
    <row r="13">
      <c r="A13" s="8">
        <f>'1.9'!A:A</f>
        <v>46154.43166</v>
      </c>
      <c r="B13" s="2" t="str">
        <f>'1.9'!B:B</f>
        <v>bnco0935@signalschool.ac.th</v>
      </c>
      <c r="C13" s="2" t="str">
        <f>'1.9'!C:C</f>
        <v>พ.ต.หญิงพิมพ์ชนก จิรัฎฐิติกาล</v>
      </c>
      <c r="D13" s="9">
        <v>1.0</v>
      </c>
      <c r="E13" s="10">
        <f>IFERROR(vlookup('1.9'!D:D,lookup!$A$2:$B$4,2,false),0)</f>
        <v>5</v>
      </c>
      <c r="F13" s="10">
        <f>IFERROR(vlookup('1.9'!E:E,lookup!$A$6:$B$8,2,false),0)</f>
        <v>5</v>
      </c>
      <c r="G13" s="10">
        <f>IFERROR(vlookup('1.9'!F:F,lookup!$A$10:$B$12,2,false),0)</f>
        <v>5</v>
      </c>
      <c r="H13" s="10">
        <f>IFERROR(vlookup('1.9'!G:G,lookup!$A$14:$B$16,2,false),0)</f>
        <v>5</v>
      </c>
      <c r="I13" s="10">
        <f>IFERROR(vlookup('1.9'!H:H,lookup!$A$18:$B$20,2,false),0)</f>
        <v>5</v>
      </c>
      <c r="J13" s="10">
        <f>IFERROR(vlookup('1.9'!I:I,lookup!$A$22:$B$24,2,false),0)</f>
        <v>5</v>
      </c>
      <c r="K13" s="10">
        <f>IFERROR(vlookup('1.9'!J:J,lookup!$A$26:$B$28,2,false),0)</f>
        <v>5</v>
      </c>
      <c r="L13" s="2"/>
      <c r="M13" s="10">
        <v>12.0</v>
      </c>
      <c r="N13" s="11" t="str">
        <f t="shared" si="1"/>
        <v>bnco0912@signalschool.ac.th</v>
      </c>
      <c r="O13" s="12">
        <f t="shared" si="2"/>
        <v>1</v>
      </c>
      <c r="R13" s="17" t="s">
        <v>222</v>
      </c>
    </row>
    <row r="14">
      <c r="A14" s="8">
        <f>'1.9'!A:A</f>
        <v>46154.43185</v>
      </c>
      <c r="B14" s="2" t="str">
        <f>'1.9'!B:B</f>
        <v>bnco0977@signalschool.ac.th</v>
      </c>
      <c r="C14" s="2" t="str">
        <f>'1.9'!C:C</f>
        <v>พ.ต.หญิงพิมพ์ชนก จิรัฎฐิติกาล</v>
      </c>
      <c r="D14" s="9">
        <v>1.0</v>
      </c>
      <c r="E14" s="10">
        <f>IFERROR(vlookup('1.9'!D:D,lookup!$A$2:$B$4,2,false),0)</f>
        <v>5</v>
      </c>
      <c r="F14" s="10">
        <f>IFERROR(vlookup('1.9'!E:E,lookup!$A$6:$B$8,2,false),0)</f>
        <v>5</v>
      </c>
      <c r="G14" s="10">
        <f>IFERROR(vlookup('1.9'!F:F,lookup!$A$10:$B$12,2,false),0)</f>
        <v>5</v>
      </c>
      <c r="H14" s="10">
        <f>IFERROR(vlookup('1.9'!G:G,lookup!$A$14:$B$16,2,false),0)</f>
        <v>5</v>
      </c>
      <c r="I14" s="10">
        <f>IFERROR(vlookup('1.9'!H:H,lookup!$A$18:$B$20,2,false),0)</f>
        <v>5</v>
      </c>
      <c r="J14" s="10">
        <f>IFERROR(vlookup('1.9'!I:I,lookup!$A$22:$B$24,2,false),0)</f>
        <v>5</v>
      </c>
      <c r="K14" s="10">
        <f>IFERROR(vlookup('1.9'!J:J,lookup!$A$26:$B$28,2,false),0)</f>
        <v>5</v>
      </c>
      <c r="L14" s="2"/>
      <c r="M14" s="10">
        <v>13.0</v>
      </c>
      <c r="N14" s="11" t="str">
        <f t="shared" si="1"/>
        <v>bnco0913@signalschool.ac.th</v>
      </c>
      <c r="O14" s="12">
        <f t="shared" si="2"/>
        <v>1</v>
      </c>
      <c r="R14" s="17" t="s">
        <v>227</v>
      </c>
    </row>
    <row r="15">
      <c r="A15" s="8">
        <f>'1.9'!A:A</f>
        <v>46154.43191</v>
      </c>
      <c r="B15" s="2" t="str">
        <f>'1.9'!B:B</f>
        <v>bnco0913@signalschool.ac.th</v>
      </c>
      <c r="C15" s="2" t="str">
        <f>'1.9'!C:C</f>
        <v>พ.ต.หญิงพิมพ์ชนก จิรัฎฐิติกาล</v>
      </c>
      <c r="D15" s="9">
        <v>1.0</v>
      </c>
      <c r="E15" s="10">
        <f>IFERROR(vlookup('1.9'!D:D,lookup!$A$2:$B$4,2,false),0)</f>
        <v>5</v>
      </c>
      <c r="F15" s="10">
        <f>IFERROR(vlookup('1.9'!E:E,lookup!$A$6:$B$8,2,false),0)</f>
        <v>5</v>
      </c>
      <c r="G15" s="10">
        <f>IFERROR(vlookup('1.9'!F:F,lookup!$A$10:$B$12,2,false),0)</f>
        <v>5</v>
      </c>
      <c r="H15" s="10">
        <f>IFERROR(vlookup('1.9'!G:G,lookup!$A$14:$B$16,2,false),0)</f>
        <v>5</v>
      </c>
      <c r="I15" s="10">
        <f>IFERROR(vlookup('1.9'!H:H,lookup!$A$18:$B$20,2,false),0)</f>
        <v>5</v>
      </c>
      <c r="J15" s="10">
        <f>IFERROR(vlookup('1.9'!I:I,lookup!$A$22:$B$24,2,false),0)</f>
        <v>5</v>
      </c>
      <c r="K15" s="10">
        <f>IFERROR(vlookup('1.9'!J:J,lookup!$A$26:$B$28,2,false),0)</f>
        <v>5</v>
      </c>
      <c r="L15" s="2"/>
      <c r="M15" s="10">
        <v>14.0</v>
      </c>
      <c r="N15" s="11" t="str">
        <f t="shared" si="1"/>
        <v>bnco0914@signalschool.ac.th</v>
      </c>
      <c r="O15" s="12">
        <f t="shared" si="2"/>
        <v>1</v>
      </c>
      <c r="R15" s="17" t="s">
        <v>230</v>
      </c>
    </row>
    <row r="16">
      <c r="A16" s="8">
        <f>'1.9'!A:A</f>
        <v>46154.4325</v>
      </c>
      <c r="B16" s="2" t="str">
        <f>'1.9'!B:B</f>
        <v>bnco0946@signalschool.ac.th</v>
      </c>
      <c r="C16" s="2" t="str">
        <f>'1.9'!C:C</f>
        <v>พ.ต.หญิงพิมพ์ชนก จิรัฎฐิติกาล</v>
      </c>
      <c r="D16" s="9">
        <v>1.0</v>
      </c>
      <c r="E16" s="10">
        <f>IFERROR(vlookup('1.9'!D:D,lookup!$A$2:$B$4,2,false),0)</f>
        <v>5</v>
      </c>
      <c r="F16" s="10">
        <f>IFERROR(vlookup('1.9'!E:E,lookup!$A$6:$B$8,2,false),0)</f>
        <v>5</v>
      </c>
      <c r="G16" s="10">
        <f>IFERROR(vlookup('1.9'!F:F,lookup!$A$10:$B$12,2,false),0)</f>
        <v>5</v>
      </c>
      <c r="H16" s="10">
        <f>IFERROR(vlookup('1.9'!G:G,lookup!$A$14:$B$16,2,false),0)</f>
        <v>5</v>
      </c>
      <c r="I16" s="10">
        <f>IFERROR(vlookup('1.9'!H:H,lookup!$A$18:$B$20,2,false),0)</f>
        <v>5</v>
      </c>
      <c r="J16" s="10">
        <f>IFERROR(vlookup('1.9'!I:I,lookup!$A$22:$B$24,2,false),0)</f>
        <v>5</v>
      </c>
      <c r="K16" s="10">
        <f>IFERROR(vlookup('1.9'!J:J,lookup!$A$26:$B$28,2,false),0)</f>
        <v>5</v>
      </c>
      <c r="L16" s="2"/>
      <c r="M16" s="10">
        <v>15.0</v>
      </c>
      <c r="N16" s="11" t="str">
        <f t="shared" si="1"/>
        <v>bnco0915@signalschool.ac.th</v>
      </c>
      <c r="O16" s="12">
        <f t="shared" si="2"/>
        <v>1</v>
      </c>
      <c r="R16" s="17" t="s">
        <v>232</v>
      </c>
    </row>
    <row r="17">
      <c r="A17" s="8">
        <f>'1.9'!A:A</f>
        <v>46154.43267</v>
      </c>
      <c r="B17" s="20" t="s">
        <v>133</v>
      </c>
      <c r="C17" s="2" t="str">
        <f>'1.9'!C:C</f>
        <v>พ.ต.หญิงพิมพ์ชนก จิรัฎฐิติกาล</v>
      </c>
      <c r="D17" s="9">
        <v>1.0</v>
      </c>
      <c r="E17" s="10">
        <f>IFERROR(vlookup('1.9'!D:D,lookup!$A$2:$B$4,2,false),0)</f>
        <v>5</v>
      </c>
      <c r="F17" s="10">
        <f>IFERROR(vlookup('1.9'!E:E,lookup!$A$6:$B$8,2,false),0)</f>
        <v>5</v>
      </c>
      <c r="G17" s="10">
        <f>IFERROR(vlookup('1.9'!F:F,lookup!$A$10:$B$12,2,false),0)</f>
        <v>5</v>
      </c>
      <c r="H17" s="10">
        <f>IFERROR(vlookup('1.9'!G:G,lookup!$A$14:$B$16,2,false),0)</f>
        <v>5</v>
      </c>
      <c r="I17" s="10">
        <f>IFERROR(vlookup('1.9'!H:H,lookup!$A$18:$B$20,2,false),0)</f>
        <v>5</v>
      </c>
      <c r="J17" s="10">
        <f>IFERROR(vlookup('1.9'!I:I,lookup!$A$22:$B$24,2,false),0)</f>
        <v>5</v>
      </c>
      <c r="K17" s="10">
        <f>IFERROR(vlookup('1.9'!J:J,lookup!$A$26:$B$28,2,false),0)</f>
        <v>5</v>
      </c>
      <c r="L17" s="2"/>
      <c r="M17" s="10">
        <v>16.0</v>
      </c>
      <c r="N17" s="11" t="str">
        <f t="shared" si="1"/>
        <v>bnco0916@signalschool.ac.th</v>
      </c>
      <c r="O17" s="12">
        <f t="shared" si="2"/>
        <v>1</v>
      </c>
      <c r="R17" s="17" t="s">
        <v>233</v>
      </c>
    </row>
    <row r="18">
      <c r="A18" s="8">
        <f>'1.9'!A:A</f>
        <v>46154.43272</v>
      </c>
      <c r="B18" s="2" t="str">
        <f>'1.9'!B:B</f>
        <v>bnco0911@signalschool.ac.th</v>
      </c>
      <c r="C18" s="2" t="str">
        <f>'1.9'!C:C</f>
        <v>พ.ต.หญิง พิมพ์ชนก จิรัฎฐิติกาล</v>
      </c>
      <c r="D18" s="9">
        <v>1.0</v>
      </c>
      <c r="E18" s="10">
        <f>IFERROR(vlookup('1.9'!D:D,lookup!$A$2:$B$4,2,false),0)</f>
        <v>5</v>
      </c>
      <c r="F18" s="10">
        <f>IFERROR(vlookup('1.9'!E:E,lookup!$A$6:$B$8,2,false),0)</f>
        <v>5</v>
      </c>
      <c r="G18" s="10">
        <f>IFERROR(vlookup('1.9'!F:F,lookup!$A$10:$B$12,2,false),0)</f>
        <v>5</v>
      </c>
      <c r="H18" s="10">
        <f>IFERROR(vlookup('1.9'!G:G,lookup!$A$14:$B$16,2,false),0)</f>
        <v>5</v>
      </c>
      <c r="I18" s="10">
        <f>IFERROR(vlookup('1.9'!H:H,lookup!$A$18:$B$20,2,false),0)</f>
        <v>5</v>
      </c>
      <c r="J18" s="10">
        <f>IFERROR(vlookup('1.9'!I:I,lookup!$A$22:$B$24,2,false),0)</f>
        <v>5</v>
      </c>
      <c r="K18" s="10">
        <f>IFERROR(vlookup('1.9'!J:J,lookup!$A$26:$B$28,2,false),0)</f>
        <v>5</v>
      </c>
      <c r="L18" s="2"/>
      <c r="M18" s="10">
        <v>17.0</v>
      </c>
      <c r="N18" s="11" t="str">
        <f t="shared" si="1"/>
        <v>bnco0917@signalschool.ac.th</v>
      </c>
      <c r="O18" s="12">
        <f t="shared" si="2"/>
        <v>1</v>
      </c>
      <c r="R18" s="17" t="s">
        <v>234</v>
      </c>
    </row>
    <row r="19">
      <c r="A19" s="8">
        <f>'1.9'!A:A</f>
        <v>46154.43316</v>
      </c>
      <c r="B19" s="2" t="str">
        <f>'1.9'!B:B</f>
        <v>bnco0975@signalschool.ac.th</v>
      </c>
      <c r="C19" s="2" t="str">
        <f>'1.9'!C:C</f>
        <v>พ.ต.หญิง พิมพ์ชนก</v>
      </c>
      <c r="D19" s="9">
        <v>1.0</v>
      </c>
      <c r="E19" s="10">
        <f>IFERROR(vlookup('1.9'!D:D,lookup!$A$2:$B$4,2,false),0)</f>
        <v>5</v>
      </c>
      <c r="F19" s="10">
        <f>IFERROR(vlookup('1.9'!E:E,lookup!$A$6:$B$8,2,false),0)</f>
        <v>5</v>
      </c>
      <c r="G19" s="10">
        <f>IFERROR(vlookup('1.9'!F:F,lookup!$A$10:$B$12,2,false),0)</f>
        <v>5</v>
      </c>
      <c r="H19" s="10">
        <f>IFERROR(vlookup('1.9'!G:G,lookup!$A$14:$B$16,2,false),0)</f>
        <v>5</v>
      </c>
      <c r="I19" s="10">
        <f>IFERROR(vlookup('1.9'!H:H,lookup!$A$18:$B$20,2,false),0)</f>
        <v>5</v>
      </c>
      <c r="J19" s="10">
        <f>IFERROR(vlookup('1.9'!I:I,lookup!$A$22:$B$24,2,false),0)</f>
        <v>5</v>
      </c>
      <c r="K19" s="10">
        <f>IFERROR(vlookup('1.9'!J:J,lookup!$A$26:$B$28,2,false),0)</f>
        <v>3</v>
      </c>
      <c r="L19" s="2"/>
      <c r="M19" s="10">
        <v>18.0</v>
      </c>
      <c r="N19" s="11" t="str">
        <f t="shared" si="1"/>
        <v>bnco0918@signalschool.ac.th</v>
      </c>
      <c r="O19" s="12">
        <f t="shared" si="2"/>
        <v>1</v>
      </c>
      <c r="R19" s="17" t="s">
        <v>235</v>
      </c>
    </row>
    <row r="20">
      <c r="A20" s="8">
        <f>'1.9'!A:A</f>
        <v>46154.43323</v>
      </c>
      <c r="B20" s="2" t="str">
        <f>'1.9'!B:B</f>
        <v>bnco0967@signalschool.ac.th</v>
      </c>
      <c r="C20" s="2" t="str">
        <f>'1.9'!C:C</f>
        <v>พ.ต.หญิงพิมพ์ชนก จิรัฎฐิติกาล</v>
      </c>
      <c r="D20" s="9">
        <v>1.0</v>
      </c>
      <c r="E20" s="10">
        <f>IFERROR(vlookup('1.9'!D:D,lookup!$A$2:$B$4,2,false),0)</f>
        <v>5</v>
      </c>
      <c r="F20" s="10">
        <f>IFERROR(vlookup('1.9'!E:E,lookup!$A$6:$B$8,2,false),0)</f>
        <v>5</v>
      </c>
      <c r="G20" s="10">
        <f>IFERROR(vlookup('1.9'!F:F,lookup!$A$10:$B$12,2,false),0)</f>
        <v>5</v>
      </c>
      <c r="H20" s="10">
        <f>IFERROR(vlookup('1.9'!G:G,lookup!$A$14:$B$16,2,false),0)</f>
        <v>5</v>
      </c>
      <c r="I20" s="10">
        <f>IFERROR(vlookup('1.9'!H:H,lookup!$A$18:$B$20,2,false),0)</f>
        <v>5</v>
      </c>
      <c r="J20" s="10">
        <f>IFERROR(vlookup('1.9'!I:I,lookup!$A$22:$B$24,2,false),0)</f>
        <v>5</v>
      </c>
      <c r="K20" s="10">
        <f>IFERROR(vlookup('1.9'!J:J,lookup!$A$26:$B$28,2,false),0)</f>
        <v>5</v>
      </c>
      <c r="L20" s="2"/>
      <c r="M20" s="10">
        <v>19.0</v>
      </c>
      <c r="N20" s="11" t="str">
        <f t="shared" si="1"/>
        <v>bnco0919@signalschool.ac.th</v>
      </c>
      <c r="O20" s="12">
        <f t="shared" si="2"/>
        <v>1</v>
      </c>
      <c r="R20" s="17" t="s">
        <v>236</v>
      </c>
    </row>
    <row r="21">
      <c r="A21" s="8">
        <f>'1.9'!A:A</f>
        <v>46154.43429</v>
      </c>
      <c r="B21" s="2" t="str">
        <f>'1.9'!B:B</f>
        <v>bnco0915@signalschool.ac.th</v>
      </c>
      <c r="C21" s="2" t="str">
        <f>'1.9'!C:C</f>
        <v>พ.ต.หญิงพิมพ์ชนก จิรัฎฐิติกาล</v>
      </c>
      <c r="D21" s="9">
        <v>1.0</v>
      </c>
      <c r="E21" s="10">
        <f>IFERROR(vlookup('1.9'!D:D,lookup!$A$2:$B$4,2,false),0)</f>
        <v>5</v>
      </c>
      <c r="F21" s="10">
        <f>IFERROR(vlookup('1.9'!E:E,lookup!$A$6:$B$8,2,false),0)</f>
        <v>5</v>
      </c>
      <c r="G21" s="10">
        <f>IFERROR(vlookup('1.9'!F:F,lookup!$A$10:$B$12,2,false),0)</f>
        <v>5</v>
      </c>
      <c r="H21" s="10">
        <f>IFERROR(vlookup('1.9'!G:G,lookup!$A$14:$B$16,2,false),0)</f>
        <v>5</v>
      </c>
      <c r="I21" s="10">
        <f>IFERROR(vlookup('1.9'!H:H,lookup!$A$18:$B$20,2,false),0)</f>
        <v>5</v>
      </c>
      <c r="J21" s="10">
        <f>IFERROR(vlookup('1.9'!I:I,lookup!$A$22:$B$24,2,false),0)</f>
        <v>5</v>
      </c>
      <c r="K21" s="10">
        <f>IFERROR(vlookup('1.9'!J:J,lookup!$A$26:$B$28,2,false),0)</f>
        <v>5</v>
      </c>
      <c r="L21" s="2"/>
      <c r="M21" s="10">
        <v>20.0</v>
      </c>
      <c r="N21" s="11" t="str">
        <f t="shared" si="1"/>
        <v>bnco0920@signalschool.ac.th</v>
      </c>
      <c r="O21" s="12">
        <f t="shared" si="2"/>
        <v>1</v>
      </c>
      <c r="R21" s="17" t="s">
        <v>237</v>
      </c>
    </row>
    <row r="22">
      <c r="A22" s="8">
        <f>'1.9'!A:A</f>
        <v>46154.43477</v>
      </c>
      <c r="B22" s="2" t="str">
        <f>'1.9'!B:B</f>
        <v>bnco0920@signalschool.ac.th</v>
      </c>
      <c r="C22" s="2" t="str">
        <f>'1.9'!C:C</f>
        <v>พ.ต.หญิงพิมพ์ชนก จิรัฎฐิติกาล</v>
      </c>
      <c r="D22" s="9">
        <v>1.0</v>
      </c>
      <c r="E22" s="10">
        <f>IFERROR(vlookup('1.9'!D:D,lookup!$A$2:$B$4,2,false),0)</f>
        <v>5</v>
      </c>
      <c r="F22" s="10">
        <f>IFERROR(vlookup('1.9'!E:E,lookup!$A$6:$B$8,2,false),0)</f>
        <v>5</v>
      </c>
      <c r="G22" s="10">
        <f>IFERROR(vlookup('1.9'!F:F,lookup!$A$10:$B$12,2,false),0)</f>
        <v>5</v>
      </c>
      <c r="H22" s="10">
        <f>IFERROR(vlookup('1.9'!G:G,lookup!$A$14:$B$16,2,false),0)</f>
        <v>5</v>
      </c>
      <c r="I22" s="10">
        <f>IFERROR(vlookup('1.9'!H:H,lookup!$A$18:$B$20,2,false),0)</f>
        <v>5</v>
      </c>
      <c r="J22" s="10">
        <f>IFERROR(vlookup('1.9'!I:I,lookup!$A$22:$B$24,2,false),0)</f>
        <v>5</v>
      </c>
      <c r="K22" s="10">
        <f>IFERROR(vlookup('1.9'!J:J,lookup!$A$26:$B$28,2,false),0)</f>
        <v>5</v>
      </c>
      <c r="L22" s="2"/>
      <c r="M22" s="10">
        <v>21.0</v>
      </c>
      <c r="N22" s="11" t="str">
        <f t="shared" si="1"/>
        <v>bnco0921@signalschool.ac.th</v>
      </c>
      <c r="O22" s="12">
        <f t="shared" si="2"/>
        <v>1</v>
      </c>
      <c r="R22" s="17" t="s">
        <v>238</v>
      </c>
    </row>
    <row r="23">
      <c r="A23" s="8">
        <f>'1.9'!A:A</f>
        <v>46154.43508</v>
      </c>
      <c r="B23" s="2" t="str">
        <f>'1.9'!B:B</f>
        <v>bnco0921@signalschool.ac.th</v>
      </c>
      <c r="C23" s="2" t="str">
        <f>'1.9'!C:C</f>
        <v>พ.ต.หญิงพิมพ์ชนก จิรัฎฐิติกาล</v>
      </c>
      <c r="D23" s="9">
        <v>1.0</v>
      </c>
      <c r="E23" s="10">
        <f>IFERROR(vlookup('1.9'!D:D,lookup!$A$2:$B$4,2,false),0)</f>
        <v>5</v>
      </c>
      <c r="F23" s="10">
        <f>IFERROR(vlookup('1.9'!E:E,lookup!$A$6:$B$8,2,false),0)</f>
        <v>5</v>
      </c>
      <c r="G23" s="10">
        <f>IFERROR(vlookup('1.9'!F:F,lookup!$A$10:$B$12,2,false),0)</f>
        <v>5</v>
      </c>
      <c r="H23" s="10">
        <f>IFERROR(vlookup('1.9'!G:G,lookup!$A$14:$B$16,2,false),0)</f>
        <v>5</v>
      </c>
      <c r="I23" s="10">
        <f>IFERROR(vlookup('1.9'!H:H,lookup!$A$18:$B$20,2,false),0)</f>
        <v>5</v>
      </c>
      <c r="J23" s="10">
        <f>IFERROR(vlookup('1.9'!I:I,lookup!$A$22:$B$24,2,false),0)</f>
        <v>5</v>
      </c>
      <c r="K23" s="10">
        <f>IFERROR(vlookup('1.9'!J:J,lookup!$A$26:$B$28,2,false),0)</f>
        <v>5</v>
      </c>
      <c r="L23" s="2"/>
      <c r="M23" s="10">
        <v>22.0</v>
      </c>
      <c r="N23" s="11" t="str">
        <f t="shared" si="1"/>
        <v>bnco0922@signalschool.ac.th</v>
      </c>
      <c r="O23" s="12">
        <f t="shared" si="2"/>
        <v>1</v>
      </c>
      <c r="R23" s="17" t="s">
        <v>239</v>
      </c>
    </row>
    <row r="24">
      <c r="A24" s="8">
        <f>'1.9'!A:A</f>
        <v>46154.43554</v>
      </c>
      <c r="B24" s="2" t="str">
        <f>'1.9'!B:B</f>
        <v>bnco0965@signalschool.ac.th</v>
      </c>
      <c r="C24" s="2" t="str">
        <f>'1.9'!C:C</f>
        <v>พ.ต.หญิง พิมพ์ชนก  จิรัฎฐิติกาล</v>
      </c>
      <c r="D24" s="9">
        <v>1.0</v>
      </c>
      <c r="E24" s="10">
        <f>IFERROR(vlookup('1.9'!D:D,lookup!$A$2:$B$4,2,false),0)</f>
        <v>5</v>
      </c>
      <c r="F24" s="10">
        <f>IFERROR(vlookup('1.9'!E:E,lookup!$A$6:$B$8,2,false),0)</f>
        <v>5</v>
      </c>
      <c r="G24" s="10">
        <f>IFERROR(vlookup('1.9'!F:F,lookup!$A$10:$B$12,2,false),0)</f>
        <v>5</v>
      </c>
      <c r="H24" s="10">
        <f>IFERROR(vlookup('1.9'!G:G,lookup!$A$14:$B$16,2,false),0)</f>
        <v>5</v>
      </c>
      <c r="I24" s="10">
        <f>IFERROR(vlookup('1.9'!H:H,lookup!$A$18:$B$20,2,false),0)</f>
        <v>5</v>
      </c>
      <c r="J24" s="10">
        <f>IFERROR(vlookup('1.9'!I:I,lookup!$A$22:$B$24,2,false),0)</f>
        <v>5</v>
      </c>
      <c r="K24" s="10">
        <f>IFERROR(vlookup('1.9'!J:J,lookup!$A$26:$B$28,2,false),0)</f>
        <v>5</v>
      </c>
      <c r="L24" s="2"/>
      <c r="M24" s="10">
        <v>23.0</v>
      </c>
      <c r="N24" s="11" t="str">
        <f t="shared" si="1"/>
        <v>bnco0923@signalschool.ac.th</v>
      </c>
      <c r="O24" s="12">
        <f t="shared" si="2"/>
        <v>1</v>
      </c>
      <c r="R24" s="17" t="s">
        <v>240</v>
      </c>
    </row>
    <row r="25">
      <c r="A25" s="8">
        <f>'1.9'!A:A</f>
        <v>46154.43614</v>
      </c>
      <c r="B25" s="2" t="str">
        <f>'1.9'!B:B</f>
        <v>bnco0979@signalschool.ac.th</v>
      </c>
      <c r="C25" s="2" t="str">
        <f>'1.9'!C:C</f>
        <v>พ.ต.หญิงพิมพ์ชนก จิรัฏฐิติกาล</v>
      </c>
      <c r="D25" s="9">
        <v>1.0</v>
      </c>
      <c r="E25" s="10">
        <f>IFERROR(vlookup('1.9'!D:D,lookup!$A$2:$B$4,2,false),0)</f>
        <v>5</v>
      </c>
      <c r="F25" s="10">
        <f>IFERROR(vlookup('1.9'!E:E,lookup!$A$6:$B$8,2,false),0)</f>
        <v>5</v>
      </c>
      <c r="G25" s="10">
        <f>IFERROR(vlookup('1.9'!F:F,lookup!$A$10:$B$12,2,false),0)</f>
        <v>5</v>
      </c>
      <c r="H25" s="10">
        <f>IFERROR(vlookup('1.9'!G:G,lookup!$A$14:$B$16,2,false),0)</f>
        <v>5</v>
      </c>
      <c r="I25" s="10">
        <f>IFERROR(vlookup('1.9'!H:H,lookup!$A$18:$B$20,2,false),0)</f>
        <v>5</v>
      </c>
      <c r="J25" s="10">
        <f>IFERROR(vlookup('1.9'!I:I,lookup!$A$22:$B$24,2,false),0)</f>
        <v>5</v>
      </c>
      <c r="K25" s="10">
        <f>IFERROR(vlookup('1.9'!J:J,lookup!$A$26:$B$28,2,false),0)</f>
        <v>5</v>
      </c>
      <c r="L25" s="2"/>
      <c r="M25" s="10">
        <v>24.0</v>
      </c>
      <c r="N25" s="11" t="str">
        <f t="shared" si="1"/>
        <v>bnco0924@signalschool.ac.th</v>
      </c>
      <c r="O25" s="12">
        <f t="shared" si="2"/>
        <v>1</v>
      </c>
      <c r="R25" s="17" t="s">
        <v>241</v>
      </c>
    </row>
    <row r="26">
      <c r="A26" s="8">
        <f>'1.9'!A:A</f>
        <v>46154.43634</v>
      </c>
      <c r="B26" s="2" t="str">
        <f>'1.9'!B:B</f>
        <v>bnco0953@signalschool.ac.th</v>
      </c>
      <c r="C26" s="2" t="str">
        <f>'1.9'!C:C</f>
        <v>พ.ต.หญิงพิมพ์ชนก จิรัฎฐิติกาล</v>
      </c>
      <c r="D26" s="9">
        <v>1.0</v>
      </c>
      <c r="E26" s="10">
        <f>IFERROR(vlookup('1.9'!D:D,lookup!$A$2:$B$4,2,false),0)</f>
        <v>5</v>
      </c>
      <c r="F26" s="10">
        <f>IFERROR(vlookup('1.9'!E:E,lookup!$A$6:$B$8,2,false),0)</f>
        <v>5</v>
      </c>
      <c r="G26" s="10">
        <f>IFERROR(vlookup('1.9'!F:F,lookup!$A$10:$B$12,2,false),0)</f>
        <v>5</v>
      </c>
      <c r="H26" s="10">
        <f>IFERROR(vlookup('1.9'!G:G,lookup!$A$14:$B$16,2,false),0)</f>
        <v>5</v>
      </c>
      <c r="I26" s="10">
        <f>IFERROR(vlookup('1.9'!H:H,lookup!$A$18:$B$20,2,false),0)</f>
        <v>5</v>
      </c>
      <c r="J26" s="10">
        <f>IFERROR(vlookup('1.9'!I:I,lookup!$A$22:$B$24,2,false),0)</f>
        <v>5</v>
      </c>
      <c r="K26" s="10">
        <f>IFERROR(vlookup('1.9'!J:J,lookup!$A$26:$B$28,2,false),0)</f>
        <v>5</v>
      </c>
      <c r="L26" s="2"/>
      <c r="M26" s="10">
        <v>25.0</v>
      </c>
      <c r="N26" s="11" t="str">
        <f t="shared" si="1"/>
        <v>bnco0925@signalschool.ac.th</v>
      </c>
      <c r="O26" s="12">
        <f t="shared" si="2"/>
        <v>1</v>
      </c>
      <c r="R26" s="17" t="s">
        <v>242</v>
      </c>
    </row>
    <row r="27">
      <c r="A27" s="8">
        <f>'1.9'!A:A</f>
        <v>46154.43641</v>
      </c>
      <c r="B27" s="2" t="str">
        <f>'1.9'!B:B</f>
        <v>bnco0968@signalschool.ac.th</v>
      </c>
      <c r="C27" s="2" t="str">
        <f>'1.9'!C:C</f>
        <v>พ.ต.หญิงพิมพ์ชนก จิรัฎฐิติกาล</v>
      </c>
      <c r="D27" s="9">
        <v>1.0</v>
      </c>
      <c r="E27" s="10">
        <f>IFERROR(vlookup('1.9'!D:D,lookup!$A$2:$B$4,2,false),0)</f>
        <v>5</v>
      </c>
      <c r="F27" s="10">
        <f>IFERROR(vlookup('1.9'!E:E,lookup!$A$6:$B$8,2,false),0)</f>
        <v>5</v>
      </c>
      <c r="G27" s="10">
        <f>IFERROR(vlookup('1.9'!F:F,lookup!$A$10:$B$12,2,false),0)</f>
        <v>5</v>
      </c>
      <c r="H27" s="10">
        <f>IFERROR(vlookup('1.9'!G:G,lookup!$A$14:$B$16,2,false),0)</f>
        <v>5</v>
      </c>
      <c r="I27" s="10">
        <f>IFERROR(vlookup('1.9'!H:H,lookup!$A$18:$B$20,2,false),0)</f>
        <v>5</v>
      </c>
      <c r="J27" s="10">
        <f>IFERROR(vlookup('1.9'!I:I,lookup!$A$22:$B$24,2,false),0)</f>
        <v>5</v>
      </c>
      <c r="K27" s="10">
        <f>IFERROR(vlookup('1.9'!J:J,lookup!$A$26:$B$28,2,false),0)</f>
        <v>5</v>
      </c>
      <c r="L27" s="2"/>
      <c r="M27" s="10">
        <v>26.0</v>
      </c>
      <c r="N27" s="11" t="str">
        <f t="shared" si="1"/>
        <v>bnco0926@signalschool.ac.th</v>
      </c>
      <c r="O27" s="12">
        <f t="shared" si="2"/>
        <v>1</v>
      </c>
      <c r="R27" s="17" t="s">
        <v>243</v>
      </c>
    </row>
    <row r="28">
      <c r="A28" s="8">
        <f>'1.9'!A:A</f>
        <v>46154.43653</v>
      </c>
      <c r="B28" s="2" t="str">
        <f>'1.9'!B:B</f>
        <v>bnco0917@signalschool.ac.th</v>
      </c>
      <c r="C28" s="2" t="str">
        <f>'1.9'!C:C</f>
        <v>พ.ต.หญิงพิมพ์ชนก จิรัฎฐิติกาล</v>
      </c>
      <c r="D28" s="9">
        <v>1.0</v>
      </c>
      <c r="E28" s="10">
        <f>IFERROR(vlookup('1.9'!D:D,lookup!$A$2:$B$4,2,false),0)</f>
        <v>5</v>
      </c>
      <c r="F28" s="10">
        <f>IFERROR(vlookup('1.9'!E:E,lookup!$A$6:$B$8,2,false),0)</f>
        <v>5</v>
      </c>
      <c r="G28" s="10">
        <f>IFERROR(vlookup('1.9'!F:F,lookup!$A$10:$B$12,2,false),0)</f>
        <v>5</v>
      </c>
      <c r="H28" s="10">
        <f>IFERROR(vlookup('1.9'!G:G,lookup!$A$14:$B$16,2,false),0)</f>
        <v>5</v>
      </c>
      <c r="I28" s="10">
        <f>IFERROR(vlookup('1.9'!H:H,lookup!$A$18:$B$20,2,false),0)</f>
        <v>5</v>
      </c>
      <c r="J28" s="10">
        <f>IFERROR(vlookup('1.9'!I:I,lookup!$A$22:$B$24,2,false),0)</f>
        <v>3</v>
      </c>
      <c r="K28" s="10">
        <f>IFERROR(vlookup('1.9'!J:J,lookup!$A$26:$B$28,2,false),0)</f>
        <v>5</v>
      </c>
      <c r="L28" s="2"/>
      <c r="M28" s="10">
        <v>27.0</v>
      </c>
      <c r="N28" s="11" t="str">
        <f t="shared" si="1"/>
        <v>bnco0927@signalschool.ac.th</v>
      </c>
      <c r="O28" s="12">
        <f t="shared" si="2"/>
        <v>1</v>
      </c>
      <c r="R28" s="17" t="s">
        <v>244</v>
      </c>
    </row>
    <row r="29">
      <c r="A29" s="8">
        <f>'1.9'!A:A</f>
        <v>46154.43705</v>
      </c>
      <c r="B29" s="2" t="str">
        <f>'1.9'!B:B</f>
        <v>bnco0972@signalschool.ac.th</v>
      </c>
      <c r="C29" s="2" t="str">
        <f>'1.9'!C:C</f>
        <v>พ.ต.หญิงพิมพ์ชนก จิรัฎฐิติกาล</v>
      </c>
      <c r="D29" s="9">
        <v>1.0</v>
      </c>
      <c r="E29" s="10">
        <f>IFERROR(vlookup('1.9'!D:D,lookup!$A$2:$B$4,2,false),0)</f>
        <v>5</v>
      </c>
      <c r="F29" s="10">
        <f>IFERROR(vlookup('1.9'!E:E,lookup!$A$6:$B$8,2,false),0)</f>
        <v>5</v>
      </c>
      <c r="G29" s="10">
        <f>IFERROR(vlookup('1.9'!F:F,lookup!$A$10:$B$12,2,false),0)</f>
        <v>5</v>
      </c>
      <c r="H29" s="10">
        <f>IFERROR(vlookup('1.9'!G:G,lookup!$A$14:$B$16,2,false),0)</f>
        <v>5</v>
      </c>
      <c r="I29" s="10">
        <f>IFERROR(vlookup('1.9'!H:H,lookup!$A$18:$B$20,2,false),0)</f>
        <v>5</v>
      </c>
      <c r="J29" s="10">
        <f>IFERROR(vlookup('1.9'!I:I,lookup!$A$22:$B$24,2,false),0)</f>
        <v>5</v>
      </c>
      <c r="K29" s="10">
        <f>IFERROR(vlookup('1.9'!J:J,lookup!$A$26:$B$28,2,false),0)</f>
        <v>5</v>
      </c>
      <c r="L29" s="2"/>
      <c r="M29" s="10">
        <v>28.0</v>
      </c>
      <c r="N29" s="11" t="str">
        <f t="shared" si="1"/>
        <v>bnco0928@signalschool.ac.th</v>
      </c>
      <c r="O29" s="12">
        <f t="shared" si="2"/>
        <v>1</v>
      </c>
      <c r="R29" s="17" t="s">
        <v>245</v>
      </c>
    </row>
    <row r="30">
      <c r="A30" s="8">
        <f>'1.9'!A:A</f>
        <v>46154.43848</v>
      </c>
      <c r="B30" s="2" t="str">
        <f>'1.9'!B:B</f>
        <v>bnco0978@signalschool.ac.th</v>
      </c>
      <c r="C30" s="2" t="str">
        <f>'1.9'!C:C</f>
        <v>พ.ต.หญิงพิมพ์ชนก จิรัฎฐิติกาล</v>
      </c>
      <c r="D30" s="9">
        <v>1.0</v>
      </c>
      <c r="E30" s="10">
        <f>IFERROR(vlookup('1.9'!D:D,lookup!$A$2:$B$4,2,false),0)</f>
        <v>5</v>
      </c>
      <c r="F30" s="10">
        <f>IFERROR(vlookup('1.9'!E:E,lookup!$A$6:$B$8,2,false),0)</f>
        <v>3</v>
      </c>
      <c r="G30" s="10">
        <f>IFERROR(vlookup('1.9'!F:F,lookup!$A$10:$B$12,2,false),0)</f>
        <v>5</v>
      </c>
      <c r="H30" s="10">
        <f>IFERROR(vlookup('1.9'!G:G,lookup!$A$14:$B$16,2,false),0)</f>
        <v>5</v>
      </c>
      <c r="I30" s="10">
        <f>IFERROR(vlookup('1.9'!H:H,lookup!$A$18:$B$20,2,false),0)</f>
        <v>5</v>
      </c>
      <c r="J30" s="10">
        <f>IFERROR(vlookup('1.9'!I:I,lookup!$A$22:$B$24,2,false),0)</f>
        <v>5</v>
      </c>
      <c r="K30" s="10">
        <f>IFERROR(vlookup('1.9'!J:J,lookup!$A$26:$B$28,2,false),0)</f>
        <v>5</v>
      </c>
      <c r="L30" s="2"/>
      <c r="M30" s="10">
        <v>29.0</v>
      </c>
      <c r="N30" s="11" t="str">
        <f t="shared" si="1"/>
        <v>bnco0929@signalschool.ac.th</v>
      </c>
      <c r="O30" s="12">
        <f t="shared" si="2"/>
        <v>1</v>
      </c>
      <c r="R30" s="17" t="s">
        <v>246</v>
      </c>
    </row>
    <row r="31">
      <c r="A31" s="8">
        <f>'1.9'!A:A</f>
        <v>46154.439</v>
      </c>
      <c r="B31" s="2" t="str">
        <f>'1.9'!B:B</f>
        <v>bnco0901@signalschool.ac.th</v>
      </c>
      <c r="C31" s="2" t="str">
        <f>'1.9'!C:C</f>
        <v>พ.ต.หญิงพิมพ์ชนก จิรัฎฐิติกาล</v>
      </c>
      <c r="D31" s="9">
        <v>1.0</v>
      </c>
      <c r="E31" s="10">
        <f>IFERROR(vlookup('1.9'!D:D,lookup!$A$2:$B$4,2,false),0)</f>
        <v>5</v>
      </c>
      <c r="F31" s="10">
        <f>IFERROR(vlookup('1.9'!E:E,lookup!$A$6:$B$8,2,false),0)</f>
        <v>5</v>
      </c>
      <c r="G31" s="10">
        <f>IFERROR(vlookup('1.9'!F:F,lookup!$A$10:$B$12,2,false),0)</f>
        <v>5</v>
      </c>
      <c r="H31" s="10">
        <f>IFERROR(vlookup('1.9'!G:G,lookup!$A$14:$B$16,2,false),0)</f>
        <v>5</v>
      </c>
      <c r="I31" s="10">
        <f>IFERROR(vlookup('1.9'!H:H,lookup!$A$18:$B$20,2,false),0)</f>
        <v>5</v>
      </c>
      <c r="J31" s="10">
        <f>IFERROR(vlookup('1.9'!I:I,lookup!$A$22:$B$24,2,false),0)</f>
        <v>5</v>
      </c>
      <c r="K31" s="10">
        <f>IFERROR(vlookup('1.9'!J:J,lookup!$A$26:$B$28,2,false),0)</f>
        <v>5</v>
      </c>
      <c r="L31" s="2"/>
      <c r="M31" s="10">
        <v>30.0</v>
      </c>
      <c r="N31" s="11" t="str">
        <f t="shared" si="1"/>
        <v>bnco0930@signalschool.ac.th</v>
      </c>
      <c r="O31" s="12">
        <f t="shared" si="2"/>
        <v>1</v>
      </c>
      <c r="R31" s="17" t="s">
        <v>247</v>
      </c>
    </row>
    <row r="32">
      <c r="A32" s="8">
        <f>'1.9'!A:A</f>
        <v>46154.43911</v>
      </c>
      <c r="B32" s="2" t="str">
        <f>'1.9'!B:B</f>
        <v>bnco0947@signalschool.ac.th</v>
      </c>
      <c r="C32" s="2" t="str">
        <f>'1.9'!C:C</f>
        <v>พ.ต. หญิงพิมพ์ชนก จิรัฎฐิติกาล</v>
      </c>
      <c r="D32" s="9">
        <v>1.0</v>
      </c>
      <c r="E32" s="10">
        <f>IFERROR(vlookup('1.9'!D:D,lookup!$A$2:$B$4,2,false),0)</f>
        <v>5</v>
      </c>
      <c r="F32" s="10">
        <f>IFERROR(vlookup('1.9'!E:E,lookup!$A$6:$B$8,2,false),0)</f>
        <v>5</v>
      </c>
      <c r="G32" s="10">
        <f>IFERROR(vlookup('1.9'!F:F,lookup!$A$10:$B$12,2,false),0)</f>
        <v>5</v>
      </c>
      <c r="H32" s="10">
        <f>IFERROR(vlookup('1.9'!G:G,lookup!$A$14:$B$16,2,false),0)</f>
        <v>5</v>
      </c>
      <c r="I32" s="10">
        <f>IFERROR(vlookup('1.9'!H:H,lookup!$A$18:$B$20,2,false),0)</f>
        <v>5</v>
      </c>
      <c r="J32" s="10">
        <f>IFERROR(vlookup('1.9'!I:I,lookup!$A$22:$B$24,2,false),0)</f>
        <v>5</v>
      </c>
      <c r="K32" s="10">
        <f>IFERROR(vlookup('1.9'!J:J,lookup!$A$26:$B$28,2,false),0)</f>
        <v>5</v>
      </c>
      <c r="L32" s="2"/>
      <c r="M32" s="10">
        <v>31.0</v>
      </c>
      <c r="N32" s="11" t="str">
        <f t="shared" si="1"/>
        <v>bnco0931@signalschool.ac.th</v>
      </c>
      <c r="O32" s="12">
        <f t="shared" si="2"/>
        <v>1</v>
      </c>
      <c r="R32" s="17" t="s">
        <v>248</v>
      </c>
    </row>
    <row r="33">
      <c r="A33" s="8">
        <f>'1.9'!A:A</f>
        <v>46154.43947</v>
      </c>
      <c r="B33" s="2" t="str">
        <f>'1.9'!B:B</f>
        <v>bnco0902@signalschool.ac.th</v>
      </c>
      <c r="C33" s="2" t="str">
        <f>'1.9'!C:C</f>
        <v> พ.ต.หญิงพิมพ์ชนก จิรัฎฐิติกาล</v>
      </c>
      <c r="D33" s="9">
        <v>1.0</v>
      </c>
      <c r="E33" s="10">
        <f>IFERROR(vlookup('1.9'!D:D,lookup!$A$2:$B$4,2,false),0)</f>
        <v>5</v>
      </c>
      <c r="F33" s="10">
        <f>IFERROR(vlookup('1.9'!E:E,lookup!$A$6:$B$8,2,false),0)</f>
        <v>5</v>
      </c>
      <c r="G33" s="10">
        <f>IFERROR(vlookup('1.9'!F:F,lookup!$A$10:$B$12,2,false),0)</f>
        <v>5</v>
      </c>
      <c r="H33" s="10">
        <f>IFERROR(vlookup('1.9'!G:G,lookup!$A$14:$B$16,2,false),0)</f>
        <v>5</v>
      </c>
      <c r="I33" s="10">
        <f>IFERROR(vlookup('1.9'!H:H,lookup!$A$18:$B$20,2,false),0)</f>
        <v>5</v>
      </c>
      <c r="J33" s="10">
        <f>IFERROR(vlookup('1.9'!I:I,lookup!$A$22:$B$24,2,false),0)</f>
        <v>5</v>
      </c>
      <c r="K33" s="10">
        <f>IFERROR(vlookup('1.9'!J:J,lookup!$A$26:$B$28,2,false),0)</f>
        <v>5</v>
      </c>
      <c r="L33" s="2"/>
      <c r="M33" s="10">
        <v>32.0</v>
      </c>
      <c r="N33" s="11" t="str">
        <f t="shared" si="1"/>
        <v>bnco0932@signalschool.ac.th</v>
      </c>
      <c r="O33" s="12">
        <f t="shared" si="2"/>
        <v>1</v>
      </c>
      <c r="R33" s="17" t="s">
        <v>249</v>
      </c>
    </row>
    <row r="34">
      <c r="A34" s="8">
        <f>'1.9'!A:A</f>
        <v>46154.4397</v>
      </c>
      <c r="B34" s="2" t="str">
        <f>'1.9'!B:B</f>
        <v>bnco0954@signalschool.ac.th</v>
      </c>
      <c r="C34" s="2" t="str">
        <f>'1.9'!C:C</f>
        <v>พ.ต.หญิงพิมพ์ชนก จิรัฎฐิติกาล</v>
      </c>
      <c r="D34" s="9">
        <v>1.0</v>
      </c>
      <c r="E34" s="10">
        <f>IFERROR(vlookup('1.9'!D:D,lookup!$A$2:$B$4,2,false),0)</f>
        <v>5</v>
      </c>
      <c r="F34" s="10">
        <f>IFERROR(vlookup('1.9'!E:E,lookup!$A$6:$B$8,2,false),0)</f>
        <v>5</v>
      </c>
      <c r="G34" s="10">
        <f>IFERROR(vlookup('1.9'!F:F,lookup!$A$10:$B$12,2,false),0)</f>
        <v>5</v>
      </c>
      <c r="H34" s="10">
        <f>IFERROR(vlookup('1.9'!G:G,lookup!$A$14:$B$16,2,false),0)</f>
        <v>5</v>
      </c>
      <c r="I34" s="10">
        <f>IFERROR(vlookup('1.9'!H:H,lookup!$A$18:$B$20,2,false),0)</f>
        <v>5</v>
      </c>
      <c r="J34" s="10">
        <f>IFERROR(vlookup('1.9'!I:I,lookup!$A$22:$B$24,2,false),0)</f>
        <v>3</v>
      </c>
      <c r="K34" s="10">
        <f>IFERROR(vlookup('1.9'!J:J,lookup!$A$26:$B$28,2,false),0)</f>
        <v>3</v>
      </c>
      <c r="L34" s="2"/>
      <c r="M34" s="10">
        <v>33.0</v>
      </c>
      <c r="N34" s="11" t="str">
        <f t="shared" si="1"/>
        <v>bnco0933@signalschool.ac.th</v>
      </c>
      <c r="O34" s="12">
        <f t="shared" si="2"/>
        <v>1</v>
      </c>
      <c r="R34" s="17" t="s">
        <v>250</v>
      </c>
    </row>
    <row r="35">
      <c r="A35" s="8">
        <f>'1.9'!A:A</f>
        <v>46154.43997</v>
      </c>
      <c r="B35" s="2" t="str">
        <f>'1.9'!B:B</f>
        <v>bnco0940@signalschool.ac.th</v>
      </c>
      <c r="C35" s="2" t="str">
        <f>'1.9'!C:C</f>
        <v>พ.ต.หญิงพิมพ์ชนก จิรัฎฐิติกาล</v>
      </c>
      <c r="D35" s="9">
        <v>1.0</v>
      </c>
      <c r="E35" s="10">
        <f>IFERROR(vlookup('1.9'!D:D,lookup!$A$2:$B$4,2,false),0)</f>
        <v>5</v>
      </c>
      <c r="F35" s="10">
        <f>IFERROR(vlookup('1.9'!E:E,lookup!$A$6:$B$8,2,false),0)</f>
        <v>5</v>
      </c>
      <c r="G35" s="10">
        <f>IFERROR(vlookup('1.9'!F:F,lookup!$A$10:$B$12,2,false),0)</f>
        <v>5</v>
      </c>
      <c r="H35" s="10">
        <f>IFERROR(vlookup('1.9'!G:G,lookup!$A$14:$B$16,2,false),0)</f>
        <v>5</v>
      </c>
      <c r="I35" s="10">
        <f>IFERROR(vlookup('1.9'!H:H,lookup!$A$18:$B$20,2,false),0)</f>
        <v>5</v>
      </c>
      <c r="J35" s="10">
        <f>IFERROR(vlookup('1.9'!I:I,lookup!$A$22:$B$24,2,false),0)</f>
        <v>5</v>
      </c>
      <c r="K35" s="10">
        <f>IFERROR(vlookup('1.9'!J:J,lookup!$A$26:$B$28,2,false),0)</f>
        <v>5</v>
      </c>
      <c r="L35" s="2"/>
      <c r="M35" s="10">
        <v>34.0</v>
      </c>
      <c r="N35" s="11" t="str">
        <f t="shared" si="1"/>
        <v>bnco0934@signalschool.ac.th</v>
      </c>
      <c r="O35" s="12">
        <f t="shared" si="2"/>
        <v>1</v>
      </c>
      <c r="R35" s="17" t="s">
        <v>251</v>
      </c>
    </row>
    <row r="36">
      <c r="A36" s="8">
        <f>'1.9'!A:A</f>
        <v>46154.44041</v>
      </c>
      <c r="B36" s="2" t="str">
        <f>'1.9'!B:B</f>
        <v>bnco0931@signalschool.ac.th</v>
      </c>
      <c r="C36" s="2" t="str">
        <f>'1.9'!C:C</f>
        <v>พ.ต.หญิงพิมพ์ชนก จิรัฎฐิติกาล</v>
      </c>
      <c r="D36" s="9">
        <v>1.0</v>
      </c>
      <c r="E36" s="10">
        <f>IFERROR(vlookup('1.9'!D:D,lookup!$A$2:$B$4,2,false),0)</f>
        <v>5</v>
      </c>
      <c r="F36" s="10">
        <f>IFERROR(vlookup('1.9'!E:E,lookup!$A$6:$B$8,2,false),0)</f>
        <v>5</v>
      </c>
      <c r="G36" s="10">
        <f>IFERROR(vlookup('1.9'!F:F,lookup!$A$10:$B$12,2,false),0)</f>
        <v>5</v>
      </c>
      <c r="H36" s="10">
        <f>IFERROR(vlookup('1.9'!G:G,lookup!$A$14:$B$16,2,false),0)</f>
        <v>5</v>
      </c>
      <c r="I36" s="10">
        <f>IFERROR(vlookup('1.9'!H:H,lookup!$A$18:$B$20,2,false),0)</f>
        <v>5</v>
      </c>
      <c r="J36" s="10">
        <f>IFERROR(vlookup('1.9'!I:I,lookup!$A$22:$B$24,2,false),0)</f>
        <v>5</v>
      </c>
      <c r="K36" s="10">
        <f>IFERROR(vlookup('1.9'!J:J,lookup!$A$26:$B$28,2,false),0)</f>
        <v>5</v>
      </c>
      <c r="L36" s="2"/>
      <c r="M36" s="10">
        <v>35.0</v>
      </c>
      <c r="N36" s="11" t="str">
        <f t="shared" si="1"/>
        <v>bnco0935@signalschool.ac.th</v>
      </c>
      <c r="O36" s="12">
        <f t="shared" si="2"/>
        <v>1</v>
      </c>
      <c r="R36" s="17" t="s">
        <v>252</v>
      </c>
    </row>
    <row r="37">
      <c r="A37" s="8">
        <f>'1.9'!A:A</f>
        <v>46154.44087</v>
      </c>
      <c r="B37" s="2" t="str">
        <f>'1.9'!B:B</f>
        <v>bnco0941@signalschool.ac.th</v>
      </c>
      <c r="C37" s="2" t="str">
        <f>'1.9'!C:C</f>
        <v>พ.ต.หญิงพิมพ์ชนก จิรัฎฐิติกาล</v>
      </c>
      <c r="D37" s="9">
        <v>1.0</v>
      </c>
      <c r="E37" s="10">
        <f>IFERROR(vlookup('1.9'!D:D,lookup!$A$2:$B$4,2,false),0)</f>
        <v>5</v>
      </c>
      <c r="F37" s="10">
        <f>IFERROR(vlookup('1.9'!E:E,lookup!$A$6:$B$8,2,false),0)</f>
        <v>5</v>
      </c>
      <c r="G37" s="10">
        <f>IFERROR(vlookup('1.9'!F:F,lookup!$A$10:$B$12,2,false),0)</f>
        <v>5</v>
      </c>
      <c r="H37" s="10">
        <f>IFERROR(vlookup('1.9'!G:G,lookup!$A$14:$B$16,2,false),0)</f>
        <v>5</v>
      </c>
      <c r="I37" s="10">
        <f>IFERROR(vlookup('1.9'!H:H,lookup!$A$18:$B$20,2,false),0)</f>
        <v>5</v>
      </c>
      <c r="J37" s="10">
        <f>IFERROR(vlookup('1.9'!I:I,lookup!$A$22:$B$24,2,false),0)</f>
        <v>5</v>
      </c>
      <c r="K37" s="10">
        <f>IFERROR(vlookup('1.9'!J:J,lookup!$A$26:$B$28,2,false),0)</f>
        <v>5</v>
      </c>
      <c r="L37" s="2"/>
      <c r="M37" s="10">
        <v>36.0</v>
      </c>
      <c r="N37" s="11" t="str">
        <f t="shared" si="1"/>
        <v>bnco0936@signalschool.ac.th</v>
      </c>
      <c r="O37" s="12">
        <f t="shared" si="2"/>
        <v>1</v>
      </c>
      <c r="R37" s="17" t="s">
        <v>253</v>
      </c>
    </row>
    <row r="38">
      <c r="A38" s="8">
        <f>'1.9'!A:A</f>
        <v>46154.44092</v>
      </c>
      <c r="B38" s="2" t="str">
        <f>'1.9'!B:B</f>
        <v>bnco0912@signalschool.ac.th</v>
      </c>
      <c r="C38" s="2" t="str">
        <f>'1.9'!C:C</f>
        <v>พ.ต.หญิงพิมพ์ชนก จิรัฎฐิติกาล</v>
      </c>
      <c r="D38" s="9">
        <v>1.0</v>
      </c>
      <c r="E38" s="10">
        <f>IFERROR(vlookup('1.9'!D:D,lookup!$A$2:$B$4,2,false),0)</f>
        <v>5</v>
      </c>
      <c r="F38" s="10">
        <f>IFERROR(vlookup('1.9'!E:E,lookup!$A$6:$B$8,2,false),0)</f>
        <v>5</v>
      </c>
      <c r="G38" s="10">
        <f>IFERROR(vlookup('1.9'!F:F,lookup!$A$10:$B$12,2,false),0)</f>
        <v>5</v>
      </c>
      <c r="H38" s="10">
        <f>IFERROR(vlookup('1.9'!G:G,lookup!$A$14:$B$16,2,false),0)</f>
        <v>5</v>
      </c>
      <c r="I38" s="10">
        <f>IFERROR(vlookup('1.9'!H:H,lookup!$A$18:$B$20,2,false),0)</f>
        <v>5</v>
      </c>
      <c r="J38" s="10">
        <f>IFERROR(vlookup('1.9'!I:I,lookup!$A$22:$B$24,2,false),0)</f>
        <v>5</v>
      </c>
      <c r="K38" s="10">
        <f>IFERROR(vlookup('1.9'!J:J,lookup!$A$26:$B$28,2,false),0)</f>
        <v>5</v>
      </c>
      <c r="L38" s="2"/>
      <c r="M38" s="10">
        <v>37.0</v>
      </c>
      <c r="N38" s="11" t="str">
        <f t="shared" si="1"/>
        <v>bnco0937@signalschool.ac.th</v>
      </c>
      <c r="O38" s="12">
        <f t="shared" si="2"/>
        <v>1</v>
      </c>
      <c r="R38" s="17" t="s">
        <v>254</v>
      </c>
    </row>
    <row r="39">
      <c r="A39" s="8">
        <f>'1.9'!A:A</f>
        <v>46154.44094</v>
      </c>
      <c r="B39" s="2" t="str">
        <f>'1.9'!B:B</f>
        <v>bnco0908@signalschool.ac.th</v>
      </c>
      <c r="C39" s="2" t="str">
        <f>'1.9'!C:C</f>
        <v>พ.ต.หญิงพิมพ์ชนก จิรัฎฐิติกาล</v>
      </c>
      <c r="D39" s="9">
        <v>1.0</v>
      </c>
      <c r="E39" s="10">
        <f>IFERROR(vlookup('1.9'!D:D,lookup!$A$2:$B$4,2,false),0)</f>
        <v>5</v>
      </c>
      <c r="F39" s="10">
        <f>IFERROR(vlookup('1.9'!E:E,lookup!$A$6:$B$8,2,false),0)</f>
        <v>5</v>
      </c>
      <c r="G39" s="10">
        <f>IFERROR(vlookup('1.9'!F:F,lookup!$A$10:$B$12,2,false),0)</f>
        <v>5</v>
      </c>
      <c r="H39" s="10">
        <f>IFERROR(vlookup('1.9'!G:G,lookup!$A$14:$B$16,2,false),0)</f>
        <v>5</v>
      </c>
      <c r="I39" s="10">
        <f>IFERROR(vlookup('1.9'!H:H,lookup!$A$18:$B$20,2,false),0)</f>
        <v>5</v>
      </c>
      <c r="J39" s="10">
        <f>IFERROR(vlookup('1.9'!I:I,lookup!$A$22:$B$24,2,false),0)</f>
        <v>5</v>
      </c>
      <c r="K39" s="10">
        <f>IFERROR(vlookup('1.9'!J:J,lookup!$A$26:$B$28,2,false),0)</f>
        <v>5</v>
      </c>
      <c r="L39" s="2"/>
      <c r="M39" s="10">
        <v>38.0</v>
      </c>
      <c r="N39" s="11" t="str">
        <f t="shared" si="1"/>
        <v>bnco0938@signalschool.ac.th</v>
      </c>
      <c r="O39" s="12">
        <f t="shared" si="2"/>
        <v>1</v>
      </c>
      <c r="R39" s="17" t="s">
        <v>255</v>
      </c>
    </row>
    <row r="40">
      <c r="A40" s="8">
        <f>'1.9'!A:A</f>
        <v>46154.44108</v>
      </c>
      <c r="B40" s="2" t="str">
        <f>'1.9'!B:B</f>
        <v>bnco0942@signalschool.ac.th</v>
      </c>
      <c r="C40" s="2" t="str">
        <f>'1.9'!C:C</f>
        <v>พ.ต.หญิงพิมพ์ชนก   จิรัฎฐิติกาล / ส.อ.กฤษดา  เพ็งภา</v>
      </c>
      <c r="D40" s="9">
        <v>1.0</v>
      </c>
      <c r="E40" s="10">
        <f>IFERROR(vlookup('1.9'!D:D,lookup!$A$2:$B$4,2,false),0)</f>
        <v>5</v>
      </c>
      <c r="F40" s="10">
        <f>IFERROR(vlookup('1.9'!E:E,lookup!$A$6:$B$8,2,false),0)</f>
        <v>5</v>
      </c>
      <c r="G40" s="10">
        <f>IFERROR(vlookup('1.9'!F:F,lookup!$A$10:$B$12,2,false),0)</f>
        <v>5</v>
      </c>
      <c r="H40" s="10">
        <f>IFERROR(vlookup('1.9'!G:G,lookup!$A$14:$B$16,2,false),0)</f>
        <v>5</v>
      </c>
      <c r="I40" s="10">
        <f>IFERROR(vlookup('1.9'!H:H,lookup!$A$18:$B$20,2,false),0)</f>
        <v>5</v>
      </c>
      <c r="J40" s="10">
        <f>IFERROR(vlookup('1.9'!I:I,lookup!$A$22:$B$24,2,false),0)</f>
        <v>5</v>
      </c>
      <c r="K40" s="10">
        <f>IFERROR(vlookup('1.9'!J:J,lookup!$A$26:$B$28,2,false),0)</f>
        <v>5</v>
      </c>
      <c r="L40" s="2"/>
      <c r="M40" s="10">
        <v>39.0</v>
      </c>
      <c r="N40" s="11" t="str">
        <f t="shared" si="1"/>
        <v>bnco0939@signalschool.ac.th</v>
      </c>
      <c r="O40" s="12">
        <f t="shared" si="2"/>
        <v>1</v>
      </c>
      <c r="R40" s="17" t="s">
        <v>256</v>
      </c>
    </row>
    <row r="41">
      <c r="A41" s="8">
        <f>'1.9'!A:A</f>
        <v>46154.4445</v>
      </c>
      <c r="B41" s="2" t="str">
        <f>'1.9'!B:B</f>
        <v>bnco0955@signalschool.ac.th</v>
      </c>
      <c r="C41" s="2" t="str">
        <f>'1.9'!C:C</f>
        <v>พ.ต.หญิงพิมพ์ชนก จิรัฎฐิติกาล</v>
      </c>
      <c r="D41" s="9">
        <v>1.0</v>
      </c>
      <c r="E41" s="10">
        <f>IFERROR(vlookup('1.9'!D:D,lookup!$A$2:$B$4,2,false),0)</f>
        <v>5</v>
      </c>
      <c r="F41" s="10">
        <f>IFERROR(vlookup('1.9'!E:E,lookup!$A$6:$B$8,2,false),0)</f>
        <v>5</v>
      </c>
      <c r="G41" s="10">
        <f>IFERROR(vlookup('1.9'!F:F,lookup!$A$10:$B$12,2,false),0)</f>
        <v>5</v>
      </c>
      <c r="H41" s="10">
        <f>IFERROR(vlookup('1.9'!G:G,lookup!$A$14:$B$16,2,false),0)</f>
        <v>5</v>
      </c>
      <c r="I41" s="10">
        <f>IFERROR(vlookup('1.9'!H:H,lookup!$A$18:$B$20,2,false),0)</f>
        <v>5</v>
      </c>
      <c r="J41" s="10">
        <f>IFERROR(vlookup('1.9'!I:I,lookup!$A$22:$B$24,2,false),0)</f>
        <v>5</v>
      </c>
      <c r="K41" s="10">
        <f>IFERROR(vlookup('1.9'!J:J,lookup!$A$26:$B$28,2,false),0)</f>
        <v>5</v>
      </c>
      <c r="L41" s="2"/>
      <c r="M41" s="10">
        <v>40.0</v>
      </c>
      <c r="N41" s="11" t="str">
        <f t="shared" si="1"/>
        <v>bnco0940@signalschool.ac.th</v>
      </c>
      <c r="O41" s="12">
        <f t="shared" si="2"/>
        <v>1</v>
      </c>
      <c r="R41" s="17" t="s">
        <v>257</v>
      </c>
    </row>
    <row r="42">
      <c r="A42" s="8">
        <f>'1.9'!A:A</f>
        <v>46154.44461</v>
      </c>
      <c r="B42" s="2" t="str">
        <f>'1.9'!B:B</f>
        <v>bnco0939@signalschool.ac.th</v>
      </c>
      <c r="C42" s="2" t="str">
        <f>'1.9'!C:C</f>
        <v>พ.ต.หญิงพิมพ์ชนก จิรัฎฐิติกาล</v>
      </c>
      <c r="D42" s="9">
        <v>1.0</v>
      </c>
      <c r="E42" s="10">
        <f>IFERROR(vlookup('1.9'!D:D,lookup!$A$2:$B$4,2,false),0)</f>
        <v>5</v>
      </c>
      <c r="F42" s="10">
        <f>IFERROR(vlookup('1.9'!E:E,lookup!$A$6:$B$8,2,false),0)</f>
        <v>5</v>
      </c>
      <c r="G42" s="10">
        <f>IFERROR(vlookup('1.9'!F:F,lookup!$A$10:$B$12,2,false),0)</f>
        <v>5</v>
      </c>
      <c r="H42" s="10">
        <f>IFERROR(vlookup('1.9'!G:G,lookup!$A$14:$B$16,2,false),0)</f>
        <v>5</v>
      </c>
      <c r="I42" s="10">
        <f>IFERROR(vlookup('1.9'!H:H,lookup!$A$18:$B$20,2,false),0)</f>
        <v>5</v>
      </c>
      <c r="J42" s="10">
        <f>IFERROR(vlookup('1.9'!I:I,lookup!$A$22:$B$24,2,false),0)</f>
        <v>5</v>
      </c>
      <c r="K42" s="10">
        <f>IFERROR(vlookup('1.9'!J:J,lookup!$A$26:$B$28,2,false),0)</f>
        <v>5</v>
      </c>
      <c r="L42" s="2"/>
      <c r="M42" s="10">
        <v>41.0</v>
      </c>
      <c r="N42" s="11" t="str">
        <f t="shared" si="1"/>
        <v>bnco0941@signalschool.ac.th</v>
      </c>
      <c r="O42" s="12">
        <f t="shared" si="2"/>
        <v>1</v>
      </c>
      <c r="R42" s="17" t="s">
        <v>258</v>
      </c>
    </row>
    <row r="43">
      <c r="A43" s="8">
        <f>'1.9'!A:A</f>
        <v>46154.44508</v>
      </c>
      <c r="B43" s="2" t="str">
        <f>'1.9'!B:B</f>
        <v>bnco0918@signalschool.ac.th</v>
      </c>
      <c r="C43" s="2" t="str">
        <f>'1.9'!C:C</f>
        <v>พ.ต.หญิงพิมพ์ชนก จิรัฎฐิติกาล</v>
      </c>
      <c r="D43" s="9">
        <v>1.0</v>
      </c>
      <c r="E43" s="10">
        <f>IFERROR(vlookup('1.9'!D:D,lookup!$A$2:$B$4,2,false),0)</f>
        <v>5</v>
      </c>
      <c r="F43" s="10">
        <f>IFERROR(vlookup('1.9'!E:E,lookup!$A$6:$B$8,2,false),0)</f>
        <v>5</v>
      </c>
      <c r="G43" s="10">
        <f>IFERROR(vlookup('1.9'!F:F,lookup!$A$10:$B$12,2,false),0)</f>
        <v>5</v>
      </c>
      <c r="H43" s="10">
        <f>IFERROR(vlookup('1.9'!G:G,lookup!$A$14:$B$16,2,false),0)</f>
        <v>5</v>
      </c>
      <c r="I43" s="10">
        <f>IFERROR(vlookup('1.9'!H:H,lookup!$A$18:$B$20,2,false),0)</f>
        <v>5</v>
      </c>
      <c r="J43" s="10">
        <f>IFERROR(vlookup('1.9'!I:I,lookup!$A$22:$B$24,2,false),0)</f>
        <v>5</v>
      </c>
      <c r="K43" s="10">
        <f>IFERROR(vlookup('1.9'!J:J,lookup!$A$26:$B$28,2,false),0)</f>
        <v>5</v>
      </c>
      <c r="L43" s="2"/>
      <c r="M43" s="10">
        <v>42.0</v>
      </c>
      <c r="N43" s="11" t="str">
        <f t="shared" si="1"/>
        <v>bnco0942@signalschool.ac.th</v>
      </c>
      <c r="O43" s="12">
        <f t="shared" si="2"/>
        <v>1</v>
      </c>
      <c r="R43" s="17" t="s">
        <v>259</v>
      </c>
    </row>
    <row r="44">
      <c r="A44" s="8">
        <f>'1.9'!A:A</f>
        <v>46154.44605</v>
      </c>
      <c r="B44" s="2" t="str">
        <f>'1.9'!B:B</f>
        <v>bnco0943@signalschool.ac.th</v>
      </c>
      <c r="C44" s="2" t="str">
        <f>'1.9'!C:C</f>
        <v>พ.ต.หญิงพิมพ์ชนก จิรัฎฐิติกาล</v>
      </c>
      <c r="D44" s="9">
        <v>1.0</v>
      </c>
      <c r="E44" s="10">
        <f>IFERROR(vlookup('1.9'!D:D,lookup!$A$2:$B$4,2,false),0)</f>
        <v>5</v>
      </c>
      <c r="F44" s="10">
        <f>IFERROR(vlookup('1.9'!E:E,lookup!$A$6:$B$8,2,false),0)</f>
        <v>5</v>
      </c>
      <c r="G44" s="10">
        <f>IFERROR(vlookup('1.9'!F:F,lookup!$A$10:$B$12,2,false),0)</f>
        <v>5</v>
      </c>
      <c r="H44" s="10">
        <f>IFERROR(vlookup('1.9'!G:G,lookup!$A$14:$B$16,2,false),0)</f>
        <v>5</v>
      </c>
      <c r="I44" s="10">
        <f>IFERROR(vlookup('1.9'!H:H,lookup!$A$18:$B$20,2,false),0)</f>
        <v>5</v>
      </c>
      <c r="J44" s="10">
        <f>IFERROR(vlookup('1.9'!I:I,lookup!$A$22:$B$24,2,false),0)</f>
        <v>5</v>
      </c>
      <c r="K44" s="10">
        <f>IFERROR(vlookup('1.9'!J:J,lookup!$A$26:$B$28,2,false),0)</f>
        <v>5</v>
      </c>
      <c r="L44" s="2"/>
      <c r="M44" s="10">
        <v>43.0</v>
      </c>
      <c r="N44" s="11" t="str">
        <f t="shared" si="1"/>
        <v>bnco0943@signalschool.ac.th</v>
      </c>
      <c r="O44" s="12">
        <f t="shared" si="2"/>
        <v>1</v>
      </c>
      <c r="R44" s="17" t="s">
        <v>260</v>
      </c>
    </row>
    <row r="45">
      <c r="A45" s="8">
        <f>'1.9'!A:A</f>
        <v>46154.44638</v>
      </c>
      <c r="B45" s="2" t="str">
        <f>'1.9'!B:B</f>
        <v>bnco0961@signalschool.ac.th</v>
      </c>
      <c r="C45" s="2" t="str">
        <f>'1.9'!C:C</f>
        <v>พ.ต.หญิงพิมพ์ชนก จิรัฎฐิติกาล</v>
      </c>
      <c r="D45" s="9">
        <v>1.0</v>
      </c>
      <c r="E45" s="10">
        <f>IFERROR(vlookup('1.9'!D:D,lookup!$A$2:$B$4,2,false),0)</f>
        <v>5</v>
      </c>
      <c r="F45" s="10">
        <f>IFERROR(vlookup('1.9'!E:E,lookup!$A$6:$B$8,2,false),0)</f>
        <v>5</v>
      </c>
      <c r="G45" s="10">
        <f>IFERROR(vlookup('1.9'!F:F,lookup!$A$10:$B$12,2,false),0)</f>
        <v>5</v>
      </c>
      <c r="H45" s="10">
        <f>IFERROR(vlookup('1.9'!G:G,lookup!$A$14:$B$16,2,false),0)</f>
        <v>5</v>
      </c>
      <c r="I45" s="10">
        <f>IFERROR(vlookup('1.9'!H:H,lookup!$A$18:$B$20,2,false),0)</f>
        <v>5</v>
      </c>
      <c r="J45" s="10">
        <f>IFERROR(vlookup('1.9'!I:I,lookup!$A$22:$B$24,2,false),0)</f>
        <v>5</v>
      </c>
      <c r="K45" s="10">
        <f>IFERROR(vlookup('1.9'!J:J,lookup!$A$26:$B$28,2,false),0)</f>
        <v>5</v>
      </c>
      <c r="L45" s="2"/>
      <c r="M45" s="10">
        <v>44.0</v>
      </c>
      <c r="N45" s="11" t="str">
        <f t="shared" si="1"/>
        <v>bnco0944@signalschool.ac.th</v>
      </c>
      <c r="O45" s="12">
        <f t="shared" si="2"/>
        <v>1</v>
      </c>
      <c r="R45" s="17" t="s">
        <v>261</v>
      </c>
    </row>
    <row r="46">
      <c r="A46" s="8">
        <f>'1.9'!A:A</f>
        <v>46154.44898</v>
      </c>
      <c r="B46" s="2" t="str">
        <f>'1.9'!B:B</f>
        <v>bnco0962@signalschool.ac.th</v>
      </c>
      <c r="C46" s="2" t="str">
        <f>'1.9'!C:C</f>
        <v>พ.ต.หญิงพิมพ์ชนก จิรัฏฐิกาล</v>
      </c>
      <c r="D46" s="9">
        <v>1.0</v>
      </c>
      <c r="E46" s="10">
        <f>IFERROR(vlookup('1.9'!D:D,lookup!$A$2:$B$4,2,false),0)</f>
        <v>5</v>
      </c>
      <c r="F46" s="10">
        <f>IFERROR(vlookup('1.9'!E:E,lookup!$A$6:$B$8,2,false),0)</f>
        <v>5</v>
      </c>
      <c r="G46" s="10">
        <f>IFERROR(vlookup('1.9'!F:F,lookup!$A$10:$B$12,2,false),0)</f>
        <v>5</v>
      </c>
      <c r="H46" s="10">
        <f>IFERROR(vlookup('1.9'!G:G,lookup!$A$14:$B$16,2,false),0)</f>
        <v>5</v>
      </c>
      <c r="I46" s="10">
        <f>IFERROR(vlookup('1.9'!H:H,lookup!$A$18:$B$20,2,false),0)</f>
        <v>5</v>
      </c>
      <c r="J46" s="10">
        <f>IFERROR(vlookup('1.9'!I:I,lookup!$A$22:$B$24,2,false),0)</f>
        <v>5</v>
      </c>
      <c r="K46" s="10">
        <f>IFERROR(vlookup('1.9'!J:J,lookup!$A$26:$B$28,2,false),0)</f>
        <v>5</v>
      </c>
      <c r="L46" s="2"/>
      <c r="M46" s="10">
        <v>45.0</v>
      </c>
      <c r="N46" s="11" t="str">
        <f t="shared" si="1"/>
        <v>bnco0945@signalschool.ac.th</v>
      </c>
      <c r="O46" s="12">
        <f t="shared" si="2"/>
        <v>1</v>
      </c>
      <c r="R46" s="17" t="s">
        <v>262</v>
      </c>
    </row>
    <row r="47">
      <c r="A47" s="8">
        <f>'1.9'!A:A</f>
        <v>46154.44969</v>
      </c>
      <c r="B47" s="2" t="str">
        <f>'1.9'!B:B</f>
        <v>bnco0966@signalschool.ac.th</v>
      </c>
      <c r="C47" s="2" t="str">
        <f>'1.9'!C:C</f>
        <v>พ.ต.หญิงพิมพ์ชนก จิรัฎฐิติกาล</v>
      </c>
      <c r="D47" s="9">
        <v>1.0</v>
      </c>
      <c r="E47" s="10">
        <f>IFERROR(vlookup('1.9'!D:D,lookup!$A$2:$B$4,2,false),0)</f>
        <v>5</v>
      </c>
      <c r="F47" s="10">
        <f>IFERROR(vlookup('1.9'!E:E,lookup!$A$6:$B$8,2,false),0)</f>
        <v>5</v>
      </c>
      <c r="G47" s="10">
        <f>IFERROR(vlookup('1.9'!F:F,lookup!$A$10:$B$12,2,false),0)</f>
        <v>5</v>
      </c>
      <c r="H47" s="10">
        <f>IFERROR(vlookup('1.9'!G:G,lookup!$A$14:$B$16,2,false),0)</f>
        <v>5</v>
      </c>
      <c r="I47" s="10">
        <f>IFERROR(vlookup('1.9'!H:H,lookup!$A$18:$B$20,2,false),0)</f>
        <v>5</v>
      </c>
      <c r="J47" s="10">
        <f>IFERROR(vlookup('1.9'!I:I,lookup!$A$22:$B$24,2,false),0)</f>
        <v>5</v>
      </c>
      <c r="K47" s="10">
        <f>IFERROR(vlookup('1.9'!J:J,lookup!$A$26:$B$28,2,false),0)</f>
        <v>5</v>
      </c>
      <c r="L47" s="2"/>
      <c r="M47" s="10">
        <v>46.0</v>
      </c>
      <c r="N47" s="11" t="str">
        <f t="shared" si="1"/>
        <v>bnco0946@signalschool.ac.th</v>
      </c>
      <c r="O47" s="12">
        <f t="shared" si="2"/>
        <v>1</v>
      </c>
      <c r="R47" s="17" t="s">
        <v>263</v>
      </c>
    </row>
    <row r="48">
      <c r="A48" s="8">
        <f>'1.9'!A:A</f>
        <v>46154.45065</v>
      </c>
      <c r="B48" s="2" t="str">
        <f>'1.9'!B:B</f>
        <v>bnco0914@signalschool.ac.th</v>
      </c>
      <c r="C48" s="2" t="str">
        <f>'1.9'!C:C</f>
        <v>พ.ต.หญิงพิมพ์ชนก จิรัฎฐิติกาล</v>
      </c>
      <c r="D48" s="9">
        <v>1.0</v>
      </c>
      <c r="E48" s="10">
        <f>IFERROR(vlookup('1.9'!D:D,lookup!$A$2:$B$4,2,false),0)</f>
        <v>5</v>
      </c>
      <c r="F48" s="10">
        <f>IFERROR(vlookup('1.9'!E:E,lookup!$A$6:$B$8,2,false),0)</f>
        <v>5</v>
      </c>
      <c r="G48" s="10">
        <f>IFERROR(vlookup('1.9'!F:F,lookup!$A$10:$B$12,2,false),0)</f>
        <v>5</v>
      </c>
      <c r="H48" s="10">
        <f>IFERROR(vlookup('1.9'!G:G,lookup!$A$14:$B$16,2,false),0)</f>
        <v>5</v>
      </c>
      <c r="I48" s="10">
        <f>IFERROR(vlookup('1.9'!H:H,lookup!$A$18:$B$20,2,false),0)</f>
        <v>5</v>
      </c>
      <c r="J48" s="10">
        <f>IFERROR(vlookup('1.9'!I:I,lookup!$A$22:$B$24,2,false),0)</f>
        <v>5</v>
      </c>
      <c r="K48" s="10">
        <f>IFERROR(vlookup('1.9'!J:J,lookup!$A$26:$B$28,2,false),0)</f>
        <v>5</v>
      </c>
      <c r="L48" s="2"/>
      <c r="M48" s="10">
        <v>47.0</v>
      </c>
      <c r="N48" s="11" t="str">
        <f t="shared" si="1"/>
        <v>bnco0947@signalschool.ac.th</v>
      </c>
      <c r="O48" s="12">
        <f t="shared" si="2"/>
        <v>1</v>
      </c>
      <c r="R48" s="17" t="s">
        <v>264</v>
      </c>
    </row>
    <row r="49">
      <c r="A49" s="8">
        <f>'1.9'!A:A</f>
        <v>46154.45187</v>
      </c>
      <c r="B49" s="2" t="str">
        <f>'1.9'!B:B</f>
        <v>bnco0969@signalschool.ac.th</v>
      </c>
      <c r="C49" s="2" t="str">
        <f>'1.9'!C:C</f>
        <v>พ.ต.หญิงพิมพ์ชนก จิรัฎฐิติกาล</v>
      </c>
      <c r="D49" s="9">
        <v>1.0</v>
      </c>
      <c r="E49" s="10">
        <f>IFERROR(vlookup('1.9'!D:D,lookup!$A$2:$B$4,2,false),0)</f>
        <v>5</v>
      </c>
      <c r="F49" s="10">
        <f>IFERROR(vlookup('1.9'!E:E,lookup!$A$6:$B$8,2,false),0)</f>
        <v>5</v>
      </c>
      <c r="G49" s="10">
        <f>IFERROR(vlookup('1.9'!F:F,lookup!$A$10:$B$12,2,false),0)</f>
        <v>5</v>
      </c>
      <c r="H49" s="10">
        <f>IFERROR(vlookup('1.9'!G:G,lookup!$A$14:$B$16,2,false),0)</f>
        <v>5</v>
      </c>
      <c r="I49" s="10">
        <f>IFERROR(vlookup('1.9'!H:H,lookup!$A$18:$B$20,2,false),0)</f>
        <v>5</v>
      </c>
      <c r="J49" s="10">
        <f>IFERROR(vlookup('1.9'!I:I,lookup!$A$22:$B$24,2,false),0)</f>
        <v>5</v>
      </c>
      <c r="K49" s="10">
        <f>IFERROR(vlookup('1.9'!J:J,lookup!$A$26:$B$28,2,false),0)</f>
        <v>5</v>
      </c>
      <c r="L49" s="2"/>
      <c r="M49" s="10">
        <v>48.0</v>
      </c>
      <c r="N49" s="11" t="str">
        <f t="shared" si="1"/>
        <v>bnco0948@signalschool.ac.th</v>
      </c>
      <c r="O49" s="12">
        <f t="shared" si="2"/>
        <v>1</v>
      </c>
      <c r="R49" s="17" t="s">
        <v>265</v>
      </c>
    </row>
    <row r="50">
      <c r="A50" s="8">
        <f>'1.9'!A:A</f>
        <v>46154.45334</v>
      </c>
      <c r="B50" s="2" t="str">
        <f>'1.9'!B:B</f>
        <v>bnco0957@signalschool.ac.th</v>
      </c>
      <c r="C50" s="2" t="str">
        <f>'1.9'!C:C</f>
        <v>พ.ต.หญิงพิมพ์ชนก จิรัฎฐิติกาล</v>
      </c>
      <c r="D50" s="9">
        <v>1.0</v>
      </c>
      <c r="E50" s="10">
        <f>IFERROR(vlookup('1.9'!D:D,lookup!$A$2:$B$4,2,false),0)</f>
        <v>3</v>
      </c>
      <c r="F50" s="10">
        <f>IFERROR(vlookup('1.9'!E:E,lookup!$A$6:$B$8,2,false),0)</f>
        <v>5</v>
      </c>
      <c r="G50" s="10">
        <f>IFERROR(vlookup('1.9'!F:F,lookup!$A$10:$B$12,2,false),0)</f>
        <v>5</v>
      </c>
      <c r="H50" s="10">
        <f>IFERROR(vlookup('1.9'!G:G,lookup!$A$14:$B$16,2,false),0)</f>
        <v>5</v>
      </c>
      <c r="I50" s="10">
        <f>IFERROR(vlookup('1.9'!H:H,lookup!$A$18:$B$20,2,false),0)</f>
        <v>5</v>
      </c>
      <c r="J50" s="10">
        <f>IFERROR(vlookup('1.9'!I:I,lookup!$A$22:$B$24,2,false),0)</f>
        <v>5</v>
      </c>
      <c r="K50" s="10">
        <f>IFERROR(vlookup('1.9'!J:J,lookup!$A$26:$B$28,2,false),0)</f>
        <v>5</v>
      </c>
      <c r="L50" s="2"/>
      <c r="M50" s="10">
        <v>49.0</v>
      </c>
      <c r="N50" s="11" t="str">
        <f t="shared" si="1"/>
        <v>bnco0949@signalschool.ac.th</v>
      </c>
      <c r="O50" s="12">
        <f t="shared" si="2"/>
        <v>1</v>
      </c>
      <c r="R50" s="17" t="s">
        <v>266</v>
      </c>
    </row>
    <row r="51">
      <c r="A51" s="8">
        <f>'1.9'!A:A</f>
        <v>46154.45753</v>
      </c>
      <c r="B51" s="2" t="str">
        <f>'1.9'!B:B</f>
        <v>bnco0909@signalschool.ac.th</v>
      </c>
      <c r="C51" s="2" t="str">
        <f>'1.9'!C:C</f>
        <v>พ.ต.หญิง พิมพ์ชนก  จิรัฏฐิติกาล</v>
      </c>
      <c r="D51" s="9">
        <v>1.0</v>
      </c>
      <c r="E51" s="10">
        <f>IFERROR(vlookup('1.9'!D:D,lookup!$A$2:$B$4,2,false),0)</f>
        <v>5</v>
      </c>
      <c r="F51" s="10">
        <f>IFERROR(vlookup('1.9'!E:E,lookup!$A$6:$B$8,2,false),0)</f>
        <v>5</v>
      </c>
      <c r="G51" s="10">
        <f>IFERROR(vlookup('1.9'!F:F,lookup!$A$10:$B$12,2,false),0)</f>
        <v>5</v>
      </c>
      <c r="H51" s="10">
        <f>IFERROR(vlookup('1.9'!G:G,lookup!$A$14:$B$16,2,false),0)</f>
        <v>5</v>
      </c>
      <c r="I51" s="10">
        <f>IFERROR(vlookup('1.9'!H:H,lookup!$A$18:$B$20,2,false),0)</f>
        <v>5</v>
      </c>
      <c r="J51" s="10">
        <f>IFERROR(vlookup('1.9'!I:I,lookup!$A$22:$B$24,2,false),0)</f>
        <v>5</v>
      </c>
      <c r="K51" s="10">
        <f>IFERROR(vlookup('1.9'!J:J,lookup!$A$26:$B$28,2,false),0)</f>
        <v>5</v>
      </c>
      <c r="L51" s="2"/>
      <c r="M51" s="10">
        <v>50.0</v>
      </c>
      <c r="N51" s="11" t="str">
        <f t="shared" si="1"/>
        <v>bnco0950@signalschool.ac.th</v>
      </c>
      <c r="O51" s="12">
        <f t="shared" si="2"/>
        <v>1</v>
      </c>
      <c r="R51" s="17" t="s">
        <v>267</v>
      </c>
    </row>
    <row r="52">
      <c r="A52" s="8">
        <f>'1.9'!A:A</f>
        <v>46154.45788</v>
      </c>
      <c r="B52" s="2" t="str">
        <f>'1.9'!B:B</f>
        <v>bnco0938@signalschool.ac.th</v>
      </c>
      <c r="C52" s="2" t="str">
        <f>'1.9'!C:C</f>
        <v>พ.ต.หญิงพิมพ์ชนก จิรัฎฐิติกาล</v>
      </c>
      <c r="D52" s="9">
        <v>1.0</v>
      </c>
      <c r="E52" s="10">
        <f>IFERROR(vlookup('1.9'!D:D,lookup!$A$2:$B$4,2,false),0)</f>
        <v>5</v>
      </c>
      <c r="F52" s="10">
        <f>IFERROR(vlookup('1.9'!E:E,lookup!$A$6:$B$8,2,false),0)</f>
        <v>5</v>
      </c>
      <c r="G52" s="10">
        <f>IFERROR(vlookup('1.9'!F:F,lookup!$A$10:$B$12,2,false),0)</f>
        <v>5</v>
      </c>
      <c r="H52" s="10">
        <f>IFERROR(vlookup('1.9'!G:G,lookup!$A$14:$B$16,2,false),0)</f>
        <v>5</v>
      </c>
      <c r="I52" s="10">
        <f>IFERROR(vlookup('1.9'!H:H,lookup!$A$18:$B$20,2,false),0)</f>
        <v>5</v>
      </c>
      <c r="J52" s="10">
        <f>IFERROR(vlookup('1.9'!I:I,lookup!$A$22:$B$24,2,false),0)</f>
        <v>5</v>
      </c>
      <c r="K52" s="10">
        <f>IFERROR(vlookup('1.9'!J:J,lookup!$A$26:$B$28,2,false),0)</f>
        <v>5</v>
      </c>
      <c r="L52" s="2"/>
      <c r="M52" s="10">
        <v>51.0</v>
      </c>
      <c r="N52" s="11" t="str">
        <f t="shared" si="1"/>
        <v>bnco0951@signalschool.ac.th</v>
      </c>
      <c r="O52" s="12">
        <f t="shared" si="2"/>
        <v>1</v>
      </c>
      <c r="R52" s="17" t="s">
        <v>268</v>
      </c>
    </row>
    <row r="53">
      <c r="A53" s="8">
        <f>'1.9'!A:A</f>
        <v>46154.4634</v>
      </c>
      <c r="B53" s="2" t="str">
        <f>'1.9'!B:B</f>
        <v>bnco0933@signalschool.ac.th</v>
      </c>
      <c r="C53" s="2" t="str">
        <f>'1.9'!C:C</f>
        <v>พ.ต.หญิง พิมพ์ชนก จิรัฎฐิติกาล</v>
      </c>
      <c r="D53" s="9">
        <v>1.0</v>
      </c>
      <c r="E53" s="10">
        <f>IFERROR(vlookup('1.9'!D:D,lookup!$A$2:$B$4,2,false),0)</f>
        <v>5</v>
      </c>
      <c r="F53" s="10">
        <f>IFERROR(vlookup('1.9'!E:E,lookup!$A$6:$B$8,2,false),0)</f>
        <v>5</v>
      </c>
      <c r="G53" s="10">
        <f>IFERROR(vlookup('1.9'!F:F,lookup!$A$10:$B$12,2,false),0)</f>
        <v>5</v>
      </c>
      <c r="H53" s="10">
        <f>IFERROR(vlookup('1.9'!G:G,lookup!$A$14:$B$16,2,false),0)</f>
        <v>5</v>
      </c>
      <c r="I53" s="10">
        <f>IFERROR(vlookup('1.9'!H:H,lookup!$A$18:$B$20,2,false),0)</f>
        <v>5</v>
      </c>
      <c r="J53" s="10">
        <f>IFERROR(vlookup('1.9'!I:I,lookup!$A$22:$B$24,2,false),0)</f>
        <v>5</v>
      </c>
      <c r="K53" s="10">
        <f>IFERROR(vlookup('1.9'!J:J,lookup!$A$26:$B$28,2,false),0)</f>
        <v>5</v>
      </c>
      <c r="L53" s="2"/>
      <c r="M53" s="10">
        <v>52.0</v>
      </c>
      <c r="N53" s="11" t="str">
        <f t="shared" si="1"/>
        <v>bnco0952@signalschool.ac.th</v>
      </c>
      <c r="O53" s="12">
        <f t="shared" si="2"/>
        <v>1</v>
      </c>
      <c r="R53" s="17" t="s">
        <v>269</v>
      </c>
    </row>
    <row r="54">
      <c r="A54" s="8">
        <f>'1.9'!A:A</f>
        <v>46154.4638</v>
      </c>
      <c r="B54" s="2" t="str">
        <f>'1.9'!B:B</f>
        <v>bnco0974@signalschool.ac.th</v>
      </c>
      <c r="C54" s="2" t="str">
        <f>'1.9'!C:C</f>
        <v>พ.ต.หญิงพิมพ์ชนก จิรัฎฐิติกาล</v>
      </c>
      <c r="D54" s="9">
        <v>1.0</v>
      </c>
      <c r="E54" s="10">
        <f>IFERROR(vlookup('1.9'!D:D,lookup!$A$2:$B$4,2,false),0)</f>
        <v>5</v>
      </c>
      <c r="F54" s="10">
        <f>IFERROR(vlookup('1.9'!E:E,lookup!$A$6:$B$8,2,false),0)</f>
        <v>5</v>
      </c>
      <c r="G54" s="10">
        <f>IFERROR(vlookup('1.9'!F:F,lookup!$A$10:$B$12,2,false),0)</f>
        <v>5</v>
      </c>
      <c r="H54" s="10">
        <f>IFERROR(vlookup('1.9'!G:G,lookup!$A$14:$B$16,2,false),0)</f>
        <v>5</v>
      </c>
      <c r="I54" s="10">
        <f>IFERROR(vlookup('1.9'!H:H,lookup!$A$18:$B$20,2,false),0)</f>
        <v>5</v>
      </c>
      <c r="J54" s="10">
        <f>IFERROR(vlookup('1.9'!I:I,lookup!$A$22:$B$24,2,false),0)</f>
        <v>3</v>
      </c>
      <c r="K54" s="10">
        <f>IFERROR(vlookup('1.9'!J:J,lookup!$A$26:$B$28,2,false),0)</f>
        <v>5</v>
      </c>
      <c r="L54" s="2"/>
      <c r="M54" s="10">
        <v>53.0</v>
      </c>
      <c r="N54" s="11" t="str">
        <f t="shared" si="1"/>
        <v>bnco0953@signalschool.ac.th</v>
      </c>
      <c r="O54" s="12">
        <f t="shared" si="2"/>
        <v>1</v>
      </c>
      <c r="R54" s="17" t="s">
        <v>270</v>
      </c>
    </row>
    <row r="55">
      <c r="A55" s="8">
        <f>'1.9'!A:A</f>
        <v>46154.46713</v>
      </c>
      <c r="B55" s="2" t="str">
        <f>'1.9'!B:B</f>
        <v>bnco0951@signalschool.ac.th</v>
      </c>
      <c r="C55" s="2" t="str">
        <f>'1.9'!C:C</f>
        <v>ส.อ.อธิพัฒน์ เสงี่ยมพันธ์ ,พ.ต.หญิงพิมพ์ชนก จิรัฎฐิติกาล</v>
      </c>
      <c r="D55" s="9">
        <v>1.0</v>
      </c>
      <c r="E55" s="10">
        <f>IFERROR(vlookup('1.9'!D:D,lookup!$A$2:$B$4,2,false),0)</f>
        <v>5</v>
      </c>
      <c r="F55" s="10">
        <f>IFERROR(vlookup('1.9'!E:E,lookup!$A$6:$B$8,2,false),0)</f>
        <v>5</v>
      </c>
      <c r="G55" s="10">
        <f>IFERROR(vlookup('1.9'!F:F,lookup!$A$10:$B$12,2,false),0)</f>
        <v>5</v>
      </c>
      <c r="H55" s="10">
        <f>IFERROR(vlookup('1.9'!G:G,lookup!$A$14:$B$16,2,false),0)</f>
        <v>5</v>
      </c>
      <c r="I55" s="10">
        <f>IFERROR(vlookup('1.9'!H:H,lookup!$A$18:$B$20,2,false),0)</f>
        <v>5</v>
      </c>
      <c r="J55" s="10">
        <f>IFERROR(vlookup('1.9'!I:I,lookup!$A$22:$B$24,2,false),0)</f>
        <v>5</v>
      </c>
      <c r="K55" s="10">
        <f>IFERROR(vlookup('1.9'!J:J,lookup!$A$26:$B$28,2,false),0)</f>
        <v>5</v>
      </c>
      <c r="L55" s="2"/>
      <c r="M55" s="10">
        <v>54.0</v>
      </c>
      <c r="N55" s="11" t="str">
        <f t="shared" si="1"/>
        <v>bnco0954@signalschool.ac.th</v>
      </c>
      <c r="O55" s="12">
        <f t="shared" si="2"/>
        <v>1</v>
      </c>
      <c r="R55" s="17" t="s">
        <v>271</v>
      </c>
    </row>
    <row r="56">
      <c r="A56" s="8">
        <f>'1.9'!A:A</f>
        <v>46154.48268</v>
      </c>
      <c r="B56" s="2" t="str">
        <f>'1.9'!B:B</f>
        <v>bnco0976@signalschool.ac.th</v>
      </c>
      <c r="C56" s="2" t="str">
        <f>'1.9'!C:C</f>
        <v>พ.ต.หญิง พิมพ์ชนก จิรัฎฐิติกาล</v>
      </c>
      <c r="D56" s="9">
        <v>1.0</v>
      </c>
      <c r="E56" s="10">
        <f>IFERROR(vlookup('1.9'!D:D,lookup!$A$2:$B$4,2,false),0)</f>
        <v>5</v>
      </c>
      <c r="F56" s="10">
        <f>IFERROR(vlookup('1.9'!E:E,lookup!$A$6:$B$8,2,false),0)</f>
        <v>5</v>
      </c>
      <c r="G56" s="10">
        <f>IFERROR(vlookup('1.9'!F:F,lookup!$A$10:$B$12,2,false),0)</f>
        <v>5</v>
      </c>
      <c r="H56" s="10">
        <f>IFERROR(vlookup('1.9'!G:G,lookup!$A$14:$B$16,2,false),0)</f>
        <v>5</v>
      </c>
      <c r="I56" s="10">
        <f>IFERROR(vlookup('1.9'!H:H,lookup!$A$18:$B$20,2,false),0)</f>
        <v>5</v>
      </c>
      <c r="J56" s="10">
        <f>IFERROR(vlookup('1.9'!I:I,lookup!$A$22:$B$24,2,false),0)</f>
        <v>5</v>
      </c>
      <c r="K56" s="10">
        <f>IFERROR(vlookup('1.9'!J:J,lookup!$A$26:$B$28,2,false),0)</f>
        <v>5</v>
      </c>
      <c r="L56" s="13"/>
      <c r="M56" s="10">
        <v>55.0</v>
      </c>
      <c r="N56" s="11" t="str">
        <f t="shared" si="1"/>
        <v>bnco0955@signalschool.ac.th</v>
      </c>
      <c r="O56" s="12">
        <f t="shared" si="2"/>
        <v>1</v>
      </c>
      <c r="R56" s="17" t="s">
        <v>272</v>
      </c>
    </row>
    <row r="57">
      <c r="A57" s="8">
        <f>'1.9'!A:A</f>
        <v>46154.48418</v>
      </c>
      <c r="B57" s="2" t="str">
        <f>'1.9'!B:B</f>
        <v>bnco0950@signalschool.ac.th</v>
      </c>
      <c r="C57" s="2" t="str">
        <f>'1.9'!C:C</f>
        <v>พ.ต.หญิงพิมพ์ชนก จิรัฎฐิติกาล</v>
      </c>
      <c r="D57" s="9">
        <v>1.0</v>
      </c>
      <c r="E57" s="10">
        <f>IFERROR(vlookup('1.9'!D:D,lookup!$A$2:$B$4,2,false),0)</f>
        <v>5</v>
      </c>
      <c r="F57" s="10">
        <f>IFERROR(vlookup('1.9'!E:E,lookup!$A$6:$B$8,2,false),0)</f>
        <v>5</v>
      </c>
      <c r="G57" s="10">
        <f>IFERROR(vlookup('1.9'!F:F,lookup!$A$10:$B$12,2,false),0)</f>
        <v>5</v>
      </c>
      <c r="H57" s="10">
        <f>IFERROR(vlookup('1.9'!G:G,lookup!$A$14:$B$16,2,false),0)</f>
        <v>5</v>
      </c>
      <c r="I57" s="10">
        <f>IFERROR(vlookup('1.9'!H:H,lookup!$A$18:$B$20,2,false),0)</f>
        <v>5</v>
      </c>
      <c r="J57" s="10">
        <f>IFERROR(vlookup('1.9'!I:I,lookup!$A$22:$B$24,2,false),0)</f>
        <v>5</v>
      </c>
      <c r="K57" s="10">
        <f>IFERROR(vlookup('1.9'!J:J,lookup!$A$26:$B$28,2,false),0)</f>
        <v>5</v>
      </c>
      <c r="L57" s="13"/>
      <c r="M57" s="10">
        <v>56.0</v>
      </c>
      <c r="N57" s="11" t="str">
        <f t="shared" si="1"/>
        <v>bnco0956@signalschool.ac.th</v>
      </c>
      <c r="O57" s="12">
        <f t="shared" si="2"/>
        <v>1</v>
      </c>
      <c r="R57" s="17" t="s">
        <v>273</v>
      </c>
    </row>
    <row r="58">
      <c r="A58" s="8">
        <f>'1.9'!A:A</f>
        <v>46154.49203</v>
      </c>
      <c r="B58" s="2" t="str">
        <f>'1.9'!B:B</f>
        <v>bnco0929@signalschool.ac.th</v>
      </c>
      <c r="C58" s="2" t="str">
        <f>'1.9'!C:C</f>
        <v>พ.ต.หญิงพิมพ์ชนก  จิรัฎฐิติกาล</v>
      </c>
      <c r="D58" s="9">
        <v>1.0</v>
      </c>
      <c r="E58" s="10">
        <f>IFERROR(vlookup('1.9'!D:D,lookup!$A$2:$B$4,2,false),0)</f>
        <v>5</v>
      </c>
      <c r="F58" s="10">
        <f>IFERROR(vlookup('1.9'!E:E,lookup!$A$6:$B$8,2,false),0)</f>
        <v>5</v>
      </c>
      <c r="G58" s="10">
        <f>IFERROR(vlookup('1.9'!F:F,lookup!$A$10:$B$12,2,false),0)</f>
        <v>5</v>
      </c>
      <c r="H58" s="10">
        <f>IFERROR(vlookup('1.9'!G:G,lookup!$A$14:$B$16,2,false),0)</f>
        <v>5</v>
      </c>
      <c r="I58" s="10">
        <f>IFERROR(vlookup('1.9'!H:H,lookup!$A$18:$B$20,2,false),0)</f>
        <v>5</v>
      </c>
      <c r="J58" s="10">
        <f>IFERROR(vlookup('1.9'!I:I,lookup!$A$22:$B$24,2,false),0)</f>
        <v>5</v>
      </c>
      <c r="K58" s="10">
        <f>IFERROR(vlookup('1.9'!J:J,lookup!$A$26:$B$28,2,false),0)</f>
        <v>5</v>
      </c>
      <c r="L58" s="13"/>
      <c r="M58" s="10">
        <v>57.0</v>
      </c>
      <c r="N58" s="11" t="str">
        <f t="shared" si="1"/>
        <v>bnco0957@signalschool.ac.th</v>
      </c>
      <c r="O58" s="12">
        <f t="shared" si="2"/>
        <v>1</v>
      </c>
      <c r="R58" s="17" t="s">
        <v>274</v>
      </c>
    </row>
    <row r="59">
      <c r="A59" s="8">
        <f>'1.9'!A:A</f>
        <v>46154.52918</v>
      </c>
      <c r="B59" s="2" t="str">
        <f>'1.9'!B:B</f>
        <v>bnco0948@signalschool.ac.th</v>
      </c>
      <c r="C59" s="2" t="str">
        <f>'1.9'!C:C</f>
        <v>พ.ต.หญิงพิมพ์ชนก  จิรัฎติกาล</v>
      </c>
      <c r="D59" s="9">
        <v>1.0</v>
      </c>
      <c r="E59" s="10">
        <f>IFERROR(vlookup('1.9'!D:D,lookup!$A$2:$B$4,2,false),0)</f>
        <v>5</v>
      </c>
      <c r="F59" s="10">
        <f>IFERROR(vlookup('1.9'!E:E,lookup!$A$6:$B$8,2,false),0)</f>
        <v>5</v>
      </c>
      <c r="G59" s="10">
        <f>IFERROR(vlookup('1.9'!F:F,lookup!$A$10:$B$12,2,false),0)</f>
        <v>5</v>
      </c>
      <c r="H59" s="10">
        <f>IFERROR(vlookup('1.9'!G:G,lookup!$A$14:$B$16,2,false),0)</f>
        <v>5</v>
      </c>
      <c r="I59" s="10">
        <f>IFERROR(vlookup('1.9'!H:H,lookup!$A$18:$B$20,2,false),0)</f>
        <v>5</v>
      </c>
      <c r="J59" s="10">
        <f>IFERROR(vlookup('1.9'!I:I,lookup!$A$22:$B$24,2,false),0)</f>
        <v>5</v>
      </c>
      <c r="K59" s="10">
        <f>IFERROR(vlookup('1.9'!J:J,lookup!$A$26:$B$28,2,false),0)</f>
        <v>5</v>
      </c>
      <c r="L59" s="14"/>
      <c r="M59" s="10">
        <v>58.0</v>
      </c>
      <c r="N59" s="11" t="str">
        <f t="shared" si="1"/>
        <v>bnco0958@signalschool.ac.th</v>
      </c>
      <c r="O59" s="12">
        <f t="shared" si="2"/>
        <v>1</v>
      </c>
      <c r="R59" s="17" t="s">
        <v>275</v>
      </c>
    </row>
    <row r="60">
      <c r="A60" s="8">
        <f>'1.9'!A:A</f>
        <v>46154.54109</v>
      </c>
      <c r="B60" s="2" t="str">
        <f>'1.9'!B:B</f>
        <v>bnco0963@signalschool.ac.th</v>
      </c>
      <c r="C60" s="2" t="str">
        <f>'1.9'!C:C</f>
        <v>พ.ต.หญิงพิมพ์ชนก จิรัฎฐิติกาล</v>
      </c>
      <c r="D60" s="9">
        <v>1.0</v>
      </c>
      <c r="E60" s="10">
        <f>IFERROR(vlookup('1.9'!D:D,lookup!$A$2:$B$4,2,false),0)</f>
        <v>5</v>
      </c>
      <c r="F60" s="10">
        <f>IFERROR(vlookup('1.9'!E:E,lookup!$A$6:$B$8,2,false),0)</f>
        <v>5</v>
      </c>
      <c r="G60" s="10">
        <f>IFERROR(vlookup('1.9'!F:F,lookup!$A$10:$B$12,2,false),0)</f>
        <v>5</v>
      </c>
      <c r="H60" s="10">
        <f>IFERROR(vlookup('1.9'!G:G,lookup!$A$14:$B$16,2,false),0)</f>
        <v>5</v>
      </c>
      <c r="I60" s="10">
        <f>IFERROR(vlookup('1.9'!H:H,lookup!$A$18:$B$20,2,false),0)</f>
        <v>5</v>
      </c>
      <c r="J60" s="10">
        <f>IFERROR(vlookup('1.9'!I:I,lookup!$A$22:$B$24,2,false),0)</f>
        <v>5</v>
      </c>
      <c r="K60" s="10">
        <f>IFERROR(vlookup('1.9'!J:J,lookup!$A$26:$B$28,2,false),0)</f>
        <v>5</v>
      </c>
      <c r="L60" s="10"/>
      <c r="M60" s="10">
        <v>59.0</v>
      </c>
      <c r="N60" s="11" t="str">
        <f t="shared" si="1"/>
        <v>bnco0959@signalschool.ac.th</v>
      </c>
      <c r="O60" s="12">
        <f t="shared" si="2"/>
        <v>1</v>
      </c>
      <c r="R60" s="17" t="s">
        <v>276</v>
      </c>
    </row>
    <row r="61">
      <c r="A61" s="8">
        <f>'1.9'!A:A</f>
        <v>46154.54447</v>
      </c>
      <c r="B61" s="2" t="str">
        <f>'1.9'!B:B</f>
        <v>bnco0959@signalschool.ac.th</v>
      </c>
      <c r="C61" s="2" t="str">
        <f>'1.9'!C:C</f>
        <v>พ.ต.หญิงพิมพ์ชนก จิรัฎฐิติกาล</v>
      </c>
      <c r="D61" s="9">
        <v>1.0</v>
      </c>
      <c r="E61" s="10">
        <f>IFERROR(vlookup('1.9'!D:D,lookup!$A$2:$B$4,2,false),0)</f>
        <v>5</v>
      </c>
      <c r="F61" s="10">
        <f>IFERROR(vlookup('1.9'!E:E,lookup!$A$6:$B$8,2,false),0)</f>
        <v>5</v>
      </c>
      <c r="G61" s="10">
        <f>IFERROR(vlookup('1.9'!F:F,lookup!$A$10:$B$12,2,false),0)</f>
        <v>5</v>
      </c>
      <c r="H61" s="10">
        <f>IFERROR(vlookup('1.9'!G:G,lookup!$A$14:$B$16,2,false),0)</f>
        <v>5</v>
      </c>
      <c r="I61" s="10">
        <f>IFERROR(vlookup('1.9'!H:H,lookup!$A$18:$B$20,2,false),0)</f>
        <v>5</v>
      </c>
      <c r="J61" s="10">
        <f>IFERROR(vlookup('1.9'!I:I,lookup!$A$22:$B$24,2,false),0)</f>
        <v>5</v>
      </c>
      <c r="K61" s="10">
        <f>IFERROR(vlookup('1.9'!J:J,lookup!$A$26:$B$28,2,false),0)</f>
        <v>5</v>
      </c>
      <c r="M61" s="10">
        <v>60.0</v>
      </c>
      <c r="N61" s="11" t="str">
        <f t="shared" si="1"/>
        <v>bnco0960@signalschool.ac.th</v>
      </c>
      <c r="O61" s="12">
        <f t="shared" si="2"/>
        <v>1</v>
      </c>
      <c r="R61" s="17" t="s">
        <v>277</v>
      </c>
    </row>
    <row r="62">
      <c r="A62" s="8">
        <f>'1.9'!A:A</f>
        <v>46154.54481</v>
      </c>
      <c r="B62" s="2" t="str">
        <f>'1.9'!B:B</f>
        <v>bnco0960@signalschool.ac.th</v>
      </c>
      <c r="C62" s="2" t="str">
        <f>'1.9'!C:C</f>
        <v>พ.ต.หญิงพิมพ์ชนก จิรัฎฐิติกาล</v>
      </c>
      <c r="D62" s="9">
        <v>1.0</v>
      </c>
      <c r="E62" s="10">
        <f>IFERROR(vlookup('1.9'!D:D,lookup!$A$2:$B$4,2,false),0)</f>
        <v>5</v>
      </c>
      <c r="F62" s="10">
        <f>IFERROR(vlookup('1.9'!E:E,lookup!$A$6:$B$8,2,false),0)</f>
        <v>3</v>
      </c>
      <c r="G62" s="10">
        <f>IFERROR(vlookup('1.9'!F:F,lookup!$A$10:$B$12,2,false),0)</f>
        <v>5</v>
      </c>
      <c r="H62" s="10">
        <f>IFERROR(vlookup('1.9'!G:G,lookup!$A$14:$B$16,2,false),0)</f>
        <v>5</v>
      </c>
      <c r="I62" s="10">
        <f>IFERROR(vlookup('1.9'!H:H,lookup!$A$18:$B$20,2,false),0)</f>
        <v>5</v>
      </c>
      <c r="J62" s="10">
        <f>IFERROR(vlookup('1.9'!I:I,lookup!$A$22:$B$24,2,false),0)</f>
        <v>5</v>
      </c>
      <c r="K62" s="10">
        <f>IFERROR(vlookup('1.9'!J:J,lookup!$A$26:$B$28,2,false),0)</f>
        <v>5</v>
      </c>
      <c r="M62" s="10">
        <v>61.0</v>
      </c>
      <c r="N62" s="11" t="str">
        <f t="shared" si="1"/>
        <v>bnco0961@signalschool.ac.th</v>
      </c>
      <c r="O62" s="12">
        <f t="shared" si="2"/>
        <v>1</v>
      </c>
      <c r="R62" s="17" t="s">
        <v>278</v>
      </c>
    </row>
    <row r="63">
      <c r="A63" s="8">
        <f>'1.9'!A:A</f>
        <v>46154.54558</v>
      </c>
      <c r="B63" s="2" t="str">
        <f>'1.9'!B:B</f>
        <v>bnco0905@signalschool.ac.th</v>
      </c>
      <c r="C63" s="2" t="str">
        <f>'1.9'!C:C</f>
        <v>ร.อ.ธัญญพัทธ์ ตรีศักดิ์ศรี</v>
      </c>
      <c r="D63" s="9">
        <v>1.0</v>
      </c>
      <c r="E63" s="10">
        <f>IFERROR(vlookup('1.9'!D:D,lookup!$A$2:$B$4,2,false),0)</f>
        <v>5</v>
      </c>
      <c r="F63" s="10">
        <f>IFERROR(vlookup('1.9'!E:E,lookup!$A$6:$B$8,2,false),0)</f>
        <v>5</v>
      </c>
      <c r="G63" s="10">
        <f>IFERROR(vlookup('1.9'!F:F,lookup!$A$10:$B$12,2,false),0)</f>
        <v>5</v>
      </c>
      <c r="H63" s="10">
        <f>IFERROR(vlookup('1.9'!G:G,lookup!$A$14:$B$16,2,false),0)</f>
        <v>5</v>
      </c>
      <c r="I63" s="10">
        <f>IFERROR(vlookup('1.9'!H:H,lookup!$A$18:$B$20,2,false),0)</f>
        <v>5</v>
      </c>
      <c r="J63" s="10">
        <f>IFERROR(vlookup('1.9'!I:I,lookup!$A$22:$B$24,2,false),0)</f>
        <v>5</v>
      </c>
      <c r="K63" s="10">
        <f>IFERROR(vlookup('1.9'!J:J,lookup!$A$26:$B$28,2,false),0)</f>
        <v>5</v>
      </c>
      <c r="M63" s="10">
        <v>62.0</v>
      </c>
      <c r="N63" s="11" t="str">
        <f t="shared" si="1"/>
        <v>bnco0962@signalschool.ac.th</v>
      </c>
      <c r="O63" s="12">
        <f t="shared" si="2"/>
        <v>1</v>
      </c>
      <c r="R63" s="17" t="s">
        <v>279</v>
      </c>
    </row>
    <row r="64">
      <c r="A64" s="8">
        <f>'1.9'!A:A</f>
        <v>46154.54808</v>
      </c>
      <c r="B64" s="2" t="str">
        <f>'1.9'!B:B</f>
        <v>bnco0919@signalschool.ac.th</v>
      </c>
      <c r="C64" s="2" t="str">
        <f>'1.9'!C:C</f>
        <v>พ.ต.หญิงพิมพ์ชนก จิรัฎฐิติกาล</v>
      </c>
      <c r="D64" s="9">
        <v>1.0</v>
      </c>
      <c r="E64" s="10">
        <f>IFERROR(vlookup('1.9'!D:D,lookup!$A$2:$B$4,2,false),0)</f>
        <v>5</v>
      </c>
      <c r="F64" s="10">
        <f>IFERROR(vlookup('1.9'!E:E,lookup!$A$6:$B$8,2,false),0)</f>
        <v>5</v>
      </c>
      <c r="G64" s="10">
        <f>IFERROR(vlookup('1.9'!F:F,lookup!$A$10:$B$12,2,false),0)</f>
        <v>5</v>
      </c>
      <c r="H64" s="10">
        <f>IFERROR(vlookup('1.9'!G:G,lookup!$A$14:$B$16,2,false),0)</f>
        <v>5</v>
      </c>
      <c r="I64" s="10">
        <f>IFERROR(vlookup('1.9'!H:H,lookup!$A$18:$B$20,2,false),0)</f>
        <v>5</v>
      </c>
      <c r="J64" s="10">
        <f>IFERROR(vlookup('1.9'!I:I,lookup!$A$22:$B$24,2,false),0)</f>
        <v>5</v>
      </c>
      <c r="K64" s="10">
        <f>IFERROR(vlookup('1.9'!J:J,lookup!$A$26:$B$28,2,false),0)</f>
        <v>5</v>
      </c>
      <c r="M64" s="10">
        <v>63.0</v>
      </c>
      <c r="N64" s="11" t="str">
        <f t="shared" si="1"/>
        <v>bnco0963@signalschool.ac.th</v>
      </c>
      <c r="O64" s="12">
        <f t="shared" si="2"/>
        <v>1</v>
      </c>
      <c r="R64" s="17" t="s">
        <v>280</v>
      </c>
    </row>
    <row r="65">
      <c r="A65" s="8">
        <f>'1.9'!A:A</f>
        <v>46154.54939</v>
      </c>
      <c r="B65" s="2" t="str">
        <f>'1.9'!B:B</f>
        <v>bnco0904@signalschool.ac.th</v>
      </c>
      <c r="C65" s="2" t="str">
        <f>'1.9'!C:C</f>
        <v>พ.ต.หญิงพิมพ์ชนก จิรัฎฐิติกาล</v>
      </c>
      <c r="D65" s="9">
        <v>1.0</v>
      </c>
      <c r="E65" s="10">
        <f>IFERROR(vlookup('1.9'!D:D,lookup!$A$2:$B$4,2,false),0)</f>
        <v>5</v>
      </c>
      <c r="F65" s="10">
        <f>IFERROR(vlookup('1.9'!E:E,lookup!$A$6:$B$8,2,false),0)</f>
        <v>5</v>
      </c>
      <c r="G65" s="10">
        <f>IFERROR(vlookup('1.9'!F:F,lookup!$A$10:$B$12,2,false),0)</f>
        <v>5</v>
      </c>
      <c r="H65" s="10">
        <f>IFERROR(vlookup('1.9'!G:G,lookup!$A$14:$B$16,2,false),0)</f>
        <v>5</v>
      </c>
      <c r="I65" s="10">
        <f>IFERROR(vlookup('1.9'!H:H,lookup!$A$18:$B$20,2,false),0)</f>
        <v>5</v>
      </c>
      <c r="J65" s="10">
        <f>IFERROR(vlookup('1.9'!I:I,lookup!$A$22:$B$24,2,false),0)</f>
        <v>5</v>
      </c>
      <c r="K65" s="10">
        <f>IFERROR(vlookup('1.9'!J:J,lookup!$A$26:$B$28,2,false),0)</f>
        <v>5</v>
      </c>
      <c r="M65" s="10">
        <v>64.0</v>
      </c>
      <c r="N65" s="11" t="str">
        <f t="shared" si="1"/>
        <v>bnco0964@signalschool.ac.th</v>
      </c>
      <c r="O65" s="12">
        <f t="shared" si="2"/>
        <v>1</v>
      </c>
      <c r="R65" s="17" t="s">
        <v>281</v>
      </c>
    </row>
    <row r="66">
      <c r="A66" s="8">
        <f>'1.9'!A:A</f>
        <v>46154.55767</v>
      </c>
      <c r="B66" s="2" t="str">
        <f>'1.9'!B:B</f>
        <v>bnco0930@signalschool.ac.th</v>
      </c>
      <c r="C66" s="2" t="str">
        <f>'1.9'!C:C</f>
        <v>พ.ต.หญิงพิมพ์ชนก จิรัฎฐิติกาล</v>
      </c>
      <c r="D66" s="9">
        <v>1.0</v>
      </c>
      <c r="E66" s="10">
        <f>IFERROR(vlookup('1.9'!D:D,lookup!$A$2:$B$4,2,false),0)</f>
        <v>5</v>
      </c>
      <c r="F66" s="10">
        <f>IFERROR(vlookup('1.9'!E:E,lookup!$A$6:$B$8,2,false),0)</f>
        <v>5</v>
      </c>
      <c r="G66" s="10">
        <f>IFERROR(vlookup('1.9'!F:F,lookup!$A$10:$B$12,2,false),0)</f>
        <v>5</v>
      </c>
      <c r="H66" s="10">
        <f>IFERROR(vlookup('1.9'!G:G,lookup!$A$14:$B$16,2,false),0)</f>
        <v>5</v>
      </c>
      <c r="I66" s="10">
        <f>IFERROR(vlookup('1.9'!H:H,lookup!$A$18:$B$20,2,false),0)</f>
        <v>5</v>
      </c>
      <c r="J66" s="10">
        <f>IFERROR(vlookup('1.9'!I:I,lookup!$A$22:$B$24,2,false),0)</f>
        <v>5</v>
      </c>
      <c r="K66" s="10">
        <f>IFERROR(vlookup('1.9'!J:J,lookup!$A$26:$B$28,2,false),0)</f>
        <v>5</v>
      </c>
      <c r="M66" s="10">
        <v>65.0</v>
      </c>
      <c r="N66" s="11" t="str">
        <f t="shared" si="1"/>
        <v>bnco0965@signalschool.ac.th</v>
      </c>
      <c r="O66" s="12">
        <f t="shared" si="2"/>
        <v>1</v>
      </c>
      <c r="R66" s="17" t="s">
        <v>282</v>
      </c>
    </row>
    <row r="67">
      <c r="A67" s="8">
        <f>'1.9'!A:A</f>
        <v>46154.5609</v>
      </c>
      <c r="B67" s="2" t="str">
        <f>'1.9'!B:B</f>
        <v>bnco0970@signalschool.ac.th</v>
      </c>
      <c r="C67" s="2" t="str">
        <f>'1.9'!C:C</f>
        <v>ส.อ.ภาณุพงศ์ อุทธิยา</v>
      </c>
      <c r="D67" s="9">
        <v>1.0</v>
      </c>
      <c r="E67" s="10">
        <f>IFERROR(vlookup('1.9'!D:D,lookup!$A$2:$B$4,2,false),0)</f>
        <v>5</v>
      </c>
      <c r="F67" s="10">
        <f>IFERROR(vlookup('1.9'!E:E,lookup!$A$6:$B$8,2,false),0)</f>
        <v>5</v>
      </c>
      <c r="G67" s="10">
        <f>IFERROR(vlookup('1.9'!F:F,lookup!$A$10:$B$12,2,false),0)</f>
        <v>5</v>
      </c>
      <c r="H67" s="10">
        <f>IFERROR(vlookup('1.9'!G:G,lookup!$A$14:$B$16,2,false),0)</f>
        <v>5</v>
      </c>
      <c r="I67" s="10">
        <f>IFERROR(vlookup('1.9'!H:H,lookup!$A$18:$B$20,2,false),0)</f>
        <v>5</v>
      </c>
      <c r="J67" s="10">
        <f>IFERROR(vlookup('1.9'!I:I,lookup!$A$22:$B$24,2,false),0)</f>
        <v>5</v>
      </c>
      <c r="K67" s="10">
        <f>IFERROR(vlookup('1.9'!J:J,lookup!$A$26:$B$28,2,false),0)</f>
        <v>5</v>
      </c>
      <c r="M67" s="10">
        <v>66.0</v>
      </c>
      <c r="N67" s="11" t="str">
        <f t="shared" si="1"/>
        <v>bnco0966@signalschool.ac.th</v>
      </c>
      <c r="O67" s="12">
        <f t="shared" si="2"/>
        <v>1</v>
      </c>
      <c r="R67" s="17" t="s">
        <v>283</v>
      </c>
    </row>
    <row r="68">
      <c r="A68" s="8">
        <f>'1.9'!A:A</f>
        <v>46154.56404</v>
      </c>
      <c r="B68" s="2" t="str">
        <f>'1.9'!B:B</f>
        <v>bnco0934@signalschool.ac.th</v>
      </c>
      <c r="C68" s="2" t="str">
        <f>'1.9'!C:C</f>
        <v>พ.ต.หญิงพิมพ์ชนก จิรัฎฐิติกาล</v>
      </c>
      <c r="D68" s="9">
        <v>1.0</v>
      </c>
      <c r="E68" s="10">
        <f>IFERROR(vlookup('1.9'!D:D,lookup!$A$2:$B$4,2,false),0)</f>
        <v>5</v>
      </c>
      <c r="F68" s="10">
        <f>IFERROR(vlookup('1.9'!E:E,lookup!$A$6:$B$8,2,false),0)</f>
        <v>5</v>
      </c>
      <c r="G68" s="10">
        <f>IFERROR(vlookup('1.9'!F:F,lookup!$A$10:$B$12,2,false),0)</f>
        <v>5</v>
      </c>
      <c r="H68" s="10">
        <f>IFERROR(vlookup('1.9'!G:G,lookup!$A$14:$B$16,2,false),0)</f>
        <v>5</v>
      </c>
      <c r="I68" s="10">
        <f>IFERROR(vlookup('1.9'!H:H,lookup!$A$18:$B$20,2,false),0)</f>
        <v>5</v>
      </c>
      <c r="J68" s="10">
        <f>IFERROR(vlookup('1.9'!I:I,lookup!$A$22:$B$24,2,false),0)</f>
        <v>5</v>
      </c>
      <c r="K68" s="10">
        <f>IFERROR(vlookup('1.9'!J:J,lookup!$A$26:$B$28,2,false),0)</f>
        <v>5</v>
      </c>
      <c r="M68" s="10">
        <v>67.0</v>
      </c>
      <c r="N68" s="11" t="str">
        <f t="shared" si="1"/>
        <v>bnco0967@signalschool.ac.th</v>
      </c>
      <c r="O68" s="12">
        <f t="shared" si="2"/>
        <v>1</v>
      </c>
      <c r="R68" s="17" t="s">
        <v>284</v>
      </c>
    </row>
    <row r="69">
      <c r="A69" s="8">
        <f>'1.9'!A:A</f>
        <v>46154.56902</v>
      </c>
      <c r="B69" s="2" t="str">
        <f>'1.9'!B:B</f>
        <v>bnco0910@signalschool.ac.th</v>
      </c>
      <c r="C69" s="2" t="str">
        <f>'1.9'!C:C</f>
        <v>พ.ต.หญิง พิมพ์ชนก</v>
      </c>
      <c r="D69" s="9">
        <v>1.0</v>
      </c>
      <c r="E69" s="10">
        <f>IFERROR(vlookup('1.9'!D:D,lookup!$A$2:$B$4,2,false),0)</f>
        <v>5</v>
      </c>
      <c r="F69" s="10">
        <f>IFERROR(vlookup('1.9'!E:E,lookup!$A$6:$B$8,2,false),0)</f>
        <v>5</v>
      </c>
      <c r="G69" s="10">
        <f>IFERROR(vlookup('1.9'!F:F,lookup!$A$10:$B$12,2,false),0)</f>
        <v>5</v>
      </c>
      <c r="H69" s="10">
        <f>IFERROR(vlookup('1.9'!G:G,lookup!$A$14:$B$16,2,false),0)</f>
        <v>5</v>
      </c>
      <c r="I69" s="10">
        <f>IFERROR(vlookup('1.9'!H:H,lookup!$A$18:$B$20,2,false),0)</f>
        <v>5</v>
      </c>
      <c r="J69" s="10">
        <f>IFERROR(vlookup('1.9'!I:I,lookup!$A$22:$B$24,2,false),0)</f>
        <v>5</v>
      </c>
      <c r="K69" s="10">
        <f>IFERROR(vlookup('1.9'!J:J,lookup!$A$26:$B$28,2,false),0)</f>
        <v>5</v>
      </c>
      <c r="M69" s="10">
        <v>68.0</v>
      </c>
      <c r="N69" s="11" t="str">
        <f t="shared" si="1"/>
        <v>bnco0968@signalschool.ac.th</v>
      </c>
      <c r="O69" s="12">
        <f t="shared" si="2"/>
        <v>1</v>
      </c>
      <c r="R69" s="17" t="s">
        <v>285</v>
      </c>
    </row>
    <row r="70">
      <c r="A70" s="8">
        <f>'1.9'!A:A</f>
        <v>46154.57611</v>
      </c>
      <c r="B70" s="2" t="str">
        <f>'1.9'!B:B</f>
        <v>bnco0926@signalschool.ac.th</v>
      </c>
      <c r="C70" s="2" t="str">
        <f>'1.9'!C:C</f>
        <v>พ.ต.หญิงพิมพ์ชนก จิรัฎฐิติกาล</v>
      </c>
      <c r="D70" s="9">
        <v>1.0</v>
      </c>
      <c r="E70" s="10">
        <f>IFERROR(vlookup('1.9'!D:D,lookup!$A$2:$B$4,2,false),0)</f>
        <v>5</v>
      </c>
      <c r="F70" s="10">
        <f>IFERROR(vlookup('1.9'!E:E,lookup!$A$6:$B$8,2,false),0)</f>
        <v>5</v>
      </c>
      <c r="G70" s="10">
        <f>IFERROR(vlookup('1.9'!F:F,lookup!$A$10:$B$12,2,false),0)</f>
        <v>5</v>
      </c>
      <c r="H70" s="10">
        <f>IFERROR(vlookup('1.9'!G:G,lookup!$A$14:$B$16,2,false),0)</f>
        <v>5</v>
      </c>
      <c r="I70" s="10">
        <f>IFERROR(vlookup('1.9'!H:H,lookup!$A$18:$B$20,2,false),0)</f>
        <v>5</v>
      </c>
      <c r="J70" s="10">
        <f>IFERROR(vlookup('1.9'!I:I,lookup!$A$22:$B$24,2,false),0)</f>
        <v>5</v>
      </c>
      <c r="K70" s="10">
        <f>IFERROR(vlookup('1.9'!J:J,lookup!$A$26:$B$28,2,false),0)</f>
        <v>5</v>
      </c>
      <c r="M70" s="10">
        <v>69.0</v>
      </c>
      <c r="N70" s="11" t="str">
        <f t="shared" si="1"/>
        <v>bnco0969@signalschool.ac.th</v>
      </c>
      <c r="O70" s="12">
        <f t="shared" si="2"/>
        <v>1</v>
      </c>
      <c r="R70" s="17" t="s">
        <v>286</v>
      </c>
    </row>
    <row r="71">
      <c r="A71" s="8">
        <f>'1.9'!A:A</f>
        <v>46154.57997</v>
      </c>
      <c r="B71" s="2" t="str">
        <f>'1.9'!B:B</f>
        <v>bnco0980@signalschool.ac.th</v>
      </c>
      <c r="C71" s="2" t="str">
        <f>'1.9'!C:C</f>
        <v>พ.ต.หญิงพิมพ์ชนก จิรัฎฐิติกาล</v>
      </c>
      <c r="D71" s="9">
        <v>1.0</v>
      </c>
      <c r="E71" s="10">
        <f>IFERROR(vlookup('1.9'!D:D,lookup!$A$2:$B$4,2,false),0)</f>
        <v>5</v>
      </c>
      <c r="F71" s="10">
        <f>IFERROR(vlookup('1.9'!E:E,lookup!$A$6:$B$8,2,false),0)</f>
        <v>5</v>
      </c>
      <c r="G71" s="10">
        <f>IFERROR(vlookup('1.9'!F:F,lookup!$A$10:$B$12,2,false),0)</f>
        <v>5</v>
      </c>
      <c r="H71" s="10">
        <f>IFERROR(vlookup('1.9'!G:G,lookup!$A$14:$B$16,2,false),0)</f>
        <v>5</v>
      </c>
      <c r="I71" s="10">
        <f>IFERROR(vlookup('1.9'!H:H,lookup!$A$18:$B$20,2,false),0)</f>
        <v>5</v>
      </c>
      <c r="J71" s="10">
        <f>IFERROR(vlookup('1.9'!I:I,lookup!$A$22:$B$24,2,false),0)</f>
        <v>3</v>
      </c>
      <c r="K71" s="10">
        <f>IFERROR(vlookup('1.9'!J:J,lookup!$A$26:$B$28,2,false),0)</f>
        <v>3</v>
      </c>
      <c r="M71" s="10">
        <v>70.0</v>
      </c>
      <c r="N71" s="11" t="str">
        <f t="shared" si="1"/>
        <v>bnco0970@signalschool.ac.th</v>
      </c>
      <c r="O71" s="12">
        <f t="shared" si="2"/>
        <v>1</v>
      </c>
      <c r="R71" s="17" t="s">
        <v>287</v>
      </c>
    </row>
    <row r="72">
      <c r="A72" s="8">
        <f>'1.9'!A:A</f>
        <v>46154.58528</v>
      </c>
      <c r="B72" s="2" t="str">
        <f>'1.9'!B:B</f>
        <v>bnco0927@signalschool.ac.th</v>
      </c>
      <c r="C72" s="2" t="str">
        <f>'1.9'!C:C</f>
        <v>พ.ต.หญิงพิมพ์ชนก จิรัฎฐิติกาล</v>
      </c>
      <c r="D72" s="9">
        <v>1.0</v>
      </c>
      <c r="E72" s="10">
        <f>IFERROR(vlookup('1.9'!D:D,lookup!$A$2:$B$4,2,false),0)</f>
        <v>5</v>
      </c>
      <c r="F72" s="10">
        <f>IFERROR(vlookup('1.9'!E:E,lookup!$A$6:$B$8,2,false),0)</f>
        <v>3</v>
      </c>
      <c r="G72" s="10">
        <f>IFERROR(vlookup('1.9'!F:F,lookup!$A$10:$B$12,2,false),0)</f>
        <v>5</v>
      </c>
      <c r="H72" s="10">
        <f>IFERROR(vlookup('1.9'!G:G,lookup!$A$14:$B$16,2,false),0)</f>
        <v>5</v>
      </c>
      <c r="I72" s="10">
        <f>IFERROR(vlookup('1.9'!H:H,lookup!$A$18:$B$20,2,false),0)</f>
        <v>5</v>
      </c>
      <c r="J72" s="10">
        <f>IFERROR(vlookup('1.9'!I:I,lookup!$A$22:$B$24,2,false),0)</f>
        <v>5</v>
      </c>
      <c r="K72" s="10">
        <f>IFERROR(vlookup('1.9'!J:J,lookup!$A$26:$B$28,2,false),0)</f>
        <v>5</v>
      </c>
      <c r="M72" s="10">
        <v>71.0</v>
      </c>
      <c r="N72" s="11" t="str">
        <f t="shared" si="1"/>
        <v>bnco0971@signalschool.ac.th</v>
      </c>
      <c r="O72" s="12">
        <f t="shared" si="2"/>
        <v>1</v>
      </c>
      <c r="R72" s="17" t="s">
        <v>288</v>
      </c>
    </row>
    <row r="73">
      <c r="A73" s="8">
        <f>'1.9'!A:A</f>
        <v>46154.58832</v>
      </c>
      <c r="B73" s="2" t="str">
        <f>'1.9'!B:B</f>
        <v>bnco0907@signalschool.ac.th</v>
      </c>
      <c r="C73" s="2" t="str">
        <f>'1.9'!C:C</f>
        <v>พ.ต.หญิงพิมพ์ชนก จิรัฎฐิติกาล</v>
      </c>
      <c r="D73" s="9">
        <v>1.0</v>
      </c>
      <c r="E73" s="10">
        <f>IFERROR(vlookup('1.9'!D:D,lookup!$A$2:$B$4,2,false),0)</f>
        <v>5</v>
      </c>
      <c r="F73" s="10">
        <f>IFERROR(vlookup('1.9'!E:E,lookup!$A$6:$B$8,2,false),0)</f>
        <v>5</v>
      </c>
      <c r="G73" s="10">
        <f>IFERROR(vlookup('1.9'!F:F,lookup!$A$10:$B$12,2,false),0)</f>
        <v>5</v>
      </c>
      <c r="H73" s="10">
        <f>IFERROR(vlookup('1.9'!G:G,lookup!$A$14:$B$16,2,false),0)</f>
        <v>5</v>
      </c>
      <c r="I73" s="10">
        <f>IFERROR(vlookup('1.9'!H:H,lookup!$A$18:$B$20,2,false),0)</f>
        <v>5</v>
      </c>
      <c r="J73" s="10">
        <f>IFERROR(vlookup('1.9'!I:I,lookup!$A$22:$B$24,2,false),0)</f>
        <v>5</v>
      </c>
      <c r="K73" s="10">
        <f>IFERROR(vlookup('1.9'!J:J,lookup!$A$26:$B$28,2,false),0)</f>
        <v>5</v>
      </c>
      <c r="M73" s="10">
        <v>72.0</v>
      </c>
      <c r="N73" s="11" t="str">
        <f t="shared" si="1"/>
        <v>bnco0972@signalschool.ac.th</v>
      </c>
      <c r="O73" s="12">
        <f t="shared" si="2"/>
        <v>1</v>
      </c>
      <c r="R73" s="17" t="s">
        <v>289</v>
      </c>
    </row>
    <row r="74">
      <c r="A74" s="8">
        <f>'1.9'!A:A</f>
        <v>46154.60398</v>
      </c>
      <c r="B74" s="2" t="str">
        <f>'1.9'!B:B</f>
        <v>bnco0964@signalschool.ac.th</v>
      </c>
      <c r="C74" s="2" t="str">
        <f>'1.9'!C:C</f>
        <v>พ.ต.หญิงพิมพ์ชนก จิรัฎฐิติกาล</v>
      </c>
      <c r="D74" s="9">
        <v>1.0</v>
      </c>
      <c r="E74" s="10">
        <f>IFERROR(vlookup('1.9'!D:D,lookup!$A$2:$B$4,2,false),0)</f>
        <v>5</v>
      </c>
      <c r="F74" s="10">
        <f>IFERROR(vlookup('1.9'!E:E,lookup!$A$6:$B$8,2,false),0)</f>
        <v>5</v>
      </c>
      <c r="G74" s="10">
        <f>IFERROR(vlookup('1.9'!F:F,lookup!$A$10:$B$12,2,false),0)</f>
        <v>5</v>
      </c>
      <c r="H74" s="10">
        <f>IFERROR(vlookup('1.9'!G:G,lookup!$A$14:$B$16,2,false),0)</f>
        <v>5</v>
      </c>
      <c r="I74" s="10">
        <f>IFERROR(vlookup('1.9'!H:H,lookup!$A$18:$B$20,2,false),0)</f>
        <v>5</v>
      </c>
      <c r="J74" s="10">
        <f>IFERROR(vlookup('1.9'!I:I,lookup!$A$22:$B$24,2,false),0)</f>
        <v>5</v>
      </c>
      <c r="K74" s="10">
        <f>IFERROR(vlookup('1.9'!J:J,lookup!$A$26:$B$28,2,false),0)</f>
        <v>5</v>
      </c>
      <c r="M74" s="10">
        <v>73.0</v>
      </c>
      <c r="N74" s="11" t="str">
        <f t="shared" si="1"/>
        <v>bnco0973@signalschool.ac.th</v>
      </c>
      <c r="O74" s="12">
        <f t="shared" si="2"/>
        <v>1</v>
      </c>
      <c r="R74" s="17" t="s">
        <v>290</v>
      </c>
    </row>
    <row r="75">
      <c r="A75" s="8">
        <f>'1.9'!A:A</f>
        <v>46157.05093</v>
      </c>
      <c r="B75" s="2" t="str">
        <f>'1.9'!B:B</f>
        <v>bnco0971@signalschool.ac.th</v>
      </c>
      <c r="C75" s="2" t="str">
        <f>'1.9'!C:C</f>
        <v>พ.ต.หญิงพิมพ์ชนก จิรัฎฐิติกาล</v>
      </c>
      <c r="D75" s="9">
        <v>1.0</v>
      </c>
      <c r="E75" s="10">
        <f>IFERROR(vlookup('1.9'!D:D,lookup!$A$2:$B$4,2,false),0)</f>
        <v>5</v>
      </c>
      <c r="F75" s="10">
        <f>IFERROR(vlookup('1.9'!E:E,lookup!$A$6:$B$8,2,false),0)</f>
        <v>5</v>
      </c>
      <c r="G75" s="10">
        <f>IFERROR(vlookup('1.9'!F:F,lookup!$A$10:$B$12,2,false),0)</f>
        <v>5</v>
      </c>
      <c r="H75" s="10">
        <f>IFERROR(vlookup('1.9'!G:G,lookup!$A$14:$B$16,2,false),0)</f>
        <v>5</v>
      </c>
      <c r="I75" s="10">
        <f>IFERROR(vlookup('1.9'!H:H,lookup!$A$18:$B$20,2,false),0)</f>
        <v>5</v>
      </c>
      <c r="J75" s="10">
        <f>IFERROR(vlookup('1.9'!I:I,lookup!$A$22:$B$24,2,false),0)</f>
        <v>5</v>
      </c>
      <c r="K75" s="10">
        <f>IFERROR(vlookup('1.9'!J:J,lookup!$A$26:$B$28,2,false),0)</f>
        <v>5</v>
      </c>
      <c r="M75" s="10">
        <v>74.0</v>
      </c>
      <c r="N75" s="11" t="str">
        <f t="shared" si="1"/>
        <v>bnco0974@signalschool.ac.th</v>
      </c>
      <c r="O75" s="12">
        <f t="shared" si="2"/>
        <v>1</v>
      </c>
      <c r="R75" s="17" t="s">
        <v>291</v>
      </c>
    </row>
    <row r="76">
      <c r="A76" s="8">
        <f>'1.9'!A:A</f>
        <v>46157.37449</v>
      </c>
      <c r="B76" s="2" t="str">
        <f>'1.9'!B:B</f>
        <v>bnco0928@signalschool.ac.th</v>
      </c>
      <c r="C76" s="2" t="str">
        <f>'1.9'!C:C</f>
        <v>พ.ต.หญิงพิมพ์ชนก จิรัฎฐิติกาล</v>
      </c>
      <c r="D76" s="9">
        <v>1.0</v>
      </c>
      <c r="E76" s="10">
        <f>IFERROR(vlookup('1.9'!D:D,lookup!$A$2:$B$4,2,false),0)</f>
        <v>3</v>
      </c>
      <c r="F76" s="10">
        <f>IFERROR(vlookup('1.9'!E:E,lookup!$A$6:$B$8,2,false),0)</f>
        <v>5</v>
      </c>
      <c r="G76" s="10">
        <f>IFERROR(vlookup('1.9'!F:F,lookup!$A$10:$B$12,2,false),0)</f>
        <v>5</v>
      </c>
      <c r="H76" s="10">
        <f>IFERROR(vlookup('1.9'!G:G,lookup!$A$14:$B$16,2,false),0)</f>
        <v>5</v>
      </c>
      <c r="I76" s="10">
        <f>IFERROR(vlookup('1.9'!H:H,lookup!$A$18:$B$20,2,false),0)</f>
        <v>5</v>
      </c>
      <c r="J76" s="10">
        <f>IFERROR(vlookup('1.9'!I:I,lookup!$A$22:$B$24,2,false),0)</f>
        <v>5</v>
      </c>
      <c r="K76" s="10">
        <f>IFERROR(vlookup('1.9'!J:J,lookup!$A$26:$B$28,2,false),0)</f>
        <v>5</v>
      </c>
      <c r="M76" s="10">
        <v>75.0</v>
      </c>
      <c r="N76" s="11" t="str">
        <f t="shared" si="1"/>
        <v>bnco0975@signalschool.ac.th</v>
      </c>
      <c r="O76" s="12">
        <f t="shared" si="2"/>
        <v>1</v>
      </c>
      <c r="R76" s="17" t="s">
        <v>292</v>
      </c>
    </row>
    <row r="77">
      <c r="A77" s="8">
        <f>'1.9'!A:A</f>
        <v>46160.40742</v>
      </c>
      <c r="B77" s="2" t="str">
        <f>'1.9'!B:B</f>
        <v>bnco0916@signalschool.ac.th</v>
      </c>
      <c r="C77" s="2" t="str">
        <f>'1.9'!C:C</f>
        <v>พ.ต.หญิงพิมพ์ชนก จิรัฎฐิติกาล</v>
      </c>
      <c r="D77" s="9">
        <v>1.0</v>
      </c>
      <c r="E77" s="10">
        <f>IFERROR(vlookup('1.9'!D:D,lookup!$A$2:$B$4,2,false),0)</f>
        <v>5</v>
      </c>
      <c r="F77" s="10">
        <f>IFERROR(vlookup('1.9'!E:E,lookup!$A$6:$B$8,2,false),0)</f>
        <v>5</v>
      </c>
      <c r="G77" s="10">
        <f>IFERROR(vlookup('1.9'!F:F,lookup!$A$10:$B$12,2,false),0)</f>
        <v>5</v>
      </c>
      <c r="H77" s="10">
        <f>IFERROR(vlookup('1.9'!G:G,lookup!$A$14:$B$16,2,false),0)</f>
        <v>5</v>
      </c>
      <c r="I77" s="10">
        <f>IFERROR(vlookup('1.9'!H:H,lookup!$A$18:$B$20,2,false),0)</f>
        <v>5</v>
      </c>
      <c r="J77" s="10">
        <f>IFERROR(vlookup('1.9'!I:I,lookup!$A$22:$B$24,2,false),0)</f>
        <v>5</v>
      </c>
      <c r="K77" s="10">
        <f>IFERROR(vlookup('1.9'!J:J,lookup!$A$26:$B$28,2,false),0)</f>
        <v>5</v>
      </c>
      <c r="M77" s="10">
        <v>76.0</v>
      </c>
      <c r="N77" s="11" t="str">
        <f t="shared" si="1"/>
        <v>bnco0976@signalschool.ac.th</v>
      </c>
      <c r="O77" s="12">
        <f t="shared" si="2"/>
        <v>1</v>
      </c>
      <c r="R77" s="17" t="s">
        <v>293</v>
      </c>
    </row>
    <row r="78">
      <c r="A78" s="8">
        <f>'1.9'!A:A</f>
        <v>46160.53968</v>
      </c>
      <c r="B78" s="2" t="str">
        <f>'1.9'!B:B</f>
        <v>bnco0906@signalschool.ac.th</v>
      </c>
      <c r="C78" s="2" t="str">
        <f>'1.9'!C:C</f>
        <v>พ.ต.หญิง พิมพ์ชนก จิรัฎฐิติกาล</v>
      </c>
      <c r="D78" s="9">
        <v>1.0</v>
      </c>
      <c r="E78" s="10">
        <f>IFERROR(vlookup('1.9'!D:D,lookup!$A$2:$B$4,2,false),0)</f>
        <v>5</v>
      </c>
      <c r="F78" s="10">
        <f>IFERROR(vlookup('1.9'!E:E,lookup!$A$6:$B$8,2,false),0)</f>
        <v>5</v>
      </c>
      <c r="G78" s="10">
        <f>IFERROR(vlookup('1.9'!F:F,lookup!$A$10:$B$12,2,false),0)</f>
        <v>5</v>
      </c>
      <c r="H78" s="10">
        <f>IFERROR(vlookup('1.9'!G:G,lookup!$A$14:$B$16,2,false),0)</f>
        <v>5</v>
      </c>
      <c r="I78" s="10">
        <f>IFERROR(vlookup('1.9'!H:H,lookup!$A$18:$B$20,2,false),0)</f>
        <v>5</v>
      </c>
      <c r="J78" s="10">
        <f>IFERROR(vlookup('1.9'!I:I,lookup!$A$22:$B$24,2,false),0)</f>
        <v>5</v>
      </c>
      <c r="K78" s="10">
        <f>IFERROR(vlookup('1.9'!J:J,lookup!$A$26:$B$28,2,false),0)</f>
        <v>5</v>
      </c>
      <c r="M78" s="10">
        <v>77.0</v>
      </c>
      <c r="N78" s="11" t="str">
        <f t="shared" si="1"/>
        <v>bnco0977@signalschool.ac.th</v>
      </c>
      <c r="O78" s="12">
        <f t="shared" si="2"/>
        <v>1</v>
      </c>
      <c r="R78" s="17" t="s">
        <v>294</v>
      </c>
    </row>
    <row r="79">
      <c r="A79" s="8">
        <f>'1.9'!A:A</f>
        <v>46183.59511</v>
      </c>
      <c r="B79" s="2" t="str">
        <f>'1.9'!B:B</f>
        <v>bnco0958@signalschool.ac.th</v>
      </c>
      <c r="C79" s="2" t="str">
        <f>'1.9'!C:C</f>
        <v>พ.ต.หญิงพิมพ์ชนก จิรัฎฐิติกาล</v>
      </c>
      <c r="D79" s="9">
        <v>1.0</v>
      </c>
      <c r="E79" s="10">
        <f>IFERROR(vlookup('1.9'!D:D,lookup!$A$2:$B$4,2,false),0)</f>
        <v>5</v>
      </c>
      <c r="F79" s="10">
        <f>IFERROR(vlookup('1.9'!E:E,lookup!$A$6:$B$8,2,false),0)</f>
        <v>5</v>
      </c>
      <c r="G79" s="10">
        <f>IFERROR(vlookup('1.9'!F:F,lookup!$A$10:$B$12,2,false),0)</f>
        <v>5</v>
      </c>
      <c r="H79" s="10">
        <f>IFERROR(vlookup('1.9'!G:G,lookup!$A$14:$B$16,2,false),0)</f>
        <v>5</v>
      </c>
      <c r="I79" s="10">
        <f>IFERROR(vlookup('1.9'!H:H,lookup!$A$18:$B$20,2,false),0)</f>
        <v>5</v>
      </c>
      <c r="J79" s="10">
        <f>IFERROR(vlookup('1.9'!I:I,lookup!$A$22:$B$24,2,false),0)</f>
        <v>5</v>
      </c>
      <c r="K79" s="10">
        <f>IFERROR(vlookup('1.9'!J:J,lookup!$A$26:$B$28,2,false),0)</f>
        <v>5</v>
      </c>
      <c r="M79" s="10">
        <v>78.0</v>
      </c>
      <c r="N79" s="11" t="str">
        <f t="shared" si="1"/>
        <v>bnco0978@signalschool.ac.th</v>
      </c>
      <c r="O79" s="12">
        <f t="shared" si="2"/>
        <v>1</v>
      </c>
      <c r="R79" s="17" t="s">
        <v>295</v>
      </c>
    </row>
    <row r="80">
      <c r="A80" s="8">
        <f>'1.9'!A:A</f>
        <v>46212.62207</v>
      </c>
      <c r="B80" s="2" t="str">
        <f>'1.9'!B:B</f>
        <v>bnco0924@signalschool.ac.th</v>
      </c>
      <c r="C80" s="2" t="str">
        <f>'1.9'!C:C</f>
        <v>พ.ต.หญิง พิมพ์ชนก จิรัฏฐิติกาล </v>
      </c>
      <c r="D80" s="9">
        <v>1.0</v>
      </c>
      <c r="E80" s="10">
        <f>IFERROR(vlookup('1.9'!D:D,lookup!$A$2:$B$4,2,false),0)</f>
        <v>5</v>
      </c>
      <c r="F80" s="10">
        <f>IFERROR(vlookup('1.9'!E:E,lookup!$A$6:$B$8,2,false),0)</f>
        <v>3</v>
      </c>
      <c r="G80" s="10">
        <f>IFERROR(vlookup('1.9'!F:F,lookup!$A$10:$B$12,2,false),0)</f>
        <v>5</v>
      </c>
      <c r="H80" s="10">
        <f>IFERROR(vlookup('1.9'!G:G,lookup!$A$14:$B$16,2,false),0)</f>
        <v>5</v>
      </c>
      <c r="I80" s="10">
        <f>IFERROR(vlookup('1.9'!H:H,lookup!$A$18:$B$20,2,false),0)</f>
        <v>5</v>
      </c>
      <c r="J80" s="10">
        <f>IFERROR(vlookup('1.9'!I:I,lookup!$A$22:$B$24,2,false),0)</f>
        <v>5</v>
      </c>
      <c r="K80" s="10">
        <f>IFERROR(vlookup('1.9'!J:J,lookup!$A$26:$B$28,2,false),0)</f>
        <v>5</v>
      </c>
      <c r="M80" s="10">
        <v>79.0</v>
      </c>
      <c r="N80" s="11" t="str">
        <f t="shared" si="1"/>
        <v>bnco0979@signalschool.ac.th</v>
      </c>
      <c r="O80" s="12">
        <f t="shared" si="2"/>
        <v>1</v>
      </c>
      <c r="R80" s="17" t="s">
        <v>296</v>
      </c>
    </row>
    <row r="81">
      <c r="A81" s="8">
        <f>'1.9'!A:A</f>
        <v>46212.62568</v>
      </c>
      <c r="B81" s="2" t="str">
        <f>'1.9'!B:B</f>
        <v>bnco0936@signalschool.ac.th</v>
      </c>
      <c r="C81" s="2" t="str">
        <f>'1.9'!C:C</f>
        <v>พ.ต.หญิง พิมพ์ชนก จิรัฏฐิติกาล . ร.อ.ธัญญพัทธ์ ตรีศักดิ์ศรี</v>
      </c>
      <c r="D81" s="9">
        <v>1.0</v>
      </c>
      <c r="E81" s="10">
        <f>IFERROR(vlookup('1.9'!D:D,lookup!$A$2:$B$4,2,false),0)</f>
        <v>5</v>
      </c>
      <c r="F81" s="10">
        <f>IFERROR(vlookup('1.9'!E:E,lookup!$A$6:$B$8,2,false),0)</f>
        <v>5</v>
      </c>
      <c r="G81" s="10">
        <f>IFERROR(vlookup('1.9'!F:F,lookup!$A$10:$B$12,2,false),0)</f>
        <v>5</v>
      </c>
      <c r="H81" s="10">
        <f>IFERROR(vlookup('1.9'!G:G,lookup!$A$14:$B$16,2,false),0)</f>
        <v>5</v>
      </c>
      <c r="I81" s="10">
        <f>IFERROR(vlookup('1.9'!H:H,lookup!$A$18:$B$20,2,false),0)</f>
        <v>5</v>
      </c>
      <c r="J81" s="10">
        <f>IFERROR(vlookup('1.9'!I:I,lookup!$A$22:$B$24,2,false),0)</f>
        <v>5</v>
      </c>
      <c r="K81" s="10">
        <f>IFERROR(vlookup('1.9'!J:J,lookup!$A$26:$B$28,2,false),0)</f>
        <v>5</v>
      </c>
      <c r="M81" s="10">
        <v>80.0</v>
      </c>
      <c r="N81" s="11" t="str">
        <f t="shared" si="1"/>
        <v>bnco0980@signalschool.ac.th</v>
      </c>
      <c r="O81" s="12">
        <f t="shared" si="2"/>
        <v>1</v>
      </c>
      <c r="R81" s="17" t="s">
        <v>297</v>
      </c>
    </row>
    <row r="82">
      <c r="A82" s="8"/>
      <c r="B82" s="2"/>
      <c r="C82" s="2"/>
      <c r="E82" s="14">
        <f t="shared" ref="E82:K82" si="3">AVERAGE(E2:E81)</f>
        <v>4.95</v>
      </c>
      <c r="F82" s="14">
        <f t="shared" si="3"/>
        <v>4.9</v>
      </c>
      <c r="G82" s="14">
        <f t="shared" si="3"/>
        <v>5</v>
      </c>
      <c r="H82" s="14">
        <f t="shared" si="3"/>
        <v>5</v>
      </c>
      <c r="I82" s="14">
        <f t="shared" si="3"/>
        <v>5</v>
      </c>
      <c r="J82" s="14">
        <f t="shared" si="3"/>
        <v>4.9</v>
      </c>
      <c r="K82" s="14">
        <f t="shared" si="3"/>
        <v>4.925</v>
      </c>
      <c r="L82" s="15">
        <f>AVERAGE(E82:K82)</f>
        <v>4.953571429</v>
      </c>
      <c r="N82" s="2" t="s">
        <v>298</v>
      </c>
      <c r="O82" s="10">
        <f>SUM(O2:O81)</f>
        <v>80</v>
      </c>
    </row>
    <row r="83">
      <c r="A83" s="8"/>
      <c r="B83" s="2"/>
      <c r="C83" s="2"/>
      <c r="E83" s="10"/>
      <c r="F83" s="10"/>
      <c r="G83" s="10"/>
      <c r="H83" s="10"/>
      <c r="I83" s="10"/>
      <c r="J83" s="10"/>
      <c r="K83" s="10"/>
      <c r="N83" s="2" t="s">
        <v>299</v>
      </c>
      <c r="O83" s="10">
        <f>(O82*100)/80</f>
        <v>100</v>
      </c>
    </row>
    <row r="84">
      <c r="A84" s="8"/>
      <c r="B84" s="2"/>
      <c r="C84" s="2"/>
      <c r="E84" s="10"/>
      <c r="K84" s="10"/>
    </row>
    <row r="85">
      <c r="A85" s="8"/>
      <c r="B85" s="2"/>
      <c r="C85" s="2"/>
      <c r="E85" s="10"/>
    </row>
    <row r="86">
      <c r="A86" s="8"/>
      <c r="B86" s="2"/>
      <c r="C86" s="2"/>
      <c r="E86" s="10"/>
    </row>
    <row r="87">
      <c r="A87" s="8"/>
      <c r="B87" s="2"/>
      <c r="C87" s="2"/>
      <c r="E87" s="10"/>
    </row>
    <row r="88">
      <c r="A88" s="8"/>
      <c r="B88" s="2"/>
      <c r="C88" s="2"/>
      <c r="E88" s="10"/>
    </row>
    <row r="89">
      <c r="A89" s="8"/>
      <c r="B89" s="2"/>
      <c r="C89" s="2"/>
      <c r="E89" s="10"/>
    </row>
    <row r="90">
      <c r="A90" s="8"/>
      <c r="B90" s="2"/>
      <c r="C90" s="2"/>
      <c r="E90" s="10"/>
    </row>
    <row r="91">
      <c r="A91" s="8"/>
      <c r="B91" s="2"/>
      <c r="C91" s="2"/>
      <c r="E91" s="10"/>
    </row>
    <row r="92">
      <c r="A92" s="8"/>
      <c r="B92" s="2"/>
      <c r="C92" s="2"/>
      <c r="E92" s="10"/>
    </row>
    <row r="93">
      <c r="A93" s="8"/>
      <c r="B93" s="2"/>
      <c r="C93" s="2"/>
      <c r="E93" s="10"/>
    </row>
    <row r="94">
      <c r="A94" s="8"/>
      <c r="B94" s="2"/>
      <c r="C94" s="2"/>
      <c r="E94" s="10"/>
    </row>
    <row r="95">
      <c r="A95" s="8"/>
      <c r="B95" s="2"/>
      <c r="C95" s="2"/>
      <c r="E95" s="10"/>
    </row>
    <row r="96">
      <c r="A96" s="8"/>
      <c r="B96" s="2"/>
      <c r="C96" s="2"/>
      <c r="E96" s="10"/>
    </row>
    <row r="97">
      <c r="A97" s="8"/>
      <c r="B97" s="2"/>
      <c r="C97" s="2"/>
      <c r="E97" s="10"/>
    </row>
    <row r="98">
      <c r="A98" s="8"/>
      <c r="C98" s="2"/>
      <c r="E98" s="10"/>
    </row>
    <row r="99">
      <c r="A99" s="8"/>
      <c r="C99" s="2"/>
      <c r="E99" s="10"/>
    </row>
    <row r="100">
      <c r="A100" s="8"/>
      <c r="C100" s="2"/>
    </row>
    <row r="101">
      <c r="A101" s="8"/>
      <c r="C101" s="2"/>
    </row>
    <row r="102">
      <c r="A102" s="8"/>
      <c r="C102" s="2"/>
    </row>
    <row r="103">
      <c r="A103" s="8"/>
      <c r="C103" s="2"/>
    </row>
    <row r="104">
      <c r="A104" s="8"/>
      <c r="C104" s="2"/>
    </row>
    <row r="105">
      <c r="A105" s="8"/>
      <c r="C105" s="2"/>
    </row>
    <row r="106">
      <c r="A106" s="8"/>
      <c r="C106" s="2"/>
    </row>
    <row r="107">
      <c r="A107" s="8"/>
      <c r="C107" s="2"/>
    </row>
    <row r="108">
      <c r="A108" s="8"/>
      <c r="C108" s="2"/>
    </row>
    <row r="109">
      <c r="A109" s="8"/>
      <c r="C109" s="2"/>
    </row>
    <row r="110">
      <c r="A110" s="8"/>
      <c r="C110" s="2"/>
    </row>
    <row r="111">
      <c r="A111" s="8"/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</sheetData>
  <mergeCells count="1">
    <mergeCell ref="M1:O1"/>
  </mergeCell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7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4">
        <v>46181.52549380787</v>
      </c>
      <c r="B2" s="6" t="s">
        <v>11</v>
      </c>
      <c r="C2" s="6" t="s">
        <v>458</v>
      </c>
      <c r="D2" s="6" t="s">
        <v>15</v>
      </c>
      <c r="E2" s="6" t="s">
        <v>16</v>
      </c>
      <c r="F2" s="6" t="s">
        <v>17</v>
      </c>
      <c r="G2" s="6" t="s">
        <v>18</v>
      </c>
      <c r="H2" s="6" t="s">
        <v>19</v>
      </c>
      <c r="I2" s="6" t="s">
        <v>20</v>
      </c>
      <c r="J2" s="6" t="s">
        <v>21</v>
      </c>
    </row>
    <row r="3">
      <c r="A3" s="4">
        <v>46189.440505046296</v>
      </c>
      <c r="B3" s="6" t="s">
        <v>27</v>
      </c>
      <c r="C3" s="6" t="s">
        <v>459</v>
      </c>
      <c r="D3" s="6" t="s">
        <v>15</v>
      </c>
      <c r="E3" s="6" t="s">
        <v>16</v>
      </c>
      <c r="F3" s="6" t="s">
        <v>17</v>
      </c>
      <c r="G3" s="6" t="s">
        <v>18</v>
      </c>
      <c r="H3" s="6" t="s">
        <v>19</v>
      </c>
      <c r="I3" s="6" t="s">
        <v>20</v>
      </c>
      <c r="J3" s="6" t="s">
        <v>21</v>
      </c>
      <c r="K3" s="6" t="s">
        <v>29</v>
      </c>
    </row>
    <row r="4">
      <c r="A4" s="4">
        <v>46195.35809212963</v>
      </c>
      <c r="B4" s="6" t="s">
        <v>166</v>
      </c>
      <c r="C4" s="6" t="s">
        <v>460</v>
      </c>
      <c r="D4" s="6" t="s">
        <v>15</v>
      </c>
      <c r="E4" s="6" t="s">
        <v>16</v>
      </c>
      <c r="F4" s="6" t="s">
        <v>17</v>
      </c>
      <c r="G4" s="6" t="s">
        <v>18</v>
      </c>
      <c r="H4" s="6" t="s">
        <v>19</v>
      </c>
      <c r="I4" s="6" t="s">
        <v>47</v>
      </c>
      <c r="J4" s="6" t="s">
        <v>48</v>
      </c>
    </row>
    <row r="5">
      <c r="A5" s="4">
        <v>46204.35823524305</v>
      </c>
      <c r="B5" s="6" t="s">
        <v>30</v>
      </c>
      <c r="C5" s="6" t="s">
        <v>461</v>
      </c>
      <c r="D5" s="6" t="s">
        <v>15</v>
      </c>
      <c r="E5" s="6" t="s">
        <v>16</v>
      </c>
      <c r="F5" s="6" t="s">
        <v>17</v>
      </c>
      <c r="G5" s="6" t="s">
        <v>18</v>
      </c>
      <c r="H5" s="6" t="s">
        <v>19</v>
      </c>
      <c r="I5" s="6" t="s">
        <v>20</v>
      </c>
      <c r="J5" s="6" t="s">
        <v>21</v>
      </c>
      <c r="K5" s="6" t="s">
        <v>34</v>
      </c>
    </row>
    <row r="6">
      <c r="A6" s="4">
        <v>46204.464037997684</v>
      </c>
      <c r="B6" s="6" t="s">
        <v>35</v>
      </c>
      <c r="C6" s="6" t="s">
        <v>461</v>
      </c>
      <c r="D6" s="6" t="s">
        <v>15</v>
      </c>
      <c r="E6" s="6" t="s">
        <v>16</v>
      </c>
      <c r="F6" s="6" t="s">
        <v>17</v>
      </c>
      <c r="G6" s="6" t="s">
        <v>18</v>
      </c>
      <c r="H6" s="6" t="s">
        <v>19</v>
      </c>
      <c r="I6" s="6" t="s">
        <v>20</v>
      </c>
      <c r="J6" s="6" t="s">
        <v>21</v>
      </c>
    </row>
    <row r="7">
      <c r="A7" s="4">
        <v>46206.60017534722</v>
      </c>
      <c r="B7" s="6" t="s">
        <v>37</v>
      </c>
      <c r="C7" s="6" t="s">
        <v>459</v>
      </c>
      <c r="D7" s="6" t="s">
        <v>15</v>
      </c>
      <c r="E7" s="6" t="s">
        <v>16</v>
      </c>
      <c r="F7" s="6" t="s">
        <v>17</v>
      </c>
      <c r="G7" s="6" t="s">
        <v>18</v>
      </c>
      <c r="H7" s="6" t="s">
        <v>19</v>
      </c>
      <c r="I7" s="6" t="s">
        <v>20</v>
      </c>
      <c r="J7" s="6" t="s">
        <v>21</v>
      </c>
      <c r="K7" s="6" t="s">
        <v>219</v>
      </c>
    </row>
    <row r="8">
      <c r="A8" s="4">
        <v>46212.58962234954</v>
      </c>
      <c r="B8" s="6" t="s">
        <v>40</v>
      </c>
      <c r="C8" s="6" t="s">
        <v>459</v>
      </c>
      <c r="D8" s="6" t="s">
        <v>41</v>
      </c>
      <c r="E8" s="6" t="s">
        <v>33</v>
      </c>
      <c r="F8" s="6" t="s">
        <v>43</v>
      </c>
      <c r="G8" s="6" t="s">
        <v>44</v>
      </c>
      <c r="H8" s="6" t="s">
        <v>46</v>
      </c>
      <c r="I8" s="6" t="s">
        <v>47</v>
      </c>
      <c r="J8" s="6" t="s">
        <v>48</v>
      </c>
    </row>
    <row r="9">
      <c r="A9" s="4">
        <v>46212.61916192129</v>
      </c>
      <c r="B9" s="6" t="s">
        <v>49</v>
      </c>
      <c r="C9" s="6" t="s">
        <v>462</v>
      </c>
      <c r="D9" s="6" t="s">
        <v>15</v>
      </c>
      <c r="E9" s="6" t="s">
        <v>16</v>
      </c>
      <c r="F9" s="6" t="s">
        <v>17</v>
      </c>
      <c r="G9" s="6" t="s">
        <v>18</v>
      </c>
      <c r="H9" s="6" t="s">
        <v>19</v>
      </c>
      <c r="I9" s="6" t="s">
        <v>20</v>
      </c>
      <c r="J9" s="6" t="s">
        <v>21</v>
      </c>
    </row>
    <row r="10">
      <c r="A10" s="4">
        <v>46212.62025719907</v>
      </c>
      <c r="B10" s="6" t="s">
        <v>12</v>
      </c>
      <c r="C10" s="6" t="s">
        <v>459</v>
      </c>
      <c r="D10" s="6" t="s">
        <v>15</v>
      </c>
      <c r="E10" s="6" t="s">
        <v>16</v>
      </c>
      <c r="F10" s="6" t="s">
        <v>17</v>
      </c>
      <c r="G10" s="6" t="s">
        <v>18</v>
      </c>
      <c r="H10" s="6" t="s">
        <v>19</v>
      </c>
      <c r="I10" s="6" t="s">
        <v>20</v>
      </c>
      <c r="J10" s="6" t="s">
        <v>21</v>
      </c>
    </row>
    <row r="11">
      <c r="A11" s="4">
        <v>46212.62040165509</v>
      </c>
      <c r="B11" s="6" t="s">
        <v>79</v>
      </c>
      <c r="C11" s="6" t="s">
        <v>463</v>
      </c>
      <c r="D11" s="6" t="s">
        <v>15</v>
      </c>
      <c r="E11" s="6" t="s">
        <v>16</v>
      </c>
      <c r="F11" s="6" t="s">
        <v>17</v>
      </c>
      <c r="G11" s="6" t="s">
        <v>18</v>
      </c>
      <c r="H11" s="6" t="s">
        <v>19</v>
      </c>
      <c r="I11" s="6" t="s">
        <v>20</v>
      </c>
      <c r="J11" s="6" t="s">
        <v>21</v>
      </c>
    </row>
    <row r="12">
      <c r="A12" s="4">
        <v>46212.6210332176</v>
      </c>
      <c r="B12" s="6" t="s">
        <v>76</v>
      </c>
      <c r="C12" s="6" t="s">
        <v>464</v>
      </c>
      <c r="D12" s="6" t="s">
        <v>15</v>
      </c>
      <c r="E12" s="6" t="s">
        <v>16</v>
      </c>
      <c r="F12" s="6" t="s">
        <v>17</v>
      </c>
      <c r="G12" s="6" t="s">
        <v>18</v>
      </c>
      <c r="H12" s="6" t="s">
        <v>19</v>
      </c>
      <c r="I12" s="6" t="s">
        <v>20</v>
      </c>
      <c r="J12" s="6" t="s">
        <v>21</v>
      </c>
    </row>
    <row r="13">
      <c r="A13" s="4">
        <v>46212.62257449074</v>
      </c>
      <c r="B13" s="6" t="s">
        <v>57</v>
      </c>
      <c r="C13" s="6" t="s">
        <v>459</v>
      </c>
      <c r="D13" s="6" t="s">
        <v>15</v>
      </c>
      <c r="E13" s="6" t="s">
        <v>16</v>
      </c>
      <c r="F13" s="6" t="s">
        <v>17</v>
      </c>
      <c r="G13" s="6" t="s">
        <v>18</v>
      </c>
      <c r="H13" s="6" t="s">
        <v>19</v>
      </c>
      <c r="I13" s="6" t="s">
        <v>20</v>
      </c>
      <c r="J13" s="6" t="s">
        <v>21</v>
      </c>
    </row>
    <row r="14">
      <c r="A14" s="4">
        <v>46212.62266678241</v>
      </c>
      <c r="B14" s="6" t="s">
        <v>31</v>
      </c>
      <c r="C14" s="6" t="s">
        <v>459</v>
      </c>
      <c r="D14" s="6" t="s">
        <v>15</v>
      </c>
      <c r="E14" s="6" t="s">
        <v>16</v>
      </c>
      <c r="F14" s="6" t="s">
        <v>17</v>
      </c>
      <c r="G14" s="6" t="s">
        <v>18</v>
      </c>
      <c r="H14" s="6" t="s">
        <v>19</v>
      </c>
      <c r="I14" s="6" t="s">
        <v>20</v>
      </c>
      <c r="J14" s="6" t="s">
        <v>21</v>
      </c>
    </row>
    <row r="15">
      <c r="A15" s="4">
        <v>46212.62270224537</v>
      </c>
      <c r="B15" s="6" t="s">
        <v>67</v>
      </c>
      <c r="C15" s="6" t="s">
        <v>459</v>
      </c>
      <c r="D15" s="6" t="s">
        <v>15</v>
      </c>
      <c r="E15" s="6" t="s">
        <v>16</v>
      </c>
      <c r="F15" s="6" t="s">
        <v>17</v>
      </c>
      <c r="G15" s="6" t="s">
        <v>18</v>
      </c>
      <c r="H15" s="6" t="s">
        <v>19</v>
      </c>
      <c r="I15" s="6" t="s">
        <v>20</v>
      </c>
      <c r="J15" s="6" t="s">
        <v>21</v>
      </c>
    </row>
    <row r="16">
      <c r="A16" s="4">
        <v>46212.62340188657</v>
      </c>
      <c r="B16" s="6" t="s">
        <v>119</v>
      </c>
      <c r="C16" s="6" t="s">
        <v>459</v>
      </c>
      <c r="D16" s="6" t="s">
        <v>15</v>
      </c>
      <c r="E16" s="6" t="s">
        <v>16</v>
      </c>
      <c r="F16" s="6" t="s">
        <v>17</v>
      </c>
      <c r="G16" s="6" t="s">
        <v>18</v>
      </c>
      <c r="H16" s="6" t="s">
        <v>19</v>
      </c>
      <c r="I16" s="6" t="s">
        <v>20</v>
      </c>
      <c r="J16" s="6" t="s">
        <v>21</v>
      </c>
    </row>
    <row r="17">
      <c r="A17" s="4">
        <v>46212.62354739584</v>
      </c>
      <c r="B17" s="6" t="s">
        <v>106</v>
      </c>
      <c r="C17" s="6" t="s">
        <v>460</v>
      </c>
      <c r="D17" s="6" t="s">
        <v>15</v>
      </c>
      <c r="E17" s="6" t="s">
        <v>16</v>
      </c>
      <c r="F17" s="6" t="s">
        <v>17</v>
      </c>
      <c r="G17" s="6" t="s">
        <v>18</v>
      </c>
      <c r="H17" s="6" t="s">
        <v>19</v>
      </c>
      <c r="I17" s="6" t="s">
        <v>20</v>
      </c>
      <c r="J17" s="6" t="s">
        <v>21</v>
      </c>
    </row>
    <row r="18">
      <c r="A18" s="4">
        <v>46212.624266134255</v>
      </c>
      <c r="B18" s="6" t="s">
        <v>110</v>
      </c>
      <c r="C18" s="6" t="s">
        <v>459</v>
      </c>
      <c r="D18" s="6" t="s">
        <v>15</v>
      </c>
      <c r="E18" s="6" t="s">
        <v>16</v>
      </c>
      <c r="F18" s="6" t="s">
        <v>17</v>
      </c>
      <c r="G18" s="6" t="s">
        <v>18</v>
      </c>
      <c r="H18" s="6" t="s">
        <v>19</v>
      </c>
      <c r="I18" s="6" t="s">
        <v>20</v>
      </c>
      <c r="J18" s="6" t="s">
        <v>21</v>
      </c>
    </row>
    <row r="19">
      <c r="A19" s="4">
        <v>46212.62436006944</v>
      </c>
      <c r="B19" s="6" t="s">
        <v>75</v>
      </c>
      <c r="C19" s="6" t="s">
        <v>463</v>
      </c>
      <c r="D19" s="6" t="s">
        <v>15</v>
      </c>
      <c r="E19" s="6" t="s">
        <v>16</v>
      </c>
      <c r="F19" s="6" t="s">
        <v>17</v>
      </c>
      <c r="G19" s="6" t="s">
        <v>18</v>
      </c>
      <c r="H19" s="6" t="s">
        <v>19</v>
      </c>
      <c r="I19" s="6" t="s">
        <v>20</v>
      </c>
      <c r="J19" s="6" t="s">
        <v>21</v>
      </c>
    </row>
    <row r="20">
      <c r="A20" s="4">
        <v>46212.624608831014</v>
      </c>
      <c r="B20" s="6" t="s">
        <v>101</v>
      </c>
      <c r="C20" s="6" t="s">
        <v>459</v>
      </c>
      <c r="D20" s="6" t="s">
        <v>15</v>
      </c>
      <c r="E20" s="6" t="s">
        <v>16</v>
      </c>
      <c r="F20" s="6" t="s">
        <v>17</v>
      </c>
      <c r="G20" s="6" t="s">
        <v>18</v>
      </c>
      <c r="H20" s="6" t="s">
        <v>19</v>
      </c>
      <c r="I20" s="6" t="s">
        <v>20</v>
      </c>
      <c r="J20" s="6" t="s">
        <v>21</v>
      </c>
    </row>
    <row r="21">
      <c r="A21" s="4">
        <v>46212.62476627315</v>
      </c>
      <c r="B21" s="6" t="s">
        <v>142</v>
      </c>
      <c r="C21" s="6" t="s">
        <v>460</v>
      </c>
      <c r="D21" s="6" t="s">
        <v>15</v>
      </c>
      <c r="E21" s="6" t="s">
        <v>16</v>
      </c>
      <c r="F21" s="6" t="s">
        <v>17</v>
      </c>
      <c r="G21" s="6" t="s">
        <v>18</v>
      </c>
      <c r="H21" s="6" t="s">
        <v>19</v>
      </c>
      <c r="I21" s="6" t="s">
        <v>20</v>
      </c>
      <c r="J21" s="6" t="s">
        <v>21</v>
      </c>
    </row>
    <row r="22">
      <c r="A22" s="4">
        <v>46212.624901284726</v>
      </c>
      <c r="B22" s="6" t="s">
        <v>53</v>
      </c>
      <c r="C22" s="6" t="s">
        <v>459</v>
      </c>
      <c r="D22" s="6" t="s">
        <v>15</v>
      </c>
      <c r="E22" s="6" t="s">
        <v>16</v>
      </c>
      <c r="F22" s="6" t="s">
        <v>17</v>
      </c>
      <c r="G22" s="6" t="s">
        <v>18</v>
      </c>
      <c r="H22" s="6" t="s">
        <v>19</v>
      </c>
      <c r="I22" s="6" t="s">
        <v>20</v>
      </c>
      <c r="J22" s="6" t="s">
        <v>21</v>
      </c>
    </row>
    <row r="23">
      <c r="A23" s="4">
        <v>46212.6249640625</v>
      </c>
      <c r="B23" s="6" t="s">
        <v>125</v>
      </c>
      <c r="C23" s="6" t="s">
        <v>459</v>
      </c>
      <c r="D23" s="6" t="s">
        <v>15</v>
      </c>
      <c r="E23" s="6" t="s">
        <v>16</v>
      </c>
      <c r="F23" s="6" t="s">
        <v>17</v>
      </c>
      <c r="G23" s="6" t="s">
        <v>18</v>
      </c>
      <c r="H23" s="6" t="s">
        <v>19</v>
      </c>
      <c r="I23" s="6" t="s">
        <v>20</v>
      </c>
      <c r="J23" s="6" t="s">
        <v>21</v>
      </c>
    </row>
    <row r="24">
      <c r="A24" s="4">
        <v>46212.62497738426</v>
      </c>
      <c r="B24" s="6" t="s">
        <v>93</v>
      </c>
      <c r="C24" s="6" t="s">
        <v>460</v>
      </c>
      <c r="D24" s="6" t="s">
        <v>15</v>
      </c>
      <c r="E24" s="6" t="s">
        <v>16</v>
      </c>
      <c r="F24" s="6" t="s">
        <v>17</v>
      </c>
      <c r="G24" s="6" t="s">
        <v>18</v>
      </c>
      <c r="H24" s="6" t="s">
        <v>19</v>
      </c>
      <c r="I24" s="6" t="s">
        <v>20</v>
      </c>
      <c r="J24" s="6" t="s">
        <v>21</v>
      </c>
    </row>
    <row r="25">
      <c r="A25" s="4">
        <v>46212.62510611111</v>
      </c>
      <c r="B25" s="6" t="s">
        <v>63</v>
      </c>
      <c r="C25" s="6" t="s">
        <v>459</v>
      </c>
      <c r="D25" s="6" t="s">
        <v>15</v>
      </c>
      <c r="E25" s="6" t="s">
        <v>16</v>
      </c>
      <c r="F25" s="6" t="s">
        <v>17</v>
      </c>
      <c r="G25" s="6" t="s">
        <v>18</v>
      </c>
      <c r="H25" s="6" t="s">
        <v>19</v>
      </c>
      <c r="I25" s="6" t="s">
        <v>20</v>
      </c>
      <c r="J25" s="6" t="s">
        <v>21</v>
      </c>
    </row>
    <row r="26">
      <c r="A26" s="4">
        <v>46212.625151782406</v>
      </c>
      <c r="B26" s="6" t="s">
        <v>118</v>
      </c>
      <c r="C26" s="6" t="s">
        <v>459</v>
      </c>
      <c r="D26" s="6" t="s">
        <v>15</v>
      </c>
      <c r="E26" s="6" t="s">
        <v>16</v>
      </c>
      <c r="F26" s="6" t="s">
        <v>17</v>
      </c>
      <c r="G26" s="6" t="s">
        <v>18</v>
      </c>
      <c r="H26" s="6" t="s">
        <v>19</v>
      </c>
      <c r="I26" s="6" t="s">
        <v>20</v>
      </c>
      <c r="J26" s="6" t="s">
        <v>21</v>
      </c>
    </row>
    <row r="27">
      <c r="A27" s="4">
        <v>46212.62515436343</v>
      </c>
      <c r="B27" s="6" t="s">
        <v>25</v>
      </c>
      <c r="C27" s="6" t="s">
        <v>459</v>
      </c>
      <c r="D27" s="6" t="s">
        <v>15</v>
      </c>
      <c r="E27" s="6" t="s">
        <v>16</v>
      </c>
      <c r="F27" s="6" t="s">
        <v>17</v>
      </c>
      <c r="G27" s="6" t="s">
        <v>18</v>
      </c>
      <c r="H27" s="6" t="s">
        <v>19</v>
      </c>
      <c r="I27" s="6" t="s">
        <v>20</v>
      </c>
      <c r="J27" s="6" t="s">
        <v>21</v>
      </c>
    </row>
    <row r="28">
      <c r="A28" s="4">
        <v>46212.62517009259</v>
      </c>
      <c r="B28" s="6" t="s">
        <v>74</v>
      </c>
      <c r="C28" s="6" t="s">
        <v>459</v>
      </c>
      <c r="D28" s="6" t="s">
        <v>15</v>
      </c>
      <c r="E28" s="6" t="s">
        <v>16</v>
      </c>
      <c r="F28" s="6" t="s">
        <v>17</v>
      </c>
      <c r="G28" s="6" t="s">
        <v>18</v>
      </c>
      <c r="H28" s="6" t="s">
        <v>19</v>
      </c>
      <c r="I28" s="6" t="s">
        <v>20</v>
      </c>
      <c r="J28" s="6" t="s">
        <v>21</v>
      </c>
    </row>
    <row r="29">
      <c r="A29" s="4">
        <v>46212.62522564815</v>
      </c>
      <c r="B29" s="6" t="s">
        <v>108</v>
      </c>
      <c r="C29" s="6" t="s">
        <v>459</v>
      </c>
      <c r="D29" s="6" t="s">
        <v>15</v>
      </c>
      <c r="E29" s="6" t="s">
        <v>16</v>
      </c>
      <c r="F29" s="6" t="s">
        <v>17</v>
      </c>
      <c r="G29" s="6" t="s">
        <v>18</v>
      </c>
      <c r="H29" s="6" t="s">
        <v>19</v>
      </c>
      <c r="I29" s="6" t="s">
        <v>20</v>
      </c>
      <c r="J29" s="6" t="s">
        <v>21</v>
      </c>
    </row>
    <row r="30">
      <c r="A30" s="4">
        <v>46212.62542696759</v>
      </c>
      <c r="B30" s="6" t="s">
        <v>91</v>
      </c>
      <c r="C30" s="6" t="s">
        <v>459</v>
      </c>
      <c r="D30" s="6" t="s">
        <v>15</v>
      </c>
      <c r="E30" s="6" t="s">
        <v>16</v>
      </c>
      <c r="F30" s="6" t="s">
        <v>17</v>
      </c>
      <c r="G30" s="6" t="s">
        <v>18</v>
      </c>
      <c r="H30" s="6" t="s">
        <v>19</v>
      </c>
      <c r="I30" s="6" t="s">
        <v>20</v>
      </c>
      <c r="J30" s="6" t="s">
        <v>21</v>
      </c>
    </row>
    <row r="31">
      <c r="A31" s="4">
        <v>46212.62545065972</v>
      </c>
      <c r="B31" s="6" t="s">
        <v>151</v>
      </c>
      <c r="C31" s="6" t="s">
        <v>459</v>
      </c>
      <c r="D31" s="6" t="s">
        <v>15</v>
      </c>
      <c r="E31" s="6" t="s">
        <v>16</v>
      </c>
      <c r="F31" s="6" t="s">
        <v>17</v>
      </c>
      <c r="G31" s="6" t="s">
        <v>18</v>
      </c>
      <c r="H31" s="6" t="s">
        <v>19</v>
      </c>
      <c r="I31" s="6" t="s">
        <v>20</v>
      </c>
      <c r="J31" s="6" t="s">
        <v>21</v>
      </c>
    </row>
    <row r="32">
      <c r="A32" s="4">
        <v>46212.625588888885</v>
      </c>
      <c r="B32" s="6" t="s">
        <v>98</v>
      </c>
      <c r="C32" s="6" t="s">
        <v>459</v>
      </c>
      <c r="D32" s="6" t="s">
        <v>15</v>
      </c>
      <c r="E32" s="6" t="s">
        <v>16</v>
      </c>
      <c r="F32" s="6" t="s">
        <v>17</v>
      </c>
      <c r="G32" s="6" t="s">
        <v>18</v>
      </c>
      <c r="H32" s="6" t="s">
        <v>19</v>
      </c>
      <c r="I32" s="6" t="s">
        <v>20</v>
      </c>
      <c r="J32" s="6" t="s">
        <v>21</v>
      </c>
      <c r="K32" s="6" t="s">
        <v>34</v>
      </c>
    </row>
    <row r="33">
      <c r="A33" s="4">
        <v>46212.62560918981</v>
      </c>
      <c r="B33" s="6" t="s">
        <v>144</v>
      </c>
      <c r="C33" s="6" t="s">
        <v>403</v>
      </c>
      <c r="D33" s="6" t="s">
        <v>15</v>
      </c>
      <c r="E33" s="6" t="s">
        <v>16</v>
      </c>
      <c r="F33" s="6" t="s">
        <v>17</v>
      </c>
      <c r="G33" s="6" t="s">
        <v>18</v>
      </c>
      <c r="H33" s="6" t="s">
        <v>19</v>
      </c>
      <c r="I33" s="6" t="s">
        <v>20</v>
      </c>
      <c r="J33" s="6" t="s">
        <v>21</v>
      </c>
    </row>
    <row r="34">
      <c r="A34" s="4">
        <v>46212.62581670139</v>
      </c>
      <c r="B34" s="6" t="s">
        <v>124</v>
      </c>
      <c r="C34" s="6" t="s">
        <v>459</v>
      </c>
      <c r="D34" s="6" t="s">
        <v>15</v>
      </c>
      <c r="E34" s="6" t="s">
        <v>16</v>
      </c>
      <c r="F34" s="6" t="s">
        <v>17</v>
      </c>
      <c r="G34" s="6" t="s">
        <v>18</v>
      </c>
      <c r="H34" s="6" t="s">
        <v>19</v>
      </c>
      <c r="I34" s="6" t="s">
        <v>20</v>
      </c>
      <c r="J34" s="6" t="s">
        <v>21</v>
      </c>
    </row>
    <row r="35">
      <c r="A35" s="4">
        <v>46212.62587665509</v>
      </c>
      <c r="B35" s="6" t="s">
        <v>42</v>
      </c>
      <c r="C35" s="6" t="s">
        <v>459</v>
      </c>
      <c r="D35" s="6" t="s">
        <v>15</v>
      </c>
      <c r="E35" s="6" t="s">
        <v>16</v>
      </c>
      <c r="F35" s="6" t="s">
        <v>17</v>
      </c>
      <c r="G35" s="6" t="s">
        <v>18</v>
      </c>
      <c r="H35" s="6" t="s">
        <v>19</v>
      </c>
      <c r="I35" s="6" t="s">
        <v>20</v>
      </c>
      <c r="J35" s="6" t="s">
        <v>21</v>
      </c>
    </row>
    <row r="36">
      <c r="A36" s="4">
        <v>46212.62591292824</v>
      </c>
      <c r="B36" s="6" t="s">
        <v>102</v>
      </c>
      <c r="C36" s="6" t="s">
        <v>459</v>
      </c>
      <c r="D36" s="6" t="s">
        <v>15</v>
      </c>
      <c r="E36" s="6" t="s">
        <v>16</v>
      </c>
      <c r="F36" s="6" t="s">
        <v>17</v>
      </c>
      <c r="G36" s="6" t="s">
        <v>18</v>
      </c>
      <c r="H36" s="6" t="s">
        <v>19</v>
      </c>
      <c r="I36" s="6" t="s">
        <v>20</v>
      </c>
      <c r="J36" s="6" t="s">
        <v>21</v>
      </c>
    </row>
    <row r="37">
      <c r="A37" s="4">
        <v>46212.62594974537</v>
      </c>
      <c r="B37" s="6" t="s">
        <v>54</v>
      </c>
      <c r="C37" s="6" t="s">
        <v>459</v>
      </c>
      <c r="D37" s="6" t="s">
        <v>15</v>
      </c>
      <c r="E37" s="6" t="s">
        <v>16</v>
      </c>
      <c r="F37" s="6" t="s">
        <v>17</v>
      </c>
      <c r="G37" s="6" t="s">
        <v>18</v>
      </c>
      <c r="H37" s="6" t="s">
        <v>19</v>
      </c>
      <c r="I37" s="6" t="s">
        <v>20</v>
      </c>
      <c r="J37" s="6" t="s">
        <v>21</v>
      </c>
    </row>
    <row r="38">
      <c r="A38" s="4">
        <v>46212.625997916664</v>
      </c>
      <c r="B38" s="6" t="s">
        <v>138</v>
      </c>
      <c r="C38" s="6" t="s">
        <v>465</v>
      </c>
      <c r="D38" s="6" t="s">
        <v>15</v>
      </c>
      <c r="E38" s="6" t="s">
        <v>16</v>
      </c>
      <c r="F38" s="6" t="s">
        <v>17</v>
      </c>
      <c r="G38" s="6" t="s">
        <v>18</v>
      </c>
      <c r="H38" s="6" t="s">
        <v>19</v>
      </c>
      <c r="I38" s="6" t="s">
        <v>20</v>
      </c>
      <c r="J38" s="6" t="s">
        <v>21</v>
      </c>
    </row>
    <row r="39">
      <c r="A39" s="4">
        <v>46212.626119259265</v>
      </c>
      <c r="B39" s="6" t="s">
        <v>22</v>
      </c>
      <c r="C39" s="6" t="s">
        <v>459</v>
      </c>
      <c r="D39" s="6" t="s">
        <v>15</v>
      </c>
      <c r="E39" s="6" t="s">
        <v>16</v>
      </c>
      <c r="F39" s="6" t="s">
        <v>17</v>
      </c>
      <c r="G39" s="6" t="s">
        <v>18</v>
      </c>
      <c r="H39" s="6" t="s">
        <v>19</v>
      </c>
      <c r="I39" s="6" t="s">
        <v>20</v>
      </c>
      <c r="J39" s="6" t="s">
        <v>21</v>
      </c>
    </row>
    <row r="40">
      <c r="A40" s="4">
        <v>46212.626588125</v>
      </c>
      <c r="B40" s="6" t="s">
        <v>94</v>
      </c>
      <c r="C40" s="6" t="s">
        <v>459</v>
      </c>
      <c r="D40" s="6" t="s">
        <v>15</v>
      </c>
      <c r="E40" s="6" t="s">
        <v>16</v>
      </c>
      <c r="F40" s="6" t="s">
        <v>17</v>
      </c>
      <c r="G40" s="6" t="s">
        <v>18</v>
      </c>
      <c r="H40" s="6" t="s">
        <v>19</v>
      </c>
      <c r="I40" s="6" t="s">
        <v>20</v>
      </c>
      <c r="J40" s="6" t="s">
        <v>21</v>
      </c>
    </row>
    <row r="41">
      <c r="A41" s="4">
        <v>46212.626619131945</v>
      </c>
      <c r="B41" s="6" t="s">
        <v>105</v>
      </c>
      <c r="C41" s="6" t="s">
        <v>459</v>
      </c>
      <c r="D41" s="6" t="s">
        <v>15</v>
      </c>
      <c r="E41" s="6" t="s">
        <v>16</v>
      </c>
      <c r="F41" s="6" t="s">
        <v>17</v>
      </c>
      <c r="G41" s="6" t="s">
        <v>18</v>
      </c>
      <c r="H41" s="6" t="s">
        <v>19</v>
      </c>
      <c r="I41" s="6" t="s">
        <v>20</v>
      </c>
      <c r="J41" s="6" t="s">
        <v>21</v>
      </c>
    </row>
    <row r="42">
      <c r="A42" s="4">
        <v>46212.62665363426</v>
      </c>
      <c r="B42" s="6" t="s">
        <v>100</v>
      </c>
      <c r="C42" s="6" t="s">
        <v>459</v>
      </c>
      <c r="D42" s="6" t="s">
        <v>15</v>
      </c>
      <c r="E42" s="6" t="s">
        <v>16</v>
      </c>
      <c r="F42" s="6" t="s">
        <v>17</v>
      </c>
      <c r="G42" s="6" t="s">
        <v>18</v>
      </c>
      <c r="H42" s="6" t="s">
        <v>19</v>
      </c>
      <c r="I42" s="6" t="s">
        <v>20</v>
      </c>
      <c r="J42" s="6" t="s">
        <v>21</v>
      </c>
    </row>
    <row r="43">
      <c r="A43" s="4">
        <v>46212.62678351851</v>
      </c>
      <c r="B43" s="6" t="s">
        <v>59</v>
      </c>
      <c r="C43" s="6" t="s">
        <v>459</v>
      </c>
      <c r="D43" s="6" t="s">
        <v>15</v>
      </c>
      <c r="E43" s="6" t="s">
        <v>16</v>
      </c>
      <c r="F43" s="6" t="s">
        <v>17</v>
      </c>
      <c r="G43" s="6" t="s">
        <v>18</v>
      </c>
      <c r="H43" s="6" t="s">
        <v>19</v>
      </c>
      <c r="I43" s="6" t="s">
        <v>20</v>
      </c>
      <c r="J43" s="6" t="s">
        <v>21</v>
      </c>
      <c r="K43" s="6" t="s">
        <v>466</v>
      </c>
    </row>
    <row r="44">
      <c r="A44" s="4">
        <v>46212.62719085648</v>
      </c>
      <c r="B44" s="6" t="s">
        <v>123</v>
      </c>
      <c r="C44" s="6" t="s">
        <v>459</v>
      </c>
      <c r="D44" s="6" t="s">
        <v>15</v>
      </c>
      <c r="E44" s="6" t="s">
        <v>16</v>
      </c>
      <c r="F44" s="6" t="s">
        <v>17</v>
      </c>
      <c r="G44" s="6" t="s">
        <v>18</v>
      </c>
      <c r="H44" s="6" t="s">
        <v>19</v>
      </c>
      <c r="I44" s="6" t="s">
        <v>20</v>
      </c>
      <c r="J44" s="6" t="s">
        <v>21</v>
      </c>
    </row>
    <row r="45">
      <c r="A45" s="4">
        <v>46212.627328877315</v>
      </c>
      <c r="B45" s="6" t="s">
        <v>95</v>
      </c>
      <c r="C45" s="6" t="s">
        <v>459</v>
      </c>
      <c r="D45" s="6" t="s">
        <v>15</v>
      </c>
      <c r="E45" s="6" t="s">
        <v>16</v>
      </c>
      <c r="F45" s="6" t="s">
        <v>17</v>
      </c>
      <c r="G45" s="6" t="s">
        <v>18</v>
      </c>
      <c r="H45" s="6" t="s">
        <v>19</v>
      </c>
      <c r="I45" s="6" t="s">
        <v>20</v>
      </c>
      <c r="J45" s="6" t="s">
        <v>21</v>
      </c>
    </row>
    <row r="46">
      <c r="A46" s="4">
        <v>46212.62749699074</v>
      </c>
      <c r="B46" s="6" t="s">
        <v>62</v>
      </c>
      <c r="C46" s="6" t="s">
        <v>459</v>
      </c>
      <c r="D46" s="6" t="s">
        <v>15</v>
      </c>
      <c r="E46" s="6" t="s">
        <v>16</v>
      </c>
      <c r="F46" s="6" t="s">
        <v>17</v>
      </c>
      <c r="G46" s="6" t="s">
        <v>18</v>
      </c>
      <c r="H46" s="6" t="s">
        <v>19</v>
      </c>
      <c r="I46" s="6" t="s">
        <v>20</v>
      </c>
      <c r="J46" s="6" t="s">
        <v>21</v>
      </c>
    </row>
    <row r="47">
      <c r="A47" s="4">
        <v>46212.62763559028</v>
      </c>
      <c r="B47" s="6" t="s">
        <v>88</v>
      </c>
      <c r="C47" s="6" t="s">
        <v>459</v>
      </c>
      <c r="D47" s="6" t="s">
        <v>15</v>
      </c>
      <c r="E47" s="6" t="s">
        <v>16</v>
      </c>
      <c r="F47" s="6" t="s">
        <v>17</v>
      </c>
      <c r="G47" s="6" t="s">
        <v>18</v>
      </c>
      <c r="H47" s="6" t="s">
        <v>19</v>
      </c>
      <c r="I47" s="6" t="s">
        <v>20</v>
      </c>
      <c r="J47" s="6" t="s">
        <v>21</v>
      </c>
    </row>
    <row r="48">
      <c r="A48" s="4">
        <v>46212.627723240745</v>
      </c>
      <c r="B48" s="6" t="s">
        <v>82</v>
      </c>
      <c r="C48" s="6" t="s">
        <v>459</v>
      </c>
      <c r="D48" s="6" t="s">
        <v>15</v>
      </c>
      <c r="E48" s="6" t="s">
        <v>16</v>
      </c>
      <c r="F48" s="6" t="s">
        <v>17</v>
      </c>
      <c r="G48" s="6" t="s">
        <v>18</v>
      </c>
      <c r="H48" s="6" t="s">
        <v>19</v>
      </c>
      <c r="I48" s="6" t="s">
        <v>20</v>
      </c>
      <c r="J48" s="6" t="s">
        <v>21</v>
      </c>
    </row>
    <row r="49">
      <c r="A49" s="4">
        <v>46212.62776701389</v>
      </c>
      <c r="B49" s="6" t="s">
        <v>161</v>
      </c>
      <c r="C49" s="6" t="s">
        <v>459</v>
      </c>
      <c r="D49" s="6" t="s">
        <v>15</v>
      </c>
      <c r="E49" s="6" t="s">
        <v>16</v>
      </c>
      <c r="F49" s="6" t="s">
        <v>17</v>
      </c>
      <c r="G49" s="6" t="s">
        <v>18</v>
      </c>
      <c r="H49" s="6" t="s">
        <v>19</v>
      </c>
      <c r="I49" s="6" t="s">
        <v>20</v>
      </c>
      <c r="J49" s="6" t="s">
        <v>21</v>
      </c>
    </row>
    <row r="50">
      <c r="A50" s="4">
        <v>46212.627767997685</v>
      </c>
      <c r="B50" s="6" t="s">
        <v>65</v>
      </c>
      <c r="C50" s="6" t="s">
        <v>459</v>
      </c>
      <c r="D50" s="6" t="s">
        <v>15</v>
      </c>
      <c r="E50" s="6" t="s">
        <v>16</v>
      </c>
      <c r="F50" s="6" t="s">
        <v>17</v>
      </c>
      <c r="G50" s="6" t="s">
        <v>18</v>
      </c>
      <c r="H50" s="6" t="s">
        <v>19</v>
      </c>
      <c r="I50" s="6" t="s">
        <v>20</v>
      </c>
      <c r="J50" s="6" t="s">
        <v>21</v>
      </c>
    </row>
    <row r="51">
      <c r="A51" s="4">
        <v>46212.62785804398</v>
      </c>
      <c r="B51" s="6" t="s">
        <v>104</v>
      </c>
      <c r="C51" s="6" t="s">
        <v>459</v>
      </c>
      <c r="D51" s="6" t="s">
        <v>15</v>
      </c>
      <c r="E51" s="6" t="s">
        <v>16</v>
      </c>
      <c r="F51" s="6" t="s">
        <v>17</v>
      </c>
      <c r="G51" s="6" t="s">
        <v>18</v>
      </c>
      <c r="H51" s="6" t="s">
        <v>19</v>
      </c>
      <c r="I51" s="6" t="s">
        <v>20</v>
      </c>
      <c r="J51" s="6" t="s">
        <v>21</v>
      </c>
    </row>
    <row r="52">
      <c r="A52" s="4">
        <v>46212.62792262732</v>
      </c>
      <c r="B52" s="6" t="s">
        <v>55</v>
      </c>
      <c r="C52" s="6" t="s">
        <v>459</v>
      </c>
      <c r="D52" s="6" t="s">
        <v>15</v>
      </c>
      <c r="E52" s="6" t="s">
        <v>16</v>
      </c>
      <c r="F52" s="6" t="s">
        <v>17</v>
      </c>
      <c r="G52" s="6" t="s">
        <v>18</v>
      </c>
      <c r="H52" s="6" t="s">
        <v>19</v>
      </c>
      <c r="I52" s="6" t="s">
        <v>20</v>
      </c>
      <c r="J52" s="6" t="s">
        <v>21</v>
      </c>
    </row>
    <row r="53">
      <c r="A53" s="4">
        <v>46212.62797035879</v>
      </c>
      <c r="B53" s="6" t="s">
        <v>148</v>
      </c>
      <c r="C53" s="6" t="s">
        <v>459</v>
      </c>
      <c r="D53" s="6" t="s">
        <v>15</v>
      </c>
      <c r="E53" s="6" t="s">
        <v>16</v>
      </c>
      <c r="F53" s="6" t="s">
        <v>17</v>
      </c>
      <c r="G53" s="6" t="s">
        <v>18</v>
      </c>
      <c r="H53" s="6" t="s">
        <v>19</v>
      </c>
      <c r="I53" s="6" t="s">
        <v>20</v>
      </c>
      <c r="J53" s="6" t="s">
        <v>21</v>
      </c>
    </row>
    <row r="54">
      <c r="A54" s="4">
        <v>46212.62815333334</v>
      </c>
      <c r="B54" s="6" t="s">
        <v>71</v>
      </c>
      <c r="C54" s="6" t="s">
        <v>459</v>
      </c>
      <c r="D54" s="6" t="s">
        <v>15</v>
      </c>
      <c r="E54" s="6" t="s">
        <v>16</v>
      </c>
      <c r="F54" s="6" t="s">
        <v>17</v>
      </c>
      <c r="G54" s="6" t="s">
        <v>18</v>
      </c>
      <c r="H54" s="6" t="s">
        <v>19</v>
      </c>
      <c r="I54" s="6" t="s">
        <v>20</v>
      </c>
      <c r="J54" s="6" t="s">
        <v>21</v>
      </c>
    </row>
    <row r="55">
      <c r="A55" s="4">
        <v>46212.628184305555</v>
      </c>
      <c r="B55" s="6" t="s">
        <v>121</v>
      </c>
      <c r="C55" s="6" t="s">
        <v>467</v>
      </c>
      <c r="D55" s="6" t="s">
        <v>15</v>
      </c>
      <c r="E55" s="6" t="s">
        <v>16</v>
      </c>
      <c r="F55" s="6" t="s">
        <v>17</v>
      </c>
      <c r="G55" s="6" t="s">
        <v>18</v>
      </c>
      <c r="H55" s="6" t="s">
        <v>19</v>
      </c>
      <c r="I55" s="6" t="s">
        <v>20</v>
      </c>
      <c r="J55" s="6" t="s">
        <v>21</v>
      </c>
    </row>
    <row r="56">
      <c r="A56" s="4">
        <v>46212.62818921296</v>
      </c>
      <c r="B56" s="6" t="s">
        <v>128</v>
      </c>
      <c r="C56" s="6" t="s">
        <v>459</v>
      </c>
      <c r="D56" s="6" t="s">
        <v>15</v>
      </c>
      <c r="E56" s="6" t="s">
        <v>16</v>
      </c>
      <c r="F56" s="6" t="s">
        <v>17</v>
      </c>
      <c r="G56" s="6" t="s">
        <v>18</v>
      </c>
      <c r="H56" s="6" t="s">
        <v>19</v>
      </c>
      <c r="I56" s="6" t="s">
        <v>20</v>
      </c>
      <c r="J56" s="6" t="s">
        <v>21</v>
      </c>
      <c r="K56" s="6" t="s">
        <v>29</v>
      </c>
    </row>
    <row r="57">
      <c r="A57" s="4">
        <v>46212.62819920139</v>
      </c>
      <c r="B57" s="6" t="s">
        <v>86</v>
      </c>
      <c r="C57" s="6" t="s">
        <v>459</v>
      </c>
      <c r="D57" s="6" t="s">
        <v>15</v>
      </c>
      <c r="E57" s="6" t="s">
        <v>16</v>
      </c>
      <c r="F57" s="6" t="s">
        <v>17</v>
      </c>
      <c r="G57" s="6" t="s">
        <v>18</v>
      </c>
      <c r="H57" s="6" t="s">
        <v>19</v>
      </c>
      <c r="I57" s="6" t="s">
        <v>20</v>
      </c>
      <c r="J57" s="6" t="s">
        <v>21</v>
      </c>
    </row>
    <row r="58">
      <c r="A58" s="4">
        <v>46212.62821217593</v>
      </c>
      <c r="B58" s="6" t="s">
        <v>81</v>
      </c>
      <c r="C58" s="6" t="s">
        <v>459</v>
      </c>
      <c r="D58" s="6" t="s">
        <v>15</v>
      </c>
      <c r="E58" s="6" t="s">
        <v>16</v>
      </c>
      <c r="F58" s="6" t="s">
        <v>17</v>
      </c>
      <c r="G58" s="6" t="s">
        <v>18</v>
      </c>
      <c r="H58" s="6" t="s">
        <v>19</v>
      </c>
      <c r="I58" s="6" t="s">
        <v>20</v>
      </c>
      <c r="J58" s="6" t="s">
        <v>21</v>
      </c>
    </row>
    <row r="59">
      <c r="A59" s="4">
        <v>46212.62833398148</v>
      </c>
      <c r="B59" s="6" t="s">
        <v>137</v>
      </c>
      <c r="C59" s="6" t="s">
        <v>459</v>
      </c>
      <c r="D59" s="6" t="s">
        <v>15</v>
      </c>
      <c r="E59" s="6" t="s">
        <v>16</v>
      </c>
      <c r="F59" s="6" t="s">
        <v>17</v>
      </c>
      <c r="G59" s="6" t="s">
        <v>18</v>
      </c>
      <c r="H59" s="6" t="s">
        <v>19</v>
      </c>
      <c r="I59" s="6" t="s">
        <v>20</v>
      </c>
      <c r="J59" s="6" t="s">
        <v>21</v>
      </c>
    </row>
    <row r="60">
      <c r="A60" s="4">
        <v>46212.62843111111</v>
      </c>
      <c r="B60" s="6" t="s">
        <v>61</v>
      </c>
      <c r="C60" s="6" t="s">
        <v>459</v>
      </c>
      <c r="D60" s="6" t="s">
        <v>15</v>
      </c>
      <c r="E60" s="6" t="s">
        <v>16</v>
      </c>
      <c r="F60" s="6" t="s">
        <v>17</v>
      </c>
      <c r="G60" s="6" t="s">
        <v>18</v>
      </c>
      <c r="H60" s="6" t="s">
        <v>19</v>
      </c>
      <c r="I60" s="6" t="s">
        <v>20</v>
      </c>
      <c r="J60" s="6" t="s">
        <v>21</v>
      </c>
    </row>
    <row r="61">
      <c r="A61" s="4">
        <v>46212.628459872685</v>
      </c>
      <c r="B61" s="6" t="s">
        <v>158</v>
      </c>
      <c r="C61" s="6" t="s">
        <v>459</v>
      </c>
      <c r="D61" s="6" t="s">
        <v>15</v>
      </c>
      <c r="E61" s="6" t="s">
        <v>16</v>
      </c>
      <c r="F61" s="6" t="s">
        <v>17</v>
      </c>
      <c r="G61" s="6" t="s">
        <v>18</v>
      </c>
      <c r="H61" s="6" t="s">
        <v>19</v>
      </c>
      <c r="I61" s="6" t="s">
        <v>20</v>
      </c>
      <c r="J61" s="6" t="s">
        <v>21</v>
      </c>
    </row>
    <row r="62">
      <c r="A62" s="4">
        <v>46212.628473715275</v>
      </c>
      <c r="B62" s="6" t="s">
        <v>147</v>
      </c>
      <c r="C62" s="6" t="s">
        <v>459</v>
      </c>
      <c r="D62" s="6" t="s">
        <v>15</v>
      </c>
      <c r="E62" s="6" t="s">
        <v>16</v>
      </c>
      <c r="F62" s="6" t="s">
        <v>17</v>
      </c>
      <c r="G62" s="6" t="s">
        <v>18</v>
      </c>
      <c r="H62" s="6" t="s">
        <v>19</v>
      </c>
      <c r="I62" s="6" t="s">
        <v>20</v>
      </c>
      <c r="J62" s="6" t="s">
        <v>21</v>
      </c>
    </row>
    <row r="63">
      <c r="A63" s="4">
        <v>46212.628862847225</v>
      </c>
      <c r="B63" s="6" t="s">
        <v>51</v>
      </c>
      <c r="C63" s="6" t="s">
        <v>459</v>
      </c>
      <c r="D63" s="6" t="s">
        <v>15</v>
      </c>
      <c r="E63" s="6" t="s">
        <v>16</v>
      </c>
      <c r="F63" s="6" t="s">
        <v>17</v>
      </c>
      <c r="G63" s="6" t="s">
        <v>18</v>
      </c>
      <c r="H63" s="6" t="s">
        <v>46</v>
      </c>
      <c r="I63" s="6" t="s">
        <v>47</v>
      </c>
      <c r="J63" s="6" t="s">
        <v>48</v>
      </c>
    </row>
    <row r="64">
      <c r="A64" s="4">
        <v>46212.62889494213</v>
      </c>
      <c r="B64" s="6" t="s">
        <v>92</v>
      </c>
      <c r="C64" s="6" t="s">
        <v>459</v>
      </c>
      <c r="D64" s="6" t="s">
        <v>15</v>
      </c>
      <c r="E64" s="6" t="s">
        <v>16</v>
      </c>
      <c r="F64" s="6" t="s">
        <v>17</v>
      </c>
      <c r="G64" s="6" t="s">
        <v>18</v>
      </c>
      <c r="H64" s="6" t="s">
        <v>19</v>
      </c>
      <c r="I64" s="6" t="s">
        <v>20</v>
      </c>
      <c r="J64" s="6" t="s">
        <v>21</v>
      </c>
    </row>
    <row r="65">
      <c r="A65" s="4">
        <v>46212.628948391204</v>
      </c>
      <c r="B65" s="6" t="s">
        <v>135</v>
      </c>
      <c r="C65" s="6" t="s">
        <v>459</v>
      </c>
      <c r="D65" s="6" t="s">
        <v>15</v>
      </c>
      <c r="E65" s="6" t="s">
        <v>16</v>
      </c>
      <c r="F65" s="6" t="s">
        <v>17</v>
      </c>
      <c r="G65" s="6" t="s">
        <v>18</v>
      </c>
      <c r="H65" s="6" t="s">
        <v>19</v>
      </c>
      <c r="I65" s="6" t="s">
        <v>20</v>
      </c>
      <c r="J65" s="6" t="s">
        <v>21</v>
      </c>
    </row>
    <row r="66">
      <c r="A66" s="4">
        <v>46212.62920386574</v>
      </c>
      <c r="B66" s="6" t="s">
        <v>73</v>
      </c>
      <c r="C66" s="6" t="s">
        <v>459</v>
      </c>
      <c r="D66" s="6" t="s">
        <v>15</v>
      </c>
      <c r="E66" s="6" t="s">
        <v>16</v>
      </c>
      <c r="F66" s="6" t="s">
        <v>17</v>
      </c>
      <c r="G66" s="6" t="s">
        <v>18</v>
      </c>
      <c r="H66" s="6" t="s">
        <v>19</v>
      </c>
      <c r="I66" s="6" t="s">
        <v>20</v>
      </c>
      <c r="J66" s="6" t="s">
        <v>21</v>
      </c>
    </row>
    <row r="67">
      <c r="A67" s="4">
        <v>46212.62938881945</v>
      </c>
      <c r="B67" s="6" t="s">
        <v>133</v>
      </c>
      <c r="C67" s="6" t="s">
        <v>459</v>
      </c>
      <c r="D67" s="6" t="s">
        <v>15</v>
      </c>
      <c r="E67" s="6" t="s">
        <v>16</v>
      </c>
      <c r="F67" s="6" t="s">
        <v>17</v>
      </c>
      <c r="G67" s="6" t="s">
        <v>18</v>
      </c>
      <c r="H67" s="6" t="s">
        <v>19</v>
      </c>
      <c r="I67" s="6" t="s">
        <v>20</v>
      </c>
      <c r="J67" s="6" t="s">
        <v>21</v>
      </c>
    </row>
    <row r="68">
      <c r="A68" s="4">
        <v>46212.62959667824</v>
      </c>
      <c r="B68" s="6" t="s">
        <v>162</v>
      </c>
      <c r="C68" s="6" t="s">
        <v>459</v>
      </c>
      <c r="D68" s="6" t="s">
        <v>15</v>
      </c>
      <c r="E68" s="6" t="s">
        <v>16</v>
      </c>
      <c r="F68" s="6" t="s">
        <v>17</v>
      </c>
      <c r="G68" s="6" t="s">
        <v>18</v>
      </c>
      <c r="H68" s="6" t="s">
        <v>19</v>
      </c>
      <c r="I68" s="6" t="s">
        <v>20</v>
      </c>
      <c r="J68" s="6" t="s">
        <v>21</v>
      </c>
    </row>
    <row r="69">
      <c r="A69" s="4">
        <v>46212.62968547454</v>
      </c>
      <c r="B69" s="6" t="s">
        <v>126</v>
      </c>
      <c r="C69" s="6" t="s">
        <v>459</v>
      </c>
      <c r="D69" s="6" t="s">
        <v>15</v>
      </c>
      <c r="E69" s="6" t="s">
        <v>16</v>
      </c>
      <c r="F69" s="6" t="s">
        <v>17</v>
      </c>
      <c r="G69" s="6" t="s">
        <v>18</v>
      </c>
      <c r="H69" s="6" t="s">
        <v>19</v>
      </c>
      <c r="I69" s="6" t="s">
        <v>20</v>
      </c>
      <c r="J69" s="6" t="s">
        <v>21</v>
      </c>
    </row>
    <row r="70">
      <c r="A70" s="4">
        <v>46212.62968844907</v>
      </c>
      <c r="B70" s="6" t="s">
        <v>130</v>
      </c>
      <c r="C70" s="6" t="s">
        <v>459</v>
      </c>
      <c r="D70" s="6" t="s">
        <v>15</v>
      </c>
      <c r="E70" s="6" t="s">
        <v>16</v>
      </c>
      <c r="F70" s="6" t="s">
        <v>17</v>
      </c>
      <c r="G70" s="6" t="s">
        <v>18</v>
      </c>
      <c r="H70" s="6" t="s">
        <v>19</v>
      </c>
      <c r="I70" s="6" t="s">
        <v>20</v>
      </c>
      <c r="J70" s="6" t="s">
        <v>21</v>
      </c>
      <c r="K70" s="6" t="s">
        <v>468</v>
      </c>
    </row>
    <row r="71">
      <c r="A71" s="4">
        <v>46212.62989476851</v>
      </c>
      <c r="B71" s="6" t="s">
        <v>68</v>
      </c>
      <c r="C71" s="6" t="s">
        <v>459</v>
      </c>
      <c r="D71" s="6" t="s">
        <v>15</v>
      </c>
      <c r="E71" s="6" t="s">
        <v>16</v>
      </c>
      <c r="F71" s="6" t="s">
        <v>17</v>
      </c>
      <c r="G71" s="6" t="s">
        <v>18</v>
      </c>
      <c r="H71" s="6" t="s">
        <v>19</v>
      </c>
      <c r="I71" s="6" t="s">
        <v>20</v>
      </c>
      <c r="J71" s="6" t="s">
        <v>21</v>
      </c>
    </row>
    <row r="72">
      <c r="A72" s="4">
        <v>46212.63011571759</v>
      </c>
      <c r="B72" s="6" t="s">
        <v>89</v>
      </c>
      <c r="C72" s="6" t="s">
        <v>459</v>
      </c>
      <c r="D72" s="6" t="s">
        <v>15</v>
      </c>
      <c r="E72" s="6" t="s">
        <v>16</v>
      </c>
      <c r="F72" s="6" t="s">
        <v>17</v>
      </c>
      <c r="G72" s="6" t="s">
        <v>18</v>
      </c>
      <c r="H72" s="6" t="s">
        <v>19</v>
      </c>
      <c r="I72" s="6" t="s">
        <v>20</v>
      </c>
      <c r="J72" s="6" t="s">
        <v>21</v>
      </c>
      <c r="K72" s="6" t="s">
        <v>29</v>
      </c>
    </row>
    <row r="73">
      <c r="A73" s="4">
        <v>46212.632114039356</v>
      </c>
      <c r="B73" s="6" t="s">
        <v>150</v>
      </c>
      <c r="C73" s="6" t="s">
        <v>459</v>
      </c>
      <c r="D73" s="6" t="s">
        <v>15</v>
      </c>
      <c r="E73" s="6" t="s">
        <v>16</v>
      </c>
      <c r="F73" s="6" t="s">
        <v>17</v>
      </c>
      <c r="G73" s="6" t="s">
        <v>18</v>
      </c>
      <c r="H73" s="6" t="s">
        <v>19</v>
      </c>
      <c r="I73" s="6" t="s">
        <v>20</v>
      </c>
      <c r="J73" s="6" t="s">
        <v>21</v>
      </c>
    </row>
    <row r="74">
      <c r="A74" s="4">
        <v>46212.63439662037</v>
      </c>
      <c r="B74" s="6" t="s">
        <v>113</v>
      </c>
      <c r="C74" s="6" t="s">
        <v>459</v>
      </c>
      <c r="D74" s="6" t="s">
        <v>15</v>
      </c>
      <c r="E74" s="6" t="s">
        <v>16</v>
      </c>
      <c r="F74" s="6" t="s">
        <v>17</v>
      </c>
      <c r="G74" s="6" t="s">
        <v>18</v>
      </c>
      <c r="H74" s="6" t="s">
        <v>19</v>
      </c>
      <c r="I74" s="6" t="s">
        <v>20</v>
      </c>
      <c r="J74" s="6" t="s">
        <v>21</v>
      </c>
    </row>
    <row r="75">
      <c r="A75" s="4">
        <v>46212.634912141206</v>
      </c>
      <c r="B75" s="6" t="s">
        <v>169</v>
      </c>
      <c r="C75" s="6" t="s">
        <v>463</v>
      </c>
      <c r="D75" s="6" t="s">
        <v>15</v>
      </c>
      <c r="E75" s="6" t="s">
        <v>16</v>
      </c>
      <c r="F75" s="6" t="s">
        <v>17</v>
      </c>
      <c r="G75" s="6" t="s">
        <v>18</v>
      </c>
      <c r="H75" s="6" t="s">
        <v>19</v>
      </c>
      <c r="I75" s="6" t="s">
        <v>20</v>
      </c>
      <c r="J75" s="6" t="s">
        <v>21</v>
      </c>
    </row>
    <row r="76">
      <c r="A76" s="4">
        <v>46212.712115937495</v>
      </c>
      <c r="B76" s="6" t="s">
        <v>70</v>
      </c>
      <c r="C76" s="6" t="s">
        <v>459</v>
      </c>
      <c r="D76" s="6" t="s">
        <v>15</v>
      </c>
      <c r="E76" s="6" t="s">
        <v>16</v>
      </c>
      <c r="F76" s="6" t="s">
        <v>17</v>
      </c>
      <c r="G76" s="6" t="s">
        <v>18</v>
      </c>
      <c r="H76" s="6" t="s">
        <v>19</v>
      </c>
      <c r="I76" s="6" t="s">
        <v>20</v>
      </c>
      <c r="J76" s="6" t="s">
        <v>21</v>
      </c>
    </row>
    <row r="77">
      <c r="A77" s="4">
        <v>46212.83676023148</v>
      </c>
      <c r="B77" s="6" t="s">
        <v>155</v>
      </c>
      <c r="C77" s="6" t="s">
        <v>459</v>
      </c>
      <c r="D77" s="6" t="s">
        <v>15</v>
      </c>
      <c r="E77" s="6" t="s">
        <v>16</v>
      </c>
      <c r="F77" s="6" t="s">
        <v>17</v>
      </c>
      <c r="G77" s="6" t="s">
        <v>18</v>
      </c>
      <c r="H77" s="6" t="s">
        <v>19</v>
      </c>
      <c r="I77" s="6" t="s">
        <v>20</v>
      </c>
      <c r="J77" s="6" t="s">
        <v>21</v>
      </c>
    </row>
    <row r="78">
      <c r="A78" s="4">
        <v>46213.409482372685</v>
      </c>
      <c r="B78" s="6" t="s">
        <v>171</v>
      </c>
      <c r="C78" s="6" t="s">
        <v>459</v>
      </c>
      <c r="D78" s="6" t="s">
        <v>15</v>
      </c>
      <c r="E78" s="6" t="s">
        <v>16</v>
      </c>
      <c r="F78" s="6" t="s">
        <v>17</v>
      </c>
      <c r="G78" s="6" t="s">
        <v>18</v>
      </c>
      <c r="H78" s="6" t="s">
        <v>19</v>
      </c>
      <c r="I78" s="6" t="s">
        <v>20</v>
      </c>
      <c r="J78" s="6" t="s">
        <v>21</v>
      </c>
    </row>
    <row r="79">
      <c r="A79" s="4">
        <v>46213.455499097225</v>
      </c>
      <c r="B79" s="6" t="s">
        <v>114</v>
      </c>
      <c r="C79" s="6" t="s">
        <v>465</v>
      </c>
      <c r="D79" s="6" t="s">
        <v>15</v>
      </c>
      <c r="E79" s="6" t="s">
        <v>16</v>
      </c>
      <c r="F79" s="6" t="s">
        <v>17</v>
      </c>
      <c r="G79" s="6" t="s">
        <v>18</v>
      </c>
      <c r="H79" s="6" t="s">
        <v>19</v>
      </c>
      <c r="I79" s="6" t="s">
        <v>20</v>
      </c>
      <c r="J79" s="6" t="s">
        <v>21</v>
      </c>
    </row>
    <row r="80">
      <c r="A80" s="4">
        <v>46213.458381516204</v>
      </c>
      <c r="B80" s="6" t="s">
        <v>172</v>
      </c>
      <c r="C80" s="6" t="s">
        <v>459</v>
      </c>
      <c r="D80" s="6" t="s">
        <v>15</v>
      </c>
      <c r="E80" s="6" t="s">
        <v>16</v>
      </c>
      <c r="F80" s="6" t="s">
        <v>17</v>
      </c>
      <c r="G80" s="6" t="s">
        <v>18</v>
      </c>
      <c r="H80" s="6" t="s">
        <v>19</v>
      </c>
      <c r="I80" s="6" t="s">
        <v>20</v>
      </c>
      <c r="J80" s="6" t="s">
        <v>21</v>
      </c>
      <c r="K80" s="6" t="s">
        <v>115</v>
      </c>
    </row>
    <row r="81">
      <c r="A81" s="4">
        <v>46213.45993644676</v>
      </c>
      <c r="B81" s="6" t="s">
        <v>134</v>
      </c>
      <c r="C81" s="6" t="s">
        <v>459</v>
      </c>
      <c r="D81" s="6" t="s">
        <v>15</v>
      </c>
      <c r="E81" s="6" t="s">
        <v>16</v>
      </c>
      <c r="F81" s="6" t="s">
        <v>17</v>
      </c>
      <c r="G81" s="6" t="s">
        <v>18</v>
      </c>
      <c r="H81" s="6" t="s">
        <v>19</v>
      </c>
      <c r="I81" s="6" t="s">
        <v>20</v>
      </c>
      <c r="J81" s="6" t="s">
        <v>21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4" max="4" width="2.13"/>
    <col customWidth="1" min="14" max="14" width="24.5"/>
  </cols>
  <sheetData>
    <row r="1">
      <c r="A1" s="2" t="s">
        <v>0</v>
      </c>
      <c r="B1" s="2" t="s">
        <v>1</v>
      </c>
      <c r="C1" s="3" t="s">
        <v>2</v>
      </c>
      <c r="D1" s="5"/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3" t="s">
        <v>9</v>
      </c>
      <c r="L1" s="2"/>
      <c r="M1" s="7" t="s">
        <v>24</v>
      </c>
    </row>
    <row r="2">
      <c r="A2" s="8">
        <f>'2.1'!A:A</f>
        <v>46181.52549</v>
      </c>
      <c r="B2" s="2" t="str">
        <f>'2.1'!B:B</f>
        <v>bnco0910@signalschool.ac.th</v>
      </c>
      <c r="C2" s="2" t="str">
        <f>'2.1'!C:C</f>
        <v>พ.ต. ไมตรี  บุญเหลื่อม</v>
      </c>
      <c r="D2" s="9">
        <v>1.0</v>
      </c>
      <c r="E2" s="10">
        <f>IFERROR(vlookup('2.1'!D:D,lookup!$A$2:$B$4,2,false),0)</f>
        <v>5</v>
      </c>
      <c r="F2" s="10">
        <f>IFERROR(vlookup('2.1'!E:E,lookup!$A$6:$B$8,2,false),0)</f>
        <v>5</v>
      </c>
      <c r="G2" s="10">
        <f>IFERROR(vlookup('2.1'!F:F,lookup!$A$10:$B$12,2,false),0)</f>
        <v>5</v>
      </c>
      <c r="H2" s="10">
        <f>IFERROR(vlookup('2.1'!G:G,lookup!$A$14:$B$16,2,false),0)</f>
        <v>5</v>
      </c>
      <c r="I2" s="10">
        <f>IFERROR(vlookup('2.1'!H:H,lookup!$A$18:$B$20,2,false),0)</f>
        <v>5</v>
      </c>
      <c r="J2" s="10">
        <f>IFERROR(vlookup('2.1'!I:I,lookup!$A$22:$B$24,2,false),0)</f>
        <v>5</v>
      </c>
      <c r="K2" s="10">
        <f>IFERROR(vlookup('2.1'!J:J,lookup!$A$26:$B$28,2,false),0)</f>
        <v>5</v>
      </c>
      <c r="L2" s="2"/>
      <c r="M2" s="10">
        <v>1.0</v>
      </c>
      <c r="N2" s="11" t="str">
        <f t="shared" ref="N2:N81" si="1">CONCAT(R2,"@signalschool.ac.th")</f>
        <v>bnco0901@signalschool.ac.th</v>
      </c>
      <c r="O2" s="12">
        <f t="shared" ref="O2:O81" si="2">IFERROR(VLOOKUP(N2,B$2:D$81,3,FALSE),0)</f>
        <v>1</v>
      </c>
      <c r="R2" s="17" t="s">
        <v>116</v>
      </c>
    </row>
    <row r="3">
      <c r="A3" s="8">
        <f>'2.1'!A:A</f>
        <v>46189.44051</v>
      </c>
      <c r="B3" s="2" t="str">
        <f>'2.1'!B:B</f>
        <v>bnco0940@signalschool.ac.th</v>
      </c>
      <c r="C3" s="2" t="str">
        <f>'2.1'!C:C</f>
        <v>พ.ต.ไมตรี บุญเหลื่อม</v>
      </c>
      <c r="D3" s="9">
        <v>1.0</v>
      </c>
      <c r="E3" s="10">
        <f>IFERROR(vlookup('2.1'!D:D,lookup!$A$2:$B$4,2,false),0)</f>
        <v>5</v>
      </c>
      <c r="F3" s="10">
        <f>IFERROR(vlookup('2.1'!E:E,lookup!$A$6:$B$8,2,false),0)</f>
        <v>5</v>
      </c>
      <c r="G3" s="10">
        <f>IFERROR(vlookup('2.1'!F:F,lookup!$A$10:$B$12,2,false),0)</f>
        <v>5</v>
      </c>
      <c r="H3" s="10">
        <f>IFERROR(vlookup('2.1'!G:G,lookup!$A$14:$B$16,2,false),0)</f>
        <v>5</v>
      </c>
      <c r="I3" s="10">
        <f>IFERROR(vlookup('2.1'!H:H,lookup!$A$18:$B$20,2,false),0)</f>
        <v>5</v>
      </c>
      <c r="J3" s="10">
        <f>IFERROR(vlookup('2.1'!I:I,lookup!$A$22:$B$24,2,false),0)</f>
        <v>5</v>
      </c>
      <c r="K3" s="10">
        <f>IFERROR(vlookup('2.1'!J:J,lookup!$A$26:$B$28,2,false),0)</f>
        <v>5</v>
      </c>
      <c r="L3" s="2"/>
      <c r="M3" s="10">
        <v>2.0</v>
      </c>
      <c r="N3" s="11" t="str">
        <f t="shared" si="1"/>
        <v>bnco0902@signalschool.ac.th</v>
      </c>
      <c r="O3" s="12">
        <f t="shared" si="2"/>
        <v>1</v>
      </c>
      <c r="R3" s="17" t="s">
        <v>157</v>
      </c>
    </row>
    <row r="4">
      <c r="A4" s="8">
        <f>'2.1'!A:A</f>
        <v>46195.35809</v>
      </c>
      <c r="B4" s="2" t="str">
        <f>'2.1'!B:B</f>
        <v>bnco0980@signalschool.ac.th</v>
      </c>
      <c r="C4" s="2" t="str">
        <f>'2.1'!C:C</f>
        <v>พ.ต.ไมตรี  บุญเหลื่อม</v>
      </c>
      <c r="D4" s="9">
        <v>1.0</v>
      </c>
      <c r="E4" s="10">
        <f>IFERROR(vlookup('2.1'!D:D,lookup!$A$2:$B$4,2,false),0)</f>
        <v>5</v>
      </c>
      <c r="F4" s="10">
        <f>IFERROR(vlookup('2.1'!E:E,lookup!$A$6:$B$8,2,false),0)</f>
        <v>5</v>
      </c>
      <c r="G4" s="10">
        <f>IFERROR(vlookup('2.1'!F:F,lookup!$A$10:$B$12,2,false),0)</f>
        <v>5</v>
      </c>
      <c r="H4" s="10">
        <f>IFERROR(vlookup('2.1'!G:G,lookup!$A$14:$B$16,2,false),0)</f>
        <v>5</v>
      </c>
      <c r="I4" s="10">
        <f>IFERROR(vlookup('2.1'!H:H,lookup!$A$18:$B$20,2,false),0)</f>
        <v>5</v>
      </c>
      <c r="J4" s="10">
        <f>IFERROR(vlookup('2.1'!I:I,lookup!$A$22:$B$24,2,false),0)</f>
        <v>3</v>
      </c>
      <c r="K4" s="10">
        <f>IFERROR(vlookup('2.1'!J:J,lookup!$A$26:$B$28,2,false),0)</f>
        <v>3</v>
      </c>
      <c r="L4" s="2"/>
      <c r="M4" s="10">
        <v>3.0</v>
      </c>
      <c r="N4" s="11" t="str">
        <f t="shared" si="1"/>
        <v>bnco0903@signalschool.ac.th</v>
      </c>
      <c r="O4" s="12">
        <f t="shared" si="2"/>
        <v>1</v>
      </c>
      <c r="R4" s="17" t="s">
        <v>182</v>
      </c>
    </row>
    <row r="5">
      <c r="A5" s="8">
        <f>'2.1'!A:A</f>
        <v>46204.35824</v>
      </c>
      <c r="B5" s="2" t="str">
        <f>'2.1'!B:B</f>
        <v>bnco0950@signalschool.ac.th</v>
      </c>
      <c r="C5" s="2" t="str">
        <f>'2.1'!C:C</f>
        <v>พ.ต.ไมตรี บุญเหลี่ยม</v>
      </c>
      <c r="D5" s="9">
        <v>1.0</v>
      </c>
      <c r="E5" s="10">
        <f>IFERROR(vlookup('2.1'!D:D,lookup!$A$2:$B$4,2,false),0)</f>
        <v>5</v>
      </c>
      <c r="F5" s="10">
        <f>IFERROR(vlookup('2.1'!E:E,lookup!$A$6:$B$8,2,false),0)</f>
        <v>5</v>
      </c>
      <c r="G5" s="10">
        <f>IFERROR(vlookup('2.1'!F:F,lookup!$A$10:$B$12,2,false),0)</f>
        <v>5</v>
      </c>
      <c r="H5" s="10">
        <f>IFERROR(vlookup('2.1'!G:G,lookup!$A$14:$B$16,2,false),0)</f>
        <v>5</v>
      </c>
      <c r="I5" s="10">
        <f>IFERROR(vlookup('2.1'!H:H,lookup!$A$18:$B$20,2,false),0)</f>
        <v>5</v>
      </c>
      <c r="J5" s="10">
        <f>IFERROR(vlookup('2.1'!I:I,lookup!$A$22:$B$24,2,false),0)</f>
        <v>5</v>
      </c>
      <c r="K5" s="10">
        <f>IFERROR(vlookup('2.1'!J:J,lookup!$A$26:$B$28,2,false),0)</f>
        <v>5</v>
      </c>
      <c r="L5" s="2"/>
      <c r="M5" s="10">
        <v>4.0</v>
      </c>
      <c r="N5" s="11" t="str">
        <f t="shared" si="1"/>
        <v>bnco0904@signalschool.ac.th</v>
      </c>
      <c r="O5" s="12">
        <f t="shared" si="2"/>
        <v>1</v>
      </c>
      <c r="R5" s="17" t="s">
        <v>193</v>
      </c>
    </row>
    <row r="6">
      <c r="A6" s="8">
        <f>'2.1'!A:A</f>
        <v>46204.46404</v>
      </c>
      <c r="B6" s="2" t="str">
        <f>'2.1'!B:B</f>
        <v>bnco0951@signalschool.ac.th</v>
      </c>
      <c r="C6" s="2" t="str">
        <f>'2.1'!C:C</f>
        <v>พ.ต.ไมตรี บุญเหลี่ยม</v>
      </c>
      <c r="D6" s="9">
        <v>1.0</v>
      </c>
      <c r="E6" s="10">
        <f>IFERROR(vlookup('2.1'!D:D,lookup!$A$2:$B$4,2,false),0)</f>
        <v>5</v>
      </c>
      <c r="F6" s="10">
        <f>IFERROR(vlookup('2.1'!E:E,lookup!$A$6:$B$8,2,false),0)</f>
        <v>5</v>
      </c>
      <c r="G6" s="10">
        <f>IFERROR(vlookup('2.1'!F:F,lookup!$A$10:$B$12,2,false),0)</f>
        <v>5</v>
      </c>
      <c r="H6" s="10">
        <f>IFERROR(vlookup('2.1'!G:G,lookup!$A$14:$B$16,2,false),0)</f>
        <v>5</v>
      </c>
      <c r="I6" s="10">
        <f>IFERROR(vlookup('2.1'!H:H,lookup!$A$18:$B$20,2,false),0)</f>
        <v>5</v>
      </c>
      <c r="J6" s="10">
        <f>IFERROR(vlookup('2.1'!I:I,lookup!$A$22:$B$24,2,false),0)</f>
        <v>5</v>
      </c>
      <c r="K6" s="10">
        <f>IFERROR(vlookup('2.1'!J:J,lookup!$A$26:$B$28,2,false),0)</f>
        <v>5</v>
      </c>
      <c r="L6" s="2"/>
      <c r="M6" s="10">
        <v>5.0</v>
      </c>
      <c r="N6" s="11" t="str">
        <f t="shared" si="1"/>
        <v>bnco0905@signalschool.ac.th</v>
      </c>
      <c r="O6" s="12">
        <f t="shared" si="2"/>
        <v>1</v>
      </c>
      <c r="R6" s="17" t="s">
        <v>197</v>
      </c>
    </row>
    <row r="7">
      <c r="A7" s="8">
        <f>'2.1'!A:A</f>
        <v>46206.60018</v>
      </c>
      <c r="B7" s="2" t="str">
        <f>'2.1'!B:B</f>
        <v>bnco0920@signalschool.ac.th</v>
      </c>
      <c r="C7" s="2" t="str">
        <f>'2.1'!C:C</f>
        <v>พ.ต.ไมตรี บุญเหลื่อม</v>
      </c>
      <c r="D7" s="9">
        <v>1.0</v>
      </c>
      <c r="E7" s="10">
        <f>IFERROR(vlookup('2.1'!D:D,lookup!$A$2:$B$4,2,false),0)</f>
        <v>5</v>
      </c>
      <c r="F7" s="10">
        <f>IFERROR(vlookup('2.1'!E:E,lookup!$A$6:$B$8,2,false),0)</f>
        <v>5</v>
      </c>
      <c r="G7" s="10">
        <f>IFERROR(vlookup('2.1'!F:F,lookup!$A$10:$B$12,2,false),0)</f>
        <v>5</v>
      </c>
      <c r="H7" s="10">
        <f>IFERROR(vlookup('2.1'!G:G,lookup!$A$14:$B$16,2,false),0)</f>
        <v>5</v>
      </c>
      <c r="I7" s="10">
        <f>IFERROR(vlookup('2.1'!H:H,lookup!$A$18:$B$20,2,false),0)</f>
        <v>5</v>
      </c>
      <c r="J7" s="10">
        <f>IFERROR(vlookup('2.1'!I:I,lookup!$A$22:$B$24,2,false),0)</f>
        <v>5</v>
      </c>
      <c r="K7" s="10">
        <f>IFERROR(vlookup('2.1'!J:J,lookup!$A$26:$B$28,2,false),0)</f>
        <v>5</v>
      </c>
      <c r="L7" s="2"/>
      <c r="M7" s="10">
        <v>6.0</v>
      </c>
      <c r="N7" s="11" t="str">
        <f t="shared" si="1"/>
        <v>bnco0906@signalschool.ac.th</v>
      </c>
      <c r="O7" s="12">
        <f t="shared" si="2"/>
        <v>1</v>
      </c>
      <c r="R7" s="17" t="s">
        <v>203</v>
      </c>
    </row>
    <row r="8">
      <c r="A8" s="8">
        <f>'2.1'!A:A</f>
        <v>46212.58962</v>
      </c>
      <c r="B8" s="2" t="str">
        <f>'2.1'!B:B</f>
        <v>bnco0906@signalschool.ac.th</v>
      </c>
      <c r="C8" s="2" t="str">
        <f>'2.1'!C:C</f>
        <v>พ.ต.ไมตรี บุญเหลื่อม</v>
      </c>
      <c r="D8" s="9">
        <v>1.0</v>
      </c>
      <c r="E8" s="10">
        <f>IFERROR(vlookup('2.1'!D:D,lookup!$A$2:$B$4,2,false),0)</f>
        <v>3</v>
      </c>
      <c r="F8" s="10">
        <f>IFERROR(vlookup('2.1'!E:E,lookup!$A$6:$B$8,2,false),0)</f>
        <v>3</v>
      </c>
      <c r="G8" s="10">
        <f>IFERROR(vlookup('2.1'!F:F,lookup!$A$10:$B$12,2,false),0)</f>
        <v>3</v>
      </c>
      <c r="H8" s="10">
        <f>IFERROR(vlookup('2.1'!G:G,lookup!$A$14:$B$16,2,false),0)</f>
        <v>3</v>
      </c>
      <c r="I8" s="10">
        <f>IFERROR(vlookup('2.1'!H:H,lookup!$A$18:$B$20,2,false),0)</f>
        <v>3</v>
      </c>
      <c r="J8" s="10">
        <f>IFERROR(vlookup('2.1'!I:I,lookup!$A$22:$B$24,2,false),0)</f>
        <v>3</v>
      </c>
      <c r="K8" s="10">
        <f>IFERROR(vlookup('2.1'!J:J,lookup!$A$26:$B$28,2,false),0)</f>
        <v>3</v>
      </c>
      <c r="L8" s="2"/>
      <c r="M8" s="10">
        <v>7.0</v>
      </c>
      <c r="N8" s="11" t="str">
        <f t="shared" si="1"/>
        <v>bnco0907@signalschool.ac.th</v>
      </c>
      <c r="O8" s="12">
        <f t="shared" si="2"/>
        <v>1</v>
      </c>
      <c r="R8" s="17" t="s">
        <v>206</v>
      </c>
    </row>
    <row r="9">
      <c r="A9" s="8">
        <f>'2.1'!A:A</f>
        <v>46212.61916</v>
      </c>
      <c r="B9" s="2" t="str">
        <f>'2.1'!B:B</f>
        <v>bnco0955@signalschool.ac.th</v>
      </c>
      <c r="C9" s="2" t="str">
        <f>'2.1'!C:C</f>
        <v>อาจารย์ประจำวิชาการรักษาความปลอดภัย</v>
      </c>
      <c r="D9" s="9">
        <v>1.0</v>
      </c>
      <c r="E9" s="10">
        <f>IFERROR(vlookup('2.1'!D:D,lookup!$A$2:$B$4,2,false),0)</f>
        <v>5</v>
      </c>
      <c r="F9" s="10">
        <f>IFERROR(vlookup('2.1'!E:E,lookup!$A$6:$B$8,2,false),0)</f>
        <v>5</v>
      </c>
      <c r="G9" s="10">
        <f>IFERROR(vlookup('2.1'!F:F,lookup!$A$10:$B$12,2,false),0)</f>
        <v>5</v>
      </c>
      <c r="H9" s="10">
        <f>IFERROR(vlookup('2.1'!G:G,lookup!$A$14:$B$16,2,false),0)</f>
        <v>5</v>
      </c>
      <c r="I9" s="10">
        <f>IFERROR(vlookup('2.1'!H:H,lookup!$A$18:$B$20,2,false),0)</f>
        <v>5</v>
      </c>
      <c r="J9" s="10">
        <f>IFERROR(vlookup('2.1'!I:I,lookup!$A$22:$B$24,2,false),0)</f>
        <v>5</v>
      </c>
      <c r="K9" s="10">
        <f>IFERROR(vlookup('2.1'!J:J,lookup!$A$26:$B$28,2,false),0)</f>
        <v>5</v>
      </c>
      <c r="L9" s="2"/>
      <c r="M9" s="10">
        <v>8.0</v>
      </c>
      <c r="N9" s="11" t="str">
        <f t="shared" si="1"/>
        <v>bnco0908@signalschool.ac.th</v>
      </c>
      <c r="O9" s="12">
        <f t="shared" si="2"/>
        <v>1</v>
      </c>
      <c r="R9" s="17" t="s">
        <v>211</v>
      </c>
    </row>
    <row r="10">
      <c r="A10" s="8">
        <f>'2.1'!A:A</f>
        <v>46212.62026</v>
      </c>
      <c r="B10" s="2" t="str">
        <f>'2.1'!B:B</f>
        <v>bnco0958@signalschool.ac.th</v>
      </c>
      <c r="C10" s="2" t="str">
        <f>'2.1'!C:C</f>
        <v>พ.ต.ไมตรี บุญเหลื่อม</v>
      </c>
      <c r="D10" s="9">
        <v>1.0</v>
      </c>
      <c r="E10" s="10">
        <f>IFERROR(vlookup('2.1'!D:D,lookup!$A$2:$B$4,2,false),0)</f>
        <v>5</v>
      </c>
      <c r="F10" s="10">
        <f>IFERROR(vlookup('2.1'!E:E,lookup!$A$6:$B$8,2,false),0)</f>
        <v>5</v>
      </c>
      <c r="G10" s="10">
        <f>IFERROR(vlookup('2.1'!F:F,lookup!$A$10:$B$12,2,false),0)</f>
        <v>5</v>
      </c>
      <c r="H10" s="10">
        <f>IFERROR(vlookup('2.1'!G:G,lookup!$A$14:$B$16,2,false),0)</f>
        <v>5</v>
      </c>
      <c r="I10" s="10">
        <f>IFERROR(vlookup('2.1'!H:H,lookup!$A$18:$B$20,2,false),0)</f>
        <v>5</v>
      </c>
      <c r="J10" s="10">
        <f>IFERROR(vlookup('2.1'!I:I,lookup!$A$22:$B$24,2,false),0)</f>
        <v>5</v>
      </c>
      <c r="K10" s="10">
        <f>IFERROR(vlookup('2.1'!J:J,lookup!$A$26:$B$28,2,false),0)</f>
        <v>5</v>
      </c>
      <c r="L10" s="2"/>
      <c r="M10" s="10">
        <v>9.0</v>
      </c>
      <c r="N10" s="11" t="str">
        <f t="shared" si="1"/>
        <v>bnco0909@signalschool.ac.th</v>
      </c>
      <c r="O10" s="12">
        <f t="shared" si="2"/>
        <v>1</v>
      </c>
      <c r="R10" s="17" t="s">
        <v>212</v>
      </c>
    </row>
    <row r="11">
      <c r="A11" s="8">
        <f>'2.1'!A:A</f>
        <v>46212.6204</v>
      </c>
      <c r="B11" s="2" t="str">
        <f>'2.1'!B:B</f>
        <v>bnco0932@signalschool.ac.th</v>
      </c>
      <c r="C11" s="2" t="str">
        <f>'2.1'!C:C</f>
        <v>พ.ต.ไมตรี บุญเหลือม</v>
      </c>
      <c r="D11" s="9">
        <v>1.0</v>
      </c>
      <c r="E11" s="10">
        <f>IFERROR(vlookup('2.1'!D:D,lookup!$A$2:$B$4,2,false),0)</f>
        <v>5</v>
      </c>
      <c r="F11" s="10">
        <f>IFERROR(vlookup('2.1'!E:E,lookup!$A$6:$B$8,2,false),0)</f>
        <v>5</v>
      </c>
      <c r="G11" s="10">
        <f>IFERROR(vlookup('2.1'!F:F,lookup!$A$10:$B$12,2,false),0)</f>
        <v>5</v>
      </c>
      <c r="H11" s="10">
        <f>IFERROR(vlookup('2.1'!G:G,lookup!$A$14:$B$16,2,false),0)</f>
        <v>5</v>
      </c>
      <c r="I11" s="10">
        <f>IFERROR(vlookup('2.1'!H:H,lookup!$A$18:$B$20,2,false),0)</f>
        <v>5</v>
      </c>
      <c r="J11" s="10">
        <f>IFERROR(vlookup('2.1'!I:I,lookup!$A$22:$B$24,2,false),0)</f>
        <v>5</v>
      </c>
      <c r="K11" s="10">
        <f>IFERROR(vlookup('2.1'!J:J,lookup!$A$26:$B$28,2,false),0)</f>
        <v>5</v>
      </c>
      <c r="L11" s="2"/>
      <c r="M11" s="10">
        <v>10.0</v>
      </c>
      <c r="N11" s="11" t="str">
        <f t="shared" si="1"/>
        <v>bnco0910@signalschool.ac.th</v>
      </c>
      <c r="O11" s="12">
        <f t="shared" si="2"/>
        <v>1</v>
      </c>
      <c r="R11" s="17" t="s">
        <v>213</v>
      </c>
    </row>
    <row r="12">
      <c r="A12" s="8">
        <f>'2.1'!A:A</f>
        <v>46212.62103</v>
      </c>
      <c r="B12" s="2" t="str">
        <f>'2.1'!B:B</f>
        <v>bnco0962@signalschool.ac.th</v>
      </c>
      <c r="C12" s="2" t="str">
        <f>'2.1'!C:C</f>
        <v>พ.ต.ไมตรี   บุญเหลื่อม</v>
      </c>
      <c r="D12" s="9">
        <v>1.0</v>
      </c>
      <c r="E12" s="10">
        <f>IFERROR(vlookup('2.1'!D:D,lookup!$A$2:$B$4,2,false),0)</f>
        <v>5</v>
      </c>
      <c r="F12" s="10">
        <f>IFERROR(vlookup('2.1'!E:E,lookup!$A$6:$B$8,2,false),0)</f>
        <v>5</v>
      </c>
      <c r="G12" s="10">
        <f>IFERROR(vlookup('2.1'!F:F,lookup!$A$10:$B$12,2,false),0)</f>
        <v>5</v>
      </c>
      <c r="H12" s="10">
        <f>IFERROR(vlookup('2.1'!G:G,lookup!$A$14:$B$16,2,false),0)</f>
        <v>5</v>
      </c>
      <c r="I12" s="10">
        <f>IFERROR(vlookup('2.1'!H:H,lookup!$A$18:$B$20,2,false),0)</f>
        <v>5</v>
      </c>
      <c r="J12" s="10">
        <f>IFERROR(vlookup('2.1'!I:I,lookup!$A$22:$B$24,2,false),0)</f>
        <v>5</v>
      </c>
      <c r="K12" s="10">
        <f>IFERROR(vlookup('2.1'!J:J,lookup!$A$26:$B$28,2,false),0)</f>
        <v>5</v>
      </c>
      <c r="L12" s="2"/>
      <c r="M12" s="10">
        <v>11.0</v>
      </c>
      <c r="N12" s="11" t="str">
        <f t="shared" si="1"/>
        <v>bnco0911@signalschool.ac.th</v>
      </c>
      <c r="O12" s="12">
        <f t="shared" si="2"/>
        <v>1</v>
      </c>
      <c r="R12" s="17" t="s">
        <v>214</v>
      </c>
    </row>
    <row r="13">
      <c r="A13" s="8">
        <f>'2.1'!A:A</f>
        <v>46212.62257</v>
      </c>
      <c r="B13" s="2" t="str">
        <f>'2.1'!B:B</f>
        <v>bnco0924@signalschool.ac.th</v>
      </c>
      <c r="C13" s="2" t="str">
        <f>'2.1'!C:C</f>
        <v>พ.ต.ไมตรี บุญเหลื่อม</v>
      </c>
      <c r="D13" s="9">
        <v>1.0</v>
      </c>
      <c r="E13" s="10">
        <f>IFERROR(vlookup('2.1'!D:D,lookup!$A$2:$B$4,2,false),0)</f>
        <v>5</v>
      </c>
      <c r="F13" s="10">
        <f>IFERROR(vlookup('2.1'!E:E,lookup!$A$6:$B$8,2,false),0)</f>
        <v>5</v>
      </c>
      <c r="G13" s="10">
        <f>IFERROR(vlookup('2.1'!F:F,lookup!$A$10:$B$12,2,false),0)</f>
        <v>5</v>
      </c>
      <c r="H13" s="10">
        <f>IFERROR(vlookup('2.1'!G:G,lookup!$A$14:$B$16,2,false),0)</f>
        <v>5</v>
      </c>
      <c r="I13" s="10">
        <f>IFERROR(vlookup('2.1'!H:H,lookup!$A$18:$B$20,2,false),0)</f>
        <v>5</v>
      </c>
      <c r="J13" s="10">
        <f>IFERROR(vlookup('2.1'!I:I,lookup!$A$22:$B$24,2,false),0)</f>
        <v>5</v>
      </c>
      <c r="K13" s="10">
        <f>IFERROR(vlookup('2.1'!J:J,lookup!$A$26:$B$28,2,false),0)</f>
        <v>5</v>
      </c>
      <c r="L13" s="2"/>
      <c r="M13" s="10">
        <v>12.0</v>
      </c>
      <c r="N13" s="11" t="str">
        <f t="shared" si="1"/>
        <v>bnco0912@signalschool.ac.th</v>
      </c>
      <c r="O13" s="12">
        <f t="shared" si="2"/>
        <v>1</v>
      </c>
      <c r="R13" s="17" t="s">
        <v>222</v>
      </c>
    </row>
    <row r="14">
      <c r="A14" s="8">
        <f>'2.1'!A:A</f>
        <v>46212.62267</v>
      </c>
      <c r="B14" s="2" t="str">
        <f>'2.1'!B:B</f>
        <v>bnco0971@signalschool.ac.th</v>
      </c>
      <c r="C14" s="2" t="str">
        <f>'2.1'!C:C</f>
        <v>พ.ต.ไมตรี บุญเหลื่อม</v>
      </c>
      <c r="D14" s="9">
        <v>1.0</v>
      </c>
      <c r="E14" s="10">
        <f>IFERROR(vlookup('2.1'!D:D,lookup!$A$2:$B$4,2,false),0)</f>
        <v>5</v>
      </c>
      <c r="F14" s="10">
        <f>IFERROR(vlookup('2.1'!E:E,lookup!$A$6:$B$8,2,false),0)</f>
        <v>5</v>
      </c>
      <c r="G14" s="10">
        <f>IFERROR(vlookup('2.1'!F:F,lookup!$A$10:$B$12,2,false),0)</f>
        <v>5</v>
      </c>
      <c r="H14" s="10">
        <f>IFERROR(vlookup('2.1'!G:G,lookup!$A$14:$B$16,2,false),0)</f>
        <v>5</v>
      </c>
      <c r="I14" s="10">
        <f>IFERROR(vlookup('2.1'!H:H,lookup!$A$18:$B$20,2,false),0)</f>
        <v>5</v>
      </c>
      <c r="J14" s="10">
        <f>IFERROR(vlookup('2.1'!I:I,lookup!$A$22:$B$24,2,false),0)</f>
        <v>5</v>
      </c>
      <c r="K14" s="10">
        <f>IFERROR(vlookup('2.1'!J:J,lookup!$A$26:$B$28,2,false),0)</f>
        <v>5</v>
      </c>
      <c r="L14" s="2"/>
      <c r="M14" s="10">
        <v>13.0</v>
      </c>
      <c r="N14" s="11" t="str">
        <f t="shared" si="1"/>
        <v>bnco0913@signalschool.ac.th</v>
      </c>
      <c r="O14" s="12">
        <f t="shared" si="2"/>
        <v>1</v>
      </c>
      <c r="R14" s="17" t="s">
        <v>227</v>
      </c>
    </row>
    <row r="15">
      <c r="A15" s="8">
        <f>'2.1'!A:A</f>
        <v>46212.6227</v>
      </c>
      <c r="B15" s="2" t="str">
        <f>'2.1'!B:B</f>
        <v>bnco0935@signalschool.ac.th</v>
      </c>
      <c r="C15" s="2" t="str">
        <f>'2.1'!C:C</f>
        <v>พ.ต.ไมตรี บุญเหลื่อม</v>
      </c>
      <c r="D15" s="9">
        <v>1.0</v>
      </c>
      <c r="E15" s="10">
        <f>IFERROR(vlookup('2.1'!D:D,lookup!$A$2:$B$4,2,false),0)</f>
        <v>5</v>
      </c>
      <c r="F15" s="10">
        <f>IFERROR(vlookup('2.1'!E:E,lookup!$A$6:$B$8,2,false),0)</f>
        <v>5</v>
      </c>
      <c r="G15" s="10">
        <f>IFERROR(vlookup('2.1'!F:F,lookup!$A$10:$B$12,2,false),0)</f>
        <v>5</v>
      </c>
      <c r="H15" s="10">
        <f>IFERROR(vlookup('2.1'!G:G,lookup!$A$14:$B$16,2,false),0)</f>
        <v>5</v>
      </c>
      <c r="I15" s="10">
        <f>IFERROR(vlookup('2.1'!H:H,lookup!$A$18:$B$20,2,false),0)</f>
        <v>5</v>
      </c>
      <c r="J15" s="10">
        <f>IFERROR(vlookup('2.1'!I:I,lookup!$A$22:$B$24,2,false),0)</f>
        <v>5</v>
      </c>
      <c r="K15" s="10">
        <f>IFERROR(vlookup('2.1'!J:J,lookup!$A$26:$B$28,2,false),0)</f>
        <v>5</v>
      </c>
      <c r="L15" s="2"/>
      <c r="M15" s="10">
        <v>14.0</v>
      </c>
      <c r="N15" s="11" t="str">
        <f t="shared" si="1"/>
        <v>bnco0914@signalschool.ac.th</v>
      </c>
      <c r="O15" s="12">
        <f t="shared" si="2"/>
        <v>1</v>
      </c>
      <c r="R15" s="17" t="s">
        <v>230</v>
      </c>
    </row>
    <row r="16">
      <c r="A16" s="8">
        <f>'2.1'!A:A</f>
        <v>46212.6234</v>
      </c>
      <c r="B16" s="2" t="str">
        <f>'2.1'!B:B</f>
        <v>bnco0928@signalschool.ac.th</v>
      </c>
      <c r="C16" s="2" t="str">
        <f>'2.1'!C:C</f>
        <v>พ.ต.ไมตรี บุญเหลื่อม</v>
      </c>
      <c r="D16" s="9">
        <v>1.0</v>
      </c>
      <c r="E16" s="10">
        <f>IFERROR(vlookup('2.1'!D:D,lookup!$A$2:$B$4,2,false),0)</f>
        <v>5</v>
      </c>
      <c r="F16" s="10">
        <f>IFERROR(vlookup('2.1'!E:E,lookup!$A$6:$B$8,2,false),0)</f>
        <v>5</v>
      </c>
      <c r="G16" s="10">
        <f>IFERROR(vlookup('2.1'!F:F,lookup!$A$10:$B$12,2,false),0)</f>
        <v>5</v>
      </c>
      <c r="H16" s="10">
        <f>IFERROR(vlookup('2.1'!G:G,lookup!$A$14:$B$16,2,false),0)</f>
        <v>5</v>
      </c>
      <c r="I16" s="10">
        <f>IFERROR(vlookup('2.1'!H:H,lookup!$A$18:$B$20,2,false),0)</f>
        <v>5</v>
      </c>
      <c r="J16" s="10">
        <f>IFERROR(vlookup('2.1'!I:I,lookup!$A$22:$B$24,2,false),0)</f>
        <v>5</v>
      </c>
      <c r="K16" s="10">
        <f>IFERROR(vlookup('2.1'!J:J,lookup!$A$26:$B$28,2,false),0)</f>
        <v>5</v>
      </c>
      <c r="L16" s="2"/>
      <c r="M16" s="10">
        <v>15.0</v>
      </c>
      <c r="N16" s="11" t="str">
        <f t="shared" si="1"/>
        <v>bnco0915@signalschool.ac.th</v>
      </c>
      <c r="O16" s="12">
        <f t="shared" si="2"/>
        <v>1</v>
      </c>
      <c r="R16" s="17" t="s">
        <v>232</v>
      </c>
    </row>
    <row r="17">
      <c r="A17" s="8">
        <f>'2.1'!A:A</f>
        <v>46212.62355</v>
      </c>
      <c r="B17" s="2" t="str">
        <f>'2.1'!B:B</f>
        <v>bnco0972@signalschool.ac.th</v>
      </c>
      <c r="C17" s="2" t="str">
        <f>'2.1'!C:C</f>
        <v>พ.ต.ไมตรี  บุญเหลื่อม</v>
      </c>
      <c r="D17" s="9">
        <v>1.0</v>
      </c>
      <c r="E17" s="10">
        <f>IFERROR(vlookup('2.1'!D:D,lookup!$A$2:$B$4,2,false),0)</f>
        <v>5</v>
      </c>
      <c r="F17" s="10">
        <f>IFERROR(vlookup('2.1'!E:E,lookup!$A$6:$B$8,2,false),0)</f>
        <v>5</v>
      </c>
      <c r="G17" s="10">
        <f>IFERROR(vlookup('2.1'!F:F,lookup!$A$10:$B$12,2,false),0)</f>
        <v>5</v>
      </c>
      <c r="H17" s="10">
        <f>IFERROR(vlookup('2.1'!G:G,lookup!$A$14:$B$16,2,false),0)</f>
        <v>5</v>
      </c>
      <c r="I17" s="10">
        <f>IFERROR(vlookup('2.1'!H:H,lookup!$A$18:$B$20,2,false),0)</f>
        <v>5</v>
      </c>
      <c r="J17" s="10">
        <f>IFERROR(vlookup('2.1'!I:I,lookup!$A$22:$B$24,2,false),0)</f>
        <v>5</v>
      </c>
      <c r="K17" s="10">
        <f>IFERROR(vlookup('2.1'!J:J,lookup!$A$26:$B$28,2,false),0)</f>
        <v>5</v>
      </c>
      <c r="L17" s="2"/>
      <c r="M17" s="10">
        <v>16.0</v>
      </c>
      <c r="N17" s="11" t="str">
        <f t="shared" si="1"/>
        <v>bnco0916@signalschool.ac.th</v>
      </c>
      <c r="O17" s="12">
        <f t="shared" si="2"/>
        <v>1</v>
      </c>
      <c r="R17" s="17" t="s">
        <v>233</v>
      </c>
    </row>
    <row r="18">
      <c r="A18" s="8">
        <f>'2.1'!A:A</f>
        <v>46212.62427</v>
      </c>
      <c r="B18" s="2" t="str">
        <f>'2.1'!B:B</f>
        <v>bnco0918@signalschool.ac.th</v>
      </c>
      <c r="C18" s="2" t="str">
        <f>'2.1'!C:C</f>
        <v>พ.ต.ไมตรี บุญเหลื่อม</v>
      </c>
      <c r="D18" s="9">
        <v>1.0</v>
      </c>
      <c r="E18" s="10">
        <f>IFERROR(vlookup('2.1'!D:D,lookup!$A$2:$B$4,2,false),0)</f>
        <v>5</v>
      </c>
      <c r="F18" s="10">
        <f>IFERROR(vlookup('2.1'!E:E,lookup!$A$6:$B$8,2,false),0)</f>
        <v>5</v>
      </c>
      <c r="G18" s="10">
        <f>IFERROR(vlookup('2.1'!F:F,lookup!$A$10:$B$12,2,false),0)</f>
        <v>5</v>
      </c>
      <c r="H18" s="10">
        <f>IFERROR(vlookup('2.1'!G:G,lookup!$A$14:$B$16,2,false),0)</f>
        <v>5</v>
      </c>
      <c r="I18" s="10">
        <f>IFERROR(vlookup('2.1'!H:H,lookup!$A$18:$B$20,2,false),0)</f>
        <v>5</v>
      </c>
      <c r="J18" s="10">
        <f>IFERROR(vlookup('2.1'!I:I,lookup!$A$22:$B$24,2,false),0)</f>
        <v>5</v>
      </c>
      <c r="K18" s="10">
        <f>IFERROR(vlookup('2.1'!J:J,lookup!$A$26:$B$28,2,false),0)</f>
        <v>5</v>
      </c>
      <c r="L18" s="2"/>
      <c r="M18" s="10">
        <v>17.0</v>
      </c>
      <c r="N18" s="11" t="str">
        <f t="shared" si="1"/>
        <v>bnco0917@signalschool.ac.th</v>
      </c>
      <c r="O18" s="12">
        <f t="shared" si="2"/>
        <v>1</v>
      </c>
      <c r="R18" s="17" t="s">
        <v>234</v>
      </c>
    </row>
    <row r="19">
      <c r="A19" s="8">
        <f>'2.1'!A:A</f>
        <v>46212.62436</v>
      </c>
      <c r="B19" s="2" t="str">
        <f>'2.1'!B:B</f>
        <v>bnco0923@signalschool.ac.th</v>
      </c>
      <c r="C19" s="2" t="str">
        <f>'2.1'!C:C</f>
        <v>พ.ต.ไมตรี บุญเหลือม</v>
      </c>
      <c r="D19" s="9">
        <v>1.0</v>
      </c>
      <c r="E19" s="10">
        <f>IFERROR(vlookup('2.1'!D:D,lookup!$A$2:$B$4,2,false),0)</f>
        <v>5</v>
      </c>
      <c r="F19" s="10">
        <f>IFERROR(vlookup('2.1'!E:E,lookup!$A$6:$B$8,2,false),0)</f>
        <v>5</v>
      </c>
      <c r="G19" s="10">
        <f>IFERROR(vlookup('2.1'!F:F,lookup!$A$10:$B$12,2,false),0)</f>
        <v>5</v>
      </c>
      <c r="H19" s="10">
        <f>IFERROR(vlookup('2.1'!G:G,lookup!$A$14:$B$16,2,false),0)</f>
        <v>5</v>
      </c>
      <c r="I19" s="10">
        <f>IFERROR(vlookup('2.1'!H:H,lookup!$A$18:$B$20,2,false),0)</f>
        <v>5</v>
      </c>
      <c r="J19" s="10">
        <f>IFERROR(vlookup('2.1'!I:I,lookup!$A$22:$B$24,2,false),0)</f>
        <v>5</v>
      </c>
      <c r="K19" s="10">
        <f>IFERROR(vlookup('2.1'!J:J,lookup!$A$26:$B$28,2,false),0)</f>
        <v>5</v>
      </c>
      <c r="L19" s="2"/>
      <c r="M19" s="10">
        <v>18.0</v>
      </c>
      <c r="N19" s="11" t="str">
        <f t="shared" si="1"/>
        <v>bnco0918@signalschool.ac.th</v>
      </c>
      <c r="O19" s="12">
        <f t="shared" si="2"/>
        <v>1</v>
      </c>
      <c r="R19" s="17" t="s">
        <v>235</v>
      </c>
    </row>
    <row r="20">
      <c r="A20" s="8">
        <f>'2.1'!A:A</f>
        <v>46212.62461</v>
      </c>
      <c r="B20" s="2" t="str">
        <f>'2.1'!B:B</f>
        <v>bnco0977@signalschool.ac.th</v>
      </c>
      <c r="C20" s="2" t="str">
        <f>'2.1'!C:C</f>
        <v>พ.ต.ไมตรี บุญเหลื่อม</v>
      </c>
      <c r="D20" s="9">
        <v>1.0</v>
      </c>
      <c r="E20" s="10">
        <f>IFERROR(vlookup('2.1'!D:D,lookup!$A$2:$B$4,2,false),0)</f>
        <v>5</v>
      </c>
      <c r="F20" s="10">
        <f>IFERROR(vlookup('2.1'!E:E,lookup!$A$6:$B$8,2,false),0)</f>
        <v>5</v>
      </c>
      <c r="G20" s="10">
        <f>IFERROR(vlookup('2.1'!F:F,lookup!$A$10:$B$12,2,false),0)</f>
        <v>5</v>
      </c>
      <c r="H20" s="10">
        <f>IFERROR(vlookup('2.1'!G:G,lookup!$A$14:$B$16,2,false),0)</f>
        <v>5</v>
      </c>
      <c r="I20" s="10">
        <f>IFERROR(vlookup('2.1'!H:H,lookup!$A$18:$B$20,2,false),0)</f>
        <v>5</v>
      </c>
      <c r="J20" s="10">
        <f>IFERROR(vlookup('2.1'!I:I,lookup!$A$22:$B$24,2,false),0)</f>
        <v>5</v>
      </c>
      <c r="K20" s="10">
        <f>IFERROR(vlookup('2.1'!J:J,lookup!$A$26:$B$28,2,false),0)</f>
        <v>5</v>
      </c>
      <c r="L20" s="2"/>
      <c r="M20" s="10">
        <v>19.0</v>
      </c>
      <c r="N20" s="11" t="str">
        <f t="shared" si="1"/>
        <v>bnco0919@signalschool.ac.th</v>
      </c>
      <c r="O20" s="12">
        <f t="shared" si="2"/>
        <v>1</v>
      </c>
      <c r="R20" s="17" t="s">
        <v>236</v>
      </c>
    </row>
    <row r="21">
      <c r="A21" s="8">
        <f>'2.1'!A:A</f>
        <v>46212.62477</v>
      </c>
      <c r="B21" s="2" t="str">
        <f>'2.1'!B:B</f>
        <v>bnco0942@signalschool.ac.th</v>
      </c>
      <c r="C21" s="2" t="str">
        <f>'2.1'!C:C</f>
        <v>พ.ต.ไมตรี  บุญเหลื่อม</v>
      </c>
      <c r="D21" s="9">
        <v>1.0</v>
      </c>
      <c r="E21" s="10">
        <f>IFERROR(vlookup('2.1'!D:D,lookup!$A$2:$B$4,2,false),0)</f>
        <v>5</v>
      </c>
      <c r="F21" s="10">
        <f>IFERROR(vlookup('2.1'!E:E,lookup!$A$6:$B$8,2,false),0)</f>
        <v>5</v>
      </c>
      <c r="G21" s="10">
        <f>IFERROR(vlookup('2.1'!F:F,lookup!$A$10:$B$12,2,false),0)</f>
        <v>5</v>
      </c>
      <c r="H21" s="10">
        <f>IFERROR(vlookup('2.1'!G:G,lookup!$A$14:$B$16,2,false),0)</f>
        <v>5</v>
      </c>
      <c r="I21" s="10">
        <f>IFERROR(vlookup('2.1'!H:H,lookup!$A$18:$B$20,2,false),0)</f>
        <v>5</v>
      </c>
      <c r="J21" s="10">
        <f>IFERROR(vlookup('2.1'!I:I,lookup!$A$22:$B$24,2,false),0)</f>
        <v>5</v>
      </c>
      <c r="K21" s="10">
        <f>IFERROR(vlookup('2.1'!J:J,lookup!$A$26:$B$28,2,false),0)</f>
        <v>5</v>
      </c>
      <c r="L21" s="2"/>
      <c r="M21" s="10">
        <v>20.0</v>
      </c>
      <c r="N21" s="11" t="str">
        <f t="shared" si="1"/>
        <v>bnco0920@signalschool.ac.th</v>
      </c>
      <c r="O21" s="12">
        <f t="shared" si="2"/>
        <v>1</v>
      </c>
      <c r="R21" s="17" t="s">
        <v>237</v>
      </c>
    </row>
    <row r="22">
      <c r="A22" s="8">
        <f>'2.1'!A:A</f>
        <v>46212.6249</v>
      </c>
      <c r="B22" s="2" t="str">
        <f>'2.1'!B:B</f>
        <v>bnco0943@signalschool.ac.th</v>
      </c>
      <c r="C22" s="2" t="str">
        <f>'2.1'!C:C</f>
        <v>พ.ต.ไมตรี บุญเหลื่อม</v>
      </c>
      <c r="D22" s="9">
        <v>1.0</v>
      </c>
      <c r="E22" s="10">
        <f>IFERROR(vlookup('2.1'!D:D,lookup!$A$2:$B$4,2,false),0)</f>
        <v>5</v>
      </c>
      <c r="F22" s="10">
        <f>IFERROR(vlookup('2.1'!E:E,lookup!$A$6:$B$8,2,false),0)</f>
        <v>5</v>
      </c>
      <c r="G22" s="10">
        <f>IFERROR(vlookup('2.1'!F:F,lookup!$A$10:$B$12,2,false),0)</f>
        <v>5</v>
      </c>
      <c r="H22" s="10">
        <f>IFERROR(vlookup('2.1'!G:G,lookup!$A$14:$B$16,2,false),0)</f>
        <v>5</v>
      </c>
      <c r="I22" s="10">
        <f>IFERROR(vlookup('2.1'!H:H,lookup!$A$18:$B$20,2,false),0)</f>
        <v>5</v>
      </c>
      <c r="J22" s="10">
        <f>IFERROR(vlookup('2.1'!I:I,lookup!$A$22:$B$24,2,false),0)</f>
        <v>5</v>
      </c>
      <c r="K22" s="10">
        <f>IFERROR(vlookup('2.1'!J:J,lookup!$A$26:$B$28,2,false),0)</f>
        <v>5</v>
      </c>
      <c r="L22" s="2"/>
      <c r="M22" s="10">
        <v>21.0</v>
      </c>
      <c r="N22" s="11" t="str">
        <f t="shared" si="1"/>
        <v>bnco0921@signalschool.ac.th</v>
      </c>
      <c r="O22" s="12">
        <f t="shared" si="2"/>
        <v>1</v>
      </c>
      <c r="R22" s="17" t="s">
        <v>238</v>
      </c>
    </row>
    <row r="23">
      <c r="A23" s="8">
        <f>'2.1'!A:A</f>
        <v>46212.62496</v>
      </c>
      <c r="B23" s="2" t="str">
        <f>'2.1'!B:B</f>
        <v>bnco0930@signalschool.ac.th</v>
      </c>
      <c r="C23" s="2" t="str">
        <f>'2.1'!C:C</f>
        <v>พ.ต.ไมตรี บุญเหลื่อม</v>
      </c>
      <c r="D23" s="9">
        <v>1.0</v>
      </c>
      <c r="E23" s="10">
        <f>IFERROR(vlookup('2.1'!D:D,lookup!$A$2:$B$4,2,false),0)</f>
        <v>5</v>
      </c>
      <c r="F23" s="10">
        <f>IFERROR(vlookup('2.1'!E:E,lookup!$A$6:$B$8,2,false),0)</f>
        <v>5</v>
      </c>
      <c r="G23" s="10">
        <f>IFERROR(vlookup('2.1'!F:F,lookup!$A$10:$B$12,2,false),0)</f>
        <v>5</v>
      </c>
      <c r="H23" s="10">
        <f>IFERROR(vlookup('2.1'!G:G,lookup!$A$14:$B$16,2,false),0)</f>
        <v>5</v>
      </c>
      <c r="I23" s="10">
        <f>IFERROR(vlookup('2.1'!H:H,lookup!$A$18:$B$20,2,false),0)</f>
        <v>5</v>
      </c>
      <c r="J23" s="10">
        <f>IFERROR(vlookup('2.1'!I:I,lookup!$A$22:$B$24,2,false),0)</f>
        <v>5</v>
      </c>
      <c r="K23" s="10">
        <f>IFERROR(vlookup('2.1'!J:J,lookup!$A$26:$B$28,2,false),0)</f>
        <v>5</v>
      </c>
      <c r="L23" s="2"/>
      <c r="M23" s="10">
        <v>22.0</v>
      </c>
      <c r="N23" s="11" t="str">
        <f t="shared" si="1"/>
        <v>bnco0922@signalschool.ac.th</v>
      </c>
      <c r="O23" s="12">
        <f t="shared" si="2"/>
        <v>1</v>
      </c>
      <c r="R23" s="17" t="s">
        <v>239</v>
      </c>
    </row>
    <row r="24">
      <c r="A24" s="8">
        <f>'2.1'!A:A</f>
        <v>46212.62498</v>
      </c>
      <c r="B24" s="2" t="str">
        <f>'2.1'!B:B</f>
        <v>bnco0904@signalschool.ac.th</v>
      </c>
      <c r="C24" s="2" t="str">
        <f>'2.1'!C:C</f>
        <v>พ.ต.ไมตรี  บุญเหลื่อม</v>
      </c>
      <c r="D24" s="9">
        <v>1.0</v>
      </c>
      <c r="E24" s="10">
        <f>IFERROR(vlookup('2.1'!D:D,lookup!$A$2:$B$4,2,false),0)</f>
        <v>5</v>
      </c>
      <c r="F24" s="10">
        <f>IFERROR(vlookup('2.1'!E:E,lookup!$A$6:$B$8,2,false),0)</f>
        <v>5</v>
      </c>
      <c r="G24" s="10">
        <f>IFERROR(vlookup('2.1'!F:F,lookup!$A$10:$B$12,2,false),0)</f>
        <v>5</v>
      </c>
      <c r="H24" s="10">
        <f>IFERROR(vlookup('2.1'!G:G,lookup!$A$14:$B$16,2,false),0)</f>
        <v>5</v>
      </c>
      <c r="I24" s="10">
        <f>IFERROR(vlookup('2.1'!H:H,lookup!$A$18:$B$20,2,false),0)</f>
        <v>5</v>
      </c>
      <c r="J24" s="10">
        <f>IFERROR(vlookup('2.1'!I:I,lookup!$A$22:$B$24,2,false),0)</f>
        <v>5</v>
      </c>
      <c r="K24" s="10">
        <f>IFERROR(vlookup('2.1'!J:J,lookup!$A$26:$B$28,2,false),0)</f>
        <v>5</v>
      </c>
      <c r="L24" s="2"/>
      <c r="M24" s="10">
        <v>23.0</v>
      </c>
      <c r="N24" s="11" t="str">
        <f t="shared" si="1"/>
        <v>bnco0923@signalschool.ac.th</v>
      </c>
      <c r="O24" s="12">
        <f t="shared" si="2"/>
        <v>1</v>
      </c>
      <c r="R24" s="17" t="s">
        <v>240</v>
      </c>
    </row>
    <row r="25">
      <c r="A25" s="8">
        <f>'2.1'!A:A</f>
        <v>46212.62511</v>
      </c>
      <c r="B25" s="2" t="str">
        <f>'2.1'!B:B</f>
        <v>bnco0925@signalschool.ac.th</v>
      </c>
      <c r="C25" s="2" t="str">
        <f>'2.1'!C:C</f>
        <v>พ.ต.ไมตรี บุญเหลื่อม</v>
      </c>
      <c r="D25" s="9">
        <v>1.0</v>
      </c>
      <c r="E25" s="10">
        <f>IFERROR(vlookup('2.1'!D:D,lookup!$A$2:$B$4,2,false),0)</f>
        <v>5</v>
      </c>
      <c r="F25" s="10">
        <f>IFERROR(vlookup('2.1'!E:E,lookup!$A$6:$B$8,2,false),0)</f>
        <v>5</v>
      </c>
      <c r="G25" s="10">
        <f>IFERROR(vlookup('2.1'!F:F,lookup!$A$10:$B$12,2,false),0)</f>
        <v>5</v>
      </c>
      <c r="H25" s="10">
        <f>IFERROR(vlookup('2.1'!G:G,lookup!$A$14:$B$16,2,false),0)</f>
        <v>5</v>
      </c>
      <c r="I25" s="10">
        <f>IFERROR(vlookup('2.1'!H:H,lookup!$A$18:$B$20,2,false),0)</f>
        <v>5</v>
      </c>
      <c r="J25" s="10">
        <f>IFERROR(vlookup('2.1'!I:I,lookup!$A$22:$B$24,2,false),0)</f>
        <v>5</v>
      </c>
      <c r="K25" s="10">
        <f>IFERROR(vlookup('2.1'!J:J,lookup!$A$26:$B$28,2,false),0)</f>
        <v>5</v>
      </c>
      <c r="L25" s="2"/>
      <c r="M25" s="10">
        <v>24.0</v>
      </c>
      <c r="N25" s="11" t="str">
        <f t="shared" si="1"/>
        <v>bnco0924@signalschool.ac.th</v>
      </c>
      <c r="O25" s="12">
        <f t="shared" si="2"/>
        <v>1</v>
      </c>
      <c r="R25" s="17" t="s">
        <v>241</v>
      </c>
    </row>
    <row r="26">
      <c r="A26" s="8">
        <f>'2.1'!A:A</f>
        <v>46212.62515</v>
      </c>
      <c r="B26" s="2" t="str">
        <f>'2.1'!B:B</f>
        <v>bnco0921@signalschool.ac.th</v>
      </c>
      <c r="C26" s="2" t="str">
        <f>'2.1'!C:C</f>
        <v>พ.ต.ไมตรี บุญเหลื่อม</v>
      </c>
      <c r="D26" s="9">
        <v>1.0</v>
      </c>
      <c r="E26" s="10">
        <f>IFERROR(vlookup('2.1'!D:D,lookup!$A$2:$B$4,2,false),0)</f>
        <v>5</v>
      </c>
      <c r="F26" s="10">
        <f>IFERROR(vlookup('2.1'!E:E,lookup!$A$6:$B$8,2,false),0)</f>
        <v>5</v>
      </c>
      <c r="G26" s="10">
        <f>IFERROR(vlookup('2.1'!F:F,lookup!$A$10:$B$12,2,false),0)</f>
        <v>5</v>
      </c>
      <c r="H26" s="10">
        <f>IFERROR(vlookup('2.1'!G:G,lookup!$A$14:$B$16,2,false),0)</f>
        <v>5</v>
      </c>
      <c r="I26" s="10">
        <f>IFERROR(vlookup('2.1'!H:H,lookup!$A$18:$B$20,2,false),0)</f>
        <v>5</v>
      </c>
      <c r="J26" s="10">
        <f>IFERROR(vlookup('2.1'!I:I,lookup!$A$22:$B$24,2,false),0)</f>
        <v>5</v>
      </c>
      <c r="K26" s="10">
        <f>IFERROR(vlookup('2.1'!J:J,lookup!$A$26:$B$28,2,false),0)</f>
        <v>5</v>
      </c>
      <c r="L26" s="2"/>
      <c r="M26" s="10">
        <v>25.0</v>
      </c>
      <c r="N26" s="11" t="str">
        <f t="shared" si="1"/>
        <v>bnco0925@signalschool.ac.th</v>
      </c>
      <c r="O26" s="12">
        <f t="shared" si="2"/>
        <v>1</v>
      </c>
      <c r="R26" s="17" t="s">
        <v>242</v>
      </c>
    </row>
    <row r="27">
      <c r="A27" s="8">
        <f>'2.1'!A:A</f>
        <v>46212.62515</v>
      </c>
      <c r="B27" s="2" t="str">
        <f>'2.1'!B:B</f>
        <v>bnco0934@signalschool.ac.th</v>
      </c>
      <c r="C27" s="2" t="str">
        <f>'2.1'!C:C</f>
        <v>พ.ต.ไมตรี บุญเหลื่อม</v>
      </c>
      <c r="D27" s="9">
        <v>1.0</v>
      </c>
      <c r="E27" s="10">
        <f>IFERROR(vlookup('2.1'!D:D,lookup!$A$2:$B$4,2,false),0)</f>
        <v>5</v>
      </c>
      <c r="F27" s="10">
        <f>IFERROR(vlookup('2.1'!E:E,lookup!$A$6:$B$8,2,false),0)</f>
        <v>5</v>
      </c>
      <c r="G27" s="10">
        <f>IFERROR(vlookup('2.1'!F:F,lookup!$A$10:$B$12,2,false),0)</f>
        <v>5</v>
      </c>
      <c r="H27" s="10">
        <f>IFERROR(vlookup('2.1'!G:G,lookup!$A$14:$B$16,2,false),0)</f>
        <v>5</v>
      </c>
      <c r="I27" s="10">
        <f>IFERROR(vlookup('2.1'!H:H,lookup!$A$18:$B$20,2,false),0)</f>
        <v>5</v>
      </c>
      <c r="J27" s="10">
        <f>IFERROR(vlookup('2.1'!I:I,lookup!$A$22:$B$24,2,false),0)</f>
        <v>5</v>
      </c>
      <c r="K27" s="10">
        <f>IFERROR(vlookup('2.1'!J:J,lookup!$A$26:$B$28,2,false),0)</f>
        <v>5</v>
      </c>
      <c r="L27" s="2"/>
      <c r="M27" s="10">
        <v>26.0</v>
      </c>
      <c r="N27" s="11" t="str">
        <f t="shared" si="1"/>
        <v>bnco0926@signalschool.ac.th</v>
      </c>
      <c r="O27" s="12">
        <f t="shared" si="2"/>
        <v>1</v>
      </c>
      <c r="R27" s="17" t="s">
        <v>243</v>
      </c>
    </row>
    <row r="28">
      <c r="A28" s="8">
        <f>'2.1'!A:A</f>
        <v>46212.62517</v>
      </c>
      <c r="B28" s="2" t="str">
        <f>'2.1'!B:B</f>
        <v>bnco0903@signalschool.ac.th</v>
      </c>
      <c r="C28" s="2" t="str">
        <f>'2.1'!C:C</f>
        <v>พ.ต.ไมตรี บุญเหลื่อม</v>
      </c>
      <c r="D28" s="9">
        <v>1.0</v>
      </c>
      <c r="E28" s="10">
        <f>IFERROR(vlookup('2.1'!D:D,lookup!$A$2:$B$4,2,false),0)</f>
        <v>5</v>
      </c>
      <c r="F28" s="10">
        <f>IFERROR(vlookup('2.1'!E:E,lookup!$A$6:$B$8,2,false),0)</f>
        <v>5</v>
      </c>
      <c r="G28" s="10">
        <f>IFERROR(vlookup('2.1'!F:F,lookup!$A$10:$B$12,2,false),0)</f>
        <v>5</v>
      </c>
      <c r="H28" s="10">
        <f>IFERROR(vlookup('2.1'!G:G,lookup!$A$14:$B$16,2,false),0)</f>
        <v>5</v>
      </c>
      <c r="I28" s="10">
        <f>IFERROR(vlookup('2.1'!H:H,lookup!$A$18:$B$20,2,false),0)</f>
        <v>5</v>
      </c>
      <c r="J28" s="10">
        <f>IFERROR(vlookup('2.1'!I:I,lookup!$A$22:$B$24,2,false),0)</f>
        <v>5</v>
      </c>
      <c r="K28" s="10">
        <f>IFERROR(vlookup('2.1'!J:J,lookup!$A$26:$B$28,2,false),0)</f>
        <v>5</v>
      </c>
      <c r="L28" s="2"/>
      <c r="M28" s="10">
        <v>27.0</v>
      </c>
      <c r="N28" s="11" t="str">
        <f t="shared" si="1"/>
        <v>bnco0927@signalschool.ac.th</v>
      </c>
      <c r="O28" s="12">
        <f t="shared" si="2"/>
        <v>1</v>
      </c>
      <c r="R28" s="17" t="s">
        <v>244</v>
      </c>
    </row>
    <row r="29">
      <c r="A29" s="8">
        <f>'2.1'!A:A</f>
        <v>46212.62523</v>
      </c>
      <c r="B29" s="2" t="str">
        <f>'2.1'!B:B</f>
        <v>bnco0926@signalschool.ac.th</v>
      </c>
      <c r="C29" s="2" t="str">
        <f>'2.1'!C:C</f>
        <v>พ.ต.ไมตรี บุญเหลื่อม</v>
      </c>
      <c r="D29" s="9">
        <v>1.0</v>
      </c>
      <c r="E29" s="10">
        <f>IFERROR(vlookup('2.1'!D:D,lookup!$A$2:$B$4,2,false),0)</f>
        <v>5</v>
      </c>
      <c r="F29" s="10">
        <f>IFERROR(vlookup('2.1'!E:E,lookup!$A$6:$B$8,2,false),0)</f>
        <v>5</v>
      </c>
      <c r="G29" s="10">
        <f>IFERROR(vlookup('2.1'!F:F,lookup!$A$10:$B$12,2,false),0)</f>
        <v>5</v>
      </c>
      <c r="H29" s="10">
        <f>IFERROR(vlookup('2.1'!G:G,lookup!$A$14:$B$16,2,false),0)</f>
        <v>5</v>
      </c>
      <c r="I29" s="10">
        <f>IFERROR(vlookup('2.1'!H:H,lookup!$A$18:$B$20,2,false),0)</f>
        <v>5</v>
      </c>
      <c r="J29" s="10">
        <f>IFERROR(vlookup('2.1'!I:I,lookup!$A$22:$B$24,2,false),0)</f>
        <v>5</v>
      </c>
      <c r="K29" s="10">
        <f>IFERROR(vlookup('2.1'!J:J,lookup!$A$26:$B$28,2,false),0)</f>
        <v>5</v>
      </c>
      <c r="L29" s="2"/>
      <c r="M29" s="10">
        <v>28.0</v>
      </c>
      <c r="N29" s="11" t="str">
        <f t="shared" si="1"/>
        <v>bnco0928@signalschool.ac.th</v>
      </c>
      <c r="O29" s="12">
        <f t="shared" si="2"/>
        <v>1</v>
      </c>
      <c r="R29" s="17" t="s">
        <v>245</v>
      </c>
    </row>
    <row r="30">
      <c r="A30" s="8">
        <f>'2.1'!A:A</f>
        <v>46212.62543</v>
      </c>
      <c r="B30" s="2" t="str">
        <f>'2.1'!B:B</f>
        <v>bnco0949@signalschool.ac.th</v>
      </c>
      <c r="C30" s="2" t="str">
        <f>'2.1'!C:C</f>
        <v>พ.ต.ไมตรี บุญเหลื่อม</v>
      </c>
      <c r="D30" s="9">
        <v>1.0</v>
      </c>
      <c r="E30" s="10">
        <f>IFERROR(vlookup('2.1'!D:D,lookup!$A$2:$B$4,2,false),0)</f>
        <v>5</v>
      </c>
      <c r="F30" s="10">
        <f>IFERROR(vlookup('2.1'!E:E,lookup!$A$6:$B$8,2,false),0)</f>
        <v>5</v>
      </c>
      <c r="G30" s="10">
        <f>IFERROR(vlookup('2.1'!F:F,lookup!$A$10:$B$12,2,false),0)</f>
        <v>5</v>
      </c>
      <c r="H30" s="10">
        <f>IFERROR(vlookup('2.1'!G:G,lookup!$A$14:$B$16,2,false),0)</f>
        <v>5</v>
      </c>
      <c r="I30" s="10">
        <f>IFERROR(vlookup('2.1'!H:H,lookup!$A$18:$B$20,2,false),0)</f>
        <v>5</v>
      </c>
      <c r="J30" s="10">
        <f>IFERROR(vlookup('2.1'!I:I,lookup!$A$22:$B$24,2,false),0)</f>
        <v>5</v>
      </c>
      <c r="K30" s="10">
        <f>IFERROR(vlookup('2.1'!J:J,lookup!$A$26:$B$28,2,false),0)</f>
        <v>5</v>
      </c>
      <c r="L30" s="2"/>
      <c r="M30" s="10">
        <v>29.0</v>
      </c>
      <c r="N30" s="11" t="str">
        <f t="shared" si="1"/>
        <v>bnco0929@signalschool.ac.th</v>
      </c>
      <c r="O30" s="12">
        <f t="shared" si="2"/>
        <v>1</v>
      </c>
      <c r="R30" s="17" t="s">
        <v>246</v>
      </c>
    </row>
    <row r="31">
      <c r="A31" s="8">
        <f>'2.1'!A:A</f>
        <v>46212.62545</v>
      </c>
      <c r="B31" s="2" t="str">
        <f>'2.1'!B:B</f>
        <v>bnco0979@signalschool.ac.th</v>
      </c>
      <c r="C31" s="2" t="str">
        <f>'2.1'!C:C</f>
        <v>พ.ต.ไมตรี บุญเหลื่อม</v>
      </c>
      <c r="D31" s="9">
        <v>1.0</v>
      </c>
      <c r="E31" s="10">
        <f>IFERROR(vlookup('2.1'!D:D,lookup!$A$2:$B$4,2,false),0)</f>
        <v>5</v>
      </c>
      <c r="F31" s="10">
        <f>IFERROR(vlookup('2.1'!E:E,lookup!$A$6:$B$8,2,false),0)</f>
        <v>5</v>
      </c>
      <c r="G31" s="10">
        <f>IFERROR(vlookup('2.1'!F:F,lookup!$A$10:$B$12,2,false),0)</f>
        <v>5</v>
      </c>
      <c r="H31" s="10">
        <f>IFERROR(vlookup('2.1'!G:G,lookup!$A$14:$B$16,2,false),0)</f>
        <v>5</v>
      </c>
      <c r="I31" s="10">
        <f>IFERROR(vlookup('2.1'!H:H,lookup!$A$18:$B$20,2,false),0)</f>
        <v>5</v>
      </c>
      <c r="J31" s="10">
        <f>IFERROR(vlookup('2.1'!I:I,lookup!$A$22:$B$24,2,false),0)</f>
        <v>5</v>
      </c>
      <c r="K31" s="10">
        <f>IFERROR(vlookup('2.1'!J:J,lookup!$A$26:$B$28,2,false),0)</f>
        <v>5</v>
      </c>
      <c r="L31" s="2"/>
      <c r="M31" s="10">
        <v>30.0</v>
      </c>
      <c r="N31" s="11" t="str">
        <f t="shared" si="1"/>
        <v>bnco0930@signalschool.ac.th</v>
      </c>
      <c r="O31" s="12">
        <f t="shared" si="2"/>
        <v>1</v>
      </c>
      <c r="R31" s="17" t="s">
        <v>247</v>
      </c>
    </row>
    <row r="32">
      <c r="A32" s="8">
        <f>'2.1'!A:A</f>
        <v>46212.62559</v>
      </c>
      <c r="B32" s="2" t="str">
        <f>'2.1'!B:B</f>
        <v>bnco0948@signalschool.ac.th</v>
      </c>
      <c r="C32" s="2" t="str">
        <f>'2.1'!C:C</f>
        <v>พ.ต.ไมตรี บุญเหลื่อม</v>
      </c>
      <c r="D32" s="9">
        <v>1.0</v>
      </c>
      <c r="E32" s="10">
        <f>IFERROR(vlookup('2.1'!D:D,lookup!$A$2:$B$4,2,false),0)</f>
        <v>5</v>
      </c>
      <c r="F32" s="10">
        <f>IFERROR(vlookup('2.1'!E:E,lookup!$A$6:$B$8,2,false),0)</f>
        <v>5</v>
      </c>
      <c r="G32" s="10">
        <f>IFERROR(vlookup('2.1'!F:F,lookup!$A$10:$B$12,2,false),0)</f>
        <v>5</v>
      </c>
      <c r="H32" s="10">
        <f>IFERROR(vlookup('2.1'!G:G,lookup!$A$14:$B$16,2,false),0)</f>
        <v>5</v>
      </c>
      <c r="I32" s="10">
        <f>IFERROR(vlookup('2.1'!H:H,lookup!$A$18:$B$20,2,false),0)</f>
        <v>5</v>
      </c>
      <c r="J32" s="10">
        <f>IFERROR(vlookup('2.1'!I:I,lookup!$A$22:$B$24,2,false),0)</f>
        <v>5</v>
      </c>
      <c r="K32" s="10">
        <f>IFERROR(vlookup('2.1'!J:J,lookup!$A$26:$B$28,2,false),0)</f>
        <v>5</v>
      </c>
      <c r="L32" s="2"/>
      <c r="M32" s="10">
        <v>31.0</v>
      </c>
      <c r="N32" s="11" t="str">
        <f t="shared" si="1"/>
        <v>bnco0931@signalschool.ac.th</v>
      </c>
      <c r="O32" s="12">
        <f t="shared" si="2"/>
        <v>1</v>
      </c>
      <c r="R32" s="17" t="s">
        <v>248</v>
      </c>
    </row>
    <row r="33">
      <c r="A33" s="8">
        <f>'2.1'!A:A</f>
        <v>46212.62561</v>
      </c>
      <c r="B33" s="2" t="str">
        <f>'2.1'!B:B</f>
        <v>bnco0913@signalschool.ac.th</v>
      </c>
      <c r="C33" s="2" t="str">
        <f>'2.1'!C:C</f>
        <v>จ.ส.ต.พรสุพพัต วุฒิสุวรรณ ส.อ.วิริทธิ์พล แข็งธัญญะกรณ์ ส.อ.มงคล บุญญะถิติ</v>
      </c>
      <c r="D33" s="9">
        <v>1.0</v>
      </c>
      <c r="E33" s="10">
        <f>IFERROR(vlookup('2.1'!D:D,lookup!$A$2:$B$4,2,false),0)</f>
        <v>5</v>
      </c>
      <c r="F33" s="10">
        <f>IFERROR(vlookup('2.1'!E:E,lookup!$A$6:$B$8,2,false),0)</f>
        <v>5</v>
      </c>
      <c r="G33" s="10">
        <f>IFERROR(vlookup('2.1'!F:F,lookup!$A$10:$B$12,2,false),0)</f>
        <v>5</v>
      </c>
      <c r="H33" s="10">
        <f>IFERROR(vlookup('2.1'!G:G,lookup!$A$14:$B$16,2,false),0)</f>
        <v>5</v>
      </c>
      <c r="I33" s="10">
        <f>IFERROR(vlookup('2.1'!H:H,lookup!$A$18:$B$20,2,false),0)</f>
        <v>5</v>
      </c>
      <c r="J33" s="10">
        <f>IFERROR(vlookup('2.1'!I:I,lookup!$A$22:$B$24,2,false),0)</f>
        <v>5</v>
      </c>
      <c r="K33" s="10">
        <f>IFERROR(vlookup('2.1'!J:J,lookup!$A$26:$B$28,2,false),0)</f>
        <v>5</v>
      </c>
      <c r="L33" s="2"/>
      <c r="M33" s="10">
        <v>32.0</v>
      </c>
      <c r="N33" s="11" t="str">
        <f t="shared" si="1"/>
        <v>bnco0932@signalschool.ac.th</v>
      </c>
      <c r="O33" s="12">
        <f t="shared" si="2"/>
        <v>1</v>
      </c>
      <c r="R33" s="17" t="s">
        <v>249</v>
      </c>
    </row>
    <row r="34">
      <c r="A34" s="8">
        <f>'2.1'!A:A</f>
        <v>46212.62582</v>
      </c>
      <c r="B34" s="2" t="str">
        <f>'2.1'!B:B</f>
        <v>bnco0908@signalschool.ac.th</v>
      </c>
      <c r="C34" s="2" t="str">
        <f>'2.1'!C:C</f>
        <v>พ.ต.ไมตรี บุญเหลื่อม</v>
      </c>
      <c r="D34" s="9">
        <v>1.0</v>
      </c>
      <c r="E34" s="10">
        <f>IFERROR(vlookup('2.1'!D:D,lookup!$A$2:$B$4,2,false),0)</f>
        <v>5</v>
      </c>
      <c r="F34" s="10">
        <f>IFERROR(vlookup('2.1'!E:E,lookup!$A$6:$B$8,2,false),0)</f>
        <v>5</v>
      </c>
      <c r="G34" s="10">
        <f>IFERROR(vlookup('2.1'!F:F,lookup!$A$10:$B$12,2,false),0)</f>
        <v>5</v>
      </c>
      <c r="H34" s="10">
        <f>IFERROR(vlookup('2.1'!G:G,lookup!$A$14:$B$16,2,false),0)</f>
        <v>5</v>
      </c>
      <c r="I34" s="10">
        <f>IFERROR(vlookup('2.1'!H:H,lookup!$A$18:$B$20,2,false),0)</f>
        <v>5</v>
      </c>
      <c r="J34" s="10">
        <f>IFERROR(vlookup('2.1'!I:I,lookup!$A$22:$B$24,2,false),0)</f>
        <v>5</v>
      </c>
      <c r="K34" s="10">
        <f>IFERROR(vlookup('2.1'!J:J,lookup!$A$26:$B$28,2,false),0)</f>
        <v>5</v>
      </c>
      <c r="L34" s="2"/>
      <c r="M34" s="10">
        <v>33.0</v>
      </c>
      <c r="N34" s="11" t="str">
        <f t="shared" si="1"/>
        <v>bnco0933@signalschool.ac.th</v>
      </c>
      <c r="O34" s="12">
        <f t="shared" si="2"/>
        <v>1</v>
      </c>
      <c r="R34" s="17" t="s">
        <v>250</v>
      </c>
    </row>
    <row r="35">
      <c r="A35" s="8">
        <f>'2.1'!A:A</f>
        <v>46212.62588</v>
      </c>
      <c r="B35" s="2" t="str">
        <f>'2.1'!B:B</f>
        <v>bnco0967@signalschool.ac.th</v>
      </c>
      <c r="C35" s="2" t="str">
        <f>'2.1'!C:C</f>
        <v>พ.ต.ไมตรี บุญเหลื่อม</v>
      </c>
      <c r="D35" s="9">
        <v>1.0</v>
      </c>
      <c r="E35" s="10">
        <f>IFERROR(vlookup('2.1'!D:D,lookup!$A$2:$B$4,2,false),0)</f>
        <v>5</v>
      </c>
      <c r="F35" s="10">
        <f>IFERROR(vlookup('2.1'!E:E,lookup!$A$6:$B$8,2,false),0)</f>
        <v>5</v>
      </c>
      <c r="G35" s="10">
        <f>IFERROR(vlookup('2.1'!F:F,lookup!$A$10:$B$12,2,false),0)</f>
        <v>5</v>
      </c>
      <c r="H35" s="10">
        <f>IFERROR(vlookup('2.1'!G:G,lookup!$A$14:$B$16,2,false),0)</f>
        <v>5</v>
      </c>
      <c r="I35" s="10">
        <f>IFERROR(vlookup('2.1'!H:H,lookup!$A$18:$B$20,2,false),0)</f>
        <v>5</v>
      </c>
      <c r="J35" s="10">
        <f>IFERROR(vlookup('2.1'!I:I,lookup!$A$22:$B$24,2,false),0)</f>
        <v>5</v>
      </c>
      <c r="K35" s="10">
        <f>IFERROR(vlookup('2.1'!J:J,lookup!$A$26:$B$28,2,false),0)</f>
        <v>5</v>
      </c>
      <c r="L35" s="2"/>
      <c r="M35" s="10">
        <v>34.0</v>
      </c>
      <c r="N35" s="11" t="str">
        <f t="shared" si="1"/>
        <v>bnco0934@signalschool.ac.th</v>
      </c>
      <c r="O35" s="12">
        <f t="shared" si="2"/>
        <v>1</v>
      </c>
      <c r="R35" s="17" t="s">
        <v>251</v>
      </c>
    </row>
    <row r="36">
      <c r="A36" s="8">
        <f>'2.1'!A:A</f>
        <v>46212.62591</v>
      </c>
      <c r="B36" s="2" t="str">
        <f>'2.1'!B:B</f>
        <v>bnco0914@signalschool.ac.th</v>
      </c>
      <c r="C36" s="2" t="str">
        <f>'2.1'!C:C</f>
        <v>พ.ต.ไมตรี บุญเหลื่อม</v>
      </c>
      <c r="D36" s="9">
        <v>1.0</v>
      </c>
      <c r="E36" s="10">
        <f>IFERROR(vlookup('2.1'!D:D,lookup!$A$2:$B$4,2,false),0)</f>
        <v>5</v>
      </c>
      <c r="F36" s="10">
        <f>IFERROR(vlookup('2.1'!E:E,lookup!$A$6:$B$8,2,false),0)</f>
        <v>5</v>
      </c>
      <c r="G36" s="10">
        <f>IFERROR(vlookup('2.1'!F:F,lookup!$A$10:$B$12,2,false),0)</f>
        <v>5</v>
      </c>
      <c r="H36" s="10">
        <f>IFERROR(vlookup('2.1'!G:G,lookup!$A$14:$B$16,2,false),0)</f>
        <v>5</v>
      </c>
      <c r="I36" s="10">
        <f>IFERROR(vlookup('2.1'!H:H,lookup!$A$18:$B$20,2,false),0)</f>
        <v>5</v>
      </c>
      <c r="J36" s="10">
        <f>IFERROR(vlookup('2.1'!I:I,lookup!$A$22:$B$24,2,false),0)</f>
        <v>5</v>
      </c>
      <c r="K36" s="10">
        <f>IFERROR(vlookup('2.1'!J:J,lookup!$A$26:$B$28,2,false),0)</f>
        <v>5</v>
      </c>
      <c r="L36" s="2"/>
      <c r="M36" s="10">
        <v>35.0</v>
      </c>
      <c r="N36" s="11" t="str">
        <f t="shared" si="1"/>
        <v>bnco0935@signalschool.ac.th</v>
      </c>
      <c r="O36" s="12">
        <f t="shared" si="2"/>
        <v>1</v>
      </c>
      <c r="R36" s="17" t="s">
        <v>252</v>
      </c>
    </row>
    <row r="37">
      <c r="A37" s="8">
        <f>'2.1'!A:A</f>
        <v>46212.62595</v>
      </c>
      <c r="B37" s="2" t="str">
        <f>'2.1'!B:B</f>
        <v>bnco0919@signalschool.ac.th</v>
      </c>
      <c r="C37" s="2" t="str">
        <f>'2.1'!C:C</f>
        <v>พ.ต.ไมตรี บุญเหลื่อม</v>
      </c>
      <c r="D37" s="9">
        <v>1.0</v>
      </c>
      <c r="E37" s="10">
        <f>IFERROR(vlookup('2.1'!D:D,lookup!$A$2:$B$4,2,false),0)</f>
        <v>5</v>
      </c>
      <c r="F37" s="10">
        <f>IFERROR(vlookup('2.1'!E:E,lookup!$A$6:$B$8,2,false),0)</f>
        <v>5</v>
      </c>
      <c r="G37" s="10">
        <f>IFERROR(vlookup('2.1'!F:F,lookup!$A$10:$B$12,2,false),0)</f>
        <v>5</v>
      </c>
      <c r="H37" s="10">
        <f>IFERROR(vlookup('2.1'!G:G,lookup!$A$14:$B$16,2,false),0)</f>
        <v>5</v>
      </c>
      <c r="I37" s="10">
        <f>IFERROR(vlookup('2.1'!H:H,lookup!$A$18:$B$20,2,false),0)</f>
        <v>5</v>
      </c>
      <c r="J37" s="10">
        <f>IFERROR(vlookup('2.1'!I:I,lookup!$A$22:$B$24,2,false),0)</f>
        <v>5</v>
      </c>
      <c r="K37" s="10">
        <f>IFERROR(vlookup('2.1'!J:J,lookup!$A$26:$B$28,2,false),0)</f>
        <v>5</v>
      </c>
      <c r="L37" s="2"/>
      <c r="M37" s="10">
        <v>36.0</v>
      </c>
      <c r="N37" s="11" t="str">
        <f t="shared" si="1"/>
        <v>bnco0936@signalschool.ac.th</v>
      </c>
      <c r="O37" s="12">
        <f t="shared" si="2"/>
        <v>1</v>
      </c>
      <c r="R37" s="17" t="s">
        <v>253</v>
      </c>
    </row>
    <row r="38">
      <c r="A38" s="8">
        <f>'2.1'!A:A</f>
        <v>46212.626</v>
      </c>
      <c r="B38" s="2" t="str">
        <f>'2.1'!B:B</f>
        <v>bnco0909@signalschool.ac.th</v>
      </c>
      <c r="C38" s="2" t="str">
        <f>'2.1'!C:C</f>
        <v>พ.ต. ไมตรี บุญเหลือม</v>
      </c>
      <c r="D38" s="9">
        <v>1.0</v>
      </c>
      <c r="E38" s="10">
        <f>IFERROR(vlookup('2.1'!D:D,lookup!$A$2:$B$4,2,false),0)</f>
        <v>5</v>
      </c>
      <c r="F38" s="10">
        <f>IFERROR(vlookup('2.1'!E:E,lookup!$A$6:$B$8,2,false),0)</f>
        <v>5</v>
      </c>
      <c r="G38" s="10">
        <f>IFERROR(vlookup('2.1'!F:F,lookup!$A$10:$B$12,2,false),0)</f>
        <v>5</v>
      </c>
      <c r="H38" s="10">
        <f>IFERROR(vlookup('2.1'!G:G,lookup!$A$14:$B$16,2,false),0)</f>
        <v>5</v>
      </c>
      <c r="I38" s="10">
        <f>IFERROR(vlookup('2.1'!H:H,lookup!$A$18:$B$20,2,false),0)</f>
        <v>5</v>
      </c>
      <c r="J38" s="10">
        <f>IFERROR(vlookup('2.1'!I:I,lookup!$A$22:$B$24,2,false),0)</f>
        <v>5</v>
      </c>
      <c r="K38" s="10">
        <f>IFERROR(vlookup('2.1'!J:J,lookup!$A$26:$B$28,2,false),0)</f>
        <v>5</v>
      </c>
      <c r="L38" s="2"/>
      <c r="M38" s="10">
        <v>37.0</v>
      </c>
      <c r="N38" s="11" t="str">
        <f t="shared" si="1"/>
        <v>bnco0937@signalschool.ac.th</v>
      </c>
      <c r="O38" s="12">
        <f t="shared" si="2"/>
        <v>1</v>
      </c>
      <c r="R38" s="17" t="s">
        <v>254</v>
      </c>
    </row>
    <row r="39">
      <c r="A39" s="8">
        <f>'2.1'!A:A</f>
        <v>46212.62612</v>
      </c>
      <c r="B39" s="2" t="str">
        <f>'2.1'!B:B</f>
        <v>bnco0936@signalschool.ac.th</v>
      </c>
      <c r="C39" s="2" t="str">
        <f>'2.1'!C:C</f>
        <v>พ.ต.ไมตรี บุญเหลื่อม</v>
      </c>
      <c r="D39" s="9">
        <v>1.0</v>
      </c>
      <c r="E39" s="10">
        <f>IFERROR(vlookup('2.1'!D:D,lookup!$A$2:$B$4,2,false),0)</f>
        <v>5</v>
      </c>
      <c r="F39" s="10">
        <f>IFERROR(vlookup('2.1'!E:E,lookup!$A$6:$B$8,2,false),0)</f>
        <v>5</v>
      </c>
      <c r="G39" s="10">
        <f>IFERROR(vlookup('2.1'!F:F,lookup!$A$10:$B$12,2,false),0)</f>
        <v>5</v>
      </c>
      <c r="H39" s="10">
        <f>IFERROR(vlookup('2.1'!G:G,lookup!$A$14:$B$16,2,false),0)</f>
        <v>5</v>
      </c>
      <c r="I39" s="10">
        <f>IFERROR(vlookup('2.1'!H:H,lookup!$A$18:$B$20,2,false),0)</f>
        <v>5</v>
      </c>
      <c r="J39" s="10">
        <f>IFERROR(vlookup('2.1'!I:I,lookup!$A$22:$B$24,2,false),0)</f>
        <v>5</v>
      </c>
      <c r="K39" s="10">
        <f>IFERROR(vlookup('2.1'!J:J,lookup!$A$26:$B$28,2,false),0)</f>
        <v>5</v>
      </c>
      <c r="L39" s="2"/>
      <c r="M39" s="10">
        <v>38.0</v>
      </c>
      <c r="N39" s="11" t="str">
        <f t="shared" si="1"/>
        <v>bnco0938@signalschool.ac.th</v>
      </c>
      <c r="O39" s="12">
        <f t="shared" si="2"/>
        <v>1</v>
      </c>
      <c r="R39" s="17" t="s">
        <v>255</v>
      </c>
    </row>
    <row r="40">
      <c r="A40" s="8">
        <f>'2.1'!A:A</f>
        <v>46212.62659</v>
      </c>
      <c r="B40" s="2" t="str">
        <f>'2.1'!B:B</f>
        <v>bnco0978@signalschool.ac.th</v>
      </c>
      <c r="C40" s="2" t="str">
        <f>'2.1'!C:C</f>
        <v>พ.ต.ไมตรี บุญเหลื่อม</v>
      </c>
      <c r="D40" s="9">
        <v>1.0</v>
      </c>
      <c r="E40" s="10">
        <f>IFERROR(vlookup('2.1'!D:D,lookup!$A$2:$B$4,2,false),0)</f>
        <v>5</v>
      </c>
      <c r="F40" s="10">
        <f>IFERROR(vlookup('2.1'!E:E,lookup!$A$6:$B$8,2,false),0)</f>
        <v>5</v>
      </c>
      <c r="G40" s="10">
        <f>IFERROR(vlookup('2.1'!F:F,lookup!$A$10:$B$12,2,false),0)</f>
        <v>5</v>
      </c>
      <c r="H40" s="10">
        <f>IFERROR(vlookup('2.1'!G:G,lookup!$A$14:$B$16,2,false),0)</f>
        <v>5</v>
      </c>
      <c r="I40" s="10">
        <f>IFERROR(vlookup('2.1'!H:H,lookup!$A$18:$B$20,2,false),0)</f>
        <v>5</v>
      </c>
      <c r="J40" s="10">
        <f>IFERROR(vlookup('2.1'!I:I,lookup!$A$22:$B$24,2,false),0)</f>
        <v>5</v>
      </c>
      <c r="K40" s="10">
        <f>IFERROR(vlookup('2.1'!J:J,lookup!$A$26:$B$28,2,false),0)</f>
        <v>5</v>
      </c>
      <c r="L40" s="2"/>
      <c r="M40" s="10">
        <v>39.0</v>
      </c>
      <c r="N40" s="11" t="str">
        <f t="shared" si="1"/>
        <v>bnco0939@signalschool.ac.th</v>
      </c>
      <c r="O40" s="12">
        <f t="shared" si="2"/>
        <v>1</v>
      </c>
      <c r="R40" s="17" t="s">
        <v>256</v>
      </c>
    </row>
    <row r="41">
      <c r="A41" s="8">
        <f>'2.1'!A:A</f>
        <v>46212.62662</v>
      </c>
      <c r="B41" s="2" t="str">
        <f>'2.1'!B:B</f>
        <v>bnco0968@signalschool.ac.th</v>
      </c>
      <c r="C41" s="2" t="str">
        <f>'2.1'!C:C</f>
        <v>พ.ต.ไมตรี บุญเหลื่อม</v>
      </c>
      <c r="D41" s="9">
        <v>1.0</v>
      </c>
      <c r="E41" s="10">
        <f>IFERROR(vlookup('2.1'!D:D,lookup!$A$2:$B$4,2,false),0)</f>
        <v>5</v>
      </c>
      <c r="F41" s="10">
        <f>IFERROR(vlookup('2.1'!E:E,lookup!$A$6:$B$8,2,false),0)</f>
        <v>5</v>
      </c>
      <c r="G41" s="10">
        <f>IFERROR(vlookup('2.1'!F:F,lookup!$A$10:$B$12,2,false),0)</f>
        <v>5</v>
      </c>
      <c r="H41" s="10">
        <f>IFERROR(vlookup('2.1'!G:G,lookup!$A$14:$B$16,2,false),0)</f>
        <v>5</v>
      </c>
      <c r="I41" s="10">
        <f>IFERROR(vlookup('2.1'!H:H,lookup!$A$18:$B$20,2,false),0)</f>
        <v>5</v>
      </c>
      <c r="J41" s="10">
        <f>IFERROR(vlookup('2.1'!I:I,lookup!$A$22:$B$24,2,false),0)</f>
        <v>5</v>
      </c>
      <c r="K41" s="10">
        <f>IFERROR(vlookup('2.1'!J:J,lookup!$A$26:$B$28,2,false),0)</f>
        <v>5</v>
      </c>
      <c r="L41" s="2"/>
      <c r="M41" s="10">
        <v>40.0</v>
      </c>
      <c r="N41" s="11" t="str">
        <f t="shared" si="1"/>
        <v>bnco0940@signalschool.ac.th</v>
      </c>
      <c r="O41" s="12">
        <f t="shared" si="2"/>
        <v>1</v>
      </c>
      <c r="R41" s="17" t="s">
        <v>257</v>
      </c>
    </row>
    <row r="42">
      <c r="A42" s="8">
        <f>'2.1'!A:A</f>
        <v>46212.62665</v>
      </c>
      <c r="B42" s="2" t="str">
        <f>'2.1'!B:B</f>
        <v>bnco0916@signalschool.ac.th</v>
      </c>
      <c r="C42" s="2" t="str">
        <f>'2.1'!C:C</f>
        <v>พ.ต.ไมตรี บุญเหลื่อม</v>
      </c>
      <c r="D42" s="9">
        <v>1.0</v>
      </c>
      <c r="E42" s="10">
        <f>IFERROR(vlookup('2.1'!D:D,lookup!$A$2:$B$4,2,false),0)</f>
        <v>5</v>
      </c>
      <c r="F42" s="10">
        <f>IFERROR(vlookup('2.1'!E:E,lookup!$A$6:$B$8,2,false),0)</f>
        <v>5</v>
      </c>
      <c r="G42" s="10">
        <f>IFERROR(vlookup('2.1'!F:F,lookup!$A$10:$B$12,2,false),0)</f>
        <v>5</v>
      </c>
      <c r="H42" s="10">
        <f>IFERROR(vlookup('2.1'!G:G,lookup!$A$14:$B$16,2,false),0)</f>
        <v>5</v>
      </c>
      <c r="I42" s="10">
        <f>IFERROR(vlookup('2.1'!H:H,lookup!$A$18:$B$20,2,false),0)</f>
        <v>5</v>
      </c>
      <c r="J42" s="10">
        <f>IFERROR(vlookup('2.1'!I:I,lookup!$A$22:$B$24,2,false),0)</f>
        <v>5</v>
      </c>
      <c r="K42" s="10">
        <f>IFERROR(vlookup('2.1'!J:J,lookup!$A$26:$B$28,2,false),0)</f>
        <v>5</v>
      </c>
      <c r="L42" s="2"/>
      <c r="M42" s="10">
        <v>41.0</v>
      </c>
      <c r="N42" s="11" t="str">
        <f t="shared" si="1"/>
        <v>bnco0941@signalschool.ac.th</v>
      </c>
      <c r="O42" s="12">
        <f t="shared" si="2"/>
        <v>1</v>
      </c>
      <c r="R42" s="17" t="s">
        <v>258</v>
      </c>
    </row>
    <row r="43">
      <c r="A43" s="8">
        <f>'2.1'!A:A</f>
        <v>46212.62678</v>
      </c>
      <c r="B43" s="2" t="str">
        <f>'2.1'!B:B</f>
        <v>bnco0970@signalschool.ac.th</v>
      </c>
      <c r="C43" s="2" t="str">
        <f>'2.1'!C:C</f>
        <v>พ.ต.ไมตรี บุญเหลื่อม</v>
      </c>
      <c r="D43" s="9">
        <v>1.0</v>
      </c>
      <c r="E43" s="10">
        <f>IFERROR(vlookup('2.1'!D:D,lookup!$A$2:$B$4,2,false),0)</f>
        <v>5</v>
      </c>
      <c r="F43" s="10">
        <f>IFERROR(vlookup('2.1'!E:E,lookup!$A$6:$B$8,2,false),0)</f>
        <v>5</v>
      </c>
      <c r="G43" s="10">
        <f>IFERROR(vlookup('2.1'!F:F,lookup!$A$10:$B$12,2,false),0)</f>
        <v>5</v>
      </c>
      <c r="H43" s="10">
        <f>IFERROR(vlookup('2.1'!G:G,lookup!$A$14:$B$16,2,false),0)</f>
        <v>5</v>
      </c>
      <c r="I43" s="10">
        <f>IFERROR(vlookup('2.1'!H:H,lookup!$A$18:$B$20,2,false),0)</f>
        <v>5</v>
      </c>
      <c r="J43" s="10">
        <f>IFERROR(vlookup('2.1'!I:I,lookup!$A$22:$B$24,2,false),0)</f>
        <v>5</v>
      </c>
      <c r="K43" s="10">
        <f>IFERROR(vlookup('2.1'!J:J,lookup!$A$26:$B$28,2,false),0)</f>
        <v>5</v>
      </c>
      <c r="L43" s="2"/>
      <c r="M43" s="10">
        <v>42.0</v>
      </c>
      <c r="N43" s="11" t="str">
        <f t="shared" si="1"/>
        <v>bnco0942@signalschool.ac.th</v>
      </c>
      <c r="O43" s="12">
        <f t="shared" si="2"/>
        <v>1</v>
      </c>
      <c r="R43" s="17" t="s">
        <v>259</v>
      </c>
    </row>
    <row r="44">
      <c r="A44" s="8">
        <f>'2.1'!A:A</f>
        <v>46212.62719</v>
      </c>
      <c r="B44" s="2" t="str">
        <f>'2.1'!B:B</f>
        <v>bnco0964@signalschool.ac.th</v>
      </c>
      <c r="C44" s="2" t="str">
        <f>'2.1'!C:C</f>
        <v>พ.ต.ไมตรี บุญเหลื่อม</v>
      </c>
      <c r="D44" s="9">
        <v>1.0</v>
      </c>
      <c r="E44" s="10">
        <f>IFERROR(vlookup('2.1'!D:D,lookup!$A$2:$B$4,2,false),0)</f>
        <v>5</v>
      </c>
      <c r="F44" s="10">
        <f>IFERROR(vlookup('2.1'!E:E,lookup!$A$6:$B$8,2,false),0)</f>
        <v>5</v>
      </c>
      <c r="G44" s="10">
        <f>IFERROR(vlookup('2.1'!F:F,lookup!$A$10:$B$12,2,false),0)</f>
        <v>5</v>
      </c>
      <c r="H44" s="10">
        <f>IFERROR(vlookup('2.1'!G:G,lookup!$A$14:$B$16,2,false),0)</f>
        <v>5</v>
      </c>
      <c r="I44" s="10">
        <f>IFERROR(vlookup('2.1'!H:H,lookup!$A$18:$B$20,2,false),0)</f>
        <v>5</v>
      </c>
      <c r="J44" s="10">
        <f>IFERROR(vlookup('2.1'!I:I,lookup!$A$22:$B$24,2,false),0)</f>
        <v>5</v>
      </c>
      <c r="K44" s="10">
        <f>IFERROR(vlookup('2.1'!J:J,lookup!$A$26:$B$28,2,false),0)</f>
        <v>5</v>
      </c>
      <c r="L44" s="2"/>
      <c r="M44" s="10">
        <v>43.0</v>
      </c>
      <c r="N44" s="11" t="str">
        <f t="shared" si="1"/>
        <v>bnco0943@signalschool.ac.th</v>
      </c>
      <c r="O44" s="12">
        <f t="shared" si="2"/>
        <v>1</v>
      </c>
      <c r="R44" s="17" t="s">
        <v>260</v>
      </c>
    </row>
    <row r="45">
      <c r="A45" s="8">
        <f>'2.1'!A:A</f>
        <v>46212.62733</v>
      </c>
      <c r="B45" s="2" t="str">
        <f>'2.1'!B:B</f>
        <v>bnco0965@signalschool.ac.th</v>
      </c>
      <c r="C45" s="2" t="str">
        <f>'2.1'!C:C</f>
        <v>พ.ต.ไมตรี บุญเหลื่อม</v>
      </c>
      <c r="D45" s="9">
        <v>1.0</v>
      </c>
      <c r="E45" s="10">
        <f>IFERROR(vlookup('2.1'!D:D,lookup!$A$2:$B$4,2,false),0)</f>
        <v>5</v>
      </c>
      <c r="F45" s="10">
        <f>IFERROR(vlookup('2.1'!E:E,lookup!$A$6:$B$8,2,false),0)</f>
        <v>5</v>
      </c>
      <c r="G45" s="10">
        <f>IFERROR(vlookup('2.1'!F:F,lookup!$A$10:$B$12,2,false),0)</f>
        <v>5</v>
      </c>
      <c r="H45" s="10">
        <f>IFERROR(vlookup('2.1'!G:G,lookup!$A$14:$B$16,2,false),0)</f>
        <v>5</v>
      </c>
      <c r="I45" s="10">
        <f>IFERROR(vlookup('2.1'!H:H,lookup!$A$18:$B$20,2,false),0)</f>
        <v>5</v>
      </c>
      <c r="J45" s="10">
        <f>IFERROR(vlookup('2.1'!I:I,lookup!$A$22:$B$24,2,false),0)</f>
        <v>5</v>
      </c>
      <c r="K45" s="10">
        <f>IFERROR(vlookup('2.1'!J:J,lookup!$A$26:$B$28,2,false),0)</f>
        <v>5</v>
      </c>
      <c r="L45" s="2"/>
      <c r="M45" s="10">
        <v>44.0</v>
      </c>
      <c r="N45" s="11" t="str">
        <f t="shared" si="1"/>
        <v>bnco0944@signalschool.ac.th</v>
      </c>
      <c r="O45" s="12">
        <f t="shared" si="2"/>
        <v>1</v>
      </c>
      <c r="R45" s="17" t="s">
        <v>261</v>
      </c>
    </row>
    <row r="46">
      <c r="A46" s="8">
        <f>'2.1'!A:A</f>
        <v>46212.6275</v>
      </c>
      <c r="B46" s="2" t="str">
        <f>'2.1'!B:B</f>
        <v>bnco0973@signalschool.ac.th</v>
      </c>
      <c r="C46" s="2" t="str">
        <f>'2.1'!C:C</f>
        <v>พ.ต.ไมตรี บุญเหลื่อม</v>
      </c>
      <c r="D46" s="9">
        <v>1.0</v>
      </c>
      <c r="E46" s="10">
        <f>IFERROR(vlookup('2.1'!D:D,lookup!$A$2:$B$4,2,false),0)</f>
        <v>5</v>
      </c>
      <c r="F46" s="10">
        <f>IFERROR(vlookup('2.1'!E:E,lookup!$A$6:$B$8,2,false),0)</f>
        <v>5</v>
      </c>
      <c r="G46" s="10">
        <f>IFERROR(vlookup('2.1'!F:F,lookup!$A$10:$B$12,2,false),0)</f>
        <v>5</v>
      </c>
      <c r="H46" s="10">
        <f>IFERROR(vlookup('2.1'!G:G,lookup!$A$14:$B$16,2,false),0)</f>
        <v>5</v>
      </c>
      <c r="I46" s="10">
        <f>IFERROR(vlookup('2.1'!H:H,lookup!$A$18:$B$20,2,false),0)</f>
        <v>5</v>
      </c>
      <c r="J46" s="10">
        <f>IFERROR(vlookup('2.1'!I:I,lookup!$A$22:$B$24,2,false),0)</f>
        <v>5</v>
      </c>
      <c r="K46" s="10">
        <f>IFERROR(vlookup('2.1'!J:J,lookup!$A$26:$B$28,2,false),0)</f>
        <v>5</v>
      </c>
      <c r="L46" s="2"/>
      <c r="M46" s="10">
        <v>45.0</v>
      </c>
      <c r="N46" s="11" t="str">
        <f t="shared" si="1"/>
        <v>bnco0945@signalschool.ac.th</v>
      </c>
      <c r="O46" s="12">
        <f t="shared" si="2"/>
        <v>1</v>
      </c>
      <c r="R46" s="17" t="s">
        <v>262</v>
      </c>
    </row>
    <row r="47">
      <c r="A47" s="8">
        <f>'2.1'!A:A</f>
        <v>46212.62764</v>
      </c>
      <c r="B47" s="2" t="str">
        <f>'2.1'!B:B</f>
        <v>bnco0963@signalschool.ac.th</v>
      </c>
      <c r="C47" s="2" t="str">
        <f>'2.1'!C:C</f>
        <v>พ.ต.ไมตรี บุญเหลื่อม</v>
      </c>
      <c r="D47" s="9">
        <v>1.0</v>
      </c>
      <c r="E47" s="10">
        <f>IFERROR(vlookup('2.1'!D:D,lookup!$A$2:$B$4,2,false),0)</f>
        <v>5</v>
      </c>
      <c r="F47" s="10">
        <f>IFERROR(vlookup('2.1'!E:E,lookup!$A$6:$B$8,2,false),0)</f>
        <v>5</v>
      </c>
      <c r="G47" s="10">
        <f>IFERROR(vlookup('2.1'!F:F,lookup!$A$10:$B$12,2,false),0)</f>
        <v>5</v>
      </c>
      <c r="H47" s="10">
        <f>IFERROR(vlookup('2.1'!G:G,lookup!$A$14:$B$16,2,false),0)</f>
        <v>5</v>
      </c>
      <c r="I47" s="10">
        <f>IFERROR(vlookup('2.1'!H:H,lookup!$A$18:$B$20,2,false),0)</f>
        <v>5</v>
      </c>
      <c r="J47" s="10">
        <f>IFERROR(vlookup('2.1'!I:I,lookup!$A$22:$B$24,2,false),0)</f>
        <v>5</v>
      </c>
      <c r="K47" s="10">
        <f>IFERROR(vlookup('2.1'!J:J,lookup!$A$26:$B$28,2,false),0)</f>
        <v>5</v>
      </c>
      <c r="L47" s="2"/>
      <c r="M47" s="10">
        <v>46.0</v>
      </c>
      <c r="N47" s="11" t="str">
        <f t="shared" si="1"/>
        <v>bnco0946@signalschool.ac.th</v>
      </c>
      <c r="O47" s="12">
        <f t="shared" si="2"/>
        <v>1</v>
      </c>
      <c r="R47" s="17" t="s">
        <v>263</v>
      </c>
    </row>
    <row r="48">
      <c r="A48" s="8">
        <f>'2.1'!A:A</f>
        <v>46212.62772</v>
      </c>
      <c r="B48" s="2" t="str">
        <f>'2.1'!B:B</f>
        <v>bnco0941@signalschool.ac.th</v>
      </c>
      <c r="C48" s="2" t="str">
        <f>'2.1'!C:C</f>
        <v>พ.ต.ไมตรี บุญเหลื่อม</v>
      </c>
      <c r="D48" s="9">
        <v>1.0</v>
      </c>
      <c r="E48" s="10">
        <f>IFERROR(vlookup('2.1'!D:D,lookup!$A$2:$B$4,2,false),0)</f>
        <v>5</v>
      </c>
      <c r="F48" s="10">
        <f>IFERROR(vlookup('2.1'!E:E,lookup!$A$6:$B$8,2,false),0)</f>
        <v>5</v>
      </c>
      <c r="G48" s="10">
        <f>IFERROR(vlookup('2.1'!F:F,lookup!$A$10:$B$12,2,false),0)</f>
        <v>5</v>
      </c>
      <c r="H48" s="10">
        <f>IFERROR(vlookup('2.1'!G:G,lookup!$A$14:$B$16,2,false),0)</f>
        <v>5</v>
      </c>
      <c r="I48" s="10">
        <f>IFERROR(vlookup('2.1'!H:H,lookup!$A$18:$B$20,2,false),0)</f>
        <v>5</v>
      </c>
      <c r="J48" s="10">
        <f>IFERROR(vlookup('2.1'!I:I,lookup!$A$22:$B$24,2,false),0)</f>
        <v>5</v>
      </c>
      <c r="K48" s="10">
        <f>IFERROR(vlookup('2.1'!J:J,lookup!$A$26:$B$28,2,false),0)</f>
        <v>5</v>
      </c>
      <c r="L48" s="2"/>
      <c r="M48" s="10">
        <v>47.0</v>
      </c>
      <c r="N48" s="11" t="str">
        <f t="shared" si="1"/>
        <v>bnco0947@signalschool.ac.th</v>
      </c>
      <c r="O48" s="12">
        <f t="shared" si="2"/>
        <v>1</v>
      </c>
      <c r="R48" s="17" t="s">
        <v>264</v>
      </c>
    </row>
    <row r="49">
      <c r="A49" s="8">
        <f>'2.1'!A:A</f>
        <v>46212.62777</v>
      </c>
      <c r="B49" s="2" t="str">
        <f>'2.1'!B:B</f>
        <v>bnco0929@signalschool.ac.th</v>
      </c>
      <c r="C49" s="2" t="str">
        <f>'2.1'!C:C</f>
        <v>พ.ต.ไมตรี บุญเหลื่อม</v>
      </c>
      <c r="D49" s="9">
        <v>1.0</v>
      </c>
      <c r="E49" s="10">
        <f>IFERROR(vlookup('2.1'!D:D,lookup!$A$2:$B$4,2,false),0)</f>
        <v>5</v>
      </c>
      <c r="F49" s="10">
        <f>IFERROR(vlookup('2.1'!E:E,lookup!$A$6:$B$8,2,false),0)</f>
        <v>5</v>
      </c>
      <c r="G49" s="10">
        <f>IFERROR(vlookup('2.1'!F:F,lookup!$A$10:$B$12,2,false),0)</f>
        <v>5</v>
      </c>
      <c r="H49" s="10">
        <f>IFERROR(vlookup('2.1'!G:G,lookup!$A$14:$B$16,2,false),0)</f>
        <v>5</v>
      </c>
      <c r="I49" s="10">
        <f>IFERROR(vlookup('2.1'!H:H,lookup!$A$18:$B$20,2,false),0)</f>
        <v>5</v>
      </c>
      <c r="J49" s="10">
        <f>IFERROR(vlookup('2.1'!I:I,lookup!$A$22:$B$24,2,false),0)</f>
        <v>5</v>
      </c>
      <c r="K49" s="10">
        <f>IFERROR(vlookup('2.1'!J:J,lookup!$A$26:$B$28,2,false),0)</f>
        <v>5</v>
      </c>
      <c r="L49" s="2"/>
      <c r="M49" s="10">
        <v>48.0</v>
      </c>
      <c r="N49" s="11" t="str">
        <f t="shared" si="1"/>
        <v>bnco0948@signalschool.ac.th</v>
      </c>
      <c r="O49" s="12">
        <f t="shared" si="2"/>
        <v>1</v>
      </c>
      <c r="R49" s="17" t="s">
        <v>265</v>
      </c>
    </row>
    <row r="50">
      <c r="A50" s="8">
        <f>'2.1'!A:A</f>
        <v>46212.62777</v>
      </c>
      <c r="B50" s="2" t="str">
        <f>'2.1'!B:B</f>
        <v>bnco0938@signalschool.ac.th</v>
      </c>
      <c r="C50" s="2" t="str">
        <f>'2.1'!C:C</f>
        <v>พ.ต.ไมตรี บุญเหลื่อม</v>
      </c>
      <c r="D50" s="9">
        <v>1.0</v>
      </c>
      <c r="E50" s="10">
        <f>IFERROR(vlookup('2.1'!D:D,lookup!$A$2:$B$4,2,false),0)</f>
        <v>5</v>
      </c>
      <c r="F50" s="10">
        <f>IFERROR(vlookup('2.1'!E:E,lookup!$A$6:$B$8,2,false),0)</f>
        <v>5</v>
      </c>
      <c r="G50" s="10">
        <f>IFERROR(vlookup('2.1'!F:F,lookup!$A$10:$B$12,2,false),0)</f>
        <v>5</v>
      </c>
      <c r="H50" s="10">
        <f>IFERROR(vlookup('2.1'!G:G,lookup!$A$14:$B$16,2,false),0)</f>
        <v>5</v>
      </c>
      <c r="I50" s="10">
        <f>IFERROR(vlookup('2.1'!H:H,lookup!$A$18:$B$20,2,false),0)</f>
        <v>5</v>
      </c>
      <c r="J50" s="10">
        <f>IFERROR(vlookup('2.1'!I:I,lookup!$A$22:$B$24,2,false),0)</f>
        <v>5</v>
      </c>
      <c r="K50" s="10">
        <f>IFERROR(vlookup('2.1'!J:J,lookup!$A$26:$B$28,2,false),0)</f>
        <v>5</v>
      </c>
      <c r="L50" s="2"/>
      <c r="M50" s="10">
        <v>49.0</v>
      </c>
      <c r="N50" s="11" t="str">
        <f t="shared" si="1"/>
        <v>bnco0949@signalschool.ac.th</v>
      </c>
      <c r="O50" s="12">
        <f t="shared" si="2"/>
        <v>1</v>
      </c>
      <c r="R50" s="17" t="s">
        <v>266</v>
      </c>
    </row>
    <row r="51">
      <c r="A51" s="8">
        <f>'2.1'!A:A</f>
        <v>46212.62786</v>
      </c>
      <c r="B51" s="2" t="str">
        <f>'2.1'!B:B</f>
        <v>bnco0960@signalschool.ac.th</v>
      </c>
      <c r="C51" s="2" t="str">
        <f>'2.1'!C:C</f>
        <v>พ.ต.ไมตรี บุญเหลื่อม</v>
      </c>
      <c r="D51" s="9">
        <v>1.0</v>
      </c>
      <c r="E51" s="10">
        <f>IFERROR(vlookup('2.1'!D:D,lookup!$A$2:$B$4,2,false),0)</f>
        <v>5</v>
      </c>
      <c r="F51" s="10">
        <f>IFERROR(vlookup('2.1'!E:E,lookup!$A$6:$B$8,2,false),0)</f>
        <v>5</v>
      </c>
      <c r="G51" s="10">
        <f>IFERROR(vlookup('2.1'!F:F,lookup!$A$10:$B$12,2,false),0)</f>
        <v>5</v>
      </c>
      <c r="H51" s="10">
        <f>IFERROR(vlookup('2.1'!G:G,lookup!$A$14:$B$16,2,false),0)</f>
        <v>5</v>
      </c>
      <c r="I51" s="10">
        <f>IFERROR(vlookup('2.1'!H:H,lookup!$A$18:$B$20,2,false),0)</f>
        <v>5</v>
      </c>
      <c r="J51" s="10">
        <f>IFERROR(vlookup('2.1'!I:I,lookup!$A$22:$B$24,2,false),0)</f>
        <v>5</v>
      </c>
      <c r="K51" s="10">
        <f>IFERROR(vlookup('2.1'!J:J,lookup!$A$26:$B$28,2,false),0)</f>
        <v>5</v>
      </c>
      <c r="L51" s="2"/>
      <c r="M51" s="10">
        <v>50.0</v>
      </c>
      <c r="N51" s="11" t="str">
        <f t="shared" si="1"/>
        <v>bnco0950@signalschool.ac.th</v>
      </c>
      <c r="O51" s="12">
        <f t="shared" si="2"/>
        <v>1</v>
      </c>
      <c r="R51" s="17" t="s">
        <v>267</v>
      </c>
    </row>
    <row r="52">
      <c r="A52" s="8">
        <f>'2.1'!A:A</f>
        <v>46212.62792</v>
      </c>
      <c r="B52" s="2" t="str">
        <f>'2.1'!B:B</f>
        <v>bnco0937@signalschool.ac.th</v>
      </c>
      <c r="C52" s="2" t="str">
        <f>'2.1'!C:C</f>
        <v>พ.ต.ไมตรี บุญเหลื่อม</v>
      </c>
      <c r="D52" s="9">
        <v>1.0</v>
      </c>
      <c r="E52" s="10">
        <f>IFERROR(vlookup('2.1'!D:D,lookup!$A$2:$B$4,2,false),0)</f>
        <v>5</v>
      </c>
      <c r="F52" s="10">
        <f>IFERROR(vlookup('2.1'!E:E,lookup!$A$6:$B$8,2,false),0)</f>
        <v>5</v>
      </c>
      <c r="G52" s="10">
        <f>IFERROR(vlookup('2.1'!F:F,lookup!$A$10:$B$12,2,false),0)</f>
        <v>5</v>
      </c>
      <c r="H52" s="10">
        <f>IFERROR(vlookup('2.1'!G:G,lookup!$A$14:$B$16,2,false),0)</f>
        <v>5</v>
      </c>
      <c r="I52" s="10">
        <f>IFERROR(vlookup('2.1'!H:H,lookup!$A$18:$B$20,2,false),0)</f>
        <v>5</v>
      </c>
      <c r="J52" s="10">
        <f>IFERROR(vlookup('2.1'!I:I,lookup!$A$22:$B$24,2,false),0)</f>
        <v>5</v>
      </c>
      <c r="K52" s="10">
        <f>IFERROR(vlookup('2.1'!J:J,lookup!$A$26:$B$28,2,false),0)</f>
        <v>5</v>
      </c>
      <c r="L52" s="2"/>
      <c r="M52" s="10">
        <v>51.0</v>
      </c>
      <c r="N52" s="11" t="str">
        <f t="shared" si="1"/>
        <v>bnco0951@signalschool.ac.th</v>
      </c>
      <c r="O52" s="12">
        <f t="shared" si="2"/>
        <v>1</v>
      </c>
      <c r="R52" s="17" t="s">
        <v>268</v>
      </c>
    </row>
    <row r="53">
      <c r="A53" s="8">
        <f>'2.1'!A:A</f>
        <v>46212.62797</v>
      </c>
      <c r="B53" s="2" t="str">
        <f>'2.1'!B:B</f>
        <v>bnco0912@signalschool.ac.th</v>
      </c>
      <c r="C53" s="2" t="str">
        <f>'2.1'!C:C</f>
        <v>พ.ต.ไมตรี บุญเหลื่อม</v>
      </c>
      <c r="D53" s="9">
        <v>1.0</v>
      </c>
      <c r="E53" s="10">
        <f>IFERROR(vlookup('2.1'!D:D,lookup!$A$2:$B$4,2,false),0)</f>
        <v>5</v>
      </c>
      <c r="F53" s="10">
        <f>IFERROR(vlookup('2.1'!E:E,lookup!$A$6:$B$8,2,false),0)</f>
        <v>5</v>
      </c>
      <c r="G53" s="10">
        <f>IFERROR(vlookup('2.1'!F:F,lookup!$A$10:$B$12,2,false),0)</f>
        <v>5</v>
      </c>
      <c r="H53" s="10">
        <f>IFERROR(vlookup('2.1'!G:G,lookup!$A$14:$B$16,2,false),0)</f>
        <v>5</v>
      </c>
      <c r="I53" s="10">
        <f>IFERROR(vlookup('2.1'!H:H,lookup!$A$18:$B$20,2,false),0)</f>
        <v>5</v>
      </c>
      <c r="J53" s="10">
        <f>IFERROR(vlookup('2.1'!I:I,lookup!$A$22:$B$24,2,false),0)</f>
        <v>5</v>
      </c>
      <c r="K53" s="10">
        <f>IFERROR(vlookup('2.1'!J:J,lookup!$A$26:$B$28,2,false),0)</f>
        <v>5</v>
      </c>
      <c r="L53" s="2"/>
      <c r="M53" s="10">
        <v>52.0</v>
      </c>
      <c r="N53" s="11" t="str">
        <f t="shared" si="1"/>
        <v>bnco0952@signalschool.ac.th</v>
      </c>
      <c r="O53" s="12">
        <f t="shared" si="2"/>
        <v>1</v>
      </c>
      <c r="R53" s="17" t="s">
        <v>269</v>
      </c>
    </row>
    <row r="54">
      <c r="A54" s="8">
        <f>'2.1'!A:A</f>
        <v>46212.62815</v>
      </c>
      <c r="B54" s="2" t="str">
        <f>'2.1'!B:B</f>
        <v>bnco0933@signalschool.ac.th</v>
      </c>
      <c r="C54" s="2" t="str">
        <f>'2.1'!C:C</f>
        <v>พ.ต.ไมตรี บุญเหลื่อม</v>
      </c>
      <c r="D54" s="9">
        <v>1.0</v>
      </c>
      <c r="E54" s="10">
        <f>IFERROR(vlookup('2.1'!D:D,lookup!$A$2:$B$4,2,false),0)</f>
        <v>5</v>
      </c>
      <c r="F54" s="10">
        <f>IFERROR(vlookup('2.1'!E:E,lookup!$A$6:$B$8,2,false),0)</f>
        <v>5</v>
      </c>
      <c r="G54" s="10">
        <f>IFERROR(vlookup('2.1'!F:F,lookup!$A$10:$B$12,2,false),0)</f>
        <v>5</v>
      </c>
      <c r="H54" s="10">
        <f>IFERROR(vlookup('2.1'!G:G,lookup!$A$14:$B$16,2,false),0)</f>
        <v>5</v>
      </c>
      <c r="I54" s="10">
        <f>IFERROR(vlookup('2.1'!H:H,lookup!$A$18:$B$20,2,false),0)</f>
        <v>5</v>
      </c>
      <c r="J54" s="10">
        <f>IFERROR(vlookup('2.1'!I:I,lookup!$A$22:$B$24,2,false),0)</f>
        <v>5</v>
      </c>
      <c r="K54" s="10">
        <f>IFERROR(vlookup('2.1'!J:J,lookup!$A$26:$B$28,2,false),0)</f>
        <v>5</v>
      </c>
      <c r="L54" s="2"/>
      <c r="M54" s="10">
        <v>53.0</v>
      </c>
      <c r="N54" s="11" t="str">
        <f t="shared" si="1"/>
        <v>bnco0953@signalschool.ac.th</v>
      </c>
      <c r="O54" s="12">
        <f t="shared" si="2"/>
        <v>1</v>
      </c>
      <c r="R54" s="17" t="s">
        <v>270</v>
      </c>
    </row>
    <row r="55">
      <c r="A55" s="8">
        <f>'2.1'!A:A</f>
        <v>46212.62818</v>
      </c>
      <c r="B55" s="2" t="str">
        <f>'2.1'!B:B</f>
        <v>bnco0915@signalschool.ac.th</v>
      </c>
      <c r="C55" s="2" t="str">
        <f>'2.1'!C:C</f>
        <v>พ.ต.ไมตรี​ บุญเหลี่ยม</v>
      </c>
      <c r="D55" s="9">
        <v>1.0</v>
      </c>
      <c r="E55" s="10">
        <f>IFERROR(vlookup('2.1'!D:D,lookup!$A$2:$B$4,2,false),0)</f>
        <v>5</v>
      </c>
      <c r="F55" s="10">
        <f>IFERROR(vlookup('2.1'!E:E,lookup!$A$6:$B$8,2,false),0)</f>
        <v>5</v>
      </c>
      <c r="G55" s="10">
        <f>IFERROR(vlookup('2.1'!F:F,lookup!$A$10:$B$12,2,false),0)</f>
        <v>5</v>
      </c>
      <c r="H55" s="10">
        <f>IFERROR(vlookup('2.1'!G:G,lookup!$A$14:$B$16,2,false),0)</f>
        <v>5</v>
      </c>
      <c r="I55" s="10">
        <f>IFERROR(vlookup('2.1'!H:H,lookup!$A$18:$B$20,2,false),0)</f>
        <v>5</v>
      </c>
      <c r="J55" s="10">
        <f>IFERROR(vlookup('2.1'!I:I,lookup!$A$22:$B$24,2,false),0)</f>
        <v>5</v>
      </c>
      <c r="K55" s="10">
        <f>IFERROR(vlookup('2.1'!J:J,lookup!$A$26:$B$28,2,false),0)</f>
        <v>5</v>
      </c>
      <c r="L55" s="2"/>
      <c r="M55" s="10">
        <v>54.0</v>
      </c>
      <c r="N55" s="11" t="str">
        <f t="shared" si="1"/>
        <v>bnco0954@signalschool.ac.th</v>
      </c>
      <c r="O55" s="12">
        <f t="shared" si="2"/>
        <v>1</v>
      </c>
      <c r="R55" s="17" t="s">
        <v>271</v>
      </c>
    </row>
    <row r="56">
      <c r="A56" s="8">
        <f>'2.1'!A:A</f>
        <v>46212.62819</v>
      </c>
      <c r="B56" s="2" t="str">
        <f>'2.1'!B:B</f>
        <v>bnco0957@signalschool.ac.th</v>
      </c>
      <c r="C56" s="2" t="str">
        <f>'2.1'!C:C</f>
        <v>พ.ต.ไมตรี บุญเหลื่อม</v>
      </c>
      <c r="D56" s="9">
        <v>1.0</v>
      </c>
      <c r="E56" s="10">
        <f>IFERROR(vlookup('2.1'!D:D,lookup!$A$2:$B$4,2,false),0)</f>
        <v>5</v>
      </c>
      <c r="F56" s="10">
        <f>IFERROR(vlookup('2.1'!E:E,lookup!$A$6:$B$8,2,false),0)</f>
        <v>5</v>
      </c>
      <c r="G56" s="10">
        <f>IFERROR(vlookup('2.1'!F:F,lookup!$A$10:$B$12,2,false),0)</f>
        <v>5</v>
      </c>
      <c r="H56" s="10">
        <f>IFERROR(vlookup('2.1'!G:G,lookup!$A$14:$B$16,2,false),0)</f>
        <v>5</v>
      </c>
      <c r="I56" s="10">
        <f>IFERROR(vlookup('2.1'!H:H,lookup!$A$18:$B$20,2,false),0)</f>
        <v>5</v>
      </c>
      <c r="J56" s="10">
        <f>IFERROR(vlookup('2.1'!I:I,lookup!$A$22:$B$24,2,false),0)</f>
        <v>5</v>
      </c>
      <c r="K56" s="10">
        <f>IFERROR(vlookup('2.1'!J:J,lookup!$A$26:$B$28,2,false),0)</f>
        <v>5</v>
      </c>
      <c r="L56" s="13"/>
      <c r="M56" s="10">
        <v>55.0</v>
      </c>
      <c r="N56" s="11" t="str">
        <f t="shared" si="1"/>
        <v>bnco0955@signalschool.ac.th</v>
      </c>
      <c r="O56" s="12">
        <f t="shared" si="2"/>
        <v>1</v>
      </c>
      <c r="R56" s="17" t="s">
        <v>272</v>
      </c>
    </row>
    <row r="57">
      <c r="A57" s="8">
        <f>'2.1'!A:A</f>
        <v>46212.6282</v>
      </c>
      <c r="B57" s="2" t="str">
        <f>'2.1'!B:B</f>
        <v>bnco0956@signalschool.ac.th</v>
      </c>
      <c r="C57" s="2" t="str">
        <f>'2.1'!C:C</f>
        <v>พ.ต.ไมตรี บุญเหลื่อม</v>
      </c>
      <c r="D57" s="9">
        <v>1.0</v>
      </c>
      <c r="E57" s="10">
        <f>IFERROR(vlookup('2.1'!D:D,lookup!$A$2:$B$4,2,false),0)</f>
        <v>5</v>
      </c>
      <c r="F57" s="10">
        <f>IFERROR(vlookup('2.1'!E:E,lookup!$A$6:$B$8,2,false),0)</f>
        <v>5</v>
      </c>
      <c r="G57" s="10">
        <f>IFERROR(vlookup('2.1'!F:F,lookup!$A$10:$B$12,2,false),0)</f>
        <v>5</v>
      </c>
      <c r="H57" s="10">
        <f>IFERROR(vlookup('2.1'!G:G,lookup!$A$14:$B$16,2,false),0)</f>
        <v>5</v>
      </c>
      <c r="I57" s="10">
        <f>IFERROR(vlookup('2.1'!H:H,lookup!$A$18:$B$20,2,false),0)</f>
        <v>5</v>
      </c>
      <c r="J57" s="10">
        <f>IFERROR(vlookup('2.1'!I:I,lookup!$A$22:$B$24,2,false),0)</f>
        <v>5</v>
      </c>
      <c r="K57" s="10">
        <f>IFERROR(vlookup('2.1'!J:J,lookup!$A$26:$B$28,2,false),0)</f>
        <v>5</v>
      </c>
      <c r="L57" s="13"/>
      <c r="M57" s="10">
        <v>56.0</v>
      </c>
      <c r="N57" s="11" t="str">
        <f t="shared" si="1"/>
        <v>bnco0956@signalschool.ac.th</v>
      </c>
      <c r="O57" s="12">
        <f t="shared" si="2"/>
        <v>1</v>
      </c>
      <c r="R57" s="17" t="s">
        <v>273</v>
      </c>
    </row>
    <row r="58">
      <c r="A58" s="8">
        <f>'2.1'!A:A</f>
        <v>46212.62821</v>
      </c>
      <c r="B58" s="2" t="str">
        <f>'2.1'!B:B</f>
        <v>bnco0901@signalschool.ac.th</v>
      </c>
      <c r="C58" s="2" t="str">
        <f>'2.1'!C:C</f>
        <v>พ.ต.ไมตรี บุญเหลื่อม</v>
      </c>
      <c r="D58" s="9">
        <v>1.0</v>
      </c>
      <c r="E58" s="10">
        <f>IFERROR(vlookup('2.1'!D:D,lookup!$A$2:$B$4,2,false),0)</f>
        <v>5</v>
      </c>
      <c r="F58" s="10">
        <f>IFERROR(vlookup('2.1'!E:E,lookup!$A$6:$B$8,2,false),0)</f>
        <v>5</v>
      </c>
      <c r="G58" s="10">
        <f>IFERROR(vlookup('2.1'!F:F,lookup!$A$10:$B$12,2,false),0)</f>
        <v>5</v>
      </c>
      <c r="H58" s="10">
        <f>IFERROR(vlookup('2.1'!G:G,lookup!$A$14:$B$16,2,false),0)</f>
        <v>5</v>
      </c>
      <c r="I58" s="10">
        <f>IFERROR(vlookup('2.1'!H:H,lookup!$A$18:$B$20,2,false),0)</f>
        <v>5</v>
      </c>
      <c r="J58" s="10">
        <f>IFERROR(vlookup('2.1'!I:I,lookup!$A$22:$B$24,2,false),0)</f>
        <v>5</v>
      </c>
      <c r="K58" s="10">
        <f>IFERROR(vlookup('2.1'!J:J,lookup!$A$26:$B$28,2,false),0)</f>
        <v>5</v>
      </c>
      <c r="L58" s="13"/>
      <c r="M58" s="10">
        <v>57.0</v>
      </c>
      <c r="N58" s="11" t="str">
        <f t="shared" si="1"/>
        <v>bnco0957@signalschool.ac.th</v>
      </c>
      <c r="O58" s="12">
        <f t="shared" si="2"/>
        <v>1</v>
      </c>
      <c r="R58" s="17" t="s">
        <v>274</v>
      </c>
    </row>
    <row r="59">
      <c r="A59" s="8">
        <f>'2.1'!A:A</f>
        <v>46212.62833</v>
      </c>
      <c r="B59" s="2" t="str">
        <f>'2.1'!B:B</f>
        <v>bnco0945@signalschool.ac.th</v>
      </c>
      <c r="C59" s="2" t="str">
        <f>'2.1'!C:C</f>
        <v>พ.ต.ไมตรี บุญเหลื่อม</v>
      </c>
      <c r="D59" s="9">
        <v>1.0</v>
      </c>
      <c r="E59" s="10">
        <f>IFERROR(vlookup('2.1'!D:D,lookup!$A$2:$B$4,2,false),0)</f>
        <v>5</v>
      </c>
      <c r="F59" s="10">
        <f>IFERROR(vlookup('2.1'!E:E,lookup!$A$6:$B$8,2,false),0)</f>
        <v>5</v>
      </c>
      <c r="G59" s="10">
        <f>IFERROR(vlookup('2.1'!F:F,lookup!$A$10:$B$12,2,false),0)</f>
        <v>5</v>
      </c>
      <c r="H59" s="10">
        <f>IFERROR(vlookup('2.1'!G:G,lookup!$A$14:$B$16,2,false),0)</f>
        <v>5</v>
      </c>
      <c r="I59" s="10">
        <f>IFERROR(vlookup('2.1'!H:H,lookup!$A$18:$B$20,2,false),0)</f>
        <v>5</v>
      </c>
      <c r="J59" s="10">
        <f>IFERROR(vlookup('2.1'!I:I,lookup!$A$22:$B$24,2,false),0)</f>
        <v>5</v>
      </c>
      <c r="K59" s="10">
        <f>IFERROR(vlookup('2.1'!J:J,lookup!$A$26:$B$28,2,false),0)</f>
        <v>5</v>
      </c>
      <c r="L59" s="14"/>
      <c r="M59" s="10">
        <v>58.0</v>
      </c>
      <c r="N59" s="11" t="str">
        <f t="shared" si="1"/>
        <v>bnco0958@signalschool.ac.th</v>
      </c>
      <c r="O59" s="12">
        <f t="shared" si="2"/>
        <v>1</v>
      </c>
      <c r="R59" s="17" t="s">
        <v>275</v>
      </c>
    </row>
    <row r="60">
      <c r="A60" s="8">
        <f>'2.1'!A:A</f>
        <v>46212.62843</v>
      </c>
      <c r="B60" s="2" t="str">
        <f>'2.1'!B:B</f>
        <v>bnco0939@signalschool.ac.th</v>
      </c>
      <c r="C60" s="2" t="str">
        <f>'2.1'!C:C</f>
        <v>พ.ต.ไมตรี บุญเหลื่อม</v>
      </c>
      <c r="D60" s="9">
        <v>1.0</v>
      </c>
      <c r="E60" s="10">
        <f>IFERROR(vlookup('2.1'!D:D,lookup!$A$2:$B$4,2,false),0)</f>
        <v>5</v>
      </c>
      <c r="F60" s="10">
        <f>IFERROR(vlookup('2.1'!E:E,lookup!$A$6:$B$8,2,false),0)</f>
        <v>5</v>
      </c>
      <c r="G60" s="10">
        <f>IFERROR(vlookup('2.1'!F:F,lookup!$A$10:$B$12,2,false),0)</f>
        <v>5</v>
      </c>
      <c r="H60" s="10">
        <f>IFERROR(vlookup('2.1'!G:G,lookup!$A$14:$B$16,2,false),0)</f>
        <v>5</v>
      </c>
      <c r="I60" s="10">
        <f>IFERROR(vlookup('2.1'!H:H,lookup!$A$18:$B$20,2,false),0)</f>
        <v>5</v>
      </c>
      <c r="J60" s="10">
        <f>IFERROR(vlookup('2.1'!I:I,lookup!$A$22:$B$24,2,false),0)</f>
        <v>5</v>
      </c>
      <c r="K60" s="10">
        <f>IFERROR(vlookup('2.1'!J:J,lookup!$A$26:$B$28,2,false),0)</f>
        <v>5</v>
      </c>
      <c r="L60" s="10"/>
      <c r="M60" s="10">
        <v>59.0</v>
      </c>
      <c r="N60" s="11" t="str">
        <f t="shared" si="1"/>
        <v>bnco0959@signalschool.ac.th</v>
      </c>
      <c r="O60" s="12">
        <f t="shared" si="2"/>
        <v>1</v>
      </c>
      <c r="R60" s="17" t="s">
        <v>276</v>
      </c>
    </row>
    <row r="61">
      <c r="A61" s="8">
        <f>'2.1'!A:A</f>
        <v>46212.62846</v>
      </c>
      <c r="B61" s="2" t="str">
        <f>'2.1'!B:B</f>
        <v>bnco0947@signalschool.ac.th</v>
      </c>
      <c r="C61" s="2" t="str">
        <f>'2.1'!C:C</f>
        <v>พ.ต.ไมตรี บุญเหลื่อม</v>
      </c>
      <c r="D61" s="9">
        <v>1.0</v>
      </c>
      <c r="E61" s="10">
        <f>IFERROR(vlookup('2.1'!D:D,lookup!$A$2:$B$4,2,false),0)</f>
        <v>5</v>
      </c>
      <c r="F61" s="10">
        <f>IFERROR(vlookup('2.1'!E:E,lookup!$A$6:$B$8,2,false),0)</f>
        <v>5</v>
      </c>
      <c r="G61" s="10">
        <f>IFERROR(vlookup('2.1'!F:F,lookup!$A$10:$B$12,2,false),0)</f>
        <v>5</v>
      </c>
      <c r="H61" s="10">
        <f>IFERROR(vlookup('2.1'!G:G,lookup!$A$14:$B$16,2,false),0)</f>
        <v>5</v>
      </c>
      <c r="I61" s="10">
        <f>IFERROR(vlookup('2.1'!H:H,lookup!$A$18:$B$20,2,false),0)</f>
        <v>5</v>
      </c>
      <c r="J61" s="10">
        <f>IFERROR(vlookup('2.1'!I:I,lookup!$A$22:$B$24,2,false),0)</f>
        <v>5</v>
      </c>
      <c r="K61" s="10">
        <f>IFERROR(vlookup('2.1'!J:J,lookup!$A$26:$B$28,2,false),0)</f>
        <v>5</v>
      </c>
      <c r="M61" s="10">
        <v>60.0</v>
      </c>
      <c r="N61" s="11" t="str">
        <f t="shared" si="1"/>
        <v>bnco0960@signalschool.ac.th</v>
      </c>
      <c r="O61" s="12">
        <f t="shared" si="2"/>
        <v>1</v>
      </c>
      <c r="R61" s="17" t="s">
        <v>277</v>
      </c>
    </row>
    <row r="62">
      <c r="A62" s="8">
        <f>'2.1'!A:A</f>
        <v>46212.62847</v>
      </c>
      <c r="B62" s="2" t="str">
        <f>'2.1'!B:B</f>
        <v>bnco0902@signalschool.ac.th</v>
      </c>
      <c r="C62" s="2" t="str">
        <f>'2.1'!C:C</f>
        <v>พ.ต.ไมตรี บุญเหลื่อม</v>
      </c>
      <c r="D62" s="9">
        <v>1.0</v>
      </c>
      <c r="E62" s="10">
        <f>IFERROR(vlookup('2.1'!D:D,lookup!$A$2:$B$4,2,false),0)</f>
        <v>5</v>
      </c>
      <c r="F62" s="10">
        <f>IFERROR(vlookup('2.1'!E:E,lookup!$A$6:$B$8,2,false),0)</f>
        <v>5</v>
      </c>
      <c r="G62" s="10">
        <f>IFERROR(vlookup('2.1'!F:F,lookup!$A$10:$B$12,2,false),0)</f>
        <v>5</v>
      </c>
      <c r="H62" s="10">
        <f>IFERROR(vlookup('2.1'!G:G,lookup!$A$14:$B$16,2,false),0)</f>
        <v>5</v>
      </c>
      <c r="I62" s="10">
        <f>IFERROR(vlookup('2.1'!H:H,lookup!$A$18:$B$20,2,false),0)</f>
        <v>5</v>
      </c>
      <c r="J62" s="10">
        <f>IFERROR(vlookup('2.1'!I:I,lookup!$A$22:$B$24,2,false),0)</f>
        <v>5</v>
      </c>
      <c r="K62" s="10">
        <f>IFERROR(vlookup('2.1'!J:J,lookup!$A$26:$B$28,2,false),0)</f>
        <v>5</v>
      </c>
      <c r="M62" s="10">
        <v>61.0</v>
      </c>
      <c r="N62" s="11" t="str">
        <f t="shared" si="1"/>
        <v>bnco0961@signalschool.ac.th</v>
      </c>
      <c r="O62" s="12">
        <f t="shared" si="2"/>
        <v>1</v>
      </c>
      <c r="R62" s="17" t="s">
        <v>278</v>
      </c>
    </row>
    <row r="63">
      <c r="A63" s="8">
        <f>'2.1'!A:A</f>
        <v>46212.62886</v>
      </c>
      <c r="B63" s="2" t="str">
        <f>'2.1'!B:B</f>
        <v>bnco0974@signalschool.ac.th</v>
      </c>
      <c r="C63" s="2" t="str">
        <f>'2.1'!C:C</f>
        <v>พ.ต.ไมตรี บุญเหลื่อม</v>
      </c>
      <c r="D63" s="9">
        <v>1.0</v>
      </c>
      <c r="E63" s="10">
        <f>IFERROR(vlookup('2.1'!D:D,lookup!$A$2:$B$4,2,false),0)</f>
        <v>5</v>
      </c>
      <c r="F63" s="10">
        <f>IFERROR(vlookup('2.1'!E:E,lookup!$A$6:$B$8,2,false),0)</f>
        <v>5</v>
      </c>
      <c r="G63" s="10">
        <f>IFERROR(vlookup('2.1'!F:F,lookup!$A$10:$B$12,2,false),0)</f>
        <v>5</v>
      </c>
      <c r="H63" s="10">
        <f>IFERROR(vlookup('2.1'!G:G,lookup!$A$14:$B$16,2,false),0)</f>
        <v>5</v>
      </c>
      <c r="I63" s="10">
        <f>IFERROR(vlookup('2.1'!H:H,lookup!$A$18:$B$20,2,false),0)</f>
        <v>3</v>
      </c>
      <c r="J63" s="10">
        <f>IFERROR(vlookup('2.1'!I:I,lookup!$A$22:$B$24,2,false),0)</f>
        <v>3</v>
      </c>
      <c r="K63" s="10">
        <f>IFERROR(vlookup('2.1'!J:J,lookup!$A$26:$B$28,2,false),0)</f>
        <v>3</v>
      </c>
      <c r="M63" s="10">
        <v>62.0</v>
      </c>
      <c r="N63" s="11" t="str">
        <f t="shared" si="1"/>
        <v>bnco0962@signalschool.ac.th</v>
      </c>
      <c r="O63" s="12">
        <f t="shared" si="2"/>
        <v>1</v>
      </c>
      <c r="R63" s="17" t="s">
        <v>279</v>
      </c>
    </row>
    <row r="64">
      <c r="A64" s="8">
        <f>'2.1'!A:A</f>
        <v>46212.62889</v>
      </c>
      <c r="B64" s="2" t="str">
        <f>'2.1'!B:B</f>
        <v>bnco0911@signalschool.ac.th</v>
      </c>
      <c r="C64" s="2" t="str">
        <f>'2.1'!C:C</f>
        <v>พ.ต.ไมตรี บุญเหลื่อม</v>
      </c>
      <c r="D64" s="9">
        <v>1.0</v>
      </c>
      <c r="E64" s="10">
        <f>IFERROR(vlookup('2.1'!D:D,lookup!$A$2:$B$4,2,false),0)</f>
        <v>5</v>
      </c>
      <c r="F64" s="10">
        <f>IFERROR(vlookup('2.1'!E:E,lookup!$A$6:$B$8,2,false),0)</f>
        <v>5</v>
      </c>
      <c r="G64" s="10">
        <f>IFERROR(vlookup('2.1'!F:F,lookup!$A$10:$B$12,2,false),0)</f>
        <v>5</v>
      </c>
      <c r="H64" s="10">
        <f>IFERROR(vlookup('2.1'!G:G,lookup!$A$14:$B$16,2,false),0)</f>
        <v>5</v>
      </c>
      <c r="I64" s="10">
        <f>IFERROR(vlookup('2.1'!H:H,lookup!$A$18:$B$20,2,false),0)</f>
        <v>5</v>
      </c>
      <c r="J64" s="10">
        <f>IFERROR(vlookup('2.1'!I:I,lookup!$A$22:$B$24,2,false),0)</f>
        <v>5</v>
      </c>
      <c r="K64" s="10">
        <f>IFERROR(vlookup('2.1'!J:J,lookup!$A$26:$B$28,2,false),0)</f>
        <v>5</v>
      </c>
      <c r="M64" s="10">
        <v>63.0</v>
      </c>
      <c r="N64" s="11" t="str">
        <f t="shared" si="1"/>
        <v>bnco0963@signalschool.ac.th</v>
      </c>
      <c r="O64" s="12">
        <f t="shared" si="2"/>
        <v>1</v>
      </c>
      <c r="R64" s="17" t="s">
        <v>280</v>
      </c>
    </row>
    <row r="65">
      <c r="A65" s="8">
        <f>'2.1'!A:A</f>
        <v>46212.62895</v>
      </c>
      <c r="B65" s="2" t="str">
        <f>'2.1'!B:B</f>
        <v>bnco0969@signalschool.ac.th</v>
      </c>
      <c r="C65" s="2" t="str">
        <f>'2.1'!C:C</f>
        <v>พ.ต.ไมตรี บุญเหลื่อม</v>
      </c>
      <c r="D65" s="9">
        <v>1.0</v>
      </c>
      <c r="E65" s="10">
        <f>IFERROR(vlookup('2.1'!D:D,lookup!$A$2:$B$4,2,false),0)</f>
        <v>5</v>
      </c>
      <c r="F65" s="10">
        <f>IFERROR(vlookup('2.1'!E:E,lookup!$A$6:$B$8,2,false),0)</f>
        <v>5</v>
      </c>
      <c r="G65" s="10">
        <f>IFERROR(vlookup('2.1'!F:F,lookup!$A$10:$B$12,2,false),0)</f>
        <v>5</v>
      </c>
      <c r="H65" s="10">
        <f>IFERROR(vlookup('2.1'!G:G,lookup!$A$14:$B$16,2,false),0)</f>
        <v>5</v>
      </c>
      <c r="I65" s="10">
        <f>IFERROR(vlookup('2.1'!H:H,lookup!$A$18:$B$20,2,false),0)</f>
        <v>5</v>
      </c>
      <c r="J65" s="10">
        <f>IFERROR(vlookup('2.1'!I:I,lookup!$A$22:$B$24,2,false),0)</f>
        <v>5</v>
      </c>
      <c r="K65" s="10">
        <f>IFERROR(vlookup('2.1'!J:J,lookup!$A$26:$B$28,2,false),0)</f>
        <v>5</v>
      </c>
      <c r="M65" s="10">
        <v>64.0</v>
      </c>
      <c r="N65" s="11" t="str">
        <f t="shared" si="1"/>
        <v>bnco0964@signalschool.ac.th</v>
      </c>
      <c r="O65" s="12">
        <f t="shared" si="2"/>
        <v>1</v>
      </c>
      <c r="R65" s="17" t="s">
        <v>281</v>
      </c>
    </row>
    <row r="66">
      <c r="A66" s="8">
        <f>'2.1'!A:A</f>
        <v>46212.6292</v>
      </c>
      <c r="B66" s="2" t="str">
        <f>'2.1'!B:B</f>
        <v>bnco0952@signalschool.ac.th</v>
      </c>
      <c r="C66" s="2" t="str">
        <f>'2.1'!C:C</f>
        <v>พ.ต.ไมตรี บุญเหลื่อม</v>
      </c>
      <c r="D66" s="9">
        <v>1.0</v>
      </c>
      <c r="E66" s="10">
        <f>IFERROR(vlookup('2.1'!D:D,lookup!$A$2:$B$4,2,false),0)</f>
        <v>5</v>
      </c>
      <c r="F66" s="10">
        <f>IFERROR(vlookup('2.1'!E:E,lookup!$A$6:$B$8,2,false),0)</f>
        <v>5</v>
      </c>
      <c r="G66" s="10">
        <f>IFERROR(vlookup('2.1'!F:F,lookup!$A$10:$B$12,2,false),0)</f>
        <v>5</v>
      </c>
      <c r="H66" s="10">
        <f>IFERROR(vlookup('2.1'!G:G,lookup!$A$14:$B$16,2,false),0)</f>
        <v>5</v>
      </c>
      <c r="I66" s="10">
        <f>IFERROR(vlookup('2.1'!H:H,lookup!$A$18:$B$20,2,false),0)</f>
        <v>5</v>
      </c>
      <c r="J66" s="10">
        <f>IFERROR(vlookup('2.1'!I:I,lookup!$A$22:$B$24,2,false),0)</f>
        <v>5</v>
      </c>
      <c r="K66" s="10">
        <f>IFERROR(vlookup('2.1'!J:J,lookup!$A$26:$B$28,2,false),0)</f>
        <v>5</v>
      </c>
      <c r="M66" s="10">
        <v>65.0</v>
      </c>
      <c r="N66" s="11" t="str">
        <f t="shared" si="1"/>
        <v>bnco0965@signalschool.ac.th</v>
      </c>
      <c r="O66" s="12">
        <f t="shared" si="2"/>
        <v>1</v>
      </c>
      <c r="R66" s="17" t="s">
        <v>282</v>
      </c>
    </row>
    <row r="67">
      <c r="A67" s="8">
        <f>'2.1'!A:A</f>
        <v>46212.62939</v>
      </c>
      <c r="B67" s="2" t="str">
        <f>'2.1'!B:B</f>
        <v>bnco0944@signalschool.ac.th</v>
      </c>
      <c r="C67" s="2" t="str">
        <f>'2.1'!C:C</f>
        <v>พ.ต.ไมตรี บุญเหลื่อม</v>
      </c>
      <c r="D67" s="9">
        <v>1.0</v>
      </c>
      <c r="E67" s="10">
        <f>IFERROR(vlookup('2.1'!D:D,lookup!$A$2:$B$4,2,false),0)</f>
        <v>5</v>
      </c>
      <c r="F67" s="10">
        <f>IFERROR(vlookup('2.1'!E:E,lookup!$A$6:$B$8,2,false),0)</f>
        <v>5</v>
      </c>
      <c r="G67" s="10">
        <f>IFERROR(vlookup('2.1'!F:F,lookup!$A$10:$B$12,2,false),0)</f>
        <v>5</v>
      </c>
      <c r="H67" s="10">
        <f>IFERROR(vlookup('2.1'!G:G,lookup!$A$14:$B$16,2,false),0)</f>
        <v>5</v>
      </c>
      <c r="I67" s="10">
        <f>IFERROR(vlookup('2.1'!H:H,lookup!$A$18:$B$20,2,false),0)</f>
        <v>5</v>
      </c>
      <c r="J67" s="10">
        <f>IFERROR(vlookup('2.1'!I:I,lookup!$A$22:$B$24,2,false),0)</f>
        <v>5</v>
      </c>
      <c r="K67" s="10">
        <f>IFERROR(vlookup('2.1'!J:J,lookup!$A$26:$B$28,2,false),0)</f>
        <v>5</v>
      </c>
      <c r="M67" s="10">
        <v>66.0</v>
      </c>
      <c r="N67" s="11" t="str">
        <f t="shared" si="1"/>
        <v>bnco0966@signalschool.ac.th</v>
      </c>
      <c r="O67" s="12">
        <f t="shared" si="2"/>
        <v>1</v>
      </c>
      <c r="R67" s="17" t="s">
        <v>283</v>
      </c>
    </row>
    <row r="68">
      <c r="A68" s="8">
        <f>'2.1'!A:A</f>
        <v>46212.6296</v>
      </c>
      <c r="B68" s="2" t="str">
        <f>'2.1'!B:B</f>
        <v>bnco0961@signalschool.ac.th</v>
      </c>
      <c r="C68" s="2" t="str">
        <f>'2.1'!C:C</f>
        <v>พ.ต.ไมตรี บุญเหลื่อม</v>
      </c>
      <c r="D68" s="9">
        <v>1.0</v>
      </c>
      <c r="E68" s="10">
        <f>IFERROR(vlookup('2.1'!D:D,lookup!$A$2:$B$4,2,false),0)</f>
        <v>5</v>
      </c>
      <c r="F68" s="10">
        <f>IFERROR(vlookup('2.1'!E:E,lookup!$A$6:$B$8,2,false),0)</f>
        <v>5</v>
      </c>
      <c r="G68" s="10">
        <f>IFERROR(vlookup('2.1'!F:F,lookup!$A$10:$B$12,2,false),0)</f>
        <v>5</v>
      </c>
      <c r="H68" s="10">
        <f>IFERROR(vlookup('2.1'!G:G,lookup!$A$14:$B$16,2,false),0)</f>
        <v>5</v>
      </c>
      <c r="I68" s="10">
        <f>IFERROR(vlookup('2.1'!H:H,lookup!$A$18:$B$20,2,false),0)</f>
        <v>5</v>
      </c>
      <c r="J68" s="10">
        <f>IFERROR(vlookup('2.1'!I:I,lookup!$A$22:$B$24,2,false),0)</f>
        <v>5</v>
      </c>
      <c r="K68" s="10">
        <f>IFERROR(vlookup('2.1'!J:J,lookup!$A$26:$B$28,2,false),0)</f>
        <v>5</v>
      </c>
      <c r="M68" s="10">
        <v>67.0</v>
      </c>
      <c r="N68" s="11" t="str">
        <f t="shared" si="1"/>
        <v>bnco0967@signalschool.ac.th</v>
      </c>
      <c r="O68" s="12">
        <f t="shared" si="2"/>
        <v>1</v>
      </c>
      <c r="R68" s="17" t="s">
        <v>284</v>
      </c>
    </row>
    <row r="69">
      <c r="A69" s="8">
        <f>'2.1'!A:A</f>
        <v>46212.62969</v>
      </c>
      <c r="B69" s="2" t="str">
        <f>'2.1'!B:B</f>
        <v>bnco0966@signalschool.ac.th</v>
      </c>
      <c r="C69" s="2" t="str">
        <f>'2.1'!C:C</f>
        <v>พ.ต.ไมตรี บุญเหลื่อม</v>
      </c>
      <c r="D69" s="9">
        <v>1.0</v>
      </c>
      <c r="E69" s="10">
        <f>IFERROR(vlookup('2.1'!D:D,lookup!$A$2:$B$4,2,false),0)</f>
        <v>5</v>
      </c>
      <c r="F69" s="10">
        <f>IFERROR(vlookup('2.1'!E:E,lookup!$A$6:$B$8,2,false),0)</f>
        <v>5</v>
      </c>
      <c r="G69" s="10">
        <f>IFERROR(vlookup('2.1'!F:F,lookup!$A$10:$B$12,2,false),0)</f>
        <v>5</v>
      </c>
      <c r="H69" s="10">
        <f>IFERROR(vlookup('2.1'!G:G,lookup!$A$14:$B$16,2,false),0)</f>
        <v>5</v>
      </c>
      <c r="I69" s="10">
        <f>IFERROR(vlookup('2.1'!H:H,lookup!$A$18:$B$20,2,false),0)</f>
        <v>5</v>
      </c>
      <c r="J69" s="10">
        <f>IFERROR(vlookup('2.1'!I:I,lookup!$A$22:$B$24,2,false),0)</f>
        <v>5</v>
      </c>
      <c r="K69" s="10">
        <f>IFERROR(vlookup('2.1'!J:J,lookup!$A$26:$B$28,2,false),0)</f>
        <v>5</v>
      </c>
      <c r="M69" s="10">
        <v>68.0</v>
      </c>
      <c r="N69" s="11" t="str">
        <f t="shared" si="1"/>
        <v>bnco0968@signalschool.ac.th</v>
      </c>
      <c r="O69" s="12">
        <f t="shared" si="2"/>
        <v>1</v>
      </c>
      <c r="R69" s="17" t="s">
        <v>285</v>
      </c>
    </row>
    <row r="70">
      <c r="A70" s="8">
        <f>'2.1'!A:A</f>
        <v>46212.62969</v>
      </c>
      <c r="B70" s="2" t="str">
        <f>'2.1'!B:B</f>
        <v>bnco0976@signalschool.ac.th</v>
      </c>
      <c r="C70" s="2" t="str">
        <f>'2.1'!C:C</f>
        <v>พ.ต.ไมตรี บุญเหลื่อม</v>
      </c>
      <c r="D70" s="9">
        <v>1.0</v>
      </c>
      <c r="E70" s="10">
        <f>IFERROR(vlookup('2.1'!D:D,lookup!$A$2:$B$4,2,false),0)</f>
        <v>5</v>
      </c>
      <c r="F70" s="10">
        <f>IFERROR(vlookup('2.1'!E:E,lookup!$A$6:$B$8,2,false),0)</f>
        <v>5</v>
      </c>
      <c r="G70" s="10">
        <f>IFERROR(vlookup('2.1'!F:F,lookup!$A$10:$B$12,2,false),0)</f>
        <v>5</v>
      </c>
      <c r="H70" s="10">
        <f>IFERROR(vlookup('2.1'!G:G,lookup!$A$14:$B$16,2,false),0)</f>
        <v>5</v>
      </c>
      <c r="I70" s="10">
        <f>IFERROR(vlookup('2.1'!H:H,lookup!$A$18:$B$20,2,false),0)</f>
        <v>5</v>
      </c>
      <c r="J70" s="10">
        <f>IFERROR(vlookup('2.1'!I:I,lookup!$A$22:$B$24,2,false),0)</f>
        <v>5</v>
      </c>
      <c r="K70" s="10">
        <f>IFERROR(vlookup('2.1'!J:J,lookup!$A$26:$B$28,2,false),0)</f>
        <v>5</v>
      </c>
      <c r="M70" s="10">
        <v>69.0</v>
      </c>
      <c r="N70" s="11" t="str">
        <f t="shared" si="1"/>
        <v>bnco0969@signalschool.ac.th</v>
      </c>
      <c r="O70" s="12">
        <f t="shared" si="2"/>
        <v>1</v>
      </c>
      <c r="R70" s="17" t="s">
        <v>286</v>
      </c>
    </row>
    <row r="71">
      <c r="A71" s="8">
        <f>'2.1'!A:A</f>
        <v>46212.62989</v>
      </c>
      <c r="B71" s="2" t="str">
        <f>'2.1'!B:B</f>
        <v>bnco0905@signalschool.ac.th</v>
      </c>
      <c r="C71" s="2" t="str">
        <f>'2.1'!C:C</f>
        <v>พ.ต.ไมตรี บุญเหลื่อม</v>
      </c>
      <c r="D71" s="9">
        <v>1.0</v>
      </c>
      <c r="E71" s="10">
        <f>IFERROR(vlookup('2.1'!D:D,lookup!$A$2:$B$4,2,false),0)</f>
        <v>5</v>
      </c>
      <c r="F71" s="10">
        <f>IFERROR(vlookup('2.1'!E:E,lookup!$A$6:$B$8,2,false),0)</f>
        <v>5</v>
      </c>
      <c r="G71" s="10">
        <f>IFERROR(vlookup('2.1'!F:F,lookup!$A$10:$B$12,2,false),0)</f>
        <v>5</v>
      </c>
      <c r="H71" s="10">
        <f>IFERROR(vlookup('2.1'!G:G,lookup!$A$14:$B$16,2,false),0)</f>
        <v>5</v>
      </c>
      <c r="I71" s="10">
        <f>IFERROR(vlookup('2.1'!H:H,lookup!$A$18:$B$20,2,false),0)</f>
        <v>5</v>
      </c>
      <c r="J71" s="10">
        <f>IFERROR(vlookup('2.1'!I:I,lookup!$A$22:$B$24,2,false),0)</f>
        <v>5</v>
      </c>
      <c r="K71" s="10">
        <f>IFERROR(vlookup('2.1'!J:J,lookup!$A$26:$B$28,2,false),0)</f>
        <v>5</v>
      </c>
      <c r="M71" s="10">
        <v>70.0</v>
      </c>
      <c r="N71" s="11" t="str">
        <f t="shared" si="1"/>
        <v>bnco0970@signalschool.ac.th</v>
      </c>
      <c r="O71" s="12">
        <f t="shared" si="2"/>
        <v>1</v>
      </c>
      <c r="R71" s="17" t="s">
        <v>287</v>
      </c>
    </row>
    <row r="72">
      <c r="A72" s="8">
        <f>'2.1'!A:A</f>
        <v>46212.63012</v>
      </c>
      <c r="B72" s="2" t="str">
        <f>'2.1'!B:B</f>
        <v>bnco0922@signalschool.ac.th</v>
      </c>
      <c r="C72" s="2" t="str">
        <f>'2.1'!C:C</f>
        <v>พ.ต.ไมตรี บุญเหลื่อม</v>
      </c>
      <c r="D72" s="9">
        <v>1.0</v>
      </c>
      <c r="E72" s="10">
        <f>IFERROR(vlookup('2.1'!D:D,lookup!$A$2:$B$4,2,false),0)</f>
        <v>5</v>
      </c>
      <c r="F72" s="10">
        <f>IFERROR(vlookup('2.1'!E:E,lookup!$A$6:$B$8,2,false),0)</f>
        <v>5</v>
      </c>
      <c r="G72" s="10">
        <f>IFERROR(vlookup('2.1'!F:F,lookup!$A$10:$B$12,2,false),0)</f>
        <v>5</v>
      </c>
      <c r="H72" s="10">
        <f>IFERROR(vlookup('2.1'!G:G,lookup!$A$14:$B$16,2,false),0)</f>
        <v>5</v>
      </c>
      <c r="I72" s="10">
        <f>IFERROR(vlookup('2.1'!H:H,lookup!$A$18:$B$20,2,false),0)</f>
        <v>5</v>
      </c>
      <c r="J72" s="10">
        <f>IFERROR(vlookup('2.1'!I:I,lookup!$A$22:$B$24,2,false),0)</f>
        <v>5</v>
      </c>
      <c r="K72" s="10">
        <f>IFERROR(vlookup('2.1'!J:J,lookup!$A$26:$B$28,2,false),0)</f>
        <v>5</v>
      </c>
      <c r="M72" s="10">
        <v>71.0</v>
      </c>
      <c r="N72" s="11" t="str">
        <f t="shared" si="1"/>
        <v>bnco0971@signalschool.ac.th</v>
      </c>
      <c r="O72" s="12">
        <f t="shared" si="2"/>
        <v>1</v>
      </c>
      <c r="R72" s="17" t="s">
        <v>288</v>
      </c>
    </row>
    <row r="73">
      <c r="A73" s="8">
        <f>'2.1'!A:A</f>
        <v>46212.63211</v>
      </c>
      <c r="B73" s="2" t="str">
        <f>'2.1'!B:B</f>
        <v>bnco0946@signalschool.ac.th</v>
      </c>
      <c r="C73" s="2" t="str">
        <f>'2.1'!C:C</f>
        <v>พ.ต.ไมตรี บุญเหลื่อม</v>
      </c>
      <c r="D73" s="9">
        <v>1.0</v>
      </c>
      <c r="E73" s="10">
        <f>IFERROR(vlookup('2.1'!D:D,lookup!$A$2:$B$4,2,false),0)</f>
        <v>5</v>
      </c>
      <c r="F73" s="10">
        <f>IFERROR(vlookup('2.1'!E:E,lookup!$A$6:$B$8,2,false),0)</f>
        <v>5</v>
      </c>
      <c r="G73" s="10">
        <f>IFERROR(vlookup('2.1'!F:F,lookup!$A$10:$B$12,2,false),0)</f>
        <v>5</v>
      </c>
      <c r="H73" s="10">
        <f>IFERROR(vlookup('2.1'!G:G,lookup!$A$14:$B$16,2,false),0)</f>
        <v>5</v>
      </c>
      <c r="I73" s="10">
        <f>IFERROR(vlookup('2.1'!H:H,lookup!$A$18:$B$20,2,false),0)</f>
        <v>5</v>
      </c>
      <c r="J73" s="10">
        <f>IFERROR(vlookup('2.1'!I:I,lookup!$A$22:$B$24,2,false),0)</f>
        <v>5</v>
      </c>
      <c r="K73" s="10">
        <f>IFERROR(vlookup('2.1'!J:J,lookup!$A$26:$B$28,2,false),0)</f>
        <v>5</v>
      </c>
      <c r="M73" s="10">
        <v>72.0</v>
      </c>
      <c r="N73" s="11" t="str">
        <f t="shared" si="1"/>
        <v>bnco0972@signalschool.ac.th</v>
      </c>
      <c r="O73" s="12">
        <f t="shared" si="2"/>
        <v>1</v>
      </c>
      <c r="R73" s="17" t="s">
        <v>289</v>
      </c>
    </row>
    <row r="74">
      <c r="A74" s="8">
        <f>'2.1'!A:A</f>
        <v>46212.6344</v>
      </c>
      <c r="B74" s="2" t="str">
        <f>'2.1'!B:B</f>
        <v>bnco0953@signalschool.ac.th</v>
      </c>
      <c r="C74" s="2" t="str">
        <f>'2.1'!C:C</f>
        <v>พ.ต.ไมตรี บุญเหลื่อม</v>
      </c>
      <c r="D74" s="9">
        <v>1.0</v>
      </c>
      <c r="E74" s="10">
        <f>IFERROR(vlookup('2.1'!D:D,lookup!$A$2:$B$4,2,false),0)</f>
        <v>5</v>
      </c>
      <c r="F74" s="10">
        <f>IFERROR(vlookup('2.1'!E:E,lookup!$A$6:$B$8,2,false),0)</f>
        <v>5</v>
      </c>
      <c r="G74" s="10">
        <f>IFERROR(vlookup('2.1'!F:F,lookup!$A$10:$B$12,2,false),0)</f>
        <v>5</v>
      </c>
      <c r="H74" s="10">
        <f>IFERROR(vlookup('2.1'!G:G,lookup!$A$14:$B$16,2,false),0)</f>
        <v>5</v>
      </c>
      <c r="I74" s="10">
        <f>IFERROR(vlookup('2.1'!H:H,lookup!$A$18:$B$20,2,false),0)</f>
        <v>5</v>
      </c>
      <c r="J74" s="10">
        <f>IFERROR(vlookup('2.1'!I:I,lookup!$A$22:$B$24,2,false),0)</f>
        <v>5</v>
      </c>
      <c r="K74" s="10">
        <f>IFERROR(vlookup('2.1'!J:J,lookup!$A$26:$B$28,2,false),0)</f>
        <v>5</v>
      </c>
      <c r="M74" s="10">
        <v>73.0</v>
      </c>
      <c r="N74" s="11" t="str">
        <f t="shared" si="1"/>
        <v>bnco0973@signalschool.ac.th</v>
      </c>
      <c r="O74" s="12">
        <f t="shared" si="2"/>
        <v>1</v>
      </c>
      <c r="R74" s="17" t="s">
        <v>290</v>
      </c>
    </row>
    <row r="75">
      <c r="A75" s="8">
        <f>'2.1'!A:A</f>
        <v>46212.63491</v>
      </c>
      <c r="B75" s="2" t="str">
        <f>'2.1'!B:B</f>
        <v>bnco0917@signalschool.ac.th</v>
      </c>
      <c r="C75" s="2" t="str">
        <f>'2.1'!C:C</f>
        <v>พ.ต.ไมตรี บุญเหลือม</v>
      </c>
      <c r="D75" s="9">
        <v>1.0</v>
      </c>
      <c r="E75" s="10">
        <f>IFERROR(vlookup('2.1'!D:D,lookup!$A$2:$B$4,2,false),0)</f>
        <v>5</v>
      </c>
      <c r="F75" s="10">
        <f>IFERROR(vlookup('2.1'!E:E,lookup!$A$6:$B$8,2,false),0)</f>
        <v>5</v>
      </c>
      <c r="G75" s="10">
        <f>IFERROR(vlookup('2.1'!F:F,lookup!$A$10:$B$12,2,false),0)</f>
        <v>5</v>
      </c>
      <c r="H75" s="10">
        <f>IFERROR(vlookup('2.1'!G:G,lookup!$A$14:$B$16,2,false),0)</f>
        <v>5</v>
      </c>
      <c r="I75" s="10">
        <f>IFERROR(vlookup('2.1'!H:H,lookup!$A$18:$B$20,2,false),0)</f>
        <v>5</v>
      </c>
      <c r="J75" s="10">
        <f>IFERROR(vlookup('2.1'!I:I,lookup!$A$22:$B$24,2,false),0)</f>
        <v>5</v>
      </c>
      <c r="K75" s="10">
        <f>IFERROR(vlookup('2.1'!J:J,lookup!$A$26:$B$28,2,false),0)</f>
        <v>5</v>
      </c>
      <c r="M75" s="10">
        <v>74.0</v>
      </c>
      <c r="N75" s="11" t="str">
        <f t="shared" si="1"/>
        <v>bnco0974@signalschool.ac.th</v>
      </c>
      <c r="O75" s="12">
        <f t="shared" si="2"/>
        <v>1</v>
      </c>
      <c r="R75" s="17" t="s">
        <v>291</v>
      </c>
    </row>
    <row r="76">
      <c r="A76" s="8">
        <f>'2.1'!A:A</f>
        <v>46212.71212</v>
      </c>
      <c r="B76" s="2" t="str">
        <f>'2.1'!B:B</f>
        <v>bnco0954@signalschool.ac.th</v>
      </c>
      <c r="C76" s="2" t="str">
        <f>'2.1'!C:C</f>
        <v>พ.ต.ไมตรี บุญเหลื่อม</v>
      </c>
      <c r="D76" s="9">
        <v>1.0</v>
      </c>
      <c r="E76" s="10">
        <f>IFERROR(vlookup('2.1'!D:D,lookup!$A$2:$B$4,2,false),0)</f>
        <v>5</v>
      </c>
      <c r="F76" s="10">
        <f>IFERROR(vlookup('2.1'!E:E,lookup!$A$6:$B$8,2,false),0)</f>
        <v>5</v>
      </c>
      <c r="G76" s="10">
        <f>IFERROR(vlookup('2.1'!F:F,lookup!$A$10:$B$12,2,false),0)</f>
        <v>5</v>
      </c>
      <c r="H76" s="10">
        <f>IFERROR(vlookup('2.1'!G:G,lookup!$A$14:$B$16,2,false),0)</f>
        <v>5</v>
      </c>
      <c r="I76" s="10">
        <f>IFERROR(vlookup('2.1'!H:H,lookup!$A$18:$B$20,2,false),0)</f>
        <v>5</v>
      </c>
      <c r="J76" s="10">
        <f>IFERROR(vlookup('2.1'!I:I,lookup!$A$22:$B$24,2,false),0)</f>
        <v>5</v>
      </c>
      <c r="K76" s="10">
        <f>IFERROR(vlookup('2.1'!J:J,lookup!$A$26:$B$28,2,false),0)</f>
        <v>5</v>
      </c>
      <c r="M76" s="10">
        <v>75.0</v>
      </c>
      <c r="N76" s="11" t="str">
        <f t="shared" si="1"/>
        <v>bnco0975@signalschool.ac.th</v>
      </c>
      <c r="O76" s="12">
        <f t="shared" si="2"/>
        <v>1</v>
      </c>
      <c r="R76" s="17" t="s">
        <v>292</v>
      </c>
    </row>
    <row r="77">
      <c r="A77" s="8">
        <f>'2.1'!A:A</f>
        <v>46212.83676</v>
      </c>
      <c r="B77" s="2" t="str">
        <f>'2.1'!B:B</f>
        <v>bnco0907@signalschool.ac.th</v>
      </c>
      <c r="C77" s="2" t="str">
        <f>'2.1'!C:C</f>
        <v>พ.ต.ไมตรี บุญเหลื่อม</v>
      </c>
      <c r="D77" s="9">
        <v>1.0</v>
      </c>
      <c r="E77" s="10">
        <f>IFERROR(vlookup('2.1'!D:D,lookup!$A$2:$B$4,2,false),0)</f>
        <v>5</v>
      </c>
      <c r="F77" s="10">
        <f>IFERROR(vlookup('2.1'!E:E,lookup!$A$6:$B$8,2,false),0)</f>
        <v>5</v>
      </c>
      <c r="G77" s="10">
        <f>IFERROR(vlookup('2.1'!F:F,lookup!$A$10:$B$12,2,false),0)</f>
        <v>5</v>
      </c>
      <c r="H77" s="10">
        <f>IFERROR(vlookup('2.1'!G:G,lookup!$A$14:$B$16,2,false),0)</f>
        <v>5</v>
      </c>
      <c r="I77" s="10">
        <f>IFERROR(vlookup('2.1'!H:H,lookup!$A$18:$B$20,2,false),0)</f>
        <v>5</v>
      </c>
      <c r="J77" s="10">
        <f>IFERROR(vlookup('2.1'!I:I,lookup!$A$22:$B$24,2,false),0)</f>
        <v>5</v>
      </c>
      <c r="K77" s="10">
        <f>IFERROR(vlookup('2.1'!J:J,lookup!$A$26:$B$28,2,false),0)</f>
        <v>5</v>
      </c>
      <c r="M77" s="10">
        <v>76.0</v>
      </c>
      <c r="N77" s="11" t="str">
        <f t="shared" si="1"/>
        <v>bnco0976@signalschool.ac.th</v>
      </c>
      <c r="O77" s="12">
        <f t="shared" si="2"/>
        <v>1</v>
      </c>
      <c r="R77" s="17" t="s">
        <v>293</v>
      </c>
    </row>
    <row r="78">
      <c r="A78" s="8">
        <f>'2.1'!A:A</f>
        <v>46213.40948</v>
      </c>
      <c r="B78" s="2" t="str">
        <f>'2.1'!B:B</f>
        <v>bnco0931@signalschool.ac.th</v>
      </c>
      <c r="C78" s="2" t="str">
        <f>'2.1'!C:C</f>
        <v>พ.ต.ไมตรี บุญเหลื่อม</v>
      </c>
      <c r="D78" s="9">
        <v>1.0</v>
      </c>
      <c r="E78" s="10">
        <f>IFERROR(vlookup('2.1'!D:D,lookup!$A$2:$B$4,2,false),0)</f>
        <v>5</v>
      </c>
      <c r="F78" s="10">
        <f>IFERROR(vlookup('2.1'!E:E,lookup!$A$6:$B$8,2,false),0)</f>
        <v>5</v>
      </c>
      <c r="G78" s="10">
        <f>IFERROR(vlookup('2.1'!F:F,lookup!$A$10:$B$12,2,false),0)</f>
        <v>5</v>
      </c>
      <c r="H78" s="10">
        <f>IFERROR(vlookup('2.1'!G:G,lookup!$A$14:$B$16,2,false),0)</f>
        <v>5</v>
      </c>
      <c r="I78" s="10">
        <f>IFERROR(vlookup('2.1'!H:H,lookup!$A$18:$B$20,2,false),0)</f>
        <v>5</v>
      </c>
      <c r="J78" s="10">
        <f>IFERROR(vlookup('2.1'!I:I,lookup!$A$22:$B$24,2,false),0)</f>
        <v>5</v>
      </c>
      <c r="K78" s="10">
        <f>IFERROR(vlookup('2.1'!J:J,lookup!$A$26:$B$28,2,false),0)</f>
        <v>5</v>
      </c>
      <c r="M78" s="10">
        <v>77.0</v>
      </c>
      <c r="N78" s="11" t="str">
        <f t="shared" si="1"/>
        <v>bnco0977@signalschool.ac.th</v>
      </c>
      <c r="O78" s="12">
        <f t="shared" si="2"/>
        <v>1</v>
      </c>
      <c r="R78" s="17" t="s">
        <v>294</v>
      </c>
    </row>
    <row r="79">
      <c r="A79" s="8">
        <f>'2.1'!A:A</f>
        <v>46213.4555</v>
      </c>
      <c r="B79" s="2" t="str">
        <f>'2.1'!B:B</f>
        <v>bnco0959@signalschool.ac.th</v>
      </c>
      <c r="C79" s="2" t="str">
        <f>'2.1'!C:C</f>
        <v>พ.ต. ไมตรี บุญเหลือม</v>
      </c>
      <c r="D79" s="9">
        <v>1.0</v>
      </c>
      <c r="E79" s="10">
        <f>IFERROR(vlookup('2.1'!D:D,lookup!$A$2:$B$4,2,false),0)</f>
        <v>5</v>
      </c>
      <c r="F79" s="10">
        <f>IFERROR(vlookup('2.1'!E:E,lookup!$A$6:$B$8,2,false),0)</f>
        <v>5</v>
      </c>
      <c r="G79" s="10">
        <f>IFERROR(vlookup('2.1'!F:F,lookup!$A$10:$B$12,2,false),0)</f>
        <v>5</v>
      </c>
      <c r="H79" s="10">
        <f>IFERROR(vlookup('2.1'!G:G,lookup!$A$14:$B$16,2,false),0)</f>
        <v>5</v>
      </c>
      <c r="I79" s="10">
        <f>IFERROR(vlookup('2.1'!H:H,lookup!$A$18:$B$20,2,false),0)</f>
        <v>5</v>
      </c>
      <c r="J79" s="10">
        <f>IFERROR(vlookup('2.1'!I:I,lookup!$A$22:$B$24,2,false),0)</f>
        <v>5</v>
      </c>
      <c r="K79" s="10">
        <f>IFERROR(vlookup('2.1'!J:J,lookup!$A$26:$B$28,2,false),0)</f>
        <v>5</v>
      </c>
      <c r="M79" s="10">
        <v>78.0</v>
      </c>
      <c r="N79" s="11" t="str">
        <f t="shared" si="1"/>
        <v>bnco0978@signalschool.ac.th</v>
      </c>
      <c r="O79" s="12">
        <f t="shared" si="2"/>
        <v>1</v>
      </c>
      <c r="R79" s="17" t="s">
        <v>295</v>
      </c>
    </row>
    <row r="80">
      <c r="A80" s="8">
        <f>'2.1'!A:A</f>
        <v>46213.45838</v>
      </c>
      <c r="B80" s="2" t="str">
        <f>'2.1'!B:B</f>
        <v>bnco0975@signalschool.ac.th</v>
      </c>
      <c r="C80" s="2" t="str">
        <f>'2.1'!C:C</f>
        <v>พ.ต.ไมตรี บุญเหลื่อม</v>
      </c>
      <c r="D80" s="9">
        <v>1.0</v>
      </c>
      <c r="E80" s="10">
        <f>IFERROR(vlookup('2.1'!D:D,lookup!$A$2:$B$4,2,false),0)</f>
        <v>5</v>
      </c>
      <c r="F80" s="10">
        <f>IFERROR(vlookup('2.1'!E:E,lookup!$A$6:$B$8,2,false),0)</f>
        <v>5</v>
      </c>
      <c r="G80" s="10">
        <f>IFERROR(vlookup('2.1'!F:F,lookup!$A$10:$B$12,2,false),0)</f>
        <v>5</v>
      </c>
      <c r="H80" s="10">
        <f>IFERROR(vlookup('2.1'!G:G,lookup!$A$14:$B$16,2,false),0)</f>
        <v>5</v>
      </c>
      <c r="I80" s="10">
        <f>IFERROR(vlookup('2.1'!H:H,lookup!$A$18:$B$20,2,false),0)</f>
        <v>5</v>
      </c>
      <c r="J80" s="10">
        <f>IFERROR(vlookup('2.1'!I:I,lookup!$A$22:$B$24,2,false),0)</f>
        <v>5</v>
      </c>
      <c r="K80" s="10">
        <f>IFERROR(vlookup('2.1'!J:J,lookup!$A$26:$B$28,2,false),0)</f>
        <v>5</v>
      </c>
      <c r="M80" s="10">
        <v>79.0</v>
      </c>
      <c r="N80" s="11" t="str">
        <f t="shared" si="1"/>
        <v>bnco0979@signalschool.ac.th</v>
      </c>
      <c r="O80" s="12">
        <f t="shared" si="2"/>
        <v>1</v>
      </c>
      <c r="R80" s="17" t="s">
        <v>296</v>
      </c>
    </row>
    <row r="81">
      <c r="A81" s="8">
        <f>'2.1'!A:A</f>
        <v>46213.45994</v>
      </c>
      <c r="B81" s="2" t="str">
        <f>'2.1'!B:B</f>
        <v>bnco0927@signalschool.ac.th</v>
      </c>
      <c r="C81" s="2" t="str">
        <f>'2.1'!C:C</f>
        <v>พ.ต.ไมตรี บุญเหลื่อม</v>
      </c>
      <c r="D81" s="9">
        <v>1.0</v>
      </c>
      <c r="E81" s="10">
        <f>IFERROR(vlookup('2.1'!D:D,lookup!$A$2:$B$4,2,false),0)</f>
        <v>5</v>
      </c>
      <c r="F81" s="10">
        <f>IFERROR(vlookup('2.1'!E:E,lookup!$A$6:$B$8,2,false),0)</f>
        <v>5</v>
      </c>
      <c r="G81" s="10">
        <f>IFERROR(vlookup('2.1'!F:F,lookup!$A$10:$B$12,2,false),0)</f>
        <v>5</v>
      </c>
      <c r="H81" s="10">
        <f>IFERROR(vlookup('2.1'!G:G,lookup!$A$14:$B$16,2,false),0)</f>
        <v>5</v>
      </c>
      <c r="I81" s="10">
        <f>IFERROR(vlookup('2.1'!H:H,lookup!$A$18:$B$20,2,false),0)</f>
        <v>5</v>
      </c>
      <c r="J81" s="10">
        <f>IFERROR(vlookup('2.1'!I:I,lookup!$A$22:$B$24,2,false),0)</f>
        <v>5</v>
      </c>
      <c r="K81" s="10">
        <f>IFERROR(vlookup('2.1'!J:J,lookup!$A$26:$B$28,2,false),0)</f>
        <v>5</v>
      </c>
      <c r="M81" s="10">
        <v>80.0</v>
      </c>
      <c r="N81" s="11" t="str">
        <f t="shared" si="1"/>
        <v>bnco0980@signalschool.ac.th</v>
      </c>
      <c r="O81" s="12">
        <f t="shared" si="2"/>
        <v>1</v>
      </c>
      <c r="R81" s="17" t="s">
        <v>297</v>
      </c>
    </row>
    <row r="82">
      <c r="A82" s="8"/>
      <c r="B82" s="2"/>
      <c r="C82" s="2"/>
      <c r="E82" s="14">
        <f t="shared" ref="E82:K82" si="3">AVERAGE(E2:E81)</f>
        <v>4.975</v>
      </c>
      <c r="F82" s="14">
        <f t="shared" si="3"/>
        <v>4.975</v>
      </c>
      <c r="G82" s="14">
        <f t="shared" si="3"/>
        <v>4.975</v>
      </c>
      <c r="H82" s="14">
        <f t="shared" si="3"/>
        <v>4.975</v>
      </c>
      <c r="I82" s="14">
        <f t="shared" si="3"/>
        <v>4.95</v>
      </c>
      <c r="J82" s="14">
        <f t="shared" si="3"/>
        <v>4.925</v>
      </c>
      <c r="K82" s="14">
        <f t="shared" si="3"/>
        <v>4.925</v>
      </c>
      <c r="L82" s="15">
        <f>AVERAGE(E82:K82)</f>
        <v>4.957142857</v>
      </c>
      <c r="N82" s="2" t="s">
        <v>298</v>
      </c>
      <c r="O82" s="10">
        <f>SUM(O2:O81)</f>
        <v>80</v>
      </c>
    </row>
    <row r="83">
      <c r="A83" s="8"/>
      <c r="B83" s="2"/>
      <c r="C83" s="2"/>
      <c r="E83" s="10"/>
      <c r="F83" s="10"/>
      <c r="G83" s="10"/>
      <c r="H83" s="10"/>
      <c r="I83" s="10"/>
      <c r="J83" s="10"/>
      <c r="K83" s="10"/>
      <c r="N83" s="2" t="s">
        <v>299</v>
      </c>
      <c r="O83" s="10">
        <f>(O82*100)/80</f>
        <v>100</v>
      </c>
    </row>
    <row r="84">
      <c r="A84" s="8"/>
      <c r="B84" s="2"/>
      <c r="C84" s="2"/>
      <c r="E84" s="10"/>
      <c r="K84" s="10"/>
    </row>
    <row r="85">
      <c r="A85" s="8"/>
      <c r="B85" s="2"/>
      <c r="C85" s="2"/>
      <c r="E85" s="10"/>
    </row>
    <row r="86">
      <c r="A86" s="8"/>
      <c r="B86" s="2"/>
      <c r="C86" s="2"/>
      <c r="E86" s="10"/>
    </row>
    <row r="87">
      <c r="A87" s="8"/>
      <c r="B87" s="2"/>
      <c r="C87" s="2"/>
      <c r="E87" s="10"/>
    </row>
    <row r="88">
      <c r="A88" s="8"/>
      <c r="B88" s="2"/>
      <c r="C88" s="2"/>
      <c r="E88" s="10"/>
    </row>
    <row r="89">
      <c r="A89" s="8"/>
      <c r="B89" s="2"/>
      <c r="C89" s="2"/>
      <c r="E89" s="10"/>
    </row>
    <row r="90">
      <c r="A90" s="8"/>
      <c r="B90" s="2"/>
      <c r="C90" s="2"/>
      <c r="E90" s="10"/>
    </row>
    <row r="91">
      <c r="A91" s="8"/>
      <c r="B91" s="2"/>
      <c r="C91" s="2"/>
      <c r="E91" s="10"/>
    </row>
    <row r="92">
      <c r="A92" s="8"/>
      <c r="B92" s="2"/>
      <c r="C92" s="2"/>
      <c r="E92" s="10"/>
    </row>
    <row r="93">
      <c r="A93" s="8"/>
      <c r="B93" s="2"/>
      <c r="C93" s="2"/>
      <c r="E93" s="10"/>
    </row>
    <row r="94">
      <c r="A94" s="8"/>
      <c r="B94" s="2"/>
      <c r="C94" s="2"/>
      <c r="E94" s="10"/>
    </row>
    <row r="95">
      <c r="A95" s="8"/>
      <c r="B95" s="2"/>
      <c r="C95" s="2"/>
      <c r="E95" s="10"/>
    </row>
    <row r="96">
      <c r="A96" s="8"/>
      <c r="B96" s="2"/>
      <c r="C96" s="2"/>
      <c r="E96" s="10"/>
    </row>
    <row r="97">
      <c r="A97" s="8"/>
      <c r="B97" s="2"/>
      <c r="C97" s="2"/>
      <c r="E97" s="10"/>
    </row>
    <row r="98">
      <c r="A98" s="8"/>
      <c r="C98" s="2"/>
      <c r="E98" s="10"/>
    </row>
    <row r="99">
      <c r="A99" s="8"/>
      <c r="C99" s="2"/>
      <c r="E99" s="10"/>
    </row>
    <row r="100">
      <c r="A100" s="8"/>
      <c r="C100" s="2"/>
    </row>
    <row r="101">
      <c r="A101" s="8"/>
      <c r="C101" s="2"/>
    </row>
    <row r="102">
      <c r="A102" s="8"/>
      <c r="C102" s="2"/>
    </row>
    <row r="103">
      <c r="A103" s="8"/>
      <c r="C103" s="2"/>
    </row>
    <row r="104">
      <c r="A104" s="8"/>
      <c r="C104" s="2"/>
    </row>
    <row r="105">
      <c r="A105" s="8"/>
      <c r="C105" s="2"/>
    </row>
    <row r="106">
      <c r="A106" s="8"/>
      <c r="C106" s="2"/>
    </row>
    <row r="107">
      <c r="A107" s="8"/>
      <c r="C107" s="2"/>
    </row>
    <row r="108">
      <c r="A108" s="8"/>
      <c r="C108" s="2"/>
    </row>
    <row r="109">
      <c r="A109" s="8"/>
      <c r="C109" s="2"/>
    </row>
    <row r="110">
      <c r="A110" s="8"/>
      <c r="C110" s="2"/>
    </row>
    <row r="111">
      <c r="A111" s="8"/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</sheetData>
  <mergeCells count="1">
    <mergeCell ref="M1:O1"/>
  </mergeCell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7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4">
        <v>46181.52567681713</v>
      </c>
      <c r="B2" s="6" t="s">
        <v>11</v>
      </c>
      <c r="C2" s="6" t="s">
        <v>458</v>
      </c>
      <c r="D2" s="6" t="s">
        <v>15</v>
      </c>
      <c r="E2" s="6" t="s">
        <v>16</v>
      </c>
      <c r="F2" s="6" t="s">
        <v>17</v>
      </c>
      <c r="G2" s="6" t="s">
        <v>18</v>
      </c>
      <c r="H2" s="6" t="s">
        <v>19</v>
      </c>
      <c r="I2" s="6" t="s">
        <v>20</v>
      </c>
      <c r="J2" s="6" t="s">
        <v>21</v>
      </c>
    </row>
    <row r="3">
      <c r="A3" s="4">
        <v>46189.44096020833</v>
      </c>
      <c r="B3" s="6" t="s">
        <v>27</v>
      </c>
      <c r="C3" s="6" t="s">
        <v>459</v>
      </c>
      <c r="D3" s="6" t="s">
        <v>15</v>
      </c>
      <c r="E3" s="6" t="s">
        <v>16</v>
      </c>
      <c r="F3" s="6" t="s">
        <v>17</v>
      </c>
      <c r="G3" s="6" t="s">
        <v>18</v>
      </c>
      <c r="H3" s="6" t="s">
        <v>19</v>
      </c>
      <c r="I3" s="6" t="s">
        <v>20</v>
      </c>
      <c r="J3" s="6" t="s">
        <v>21</v>
      </c>
      <c r="K3" s="6" t="s">
        <v>29</v>
      </c>
    </row>
    <row r="4">
      <c r="A4" s="4">
        <v>46195.35893804398</v>
      </c>
      <c r="B4" s="6" t="s">
        <v>166</v>
      </c>
      <c r="C4" s="6" t="s">
        <v>459</v>
      </c>
      <c r="D4" s="6" t="s">
        <v>15</v>
      </c>
      <c r="E4" s="6" t="s">
        <v>16</v>
      </c>
      <c r="F4" s="6" t="s">
        <v>17</v>
      </c>
      <c r="G4" s="6" t="s">
        <v>18</v>
      </c>
      <c r="H4" s="6" t="s">
        <v>19</v>
      </c>
      <c r="I4" s="6" t="s">
        <v>20</v>
      </c>
      <c r="J4" s="6" t="s">
        <v>48</v>
      </c>
    </row>
    <row r="5">
      <c r="A5" s="4">
        <v>46204.35933078703</v>
      </c>
      <c r="B5" s="6" t="s">
        <v>30</v>
      </c>
      <c r="C5" s="6" t="s">
        <v>461</v>
      </c>
      <c r="D5" s="6" t="s">
        <v>15</v>
      </c>
      <c r="E5" s="6" t="s">
        <v>16</v>
      </c>
      <c r="F5" s="6" t="s">
        <v>17</v>
      </c>
      <c r="G5" s="6" t="s">
        <v>18</v>
      </c>
      <c r="H5" s="6" t="s">
        <v>19</v>
      </c>
      <c r="I5" s="6" t="s">
        <v>20</v>
      </c>
      <c r="J5" s="6" t="s">
        <v>21</v>
      </c>
      <c r="K5" s="6" t="s">
        <v>34</v>
      </c>
    </row>
    <row r="6">
      <c r="A6" s="4">
        <v>46204.4635746875</v>
      </c>
      <c r="B6" s="6" t="s">
        <v>35</v>
      </c>
      <c r="C6" s="6" t="s">
        <v>461</v>
      </c>
      <c r="D6" s="6" t="s">
        <v>15</v>
      </c>
      <c r="E6" s="6" t="s">
        <v>16</v>
      </c>
      <c r="F6" s="6" t="s">
        <v>17</v>
      </c>
      <c r="G6" s="6" t="s">
        <v>18</v>
      </c>
      <c r="H6" s="6" t="s">
        <v>19</v>
      </c>
      <c r="I6" s="6" t="s">
        <v>20</v>
      </c>
      <c r="J6" s="6" t="s">
        <v>21</v>
      </c>
    </row>
    <row r="7">
      <c r="A7" s="4">
        <v>46206.600626168976</v>
      </c>
      <c r="B7" s="6" t="s">
        <v>37</v>
      </c>
      <c r="C7" s="6" t="s">
        <v>459</v>
      </c>
      <c r="D7" s="6" t="s">
        <v>15</v>
      </c>
      <c r="E7" s="6" t="s">
        <v>16</v>
      </c>
      <c r="F7" s="6" t="s">
        <v>17</v>
      </c>
      <c r="G7" s="6" t="s">
        <v>18</v>
      </c>
      <c r="H7" s="6" t="s">
        <v>19</v>
      </c>
      <c r="I7" s="6" t="s">
        <v>20</v>
      </c>
      <c r="J7" s="6" t="s">
        <v>21</v>
      </c>
      <c r="K7" s="6" t="s">
        <v>219</v>
      </c>
    </row>
    <row r="8">
      <c r="A8" s="4">
        <v>46212.589920185186</v>
      </c>
      <c r="B8" s="6" t="s">
        <v>40</v>
      </c>
      <c r="C8" s="6" t="s">
        <v>459</v>
      </c>
      <c r="D8" s="6" t="s">
        <v>41</v>
      </c>
      <c r="E8" s="6" t="s">
        <v>33</v>
      </c>
      <c r="F8" s="6" t="s">
        <v>43</v>
      </c>
      <c r="G8" s="6" t="s">
        <v>44</v>
      </c>
      <c r="H8" s="6" t="s">
        <v>46</v>
      </c>
      <c r="I8" s="6" t="s">
        <v>47</v>
      </c>
      <c r="J8" s="6" t="s">
        <v>48</v>
      </c>
    </row>
    <row r="9">
      <c r="A9" s="4">
        <v>46212.619758877314</v>
      </c>
      <c r="B9" s="6" t="s">
        <v>49</v>
      </c>
      <c r="C9" s="6" t="s">
        <v>469</v>
      </c>
      <c r="D9" s="6" t="s">
        <v>15</v>
      </c>
      <c r="E9" s="6" t="s">
        <v>16</v>
      </c>
      <c r="F9" s="6" t="s">
        <v>17</v>
      </c>
      <c r="G9" s="6" t="s">
        <v>18</v>
      </c>
      <c r="H9" s="6" t="s">
        <v>19</v>
      </c>
      <c r="I9" s="6" t="s">
        <v>20</v>
      </c>
      <c r="J9" s="6" t="s">
        <v>21</v>
      </c>
    </row>
    <row r="10">
      <c r="A10" s="4">
        <v>46212.62052412037</v>
      </c>
      <c r="B10" s="6" t="s">
        <v>12</v>
      </c>
      <c r="C10" s="6" t="s">
        <v>459</v>
      </c>
      <c r="D10" s="6" t="s">
        <v>15</v>
      </c>
      <c r="E10" s="6" t="s">
        <v>16</v>
      </c>
      <c r="F10" s="6" t="s">
        <v>17</v>
      </c>
      <c r="G10" s="6" t="s">
        <v>18</v>
      </c>
      <c r="H10" s="6" t="s">
        <v>19</v>
      </c>
      <c r="I10" s="6" t="s">
        <v>20</v>
      </c>
      <c r="J10" s="6" t="s">
        <v>21</v>
      </c>
    </row>
    <row r="11">
      <c r="A11" s="4">
        <v>46212.620694502315</v>
      </c>
      <c r="B11" s="6" t="s">
        <v>79</v>
      </c>
      <c r="C11" s="6" t="s">
        <v>463</v>
      </c>
      <c r="D11" s="6" t="s">
        <v>15</v>
      </c>
      <c r="E11" s="6" t="s">
        <v>16</v>
      </c>
      <c r="F11" s="6" t="s">
        <v>17</v>
      </c>
      <c r="G11" s="6" t="s">
        <v>18</v>
      </c>
      <c r="H11" s="6" t="s">
        <v>19</v>
      </c>
      <c r="I11" s="6" t="s">
        <v>20</v>
      </c>
      <c r="J11" s="6" t="s">
        <v>21</v>
      </c>
    </row>
    <row r="12">
      <c r="A12" s="4">
        <v>46212.62139712963</v>
      </c>
      <c r="B12" s="6" t="s">
        <v>76</v>
      </c>
      <c r="C12" s="6" t="s">
        <v>464</v>
      </c>
      <c r="D12" s="6" t="s">
        <v>15</v>
      </c>
      <c r="E12" s="6" t="s">
        <v>16</v>
      </c>
      <c r="F12" s="6" t="s">
        <v>17</v>
      </c>
      <c r="G12" s="6" t="s">
        <v>18</v>
      </c>
      <c r="H12" s="6" t="s">
        <v>19</v>
      </c>
      <c r="I12" s="6" t="s">
        <v>20</v>
      </c>
      <c r="J12" s="6" t="s">
        <v>21</v>
      </c>
    </row>
    <row r="13">
      <c r="A13" s="4">
        <v>46212.62302269676</v>
      </c>
      <c r="B13" s="6" t="s">
        <v>57</v>
      </c>
      <c r="C13" s="6" t="s">
        <v>459</v>
      </c>
      <c r="D13" s="6" t="s">
        <v>15</v>
      </c>
      <c r="E13" s="6" t="s">
        <v>16</v>
      </c>
      <c r="F13" s="6" t="s">
        <v>17</v>
      </c>
      <c r="G13" s="6" t="s">
        <v>18</v>
      </c>
      <c r="H13" s="6" t="s">
        <v>19</v>
      </c>
      <c r="I13" s="6" t="s">
        <v>20</v>
      </c>
      <c r="J13" s="6" t="s">
        <v>21</v>
      </c>
    </row>
    <row r="14">
      <c r="A14" s="4">
        <v>46212.623026064815</v>
      </c>
      <c r="B14" s="6" t="s">
        <v>106</v>
      </c>
      <c r="C14" s="6" t="s">
        <v>470</v>
      </c>
      <c r="D14" s="6" t="s">
        <v>15</v>
      </c>
      <c r="E14" s="6" t="s">
        <v>16</v>
      </c>
      <c r="F14" s="6" t="s">
        <v>17</v>
      </c>
      <c r="G14" s="6" t="s">
        <v>18</v>
      </c>
      <c r="H14" s="6" t="s">
        <v>19</v>
      </c>
      <c r="I14" s="6" t="s">
        <v>20</v>
      </c>
      <c r="J14" s="6" t="s">
        <v>21</v>
      </c>
    </row>
    <row r="15">
      <c r="A15" s="4">
        <v>46212.62308123843</v>
      </c>
      <c r="B15" s="6" t="s">
        <v>31</v>
      </c>
      <c r="C15" s="6" t="s">
        <v>459</v>
      </c>
      <c r="D15" s="6" t="s">
        <v>15</v>
      </c>
      <c r="E15" s="6" t="s">
        <v>16</v>
      </c>
      <c r="F15" s="6" t="s">
        <v>17</v>
      </c>
      <c r="G15" s="6" t="s">
        <v>18</v>
      </c>
      <c r="H15" s="6" t="s">
        <v>19</v>
      </c>
      <c r="I15" s="6" t="s">
        <v>20</v>
      </c>
      <c r="J15" s="6" t="s">
        <v>21</v>
      </c>
    </row>
    <row r="16">
      <c r="A16" s="4">
        <v>46212.62327189815</v>
      </c>
      <c r="B16" s="6" t="s">
        <v>67</v>
      </c>
      <c r="C16" s="6" t="s">
        <v>459</v>
      </c>
      <c r="D16" s="6" t="s">
        <v>15</v>
      </c>
      <c r="E16" s="6" t="s">
        <v>16</v>
      </c>
      <c r="F16" s="6" t="s">
        <v>17</v>
      </c>
      <c r="G16" s="6" t="s">
        <v>18</v>
      </c>
      <c r="H16" s="6" t="s">
        <v>19</v>
      </c>
      <c r="I16" s="6" t="s">
        <v>20</v>
      </c>
      <c r="J16" s="6" t="s">
        <v>21</v>
      </c>
    </row>
    <row r="17">
      <c r="A17" s="4">
        <v>46212.62376083333</v>
      </c>
      <c r="B17" s="6" t="s">
        <v>119</v>
      </c>
      <c r="C17" s="6" t="s">
        <v>459</v>
      </c>
      <c r="D17" s="6" t="s">
        <v>15</v>
      </c>
      <c r="E17" s="6" t="s">
        <v>16</v>
      </c>
      <c r="F17" s="6" t="s">
        <v>17</v>
      </c>
      <c r="G17" s="6" t="s">
        <v>18</v>
      </c>
      <c r="H17" s="6" t="s">
        <v>19</v>
      </c>
      <c r="I17" s="6" t="s">
        <v>20</v>
      </c>
      <c r="J17" s="6" t="s">
        <v>21</v>
      </c>
    </row>
    <row r="18">
      <c r="A18" s="4">
        <v>46212.62470144676</v>
      </c>
      <c r="B18" s="6" t="s">
        <v>75</v>
      </c>
      <c r="C18" s="6" t="s">
        <v>463</v>
      </c>
      <c r="D18" s="6" t="s">
        <v>15</v>
      </c>
      <c r="E18" s="6" t="s">
        <v>16</v>
      </c>
      <c r="F18" s="6" t="s">
        <v>17</v>
      </c>
      <c r="G18" s="6" t="s">
        <v>18</v>
      </c>
      <c r="H18" s="6" t="s">
        <v>19</v>
      </c>
      <c r="I18" s="6" t="s">
        <v>20</v>
      </c>
      <c r="J18" s="6" t="s">
        <v>21</v>
      </c>
    </row>
    <row r="19">
      <c r="A19" s="4">
        <v>46212.62484554398</v>
      </c>
      <c r="B19" s="6" t="s">
        <v>110</v>
      </c>
      <c r="C19" s="6" t="s">
        <v>459</v>
      </c>
      <c r="D19" s="6" t="s">
        <v>15</v>
      </c>
      <c r="E19" s="6" t="s">
        <v>16</v>
      </c>
      <c r="F19" s="6" t="s">
        <v>17</v>
      </c>
      <c r="G19" s="6" t="s">
        <v>18</v>
      </c>
      <c r="H19" s="6" t="s">
        <v>19</v>
      </c>
      <c r="I19" s="6" t="s">
        <v>20</v>
      </c>
      <c r="J19" s="6" t="s">
        <v>21</v>
      </c>
    </row>
    <row r="20">
      <c r="A20" s="4">
        <v>46212.625201469906</v>
      </c>
      <c r="B20" s="6" t="s">
        <v>142</v>
      </c>
      <c r="C20" s="6" t="s">
        <v>460</v>
      </c>
      <c r="D20" s="6" t="s">
        <v>15</v>
      </c>
      <c r="E20" s="6" t="s">
        <v>16</v>
      </c>
      <c r="F20" s="6" t="s">
        <v>17</v>
      </c>
      <c r="G20" s="6" t="s">
        <v>18</v>
      </c>
      <c r="H20" s="6" t="s">
        <v>19</v>
      </c>
      <c r="I20" s="6" t="s">
        <v>20</v>
      </c>
      <c r="J20" s="6" t="s">
        <v>21</v>
      </c>
    </row>
    <row r="21">
      <c r="A21" s="4">
        <v>46212.62523684028</v>
      </c>
      <c r="B21" s="6" t="s">
        <v>53</v>
      </c>
      <c r="C21" s="6" t="s">
        <v>459</v>
      </c>
      <c r="D21" s="6" t="s">
        <v>15</v>
      </c>
      <c r="E21" s="6" t="s">
        <v>16</v>
      </c>
      <c r="F21" s="6" t="s">
        <v>17</v>
      </c>
      <c r="G21" s="6" t="s">
        <v>18</v>
      </c>
      <c r="H21" s="6" t="s">
        <v>19</v>
      </c>
      <c r="I21" s="6" t="s">
        <v>20</v>
      </c>
      <c r="J21" s="6" t="s">
        <v>21</v>
      </c>
    </row>
    <row r="22">
      <c r="A22" s="4">
        <v>46212.62525045139</v>
      </c>
      <c r="B22" s="6" t="s">
        <v>101</v>
      </c>
      <c r="C22" s="6" t="s">
        <v>459</v>
      </c>
      <c r="D22" s="6" t="s">
        <v>15</v>
      </c>
      <c r="E22" s="6" t="s">
        <v>16</v>
      </c>
      <c r="F22" s="6" t="s">
        <v>17</v>
      </c>
      <c r="G22" s="6" t="s">
        <v>18</v>
      </c>
      <c r="H22" s="6" t="s">
        <v>19</v>
      </c>
      <c r="I22" s="6" t="s">
        <v>20</v>
      </c>
      <c r="J22" s="6" t="s">
        <v>21</v>
      </c>
    </row>
    <row r="23">
      <c r="A23" s="4">
        <v>46212.62528609954</v>
      </c>
      <c r="B23" s="6" t="s">
        <v>125</v>
      </c>
      <c r="C23" s="6" t="s">
        <v>459</v>
      </c>
      <c r="D23" s="6" t="s">
        <v>15</v>
      </c>
      <c r="E23" s="6" t="s">
        <v>16</v>
      </c>
      <c r="F23" s="6" t="s">
        <v>17</v>
      </c>
      <c r="G23" s="6" t="s">
        <v>18</v>
      </c>
      <c r="H23" s="6" t="s">
        <v>19</v>
      </c>
      <c r="I23" s="6" t="s">
        <v>20</v>
      </c>
      <c r="J23" s="6" t="s">
        <v>21</v>
      </c>
    </row>
    <row r="24">
      <c r="A24" s="4">
        <v>46212.62540071759</v>
      </c>
      <c r="B24" s="6" t="s">
        <v>63</v>
      </c>
      <c r="C24" s="6" t="s">
        <v>459</v>
      </c>
      <c r="D24" s="6" t="s">
        <v>15</v>
      </c>
      <c r="E24" s="6" t="s">
        <v>16</v>
      </c>
      <c r="F24" s="6" t="s">
        <v>17</v>
      </c>
      <c r="G24" s="6" t="s">
        <v>18</v>
      </c>
      <c r="H24" s="6" t="s">
        <v>19</v>
      </c>
      <c r="I24" s="6" t="s">
        <v>20</v>
      </c>
      <c r="J24" s="6" t="s">
        <v>21</v>
      </c>
    </row>
    <row r="25">
      <c r="A25" s="4">
        <v>46212.62544704862</v>
      </c>
      <c r="B25" s="6" t="s">
        <v>74</v>
      </c>
      <c r="C25" s="6" t="s">
        <v>459</v>
      </c>
      <c r="D25" s="6" t="s">
        <v>15</v>
      </c>
      <c r="E25" s="6" t="s">
        <v>16</v>
      </c>
      <c r="F25" s="6" t="s">
        <v>17</v>
      </c>
      <c r="G25" s="6" t="s">
        <v>18</v>
      </c>
      <c r="H25" s="6" t="s">
        <v>19</v>
      </c>
      <c r="I25" s="6" t="s">
        <v>20</v>
      </c>
      <c r="J25" s="6" t="s">
        <v>21</v>
      </c>
    </row>
    <row r="26">
      <c r="A26" s="4">
        <v>46212.625790590275</v>
      </c>
      <c r="B26" s="6" t="s">
        <v>108</v>
      </c>
      <c r="C26" s="6" t="s">
        <v>459</v>
      </c>
      <c r="D26" s="6" t="s">
        <v>15</v>
      </c>
      <c r="E26" s="6" t="s">
        <v>16</v>
      </c>
      <c r="F26" s="6" t="s">
        <v>17</v>
      </c>
      <c r="G26" s="6" t="s">
        <v>18</v>
      </c>
      <c r="H26" s="6" t="s">
        <v>19</v>
      </c>
      <c r="I26" s="6" t="s">
        <v>20</v>
      </c>
      <c r="J26" s="6" t="s">
        <v>21</v>
      </c>
    </row>
    <row r="27">
      <c r="A27" s="4">
        <v>46212.625801539354</v>
      </c>
      <c r="B27" s="6" t="s">
        <v>25</v>
      </c>
      <c r="C27" s="6" t="s">
        <v>459</v>
      </c>
      <c r="D27" s="6" t="s">
        <v>15</v>
      </c>
      <c r="E27" s="6" t="s">
        <v>16</v>
      </c>
      <c r="F27" s="6" t="s">
        <v>17</v>
      </c>
      <c r="G27" s="6" t="s">
        <v>18</v>
      </c>
      <c r="H27" s="6" t="s">
        <v>19</v>
      </c>
      <c r="I27" s="6" t="s">
        <v>20</v>
      </c>
      <c r="J27" s="6" t="s">
        <v>21</v>
      </c>
    </row>
    <row r="28">
      <c r="A28" s="4">
        <v>46212.62581765046</v>
      </c>
      <c r="B28" s="6" t="s">
        <v>118</v>
      </c>
      <c r="C28" s="6" t="s">
        <v>459</v>
      </c>
      <c r="D28" s="6" t="s">
        <v>15</v>
      </c>
      <c r="E28" s="6" t="s">
        <v>16</v>
      </c>
      <c r="F28" s="6" t="s">
        <v>17</v>
      </c>
      <c r="G28" s="6" t="s">
        <v>18</v>
      </c>
      <c r="H28" s="6" t="s">
        <v>19</v>
      </c>
      <c r="I28" s="6" t="s">
        <v>20</v>
      </c>
      <c r="J28" s="6" t="s">
        <v>21</v>
      </c>
    </row>
    <row r="29">
      <c r="A29" s="4">
        <v>46212.6259175</v>
      </c>
      <c r="B29" s="6" t="s">
        <v>93</v>
      </c>
      <c r="C29" s="6" t="s">
        <v>460</v>
      </c>
      <c r="D29" s="6" t="s">
        <v>15</v>
      </c>
      <c r="E29" s="6" t="s">
        <v>16</v>
      </c>
      <c r="F29" s="6" t="s">
        <v>17</v>
      </c>
      <c r="G29" s="6" t="s">
        <v>18</v>
      </c>
      <c r="H29" s="6" t="s">
        <v>19</v>
      </c>
      <c r="I29" s="6" t="s">
        <v>20</v>
      </c>
      <c r="J29" s="6" t="s">
        <v>21</v>
      </c>
    </row>
    <row r="30">
      <c r="A30" s="4">
        <v>46212.6260062963</v>
      </c>
      <c r="B30" s="6" t="s">
        <v>91</v>
      </c>
      <c r="C30" s="6" t="s">
        <v>459</v>
      </c>
      <c r="D30" s="6" t="s">
        <v>15</v>
      </c>
      <c r="E30" s="6" t="s">
        <v>16</v>
      </c>
      <c r="F30" s="6" t="s">
        <v>17</v>
      </c>
      <c r="G30" s="6" t="s">
        <v>18</v>
      </c>
      <c r="H30" s="6" t="s">
        <v>19</v>
      </c>
      <c r="I30" s="6" t="s">
        <v>20</v>
      </c>
      <c r="J30" s="6" t="s">
        <v>21</v>
      </c>
    </row>
    <row r="31">
      <c r="A31" s="4">
        <v>46212.62607886574</v>
      </c>
      <c r="B31" s="6" t="s">
        <v>98</v>
      </c>
      <c r="C31" s="6" t="s">
        <v>459</v>
      </c>
      <c r="D31" s="6" t="s">
        <v>15</v>
      </c>
      <c r="E31" s="6" t="s">
        <v>16</v>
      </c>
      <c r="F31" s="6" t="s">
        <v>17</v>
      </c>
      <c r="G31" s="6" t="s">
        <v>18</v>
      </c>
      <c r="H31" s="6" t="s">
        <v>19</v>
      </c>
      <c r="I31" s="6" t="s">
        <v>20</v>
      </c>
      <c r="J31" s="6" t="s">
        <v>21</v>
      </c>
      <c r="K31" s="6" t="s">
        <v>34</v>
      </c>
    </row>
    <row r="32">
      <c r="A32" s="4">
        <v>46212.62616730324</v>
      </c>
      <c r="B32" s="6" t="s">
        <v>42</v>
      </c>
      <c r="C32" s="6" t="s">
        <v>459</v>
      </c>
      <c r="D32" s="6" t="s">
        <v>15</v>
      </c>
      <c r="E32" s="6" t="s">
        <v>16</v>
      </c>
      <c r="F32" s="6" t="s">
        <v>17</v>
      </c>
      <c r="G32" s="6" t="s">
        <v>18</v>
      </c>
      <c r="H32" s="6" t="s">
        <v>19</v>
      </c>
      <c r="I32" s="6" t="s">
        <v>20</v>
      </c>
      <c r="J32" s="6" t="s">
        <v>21</v>
      </c>
    </row>
    <row r="33">
      <c r="A33" s="4">
        <v>46212.62622027777</v>
      </c>
      <c r="B33" s="6" t="s">
        <v>102</v>
      </c>
      <c r="C33" s="6" t="s">
        <v>459</v>
      </c>
      <c r="D33" s="6" t="s">
        <v>15</v>
      </c>
      <c r="E33" s="6" t="s">
        <v>16</v>
      </c>
      <c r="F33" s="6" t="s">
        <v>17</v>
      </c>
      <c r="G33" s="6" t="s">
        <v>18</v>
      </c>
      <c r="H33" s="6" t="s">
        <v>19</v>
      </c>
      <c r="I33" s="6" t="s">
        <v>20</v>
      </c>
      <c r="J33" s="6" t="s">
        <v>21</v>
      </c>
    </row>
    <row r="34">
      <c r="A34" s="4">
        <v>46212.62624171296</v>
      </c>
      <c r="B34" s="6" t="s">
        <v>54</v>
      </c>
      <c r="C34" s="6" t="s">
        <v>459</v>
      </c>
      <c r="D34" s="6" t="s">
        <v>15</v>
      </c>
      <c r="E34" s="6" t="s">
        <v>16</v>
      </c>
      <c r="F34" s="6" t="s">
        <v>17</v>
      </c>
      <c r="G34" s="6" t="s">
        <v>18</v>
      </c>
      <c r="H34" s="6" t="s">
        <v>19</v>
      </c>
      <c r="I34" s="6" t="s">
        <v>20</v>
      </c>
      <c r="J34" s="6" t="s">
        <v>21</v>
      </c>
    </row>
    <row r="35">
      <c r="A35" s="4">
        <v>46212.6262808912</v>
      </c>
      <c r="B35" s="6" t="s">
        <v>151</v>
      </c>
      <c r="C35" s="6" t="s">
        <v>471</v>
      </c>
      <c r="D35" s="6" t="s">
        <v>15</v>
      </c>
      <c r="E35" s="6" t="s">
        <v>16</v>
      </c>
      <c r="F35" s="6" t="s">
        <v>17</v>
      </c>
      <c r="G35" s="6" t="s">
        <v>18</v>
      </c>
      <c r="H35" s="6" t="s">
        <v>19</v>
      </c>
      <c r="I35" s="6" t="s">
        <v>20</v>
      </c>
      <c r="J35" s="6" t="s">
        <v>21</v>
      </c>
    </row>
    <row r="36">
      <c r="A36" s="4">
        <v>46212.626286377315</v>
      </c>
      <c r="B36" s="6" t="s">
        <v>134</v>
      </c>
      <c r="C36" s="6" t="s">
        <v>459</v>
      </c>
      <c r="D36" s="6" t="s">
        <v>15</v>
      </c>
      <c r="E36" s="6" t="s">
        <v>16</v>
      </c>
      <c r="F36" s="6" t="s">
        <v>17</v>
      </c>
      <c r="G36" s="6" t="s">
        <v>18</v>
      </c>
      <c r="H36" s="6" t="s">
        <v>19</v>
      </c>
      <c r="I36" s="6" t="s">
        <v>20</v>
      </c>
      <c r="J36" s="6" t="s">
        <v>21</v>
      </c>
    </row>
    <row r="37">
      <c r="A37" s="4">
        <v>46212.626330300925</v>
      </c>
      <c r="B37" s="6" t="s">
        <v>124</v>
      </c>
      <c r="C37" s="6" t="s">
        <v>459</v>
      </c>
      <c r="D37" s="6" t="s">
        <v>15</v>
      </c>
      <c r="E37" s="6" t="s">
        <v>16</v>
      </c>
      <c r="F37" s="6" t="s">
        <v>17</v>
      </c>
      <c r="G37" s="6" t="s">
        <v>18</v>
      </c>
      <c r="H37" s="6" t="s">
        <v>19</v>
      </c>
      <c r="I37" s="6" t="s">
        <v>20</v>
      </c>
      <c r="J37" s="6" t="s">
        <v>21</v>
      </c>
    </row>
    <row r="38">
      <c r="A38" s="4">
        <v>46212.62639447917</v>
      </c>
      <c r="B38" s="6" t="s">
        <v>144</v>
      </c>
      <c r="C38" s="6" t="s">
        <v>459</v>
      </c>
      <c r="D38" s="6" t="s">
        <v>15</v>
      </c>
      <c r="E38" s="6" t="s">
        <v>16</v>
      </c>
      <c r="F38" s="6" t="s">
        <v>17</v>
      </c>
      <c r="G38" s="6" t="s">
        <v>18</v>
      </c>
      <c r="H38" s="6" t="s">
        <v>19</v>
      </c>
      <c r="I38" s="6" t="s">
        <v>20</v>
      </c>
      <c r="J38" s="6" t="s">
        <v>21</v>
      </c>
    </row>
    <row r="39">
      <c r="A39" s="4">
        <v>46212.626516793986</v>
      </c>
      <c r="B39" s="6" t="s">
        <v>138</v>
      </c>
      <c r="C39" s="6" t="s">
        <v>465</v>
      </c>
      <c r="D39" s="6" t="s">
        <v>15</v>
      </c>
      <c r="E39" s="6" t="s">
        <v>16</v>
      </c>
      <c r="F39" s="6" t="s">
        <v>17</v>
      </c>
      <c r="G39" s="6" t="s">
        <v>18</v>
      </c>
      <c r="H39" s="6" t="s">
        <v>19</v>
      </c>
      <c r="I39" s="6" t="s">
        <v>20</v>
      </c>
      <c r="J39" s="6" t="s">
        <v>21</v>
      </c>
    </row>
    <row r="40">
      <c r="A40" s="4">
        <v>46212.62661446759</v>
      </c>
      <c r="B40" s="6" t="s">
        <v>22</v>
      </c>
      <c r="C40" s="6" t="s">
        <v>459</v>
      </c>
      <c r="D40" s="6" t="s">
        <v>15</v>
      </c>
      <c r="E40" s="6" t="s">
        <v>16</v>
      </c>
      <c r="F40" s="6" t="s">
        <v>17</v>
      </c>
      <c r="G40" s="6" t="s">
        <v>18</v>
      </c>
      <c r="H40" s="6" t="s">
        <v>19</v>
      </c>
      <c r="I40" s="6" t="s">
        <v>20</v>
      </c>
      <c r="J40" s="6" t="s">
        <v>21</v>
      </c>
    </row>
    <row r="41">
      <c r="A41" s="4">
        <v>46212.627127997686</v>
      </c>
      <c r="B41" s="6" t="s">
        <v>94</v>
      </c>
      <c r="C41" s="6" t="s">
        <v>459</v>
      </c>
      <c r="D41" s="6" t="s">
        <v>15</v>
      </c>
      <c r="E41" s="6" t="s">
        <v>16</v>
      </c>
      <c r="F41" s="6" t="s">
        <v>17</v>
      </c>
      <c r="G41" s="6" t="s">
        <v>18</v>
      </c>
      <c r="H41" s="6" t="s">
        <v>19</v>
      </c>
      <c r="I41" s="6" t="s">
        <v>20</v>
      </c>
      <c r="J41" s="6" t="s">
        <v>21</v>
      </c>
    </row>
    <row r="42">
      <c r="A42" s="4">
        <v>46212.62715817129</v>
      </c>
      <c r="B42" s="6" t="s">
        <v>100</v>
      </c>
      <c r="C42" s="6" t="s">
        <v>459</v>
      </c>
      <c r="D42" s="6" t="s">
        <v>15</v>
      </c>
      <c r="E42" s="6" t="s">
        <v>16</v>
      </c>
      <c r="F42" s="6" t="s">
        <v>17</v>
      </c>
      <c r="G42" s="6" t="s">
        <v>18</v>
      </c>
      <c r="H42" s="6" t="s">
        <v>19</v>
      </c>
      <c r="I42" s="6" t="s">
        <v>20</v>
      </c>
      <c r="J42" s="6" t="s">
        <v>21</v>
      </c>
    </row>
    <row r="43">
      <c r="A43" s="4">
        <v>46212.62733877315</v>
      </c>
      <c r="B43" s="6" t="s">
        <v>59</v>
      </c>
      <c r="C43" s="6" t="s">
        <v>459</v>
      </c>
      <c r="D43" s="6" t="s">
        <v>15</v>
      </c>
      <c r="E43" s="6" t="s">
        <v>16</v>
      </c>
      <c r="F43" s="6" t="s">
        <v>17</v>
      </c>
      <c r="G43" s="6" t="s">
        <v>18</v>
      </c>
      <c r="H43" s="6" t="s">
        <v>19</v>
      </c>
      <c r="I43" s="6" t="s">
        <v>20</v>
      </c>
      <c r="J43" s="6" t="s">
        <v>21</v>
      </c>
    </row>
    <row r="44">
      <c r="A44" s="4">
        <v>46212.627378379635</v>
      </c>
      <c r="B44" s="6" t="s">
        <v>105</v>
      </c>
      <c r="C44" s="6" t="s">
        <v>459</v>
      </c>
      <c r="D44" s="6" t="s">
        <v>15</v>
      </c>
      <c r="E44" s="6" t="s">
        <v>16</v>
      </c>
      <c r="F44" s="6" t="s">
        <v>17</v>
      </c>
      <c r="G44" s="6" t="s">
        <v>18</v>
      </c>
      <c r="H44" s="6" t="s">
        <v>19</v>
      </c>
      <c r="I44" s="6" t="s">
        <v>20</v>
      </c>
      <c r="J44" s="6" t="s">
        <v>21</v>
      </c>
    </row>
    <row r="45">
      <c r="A45" s="4">
        <v>46212.627570069446</v>
      </c>
      <c r="B45" s="6" t="s">
        <v>123</v>
      </c>
      <c r="C45" s="6" t="s">
        <v>459</v>
      </c>
      <c r="D45" s="6" t="s">
        <v>15</v>
      </c>
      <c r="E45" s="6" t="s">
        <v>16</v>
      </c>
      <c r="F45" s="6" t="s">
        <v>17</v>
      </c>
      <c r="G45" s="6" t="s">
        <v>18</v>
      </c>
      <c r="H45" s="6" t="s">
        <v>19</v>
      </c>
      <c r="I45" s="6" t="s">
        <v>20</v>
      </c>
      <c r="J45" s="6" t="s">
        <v>21</v>
      </c>
    </row>
    <row r="46">
      <c r="A46" s="4">
        <v>46212.62787701389</v>
      </c>
      <c r="B46" s="6" t="s">
        <v>95</v>
      </c>
      <c r="C46" s="6" t="s">
        <v>459</v>
      </c>
      <c r="D46" s="6" t="s">
        <v>15</v>
      </c>
      <c r="E46" s="6" t="s">
        <v>16</v>
      </c>
      <c r="F46" s="6" t="s">
        <v>17</v>
      </c>
      <c r="G46" s="6" t="s">
        <v>18</v>
      </c>
      <c r="H46" s="6" t="s">
        <v>19</v>
      </c>
      <c r="I46" s="6" t="s">
        <v>20</v>
      </c>
      <c r="J46" s="6" t="s">
        <v>21</v>
      </c>
    </row>
    <row r="47">
      <c r="A47" s="4">
        <v>46212.628088032405</v>
      </c>
      <c r="B47" s="6" t="s">
        <v>161</v>
      </c>
      <c r="C47" s="6" t="s">
        <v>459</v>
      </c>
      <c r="D47" s="6" t="s">
        <v>15</v>
      </c>
      <c r="E47" s="6" t="s">
        <v>16</v>
      </c>
      <c r="F47" s="6" t="s">
        <v>17</v>
      </c>
      <c r="G47" s="6" t="s">
        <v>18</v>
      </c>
      <c r="H47" s="6" t="s">
        <v>19</v>
      </c>
      <c r="I47" s="6" t="s">
        <v>20</v>
      </c>
      <c r="J47" s="6" t="s">
        <v>21</v>
      </c>
    </row>
    <row r="48">
      <c r="A48" s="4">
        <v>46212.62809699074</v>
      </c>
      <c r="B48" s="6" t="s">
        <v>62</v>
      </c>
      <c r="C48" s="6" t="s">
        <v>459</v>
      </c>
      <c r="D48" s="6" t="s">
        <v>15</v>
      </c>
      <c r="E48" s="6" t="s">
        <v>16</v>
      </c>
      <c r="F48" s="6" t="s">
        <v>17</v>
      </c>
      <c r="G48" s="6" t="s">
        <v>18</v>
      </c>
      <c r="H48" s="6" t="s">
        <v>19</v>
      </c>
      <c r="I48" s="6" t="s">
        <v>20</v>
      </c>
      <c r="J48" s="6" t="s">
        <v>21</v>
      </c>
    </row>
    <row r="49">
      <c r="A49" s="4">
        <v>46212.62817534722</v>
      </c>
      <c r="B49" s="6" t="s">
        <v>104</v>
      </c>
      <c r="C49" s="6" t="s">
        <v>459</v>
      </c>
      <c r="D49" s="6" t="s">
        <v>15</v>
      </c>
      <c r="E49" s="6" t="s">
        <v>16</v>
      </c>
      <c r="F49" s="6" t="s">
        <v>17</v>
      </c>
      <c r="G49" s="6" t="s">
        <v>18</v>
      </c>
      <c r="H49" s="6" t="s">
        <v>19</v>
      </c>
      <c r="I49" s="6" t="s">
        <v>20</v>
      </c>
      <c r="J49" s="6" t="s">
        <v>21</v>
      </c>
    </row>
    <row r="50">
      <c r="A50" s="4">
        <v>46212.62818447917</v>
      </c>
      <c r="B50" s="6" t="s">
        <v>82</v>
      </c>
      <c r="C50" s="6" t="s">
        <v>459</v>
      </c>
      <c r="D50" s="6" t="s">
        <v>15</v>
      </c>
      <c r="E50" s="6" t="s">
        <v>16</v>
      </c>
      <c r="F50" s="6" t="s">
        <v>17</v>
      </c>
      <c r="G50" s="6" t="s">
        <v>18</v>
      </c>
      <c r="H50" s="6" t="s">
        <v>19</v>
      </c>
      <c r="I50" s="6" t="s">
        <v>20</v>
      </c>
      <c r="J50" s="6" t="s">
        <v>21</v>
      </c>
    </row>
    <row r="51">
      <c r="A51" s="4">
        <v>46212.62820261574</v>
      </c>
      <c r="B51" s="6" t="s">
        <v>65</v>
      </c>
      <c r="C51" s="6" t="s">
        <v>459</v>
      </c>
      <c r="D51" s="6" t="s">
        <v>15</v>
      </c>
      <c r="E51" s="6" t="s">
        <v>16</v>
      </c>
      <c r="F51" s="6" t="s">
        <v>17</v>
      </c>
      <c r="G51" s="6" t="s">
        <v>18</v>
      </c>
      <c r="H51" s="6" t="s">
        <v>46</v>
      </c>
      <c r="I51" s="6" t="s">
        <v>20</v>
      </c>
      <c r="J51" s="6" t="s">
        <v>48</v>
      </c>
    </row>
    <row r="52">
      <c r="A52" s="4">
        <v>46212.6282115625</v>
      </c>
      <c r="B52" s="6" t="s">
        <v>55</v>
      </c>
      <c r="C52" s="6" t="s">
        <v>459</v>
      </c>
      <c r="D52" s="6" t="s">
        <v>15</v>
      </c>
      <c r="E52" s="6" t="s">
        <v>16</v>
      </c>
      <c r="F52" s="6" t="s">
        <v>17</v>
      </c>
      <c r="G52" s="6" t="s">
        <v>18</v>
      </c>
      <c r="H52" s="6" t="s">
        <v>19</v>
      </c>
      <c r="I52" s="6" t="s">
        <v>20</v>
      </c>
      <c r="J52" s="6" t="s">
        <v>21</v>
      </c>
    </row>
    <row r="53">
      <c r="A53" s="4">
        <v>46212.62822168981</v>
      </c>
      <c r="B53" s="6" t="s">
        <v>88</v>
      </c>
      <c r="C53" s="6" t="s">
        <v>459</v>
      </c>
      <c r="D53" s="6" t="s">
        <v>15</v>
      </c>
      <c r="E53" s="6" t="s">
        <v>16</v>
      </c>
      <c r="F53" s="6" t="s">
        <v>17</v>
      </c>
      <c r="G53" s="6" t="s">
        <v>18</v>
      </c>
      <c r="H53" s="6" t="s">
        <v>19</v>
      </c>
      <c r="I53" s="6" t="s">
        <v>20</v>
      </c>
      <c r="J53" s="6" t="s">
        <v>21</v>
      </c>
    </row>
    <row r="54">
      <c r="A54" s="4">
        <v>46212.628313090274</v>
      </c>
      <c r="B54" s="6" t="s">
        <v>148</v>
      </c>
      <c r="C54" s="6" t="s">
        <v>459</v>
      </c>
      <c r="D54" s="6" t="s">
        <v>15</v>
      </c>
      <c r="E54" s="6" t="s">
        <v>16</v>
      </c>
      <c r="F54" s="6" t="s">
        <v>17</v>
      </c>
      <c r="G54" s="6" t="s">
        <v>18</v>
      </c>
      <c r="H54" s="6" t="s">
        <v>19</v>
      </c>
      <c r="I54" s="6" t="s">
        <v>20</v>
      </c>
      <c r="J54" s="6" t="s">
        <v>21</v>
      </c>
    </row>
    <row r="55">
      <c r="A55" s="4">
        <v>46212.62843208334</v>
      </c>
      <c r="B55" s="6" t="s">
        <v>121</v>
      </c>
      <c r="C55" s="6" t="s">
        <v>467</v>
      </c>
      <c r="D55" s="6" t="s">
        <v>15</v>
      </c>
      <c r="E55" s="6" t="s">
        <v>16</v>
      </c>
      <c r="F55" s="6" t="s">
        <v>17</v>
      </c>
      <c r="G55" s="6" t="s">
        <v>18</v>
      </c>
      <c r="H55" s="6" t="s">
        <v>19</v>
      </c>
      <c r="I55" s="6" t="s">
        <v>20</v>
      </c>
      <c r="J55" s="6" t="s">
        <v>21</v>
      </c>
    </row>
    <row r="56">
      <c r="A56" s="4">
        <v>46212.62844377315</v>
      </c>
      <c r="B56" s="6" t="s">
        <v>71</v>
      </c>
      <c r="C56" s="6" t="s">
        <v>459</v>
      </c>
      <c r="D56" s="6" t="s">
        <v>15</v>
      </c>
      <c r="E56" s="6" t="s">
        <v>16</v>
      </c>
      <c r="F56" s="6" t="s">
        <v>17</v>
      </c>
      <c r="G56" s="6" t="s">
        <v>18</v>
      </c>
      <c r="H56" s="6" t="s">
        <v>19</v>
      </c>
      <c r="I56" s="6" t="s">
        <v>20</v>
      </c>
      <c r="J56" s="6" t="s">
        <v>21</v>
      </c>
    </row>
    <row r="57">
      <c r="A57" s="4">
        <v>46212.62858582176</v>
      </c>
      <c r="B57" s="6" t="s">
        <v>81</v>
      </c>
      <c r="C57" s="6" t="s">
        <v>459</v>
      </c>
      <c r="D57" s="6" t="s">
        <v>15</v>
      </c>
      <c r="E57" s="6" t="s">
        <v>16</v>
      </c>
      <c r="F57" s="6" t="s">
        <v>17</v>
      </c>
      <c r="G57" s="6" t="s">
        <v>18</v>
      </c>
      <c r="H57" s="6" t="s">
        <v>19</v>
      </c>
      <c r="I57" s="6" t="s">
        <v>20</v>
      </c>
      <c r="J57" s="6" t="s">
        <v>21</v>
      </c>
    </row>
    <row r="58">
      <c r="A58" s="4">
        <v>46212.62877949074</v>
      </c>
      <c r="B58" s="6" t="s">
        <v>128</v>
      </c>
      <c r="C58" s="6" t="s">
        <v>459</v>
      </c>
      <c r="D58" s="6" t="s">
        <v>15</v>
      </c>
      <c r="E58" s="6" t="s">
        <v>16</v>
      </c>
      <c r="F58" s="6" t="s">
        <v>17</v>
      </c>
      <c r="G58" s="6" t="s">
        <v>18</v>
      </c>
      <c r="H58" s="6" t="s">
        <v>19</v>
      </c>
      <c r="I58" s="6" t="s">
        <v>20</v>
      </c>
      <c r="J58" s="6" t="s">
        <v>21</v>
      </c>
      <c r="K58" s="6" t="s">
        <v>472</v>
      </c>
    </row>
    <row r="59">
      <c r="A59" s="4">
        <v>46212.62880398148</v>
      </c>
      <c r="B59" s="6" t="s">
        <v>61</v>
      </c>
      <c r="C59" s="6" t="s">
        <v>459</v>
      </c>
      <c r="D59" s="6" t="s">
        <v>15</v>
      </c>
      <c r="E59" s="6" t="s">
        <v>16</v>
      </c>
      <c r="F59" s="6" t="s">
        <v>17</v>
      </c>
      <c r="G59" s="6" t="s">
        <v>18</v>
      </c>
      <c r="H59" s="6" t="s">
        <v>19</v>
      </c>
      <c r="I59" s="6" t="s">
        <v>20</v>
      </c>
      <c r="J59" s="6" t="s">
        <v>21</v>
      </c>
    </row>
    <row r="60">
      <c r="A60" s="4">
        <v>46212.62881601852</v>
      </c>
      <c r="B60" s="6" t="s">
        <v>147</v>
      </c>
      <c r="C60" s="6" t="s">
        <v>459</v>
      </c>
      <c r="D60" s="6" t="s">
        <v>15</v>
      </c>
      <c r="E60" s="6" t="s">
        <v>16</v>
      </c>
      <c r="F60" s="6" t="s">
        <v>17</v>
      </c>
      <c r="G60" s="6" t="s">
        <v>18</v>
      </c>
      <c r="H60" s="6" t="s">
        <v>19</v>
      </c>
      <c r="I60" s="6" t="s">
        <v>20</v>
      </c>
      <c r="J60" s="6" t="s">
        <v>21</v>
      </c>
    </row>
    <row r="61">
      <c r="A61" s="4">
        <v>46212.62882809028</v>
      </c>
      <c r="B61" s="6" t="s">
        <v>137</v>
      </c>
      <c r="C61" s="6" t="s">
        <v>459</v>
      </c>
      <c r="D61" s="6" t="s">
        <v>15</v>
      </c>
      <c r="E61" s="6" t="s">
        <v>16</v>
      </c>
      <c r="F61" s="6" t="s">
        <v>17</v>
      </c>
      <c r="G61" s="6" t="s">
        <v>18</v>
      </c>
      <c r="H61" s="6" t="s">
        <v>19</v>
      </c>
      <c r="I61" s="6" t="s">
        <v>20</v>
      </c>
      <c r="J61" s="6" t="s">
        <v>21</v>
      </c>
    </row>
    <row r="62">
      <c r="A62" s="4">
        <v>46212.62902738426</v>
      </c>
      <c r="B62" s="6" t="s">
        <v>158</v>
      </c>
      <c r="C62" s="6" t="s">
        <v>459</v>
      </c>
      <c r="D62" s="6" t="s">
        <v>15</v>
      </c>
      <c r="E62" s="6" t="s">
        <v>16</v>
      </c>
      <c r="F62" s="6" t="s">
        <v>17</v>
      </c>
      <c r="G62" s="6" t="s">
        <v>18</v>
      </c>
      <c r="H62" s="6" t="s">
        <v>19</v>
      </c>
      <c r="I62" s="6" t="s">
        <v>20</v>
      </c>
      <c r="J62" s="6" t="s">
        <v>21</v>
      </c>
    </row>
    <row r="63">
      <c r="A63" s="4">
        <v>46212.629152407404</v>
      </c>
      <c r="B63" s="6" t="s">
        <v>92</v>
      </c>
      <c r="C63" s="6" t="s">
        <v>459</v>
      </c>
      <c r="D63" s="6" t="s">
        <v>15</v>
      </c>
      <c r="E63" s="6" t="s">
        <v>16</v>
      </c>
      <c r="F63" s="6" t="s">
        <v>17</v>
      </c>
      <c r="G63" s="6" t="s">
        <v>18</v>
      </c>
      <c r="H63" s="6" t="s">
        <v>19</v>
      </c>
      <c r="I63" s="6" t="s">
        <v>20</v>
      </c>
      <c r="J63" s="6" t="s">
        <v>21</v>
      </c>
    </row>
    <row r="64">
      <c r="A64" s="4">
        <v>46212.62952365741</v>
      </c>
      <c r="B64" s="6" t="s">
        <v>51</v>
      </c>
      <c r="C64" s="6" t="s">
        <v>459</v>
      </c>
      <c r="D64" s="6" t="s">
        <v>15</v>
      </c>
      <c r="E64" s="6" t="s">
        <v>16</v>
      </c>
      <c r="F64" s="6" t="s">
        <v>17</v>
      </c>
      <c r="G64" s="6" t="s">
        <v>18</v>
      </c>
      <c r="H64" s="6" t="s">
        <v>46</v>
      </c>
      <c r="I64" s="6" t="s">
        <v>47</v>
      </c>
      <c r="J64" s="6" t="s">
        <v>48</v>
      </c>
    </row>
    <row r="65">
      <c r="A65" s="4">
        <v>46212.62952835648</v>
      </c>
      <c r="B65" s="6" t="s">
        <v>73</v>
      </c>
      <c r="C65" s="6" t="s">
        <v>459</v>
      </c>
      <c r="D65" s="6" t="s">
        <v>15</v>
      </c>
      <c r="E65" s="6" t="s">
        <v>16</v>
      </c>
      <c r="F65" s="6" t="s">
        <v>17</v>
      </c>
      <c r="G65" s="6" t="s">
        <v>18</v>
      </c>
      <c r="H65" s="6" t="s">
        <v>19</v>
      </c>
      <c r="I65" s="6" t="s">
        <v>20</v>
      </c>
      <c r="J65" s="6" t="s">
        <v>21</v>
      </c>
    </row>
    <row r="66">
      <c r="A66" s="4">
        <v>46212.629559189816</v>
      </c>
      <c r="B66" s="6" t="s">
        <v>135</v>
      </c>
      <c r="C66" s="6" t="s">
        <v>459</v>
      </c>
      <c r="D66" s="6" t="s">
        <v>15</v>
      </c>
      <c r="E66" s="6" t="s">
        <v>16</v>
      </c>
      <c r="F66" s="6" t="s">
        <v>17</v>
      </c>
      <c r="G66" s="6" t="s">
        <v>18</v>
      </c>
      <c r="H66" s="6" t="s">
        <v>19</v>
      </c>
      <c r="I66" s="6" t="s">
        <v>20</v>
      </c>
      <c r="J66" s="6" t="s">
        <v>21</v>
      </c>
    </row>
    <row r="67">
      <c r="A67" s="4">
        <v>46212.62986152778</v>
      </c>
      <c r="B67" s="6" t="s">
        <v>133</v>
      </c>
      <c r="C67" s="6" t="s">
        <v>459</v>
      </c>
      <c r="D67" s="6" t="s">
        <v>15</v>
      </c>
      <c r="E67" s="6" t="s">
        <v>16</v>
      </c>
      <c r="F67" s="6" t="s">
        <v>17</v>
      </c>
      <c r="G67" s="6" t="s">
        <v>18</v>
      </c>
      <c r="H67" s="6" t="s">
        <v>19</v>
      </c>
      <c r="I67" s="6" t="s">
        <v>20</v>
      </c>
      <c r="J67" s="6" t="s">
        <v>21</v>
      </c>
    </row>
    <row r="68">
      <c r="A68" s="4">
        <v>46212.63005083334</v>
      </c>
      <c r="B68" s="6" t="s">
        <v>114</v>
      </c>
      <c r="C68" s="6" t="s">
        <v>459</v>
      </c>
      <c r="D68" s="6" t="s">
        <v>15</v>
      </c>
      <c r="E68" s="6" t="s">
        <v>16</v>
      </c>
      <c r="F68" s="6" t="s">
        <v>17</v>
      </c>
      <c r="G68" s="6" t="s">
        <v>18</v>
      </c>
      <c r="H68" s="6" t="s">
        <v>19</v>
      </c>
      <c r="I68" s="6" t="s">
        <v>20</v>
      </c>
      <c r="J68" s="6" t="s">
        <v>21</v>
      </c>
    </row>
    <row r="69">
      <c r="A69" s="4">
        <v>46212.63025966435</v>
      </c>
      <c r="B69" s="6" t="s">
        <v>68</v>
      </c>
      <c r="C69" s="6" t="s">
        <v>459</v>
      </c>
      <c r="D69" s="6" t="s">
        <v>15</v>
      </c>
      <c r="E69" s="6" t="s">
        <v>16</v>
      </c>
      <c r="F69" s="6" t="s">
        <v>17</v>
      </c>
      <c r="G69" s="6" t="s">
        <v>18</v>
      </c>
      <c r="H69" s="6" t="s">
        <v>19</v>
      </c>
      <c r="I69" s="6" t="s">
        <v>20</v>
      </c>
      <c r="J69" s="6" t="s">
        <v>21</v>
      </c>
    </row>
    <row r="70">
      <c r="A70" s="4">
        <v>46212.63036159722</v>
      </c>
      <c r="B70" s="6" t="s">
        <v>162</v>
      </c>
      <c r="C70" s="6" t="s">
        <v>473</v>
      </c>
      <c r="D70" s="6" t="s">
        <v>15</v>
      </c>
      <c r="E70" s="6" t="s">
        <v>16</v>
      </c>
      <c r="F70" s="6" t="s">
        <v>17</v>
      </c>
      <c r="G70" s="6" t="s">
        <v>18</v>
      </c>
      <c r="H70" s="6" t="s">
        <v>19</v>
      </c>
      <c r="I70" s="6" t="s">
        <v>20</v>
      </c>
      <c r="J70" s="6" t="s">
        <v>21</v>
      </c>
    </row>
    <row r="71">
      <c r="A71" s="4">
        <v>46212.63041677083</v>
      </c>
      <c r="B71" s="6" t="s">
        <v>126</v>
      </c>
      <c r="C71" s="6" t="s">
        <v>459</v>
      </c>
      <c r="D71" s="6" t="s">
        <v>15</v>
      </c>
      <c r="E71" s="6" t="s">
        <v>16</v>
      </c>
      <c r="F71" s="6" t="s">
        <v>17</v>
      </c>
      <c r="G71" s="6" t="s">
        <v>18</v>
      </c>
      <c r="H71" s="6" t="s">
        <v>19</v>
      </c>
      <c r="I71" s="6" t="s">
        <v>20</v>
      </c>
      <c r="J71" s="6" t="s">
        <v>21</v>
      </c>
    </row>
    <row r="72">
      <c r="A72" s="4">
        <v>46212.630533020834</v>
      </c>
      <c r="B72" s="6" t="s">
        <v>130</v>
      </c>
      <c r="C72" s="6" t="s">
        <v>459</v>
      </c>
      <c r="D72" s="6" t="s">
        <v>15</v>
      </c>
      <c r="E72" s="6" t="s">
        <v>16</v>
      </c>
      <c r="F72" s="6" t="s">
        <v>17</v>
      </c>
      <c r="G72" s="6" t="s">
        <v>18</v>
      </c>
      <c r="H72" s="6" t="s">
        <v>19</v>
      </c>
      <c r="I72" s="6" t="s">
        <v>20</v>
      </c>
      <c r="J72" s="6" t="s">
        <v>21</v>
      </c>
      <c r="K72" s="6" t="s">
        <v>474</v>
      </c>
    </row>
    <row r="73">
      <c r="A73" s="4">
        <v>46212.63132487268</v>
      </c>
      <c r="B73" s="6" t="s">
        <v>89</v>
      </c>
      <c r="C73" s="6" t="s">
        <v>459</v>
      </c>
      <c r="D73" s="6" t="s">
        <v>15</v>
      </c>
      <c r="E73" s="6" t="s">
        <v>16</v>
      </c>
      <c r="F73" s="6" t="s">
        <v>17</v>
      </c>
      <c r="G73" s="6" t="s">
        <v>18</v>
      </c>
      <c r="H73" s="6" t="s">
        <v>19</v>
      </c>
      <c r="I73" s="6" t="s">
        <v>20</v>
      </c>
      <c r="J73" s="6" t="s">
        <v>21</v>
      </c>
      <c r="K73" s="6" t="s">
        <v>29</v>
      </c>
    </row>
    <row r="74">
      <c r="A74" s="4">
        <v>46212.63303673611</v>
      </c>
      <c r="B74" s="6" t="s">
        <v>150</v>
      </c>
      <c r="C74" s="6" t="s">
        <v>459</v>
      </c>
      <c r="D74" s="6" t="s">
        <v>15</v>
      </c>
      <c r="E74" s="6" t="s">
        <v>16</v>
      </c>
      <c r="F74" s="6" t="s">
        <v>17</v>
      </c>
      <c r="G74" s="6" t="s">
        <v>18</v>
      </c>
      <c r="H74" s="6" t="s">
        <v>19</v>
      </c>
      <c r="I74" s="6" t="s">
        <v>20</v>
      </c>
      <c r="J74" s="6" t="s">
        <v>21</v>
      </c>
    </row>
    <row r="75">
      <c r="A75" s="4">
        <v>46212.634813599536</v>
      </c>
      <c r="B75" s="6" t="s">
        <v>113</v>
      </c>
      <c r="C75" s="6" t="s">
        <v>459</v>
      </c>
      <c r="D75" s="6" t="s">
        <v>15</v>
      </c>
      <c r="E75" s="6" t="s">
        <v>16</v>
      </c>
      <c r="F75" s="6" t="s">
        <v>17</v>
      </c>
      <c r="G75" s="6" t="s">
        <v>18</v>
      </c>
      <c r="H75" s="6" t="s">
        <v>19</v>
      </c>
      <c r="I75" s="6" t="s">
        <v>20</v>
      </c>
      <c r="J75" s="6" t="s">
        <v>21</v>
      </c>
    </row>
    <row r="76">
      <c r="A76" s="4">
        <v>46212.63594043981</v>
      </c>
      <c r="B76" s="6" t="s">
        <v>169</v>
      </c>
      <c r="C76" s="6" t="s">
        <v>463</v>
      </c>
      <c r="D76" s="6" t="s">
        <v>15</v>
      </c>
      <c r="E76" s="6" t="s">
        <v>16</v>
      </c>
      <c r="F76" s="6" t="s">
        <v>17</v>
      </c>
      <c r="G76" s="6" t="s">
        <v>18</v>
      </c>
      <c r="H76" s="6" t="s">
        <v>19</v>
      </c>
      <c r="I76" s="6" t="s">
        <v>20</v>
      </c>
      <c r="J76" s="6" t="s">
        <v>21</v>
      </c>
    </row>
    <row r="77">
      <c r="A77" s="4">
        <v>46212.71241626157</v>
      </c>
      <c r="B77" s="6" t="s">
        <v>70</v>
      </c>
      <c r="C77" s="6" t="s">
        <v>459</v>
      </c>
      <c r="D77" s="6" t="s">
        <v>15</v>
      </c>
      <c r="E77" s="6" t="s">
        <v>16</v>
      </c>
      <c r="F77" s="6" t="s">
        <v>17</v>
      </c>
      <c r="G77" s="6" t="s">
        <v>18</v>
      </c>
      <c r="H77" s="6" t="s">
        <v>19</v>
      </c>
      <c r="I77" s="6" t="s">
        <v>20</v>
      </c>
      <c r="J77" s="6" t="s">
        <v>21</v>
      </c>
    </row>
    <row r="78">
      <c r="A78" s="4">
        <v>46212.83712805556</v>
      </c>
      <c r="B78" s="6" t="s">
        <v>155</v>
      </c>
      <c r="C78" s="6" t="s">
        <v>459</v>
      </c>
      <c r="D78" s="6" t="s">
        <v>15</v>
      </c>
      <c r="E78" s="6" t="s">
        <v>16</v>
      </c>
      <c r="F78" s="6" t="s">
        <v>17</v>
      </c>
      <c r="G78" s="6" t="s">
        <v>18</v>
      </c>
      <c r="H78" s="6" t="s">
        <v>19</v>
      </c>
      <c r="I78" s="6" t="s">
        <v>20</v>
      </c>
      <c r="J78" s="6" t="s">
        <v>21</v>
      </c>
    </row>
    <row r="79">
      <c r="A79" s="4">
        <v>46213.400919618056</v>
      </c>
      <c r="B79" s="6" t="s">
        <v>86</v>
      </c>
      <c r="C79" s="6" t="s">
        <v>459</v>
      </c>
      <c r="D79" s="6" t="s">
        <v>15</v>
      </c>
      <c r="E79" s="6" t="s">
        <v>16</v>
      </c>
      <c r="F79" s="6" t="s">
        <v>17</v>
      </c>
      <c r="G79" s="6" t="s">
        <v>18</v>
      </c>
      <c r="H79" s="6" t="s">
        <v>19</v>
      </c>
      <c r="I79" s="6" t="s">
        <v>20</v>
      </c>
      <c r="J79" s="6" t="s">
        <v>21</v>
      </c>
    </row>
    <row r="80">
      <c r="A80" s="4">
        <v>46213.41001461806</v>
      </c>
      <c r="B80" s="6" t="s">
        <v>171</v>
      </c>
      <c r="C80" s="6" t="s">
        <v>459</v>
      </c>
      <c r="D80" s="6" t="s">
        <v>15</v>
      </c>
      <c r="E80" s="6" t="s">
        <v>16</v>
      </c>
      <c r="F80" s="6" t="s">
        <v>17</v>
      </c>
      <c r="G80" s="6" t="s">
        <v>18</v>
      </c>
      <c r="H80" s="6" t="s">
        <v>19</v>
      </c>
      <c r="I80" s="6" t="s">
        <v>20</v>
      </c>
      <c r="J80" s="6" t="s">
        <v>21</v>
      </c>
    </row>
    <row r="81">
      <c r="A81" s="4">
        <v>46213.459125520836</v>
      </c>
      <c r="B81" s="6" t="s">
        <v>172</v>
      </c>
      <c r="C81" s="6" t="s">
        <v>459</v>
      </c>
      <c r="D81" s="6" t="s">
        <v>15</v>
      </c>
      <c r="E81" s="6" t="s">
        <v>16</v>
      </c>
      <c r="F81" s="6" t="s">
        <v>17</v>
      </c>
      <c r="G81" s="6" t="s">
        <v>18</v>
      </c>
      <c r="H81" s="6" t="s">
        <v>19</v>
      </c>
      <c r="I81" s="6" t="s">
        <v>20</v>
      </c>
      <c r="J81" s="6" t="s">
        <v>21</v>
      </c>
      <c r="K81" s="6" t="s">
        <v>115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4" max="4" width="2.13"/>
    <col customWidth="1" min="14" max="14" width="24.5"/>
  </cols>
  <sheetData>
    <row r="1">
      <c r="A1" s="2" t="s">
        <v>0</v>
      </c>
      <c r="B1" s="2" t="s">
        <v>1</v>
      </c>
      <c r="C1" s="3" t="s">
        <v>2</v>
      </c>
      <c r="D1" s="5"/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3" t="s">
        <v>9</v>
      </c>
      <c r="L1" s="2"/>
      <c r="M1" s="7" t="s">
        <v>24</v>
      </c>
    </row>
    <row r="2">
      <c r="A2" s="8">
        <f>'2.2'!A:A</f>
        <v>46181.52568</v>
      </c>
      <c r="B2" s="2" t="str">
        <f>'2.2'!B:B</f>
        <v>bnco0910@signalschool.ac.th</v>
      </c>
      <c r="C2" s="2" t="str">
        <f>'2.2'!C:C</f>
        <v>พ.ต. ไมตรี  บุญเหลื่อม</v>
      </c>
      <c r="D2" s="9">
        <v>1.0</v>
      </c>
      <c r="E2" s="10">
        <f>IFERROR(vlookup('2.2'!D:D,lookup!$A$2:$B$4,2,false),0)</f>
        <v>5</v>
      </c>
      <c r="F2" s="10">
        <f>IFERROR(vlookup('2.2'!E:E,lookup!$A$6:$B$8,2,false),0)</f>
        <v>5</v>
      </c>
      <c r="G2" s="10">
        <f>IFERROR(vlookup('2.2'!F:F,lookup!$A$10:$B$12,2,false),0)</f>
        <v>5</v>
      </c>
      <c r="H2" s="10">
        <f>IFERROR(vlookup('2.2'!G:G,lookup!$A$14:$B$16,2,false),0)</f>
        <v>5</v>
      </c>
      <c r="I2" s="10">
        <f>IFERROR(vlookup('2.2'!H:H,lookup!$A$18:$B$20,2,false),0)</f>
        <v>5</v>
      </c>
      <c r="J2" s="10">
        <f>IFERROR(vlookup('2.2'!I:I,lookup!$A$22:$B$24,2,false),0)</f>
        <v>5</v>
      </c>
      <c r="K2" s="10">
        <f>IFERROR(vlookup('2.2'!J:J,lookup!$A$26:$B$28,2,false),0)</f>
        <v>5</v>
      </c>
      <c r="L2" s="2"/>
      <c r="M2" s="10">
        <v>1.0</v>
      </c>
      <c r="N2" s="11" t="str">
        <f t="shared" ref="N2:N81" si="1">CONCAT(R2,"@signalschool.ac.th")</f>
        <v>bnco0901@signalschool.ac.th</v>
      </c>
      <c r="O2" s="12">
        <f t="shared" ref="O2:O81" si="2">IFERROR(VLOOKUP(N2,B$2:D$81,3,FALSE),0)</f>
        <v>1</v>
      </c>
      <c r="R2" s="17" t="s">
        <v>116</v>
      </c>
    </row>
    <row r="3">
      <c r="A3" s="8">
        <f>'2.2'!A:A</f>
        <v>46189.44096</v>
      </c>
      <c r="B3" s="2" t="str">
        <f>'2.2'!B:B</f>
        <v>bnco0940@signalschool.ac.th</v>
      </c>
      <c r="C3" s="2" t="str">
        <f>'2.2'!C:C</f>
        <v>พ.ต.ไมตรี บุญเหลื่อม</v>
      </c>
      <c r="D3" s="9">
        <v>1.0</v>
      </c>
      <c r="E3" s="10">
        <f>IFERROR(vlookup('2.2'!D:D,lookup!$A$2:$B$4,2,false),0)</f>
        <v>5</v>
      </c>
      <c r="F3" s="10">
        <f>IFERROR(vlookup('2.2'!E:E,lookup!$A$6:$B$8,2,false),0)</f>
        <v>5</v>
      </c>
      <c r="G3" s="10">
        <f>IFERROR(vlookup('2.2'!F:F,lookup!$A$10:$B$12,2,false),0)</f>
        <v>5</v>
      </c>
      <c r="H3" s="10">
        <f>IFERROR(vlookup('2.2'!G:G,lookup!$A$14:$B$16,2,false),0)</f>
        <v>5</v>
      </c>
      <c r="I3" s="10">
        <f>IFERROR(vlookup('2.2'!H:H,lookup!$A$18:$B$20,2,false),0)</f>
        <v>5</v>
      </c>
      <c r="J3" s="10">
        <f>IFERROR(vlookup('2.2'!I:I,lookup!$A$22:$B$24,2,false),0)</f>
        <v>5</v>
      </c>
      <c r="K3" s="10">
        <f>IFERROR(vlookup('2.2'!J:J,lookup!$A$26:$B$28,2,false),0)</f>
        <v>5</v>
      </c>
      <c r="L3" s="2"/>
      <c r="M3" s="10">
        <v>2.0</v>
      </c>
      <c r="N3" s="11" t="str">
        <f t="shared" si="1"/>
        <v>bnco0902@signalschool.ac.th</v>
      </c>
      <c r="O3" s="12">
        <f t="shared" si="2"/>
        <v>1</v>
      </c>
      <c r="R3" s="17" t="s">
        <v>157</v>
      </c>
    </row>
    <row r="4">
      <c r="A4" s="8">
        <f>'2.2'!A:A</f>
        <v>46195.35894</v>
      </c>
      <c r="B4" s="2" t="str">
        <f>'2.2'!B:B</f>
        <v>bnco0980@signalschool.ac.th</v>
      </c>
      <c r="C4" s="2" t="str">
        <f>'2.2'!C:C</f>
        <v>พ.ต.ไมตรี บุญเหลื่อม</v>
      </c>
      <c r="D4" s="9">
        <v>1.0</v>
      </c>
      <c r="E4" s="10">
        <f>IFERROR(vlookup('2.2'!D:D,lookup!$A$2:$B$4,2,false),0)</f>
        <v>5</v>
      </c>
      <c r="F4" s="10">
        <f>IFERROR(vlookup('2.2'!E:E,lookup!$A$6:$B$8,2,false),0)</f>
        <v>5</v>
      </c>
      <c r="G4" s="10">
        <f>IFERROR(vlookup('2.2'!F:F,lookup!$A$10:$B$12,2,false),0)</f>
        <v>5</v>
      </c>
      <c r="H4" s="10">
        <f>IFERROR(vlookup('2.2'!G:G,lookup!$A$14:$B$16,2,false),0)</f>
        <v>5</v>
      </c>
      <c r="I4" s="10">
        <f>IFERROR(vlookup('2.2'!H:H,lookup!$A$18:$B$20,2,false),0)</f>
        <v>5</v>
      </c>
      <c r="J4" s="10">
        <f>IFERROR(vlookup('2.2'!I:I,lookup!$A$22:$B$24,2,false),0)</f>
        <v>5</v>
      </c>
      <c r="K4" s="10">
        <f>IFERROR(vlookup('2.2'!J:J,lookup!$A$26:$B$28,2,false),0)</f>
        <v>3</v>
      </c>
      <c r="L4" s="2"/>
      <c r="M4" s="10">
        <v>3.0</v>
      </c>
      <c r="N4" s="11" t="str">
        <f t="shared" si="1"/>
        <v>bnco0903@signalschool.ac.th</v>
      </c>
      <c r="O4" s="12">
        <f t="shared" si="2"/>
        <v>1</v>
      </c>
      <c r="R4" s="17" t="s">
        <v>182</v>
      </c>
    </row>
    <row r="5">
      <c r="A5" s="8">
        <f>'2.2'!A:A</f>
        <v>46204.35933</v>
      </c>
      <c r="B5" s="2" t="str">
        <f>'2.2'!B:B</f>
        <v>bnco0950@signalschool.ac.th</v>
      </c>
      <c r="C5" s="2" t="str">
        <f>'2.2'!C:C</f>
        <v>พ.ต.ไมตรี บุญเหลี่ยม</v>
      </c>
      <c r="D5" s="9">
        <v>1.0</v>
      </c>
      <c r="E5" s="10">
        <f>IFERROR(vlookup('2.2'!D:D,lookup!$A$2:$B$4,2,false),0)</f>
        <v>5</v>
      </c>
      <c r="F5" s="10">
        <f>IFERROR(vlookup('2.2'!E:E,lookup!$A$6:$B$8,2,false),0)</f>
        <v>5</v>
      </c>
      <c r="G5" s="10">
        <f>IFERROR(vlookup('2.2'!F:F,lookup!$A$10:$B$12,2,false),0)</f>
        <v>5</v>
      </c>
      <c r="H5" s="10">
        <f>IFERROR(vlookup('2.2'!G:G,lookup!$A$14:$B$16,2,false),0)</f>
        <v>5</v>
      </c>
      <c r="I5" s="10">
        <f>IFERROR(vlookup('2.2'!H:H,lookup!$A$18:$B$20,2,false),0)</f>
        <v>5</v>
      </c>
      <c r="J5" s="10">
        <f>IFERROR(vlookup('2.2'!I:I,lookup!$A$22:$B$24,2,false),0)</f>
        <v>5</v>
      </c>
      <c r="K5" s="10">
        <f>IFERROR(vlookup('2.2'!J:J,lookup!$A$26:$B$28,2,false),0)</f>
        <v>5</v>
      </c>
      <c r="L5" s="2"/>
      <c r="M5" s="10">
        <v>4.0</v>
      </c>
      <c r="N5" s="11" t="str">
        <f t="shared" si="1"/>
        <v>bnco0904@signalschool.ac.th</v>
      </c>
      <c r="O5" s="12">
        <f t="shared" si="2"/>
        <v>1</v>
      </c>
      <c r="R5" s="17" t="s">
        <v>193</v>
      </c>
    </row>
    <row r="6">
      <c r="A6" s="8">
        <f>'2.2'!A:A</f>
        <v>46204.46357</v>
      </c>
      <c r="B6" s="2" t="str">
        <f>'2.2'!B:B</f>
        <v>bnco0951@signalschool.ac.th</v>
      </c>
      <c r="C6" s="2" t="str">
        <f>'2.2'!C:C</f>
        <v>พ.ต.ไมตรี บุญเหลี่ยม</v>
      </c>
      <c r="D6" s="9">
        <v>1.0</v>
      </c>
      <c r="E6" s="10">
        <f>IFERROR(vlookup('2.2'!D:D,lookup!$A$2:$B$4,2,false),0)</f>
        <v>5</v>
      </c>
      <c r="F6" s="10">
        <f>IFERROR(vlookup('2.2'!E:E,lookup!$A$6:$B$8,2,false),0)</f>
        <v>5</v>
      </c>
      <c r="G6" s="10">
        <f>IFERROR(vlookup('2.2'!F:F,lookup!$A$10:$B$12,2,false),0)</f>
        <v>5</v>
      </c>
      <c r="H6" s="10">
        <f>IFERROR(vlookup('2.2'!G:G,lookup!$A$14:$B$16,2,false),0)</f>
        <v>5</v>
      </c>
      <c r="I6" s="10">
        <f>IFERROR(vlookup('2.2'!H:H,lookup!$A$18:$B$20,2,false),0)</f>
        <v>5</v>
      </c>
      <c r="J6" s="10">
        <f>IFERROR(vlookup('2.2'!I:I,lookup!$A$22:$B$24,2,false),0)</f>
        <v>5</v>
      </c>
      <c r="K6" s="10">
        <f>IFERROR(vlookup('2.2'!J:J,lookup!$A$26:$B$28,2,false),0)</f>
        <v>5</v>
      </c>
      <c r="L6" s="2"/>
      <c r="M6" s="10">
        <v>5.0</v>
      </c>
      <c r="N6" s="11" t="str">
        <f t="shared" si="1"/>
        <v>bnco0905@signalschool.ac.th</v>
      </c>
      <c r="O6" s="12">
        <f t="shared" si="2"/>
        <v>1</v>
      </c>
      <c r="R6" s="17" t="s">
        <v>197</v>
      </c>
    </row>
    <row r="7">
      <c r="A7" s="8">
        <f>'2.2'!A:A</f>
        <v>46206.60063</v>
      </c>
      <c r="B7" s="2" t="str">
        <f>'2.2'!B:B</f>
        <v>bnco0920@signalschool.ac.th</v>
      </c>
      <c r="C7" s="2" t="str">
        <f>'2.2'!C:C</f>
        <v>พ.ต.ไมตรี บุญเหลื่อม</v>
      </c>
      <c r="D7" s="9">
        <v>1.0</v>
      </c>
      <c r="E7" s="10">
        <f>IFERROR(vlookup('2.2'!D:D,lookup!$A$2:$B$4,2,false),0)</f>
        <v>5</v>
      </c>
      <c r="F7" s="10">
        <f>IFERROR(vlookup('2.2'!E:E,lookup!$A$6:$B$8,2,false),0)</f>
        <v>5</v>
      </c>
      <c r="G7" s="10">
        <f>IFERROR(vlookup('2.2'!F:F,lookup!$A$10:$B$12,2,false),0)</f>
        <v>5</v>
      </c>
      <c r="H7" s="10">
        <f>IFERROR(vlookup('2.2'!G:G,lookup!$A$14:$B$16,2,false),0)</f>
        <v>5</v>
      </c>
      <c r="I7" s="10">
        <f>IFERROR(vlookup('2.2'!H:H,lookup!$A$18:$B$20,2,false),0)</f>
        <v>5</v>
      </c>
      <c r="J7" s="10">
        <f>IFERROR(vlookup('2.2'!I:I,lookup!$A$22:$B$24,2,false),0)</f>
        <v>5</v>
      </c>
      <c r="K7" s="10">
        <f>IFERROR(vlookup('2.2'!J:J,lookup!$A$26:$B$28,2,false),0)</f>
        <v>5</v>
      </c>
      <c r="L7" s="2"/>
      <c r="M7" s="10">
        <v>6.0</v>
      </c>
      <c r="N7" s="11" t="str">
        <f t="shared" si="1"/>
        <v>bnco0906@signalschool.ac.th</v>
      </c>
      <c r="O7" s="12">
        <f t="shared" si="2"/>
        <v>1</v>
      </c>
      <c r="R7" s="17" t="s">
        <v>203</v>
      </c>
    </row>
    <row r="8">
      <c r="A8" s="8">
        <f>'2.2'!A:A</f>
        <v>46212.58992</v>
      </c>
      <c r="B8" s="2" t="str">
        <f>'2.2'!B:B</f>
        <v>bnco0906@signalschool.ac.th</v>
      </c>
      <c r="C8" s="2" t="str">
        <f>'2.2'!C:C</f>
        <v>พ.ต.ไมตรี บุญเหลื่อม</v>
      </c>
      <c r="D8" s="9">
        <v>1.0</v>
      </c>
      <c r="E8" s="10">
        <f>IFERROR(vlookup('2.2'!D:D,lookup!$A$2:$B$4,2,false),0)</f>
        <v>3</v>
      </c>
      <c r="F8" s="10">
        <f>IFERROR(vlookup('2.2'!E:E,lookup!$A$6:$B$8,2,false),0)</f>
        <v>3</v>
      </c>
      <c r="G8" s="10">
        <f>IFERROR(vlookup('2.2'!F:F,lookup!$A$10:$B$12,2,false),0)</f>
        <v>3</v>
      </c>
      <c r="H8" s="10">
        <f>IFERROR(vlookup('2.2'!G:G,lookup!$A$14:$B$16,2,false),0)</f>
        <v>3</v>
      </c>
      <c r="I8" s="10">
        <f>IFERROR(vlookup('2.2'!H:H,lookup!$A$18:$B$20,2,false),0)</f>
        <v>3</v>
      </c>
      <c r="J8" s="10">
        <f>IFERROR(vlookup('2.2'!I:I,lookup!$A$22:$B$24,2,false),0)</f>
        <v>3</v>
      </c>
      <c r="K8" s="10">
        <f>IFERROR(vlookup('2.2'!J:J,lookup!$A$26:$B$28,2,false),0)</f>
        <v>3</v>
      </c>
      <c r="L8" s="2"/>
      <c r="M8" s="10">
        <v>7.0</v>
      </c>
      <c r="N8" s="11" t="str">
        <f t="shared" si="1"/>
        <v>bnco0907@signalschool.ac.th</v>
      </c>
      <c r="O8" s="12">
        <f t="shared" si="2"/>
        <v>1</v>
      </c>
      <c r="R8" s="17" t="s">
        <v>206</v>
      </c>
    </row>
    <row r="9">
      <c r="A9" s="8">
        <f>'2.2'!A:A</f>
        <v>46212.61976</v>
      </c>
      <c r="B9" s="2" t="str">
        <f>'2.2'!B:B</f>
        <v>bnco0955@signalschool.ac.th</v>
      </c>
      <c r="C9" s="2" t="str">
        <f>'2.2'!C:C</f>
        <v>อาจารย์ประจำวิชาการป้องกันและปราบปรามการก่อความไม่สงบ</v>
      </c>
      <c r="D9" s="9">
        <v>1.0</v>
      </c>
      <c r="E9" s="10">
        <f>IFERROR(vlookup('2.2'!D:D,lookup!$A$2:$B$4,2,false),0)</f>
        <v>5</v>
      </c>
      <c r="F9" s="10">
        <f>IFERROR(vlookup('2.2'!E:E,lookup!$A$6:$B$8,2,false),0)</f>
        <v>5</v>
      </c>
      <c r="G9" s="10">
        <f>IFERROR(vlookup('2.2'!F:F,lookup!$A$10:$B$12,2,false),0)</f>
        <v>5</v>
      </c>
      <c r="H9" s="10">
        <f>IFERROR(vlookup('2.2'!G:G,lookup!$A$14:$B$16,2,false),0)</f>
        <v>5</v>
      </c>
      <c r="I9" s="10">
        <f>IFERROR(vlookup('2.2'!H:H,lookup!$A$18:$B$20,2,false),0)</f>
        <v>5</v>
      </c>
      <c r="J9" s="10">
        <f>IFERROR(vlookup('2.2'!I:I,lookup!$A$22:$B$24,2,false),0)</f>
        <v>5</v>
      </c>
      <c r="K9" s="10">
        <f>IFERROR(vlookup('2.2'!J:J,lookup!$A$26:$B$28,2,false),0)</f>
        <v>5</v>
      </c>
      <c r="L9" s="2"/>
      <c r="M9" s="10">
        <v>8.0</v>
      </c>
      <c r="N9" s="11" t="str">
        <f t="shared" si="1"/>
        <v>bnco0908@signalschool.ac.th</v>
      </c>
      <c r="O9" s="12">
        <f t="shared" si="2"/>
        <v>1</v>
      </c>
      <c r="R9" s="17" t="s">
        <v>211</v>
      </c>
    </row>
    <row r="10">
      <c r="A10" s="8">
        <f>'2.2'!A:A</f>
        <v>46212.62052</v>
      </c>
      <c r="B10" s="2" t="str">
        <f>'2.2'!B:B</f>
        <v>bnco0958@signalschool.ac.th</v>
      </c>
      <c r="C10" s="2" t="str">
        <f>'2.2'!C:C</f>
        <v>พ.ต.ไมตรี บุญเหลื่อม</v>
      </c>
      <c r="D10" s="9">
        <v>1.0</v>
      </c>
      <c r="E10" s="10">
        <f>IFERROR(vlookup('2.2'!D:D,lookup!$A$2:$B$4,2,false),0)</f>
        <v>5</v>
      </c>
      <c r="F10" s="10">
        <f>IFERROR(vlookup('2.2'!E:E,lookup!$A$6:$B$8,2,false),0)</f>
        <v>5</v>
      </c>
      <c r="G10" s="10">
        <f>IFERROR(vlookup('2.2'!F:F,lookup!$A$10:$B$12,2,false),0)</f>
        <v>5</v>
      </c>
      <c r="H10" s="10">
        <f>IFERROR(vlookup('2.2'!G:G,lookup!$A$14:$B$16,2,false),0)</f>
        <v>5</v>
      </c>
      <c r="I10" s="10">
        <f>IFERROR(vlookup('2.2'!H:H,lookup!$A$18:$B$20,2,false),0)</f>
        <v>5</v>
      </c>
      <c r="J10" s="10">
        <f>IFERROR(vlookup('2.2'!I:I,lookup!$A$22:$B$24,2,false),0)</f>
        <v>5</v>
      </c>
      <c r="K10" s="10">
        <f>IFERROR(vlookup('2.2'!J:J,lookup!$A$26:$B$28,2,false),0)</f>
        <v>5</v>
      </c>
      <c r="L10" s="2"/>
      <c r="M10" s="10">
        <v>9.0</v>
      </c>
      <c r="N10" s="11" t="str">
        <f t="shared" si="1"/>
        <v>bnco0909@signalschool.ac.th</v>
      </c>
      <c r="O10" s="12">
        <f t="shared" si="2"/>
        <v>1</v>
      </c>
      <c r="R10" s="17" t="s">
        <v>212</v>
      </c>
    </row>
    <row r="11">
      <c r="A11" s="8">
        <f>'2.2'!A:A</f>
        <v>46212.62069</v>
      </c>
      <c r="B11" s="2" t="str">
        <f>'2.2'!B:B</f>
        <v>bnco0932@signalschool.ac.th</v>
      </c>
      <c r="C11" s="2" t="str">
        <f>'2.2'!C:C</f>
        <v>พ.ต.ไมตรี บุญเหลือม</v>
      </c>
      <c r="D11" s="9">
        <v>1.0</v>
      </c>
      <c r="E11" s="10">
        <f>IFERROR(vlookup('2.2'!D:D,lookup!$A$2:$B$4,2,false),0)</f>
        <v>5</v>
      </c>
      <c r="F11" s="10">
        <f>IFERROR(vlookup('2.2'!E:E,lookup!$A$6:$B$8,2,false),0)</f>
        <v>5</v>
      </c>
      <c r="G11" s="10">
        <f>IFERROR(vlookup('2.2'!F:F,lookup!$A$10:$B$12,2,false),0)</f>
        <v>5</v>
      </c>
      <c r="H11" s="10">
        <f>IFERROR(vlookup('2.2'!G:G,lookup!$A$14:$B$16,2,false),0)</f>
        <v>5</v>
      </c>
      <c r="I11" s="10">
        <f>IFERROR(vlookup('2.2'!H:H,lookup!$A$18:$B$20,2,false),0)</f>
        <v>5</v>
      </c>
      <c r="J11" s="10">
        <f>IFERROR(vlookup('2.2'!I:I,lookup!$A$22:$B$24,2,false),0)</f>
        <v>5</v>
      </c>
      <c r="K11" s="10">
        <f>IFERROR(vlookup('2.2'!J:J,lookup!$A$26:$B$28,2,false),0)</f>
        <v>5</v>
      </c>
      <c r="L11" s="2"/>
      <c r="M11" s="10">
        <v>10.0</v>
      </c>
      <c r="N11" s="11" t="str">
        <f t="shared" si="1"/>
        <v>bnco0910@signalschool.ac.th</v>
      </c>
      <c r="O11" s="12">
        <f t="shared" si="2"/>
        <v>1</v>
      </c>
      <c r="R11" s="17" t="s">
        <v>213</v>
      </c>
    </row>
    <row r="12">
      <c r="A12" s="8">
        <f>'2.2'!A:A</f>
        <v>46212.6214</v>
      </c>
      <c r="B12" s="2" t="str">
        <f>'2.2'!B:B</f>
        <v>bnco0962@signalschool.ac.th</v>
      </c>
      <c r="C12" s="2" t="str">
        <f>'2.2'!C:C</f>
        <v>พ.ต.ไมตรี   บุญเหลื่อม</v>
      </c>
      <c r="D12" s="9">
        <v>1.0</v>
      </c>
      <c r="E12" s="10">
        <f>IFERROR(vlookup('2.2'!D:D,lookup!$A$2:$B$4,2,false),0)</f>
        <v>5</v>
      </c>
      <c r="F12" s="10">
        <f>IFERROR(vlookup('2.2'!E:E,lookup!$A$6:$B$8,2,false),0)</f>
        <v>5</v>
      </c>
      <c r="G12" s="10">
        <f>IFERROR(vlookup('2.2'!F:F,lookup!$A$10:$B$12,2,false),0)</f>
        <v>5</v>
      </c>
      <c r="H12" s="10">
        <f>IFERROR(vlookup('2.2'!G:G,lookup!$A$14:$B$16,2,false),0)</f>
        <v>5</v>
      </c>
      <c r="I12" s="10">
        <f>IFERROR(vlookup('2.2'!H:H,lookup!$A$18:$B$20,2,false),0)</f>
        <v>5</v>
      </c>
      <c r="J12" s="10">
        <f>IFERROR(vlookup('2.2'!I:I,lookup!$A$22:$B$24,2,false),0)</f>
        <v>5</v>
      </c>
      <c r="K12" s="10">
        <f>IFERROR(vlookup('2.2'!J:J,lookup!$A$26:$B$28,2,false),0)</f>
        <v>5</v>
      </c>
      <c r="L12" s="2"/>
      <c r="M12" s="10">
        <v>11.0</v>
      </c>
      <c r="N12" s="11" t="str">
        <f t="shared" si="1"/>
        <v>bnco0911@signalschool.ac.th</v>
      </c>
      <c r="O12" s="12">
        <f t="shared" si="2"/>
        <v>1</v>
      </c>
      <c r="R12" s="17" t="s">
        <v>214</v>
      </c>
    </row>
    <row r="13">
      <c r="A13" s="8">
        <f>'2.2'!A:A</f>
        <v>46212.62302</v>
      </c>
      <c r="B13" s="2" t="str">
        <f>'2.2'!B:B</f>
        <v>bnco0924@signalschool.ac.th</v>
      </c>
      <c r="C13" s="2" t="str">
        <f>'2.2'!C:C</f>
        <v>พ.ต.ไมตรี บุญเหลื่อม</v>
      </c>
      <c r="D13" s="9">
        <v>1.0</v>
      </c>
      <c r="E13" s="10">
        <f>IFERROR(vlookup('2.2'!D:D,lookup!$A$2:$B$4,2,false),0)</f>
        <v>5</v>
      </c>
      <c r="F13" s="10">
        <f>IFERROR(vlookup('2.2'!E:E,lookup!$A$6:$B$8,2,false),0)</f>
        <v>5</v>
      </c>
      <c r="G13" s="10">
        <f>IFERROR(vlookup('2.2'!F:F,lookup!$A$10:$B$12,2,false),0)</f>
        <v>5</v>
      </c>
      <c r="H13" s="10">
        <f>IFERROR(vlookup('2.2'!G:G,lookup!$A$14:$B$16,2,false),0)</f>
        <v>5</v>
      </c>
      <c r="I13" s="10">
        <f>IFERROR(vlookup('2.2'!H:H,lookup!$A$18:$B$20,2,false),0)</f>
        <v>5</v>
      </c>
      <c r="J13" s="10">
        <f>IFERROR(vlookup('2.2'!I:I,lookup!$A$22:$B$24,2,false),0)</f>
        <v>5</v>
      </c>
      <c r="K13" s="10">
        <f>IFERROR(vlookup('2.2'!J:J,lookup!$A$26:$B$28,2,false),0)</f>
        <v>5</v>
      </c>
      <c r="L13" s="2"/>
      <c r="M13" s="10">
        <v>12.0</v>
      </c>
      <c r="N13" s="11" t="str">
        <f t="shared" si="1"/>
        <v>bnco0912@signalschool.ac.th</v>
      </c>
      <c r="O13" s="12">
        <f t="shared" si="2"/>
        <v>1</v>
      </c>
      <c r="R13" s="17" t="s">
        <v>222</v>
      </c>
    </row>
    <row r="14">
      <c r="A14" s="8">
        <f>'2.2'!A:A</f>
        <v>46212.62303</v>
      </c>
      <c r="B14" s="2" t="str">
        <f>'2.2'!B:B</f>
        <v>bnco0972@signalschool.ac.th</v>
      </c>
      <c r="C14" s="2" t="str">
        <f>'2.2'!C:C</f>
        <v>พ.ต.ไมตรี  บุญเหลื่ิอม</v>
      </c>
      <c r="D14" s="9">
        <v>1.0</v>
      </c>
      <c r="E14" s="10">
        <f>IFERROR(vlookup('2.2'!D:D,lookup!$A$2:$B$4,2,false),0)</f>
        <v>5</v>
      </c>
      <c r="F14" s="10">
        <f>IFERROR(vlookup('2.2'!E:E,lookup!$A$6:$B$8,2,false),0)</f>
        <v>5</v>
      </c>
      <c r="G14" s="10">
        <f>IFERROR(vlookup('2.2'!F:F,lookup!$A$10:$B$12,2,false),0)</f>
        <v>5</v>
      </c>
      <c r="H14" s="10">
        <f>IFERROR(vlookup('2.2'!G:G,lookup!$A$14:$B$16,2,false),0)</f>
        <v>5</v>
      </c>
      <c r="I14" s="10">
        <f>IFERROR(vlookup('2.2'!H:H,lookup!$A$18:$B$20,2,false),0)</f>
        <v>5</v>
      </c>
      <c r="J14" s="10">
        <f>IFERROR(vlookup('2.2'!I:I,lookup!$A$22:$B$24,2,false),0)</f>
        <v>5</v>
      </c>
      <c r="K14" s="10">
        <f>IFERROR(vlookup('2.2'!J:J,lookup!$A$26:$B$28,2,false),0)</f>
        <v>5</v>
      </c>
      <c r="L14" s="2"/>
      <c r="M14" s="10">
        <v>13.0</v>
      </c>
      <c r="N14" s="11" t="str">
        <f t="shared" si="1"/>
        <v>bnco0913@signalschool.ac.th</v>
      </c>
      <c r="O14" s="12">
        <f t="shared" si="2"/>
        <v>1</v>
      </c>
      <c r="R14" s="17" t="s">
        <v>227</v>
      </c>
    </row>
    <row r="15">
      <c r="A15" s="8">
        <f>'2.2'!A:A</f>
        <v>46212.62308</v>
      </c>
      <c r="B15" s="2" t="str">
        <f>'2.2'!B:B</f>
        <v>bnco0971@signalschool.ac.th</v>
      </c>
      <c r="C15" s="2" t="str">
        <f>'2.2'!C:C</f>
        <v>พ.ต.ไมตรี บุญเหลื่อม</v>
      </c>
      <c r="D15" s="9">
        <v>1.0</v>
      </c>
      <c r="E15" s="10">
        <f>IFERROR(vlookup('2.2'!D:D,lookup!$A$2:$B$4,2,false),0)</f>
        <v>5</v>
      </c>
      <c r="F15" s="10">
        <f>IFERROR(vlookup('2.2'!E:E,lookup!$A$6:$B$8,2,false),0)</f>
        <v>5</v>
      </c>
      <c r="G15" s="10">
        <f>IFERROR(vlookup('2.2'!F:F,lookup!$A$10:$B$12,2,false),0)</f>
        <v>5</v>
      </c>
      <c r="H15" s="10">
        <f>IFERROR(vlookup('2.2'!G:G,lookup!$A$14:$B$16,2,false),0)</f>
        <v>5</v>
      </c>
      <c r="I15" s="10">
        <f>IFERROR(vlookup('2.2'!H:H,lookup!$A$18:$B$20,2,false),0)</f>
        <v>5</v>
      </c>
      <c r="J15" s="10">
        <f>IFERROR(vlookup('2.2'!I:I,lookup!$A$22:$B$24,2,false),0)</f>
        <v>5</v>
      </c>
      <c r="K15" s="10">
        <f>IFERROR(vlookup('2.2'!J:J,lookup!$A$26:$B$28,2,false),0)</f>
        <v>5</v>
      </c>
      <c r="L15" s="2"/>
      <c r="M15" s="10">
        <v>14.0</v>
      </c>
      <c r="N15" s="11" t="str">
        <f t="shared" si="1"/>
        <v>bnco0914@signalschool.ac.th</v>
      </c>
      <c r="O15" s="12">
        <f t="shared" si="2"/>
        <v>1</v>
      </c>
      <c r="R15" s="17" t="s">
        <v>230</v>
      </c>
    </row>
    <row r="16">
      <c r="A16" s="8">
        <f>'2.2'!A:A</f>
        <v>46212.62327</v>
      </c>
      <c r="B16" s="2" t="str">
        <f>'2.2'!B:B</f>
        <v>bnco0935@signalschool.ac.th</v>
      </c>
      <c r="C16" s="2" t="str">
        <f>'2.2'!C:C</f>
        <v>พ.ต.ไมตรี บุญเหลื่อม</v>
      </c>
      <c r="D16" s="9">
        <v>1.0</v>
      </c>
      <c r="E16" s="10">
        <f>IFERROR(vlookup('2.2'!D:D,lookup!$A$2:$B$4,2,false),0)</f>
        <v>5</v>
      </c>
      <c r="F16" s="10">
        <f>IFERROR(vlookup('2.2'!E:E,lookup!$A$6:$B$8,2,false),0)</f>
        <v>5</v>
      </c>
      <c r="G16" s="10">
        <f>IFERROR(vlookup('2.2'!F:F,lookup!$A$10:$B$12,2,false),0)</f>
        <v>5</v>
      </c>
      <c r="H16" s="10">
        <f>IFERROR(vlookup('2.2'!G:G,lookup!$A$14:$B$16,2,false),0)</f>
        <v>5</v>
      </c>
      <c r="I16" s="10">
        <f>IFERROR(vlookup('2.2'!H:H,lookup!$A$18:$B$20,2,false),0)</f>
        <v>5</v>
      </c>
      <c r="J16" s="10">
        <f>IFERROR(vlookup('2.2'!I:I,lookup!$A$22:$B$24,2,false),0)</f>
        <v>5</v>
      </c>
      <c r="K16" s="10">
        <f>IFERROR(vlookup('2.2'!J:J,lookup!$A$26:$B$28,2,false),0)</f>
        <v>5</v>
      </c>
      <c r="L16" s="2"/>
      <c r="M16" s="10">
        <v>15.0</v>
      </c>
      <c r="N16" s="11" t="str">
        <f t="shared" si="1"/>
        <v>bnco0915@signalschool.ac.th</v>
      </c>
      <c r="O16" s="12">
        <f t="shared" si="2"/>
        <v>1</v>
      </c>
      <c r="R16" s="17" t="s">
        <v>232</v>
      </c>
    </row>
    <row r="17">
      <c r="A17" s="8">
        <f>'2.2'!A:A</f>
        <v>46212.62376</v>
      </c>
      <c r="B17" s="2" t="str">
        <f>'2.2'!B:B</f>
        <v>bnco0928@signalschool.ac.th</v>
      </c>
      <c r="C17" s="2" t="str">
        <f>'2.2'!C:C</f>
        <v>พ.ต.ไมตรี บุญเหลื่อม</v>
      </c>
      <c r="D17" s="9">
        <v>1.0</v>
      </c>
      <c r="E17" s="10">
        <f>IFERROR(vlookup('2.2'!D:D,lookup!$A$2:$B$4,2,false),0)</f>
        <v>5</v>
      </c>
      <c r="F17" s="10">
        <f>IFERROR(vlookup('2.2'!E:E,lookup!$A$6:$B$8,2,false),0)</f>
        <v>5</v>
      </c>
      <c r="G17" s="10">
        <f>IFERROR(vlookup('2.2'!F:F,lookup!$A$10:$B$12,2,false),0)</f>
        <v>5</v>
      </c>
      <c r="H17" s="10">
        <f>IFERROR(vlookup('2.2'!G:G,lookup!$A$14:$B$16,2,false),0)</f>
        <v>5</v>
      </c>
      <c r="I17" s="10">
        <f>IFERROR(vlookup('2.2'!H:H,lookup!$A$18:$B$20,2,false),0)</f>
        <v>5</v>
      </c>
      <c r="J17" s="10">
        <f>IFERROR(vlookup('2.2'!I:I,lookup!$A$22:$B$24,2,false),0)</f>
        <v>5</v>
      </c>
      <c r="K17" s="10">
        <f>IFERROR(vlookup('2.2'!J:J,lookup!$A$26:$B$28,2,false),0)</f>
        <v>5</v>
      </c>
      <c r="L17" s="2"/>
      <c r="M17" s="10">
        <v>16.0</v>
      </c>
      <c r="N17" s="11" t="str">
        <f t="shared" si="1"/>
        <v>bnco0916@signalschool.ac.th</v>
      </c>
      <c r="O17" s="12">
        <f t="shared" si="2"/>
        <v>1</v>
      </c>
      <c r="R17" s="17" t="s">
        <v>233</v>
      </c>
    </row>
    <row r="18">
      <c r="A18" s="8">
        <f>'2.2'!A:A</f>
        <v>46212.6247</v>
      </c>
      <c r="B18" s="2" t="str">
        <f>'2.2'!B:B</f>
        <v>bnco0923@signalschool.ac.th</v>
      </c>
      <c r="C18" s="2" t="str">
        <f>'2.2'!C:C</f>
        <v>พ.ต.ไมตรี บุญเหลือม</v>
      </c>
      <c r="D18" s="9">
        <v>1.0</v>
      </c>
      <c r="E18" s="10">
        <f>IFERROR(vlookup('2.2'!D:D,lookup!$A$2:$B$4,2,false),0)</f>
        <v>5</v>
      </c>
      <c r="F18" s="10">
        <f>IFERROR(vlookup('2.2'!E:E,lookup!$A$6:$B$8,2,false),0)</f>
        <v>5</v>
      </c>
      <c r="G18" s="10">
        <f>IFERROR(vlookup('2.2'!F:F,lookup!$A$10:$B$12,2,false),0)</f>
        <v>5</v>
      </c>
      <c r="H18" s="10">
        <f>IFERROR(vlookup('2.2'!G:G,lookup!$A$14:$B$16,2,false),0)</f>
        <v>5</v>
      </c>
      <c r="I18" s="10">
        <f>IFERROR(vlookup('2.2'!H:H,lookup!$A$18:$B$20,2,false),0)</f>
        <v>5</v>
      </c>
      <c r="J18" s="10">
        <f>IFERROR(vlookup('2.2'!I:I,lookup!$A$22:$B$24,2,false),0)</f>
        <v>5</v>
      </c>
      <c r="K18" s="10">
        <f>IFERROR(vlookup('2.2'!J:J,lookup!$A$26:$B$28,2,false),0)</f>
        <v>5</v>
      </c>
      <c r="L18" s="2"/>
      <c r="M18" s="10">
        <v>17.0</v>
      </c>
      <c r="N18" s="11" t="str">
        <f t="shared" si="1"/>
        <v>bnco0917@signalschool.ac.th</v>
      </c>
      <c r="O18" s="12">
        <f t="shared" si="2"/>
        <v>1</v>
      </c>
      <c r="R18" s="17" t="s">
        <v>234</v>
      </c>
    </row>
    <row r="19">
      <c r="A19" s="8">
        <f>'2.2'!A:A</f>
        <v>46212.62485</v>
      </c>
      <c r="B19" s="2" t="str">
        <f>'2.2'!B:B</f>
        <v>bnco0918@signalschool.ac.th</v>
      </c>
      <c r="C19" s="2" t="str">
        <f>'2.2'!C:C</f>
        <v>พ.ต.ไมตรี บุญเหลื่อม</v>
      </c>
      <c r="D19" s="9">
        <v>1.0</v>
      </c>
      <c r="E19" s="10">
        <f>IFERROR(vlookup('2.2'!D:D,lookup!$A$2:$B$4,2,false),0)</f>
        <v>5</v>
      </c>
      <c r="F19" s="10">
        <f>IFERROR(vlookup('2.2'!E:E,lookup!$A$6:$B$8,2,false),0)</f>
        <v>5</v>
      </c>
      <c r="G19" s="10">
        <f>IFERROR(vlookup('2.2'!F:F,lookup!$A$10:$B$12,2,false),0)</f>
        <v>5</v>
      </c>
      <c r="H19" s="10">
        <f>IFERROR(vlookup('2.2'!G:G,lookup!$A$14:$B$16,2,false),0)</f>
        <v>5</v>
      </c>
      <c r="I19" s="10">
        <f>IFERROR(vlookup('2.2'!H:H,lookup!$A$18:$B$20,2,false),0)</f>
        <v>5</v>
      </c>
      <c r="J19" s="10">
        <f>IFERROR(vlookup('2.2'!I:I,lookup!$A$22:$B$24,2,false),0)</f>
        <v>5</v>
      </c>
      <c r="K19" s="10">
        <f>IFERROR(vlookup('2.2'!J:J,lookup!$A$26:$B$28,2,false),0)</f>
        <v>5</v>
      </c>
      <c r="L19" s="2"/>
      <c r="M19" s="10">
        <v>18.0</v>
      </c>
      <c r="N19" s="11" t="str">
        <f t="shared" si="1"/>
        <v>bnco0918@signalschool.ac.th</v>
      </c>
      <c r="O19" s="12">
        <f t="shared" si="2"/>
        <v>1</v>
      </c>
      <c r="R19" s="17" t="s">
        <v>235</v>
      </c>
    </row>
    <row r="20">
      <c r="A20" s="8">
        <f>'2.2'!A:A</f>
        <v>46212.6252</v>
      </c>
      <c r="B20" s="2" t="str">
        <f>'2.2'!B:B</f>
        <v>bnco0942@signalschool.ac.th</v>
      </c>
      <c r="C20" s="2" t="str">
        <f>'2.2'!C:C</f>
        <v>พ.ต.ไมตรี  บุญเหลื่อม</v>
      </c>
      <c r="D20" s="9">
        <v>1.0</v>
      </c>
      <c r="E20" s="10">
        <f>IFERROR(vlookup('2.2'!D:D,lookup!$A$2:$B$4,2,false),0)</f>
        <v>5</v>
      </c>
      <c r="F20" s="10">
        <f>IFERROR(vlookup('2.2'!E:E,lookup!$A$6:$B$8,2,false),0)</f>
        <v>5</v>
      </c>
      <c r="G20" s="10">
        <f>IFERROR(vlookup('2.2'!F:F,lookup!$A$10:$B$12,2,false),0)</f>
        <v>5</v>
      </c>
      <c r="H20" s="10">
        <f>IFERROR(vlookup('2.2'!G:G,lookup!$A$14:$B$16,2,false),0)</f>
        <v>5</v>
      </c>
      <c r="I20" s="10">
        <f>IFERROR(vlookup('2.2'!H:H,lookup!$A$18:$B$20,2,false),0)</f>
        <v>5</v>
      </c>
      <c r="J20" s="10">
        <f>IFERROR(vlookup('2.2'!I:I,lookup!$A$22:$B$24,2,false),0)</f>
        <v>5</v>
      </c>
      <c r="K20" s="10">
        <f>IFERROR(vlookup('2.2'!J:J,lookup!$A$26:$B$28,2,false),0)</f>
        <v>5</v>
      </c>
      <c r="L20" s="2"/>
      <c r="M20" s="10">
        <v>19.0</v>
      </c>
      <c r="N20" s="11" t="str">
        <f t="shared" si="1"/>
        <v>bnco0919@signalschool.ac.th</v>
      </c>
      <c r="O20" s="12">
        <f t="shared" si="2"/>
        <v>1</v>
      </c>
      <c r="R20" s="17" t="s">
        <v>236</v>
      </c>
    </row>
    <row r="21">
      <c r="A21" s="8">
        <f>'2.2'!A:A</f>
        <v>46212.62524</v>
      </c>
      <c r="B21" s="2" t="str">
        <f>'2.2'!B:B</f>
        <v>bnco0943@signalschool.ac.th</v>
      </c>
      <c r="C21" s="2" t="str">
        <f>'2.2'!C:C</f>
        <v>พ.ต.ไมตรี บุญเหลื่อม</v>
      </c>
      <c r="D21" s="9">
        <v>1.0</v>
      </c>
      <c r="E21" s="10">
        <f>IFERROR(vlookup('2.2'!D:D,lookup!$A$2:$B$4,2,false),0)</f>
        <v>5</v>
      </c>
      <c r="F21" s="10">
        <f>IFERROR(vlookup('2.2'!E:E,lookup!$A$6:$B$8,2,false),0)</f>
        <v>5</v>
      </c>
      <c r="G21" s="10">
        <f>IFERROR(vlookup('2.2'!F:F,lookup!$A$10:$B$12,2,false),0)</f>
        <v>5</v>
      </c>
      <c r="H21" s="10">
        <f>IFERROR(vlookup('2.2'!G:G,lookup!$A$14:$B$16,2,false),0)</f>
        <v>5</v>
      </c>
      <c r="I21" s="10">
        <f>IFERROR(vlookup('2.2'!H:H,lookup!$A$18:$B$20,2,false),0)</f>
        <v>5</v>
      </c>
      <c r="J21" s="10">
        <f>IFERROR(vlookup('2.2'!I:I,lookup!$A$22:$B$24,2,false),0)</f>
        <v>5</v>
      </c>
      <c r="K21" s="10">
        <f>IFERROR(vlookup('2.2'!J:J,lookup!$A$26:$B$28,2,false),0)</f>
        <v>5</v>
      </c>
      <c r="L21" s="2"/>
      <c r="M21" s="10">
        <v>20.0</v>
      </c>
      <c r="N21" s="11" t="str">
        <f t="shared" si="1"/>
        <v>bnco0920@signalschool.ac.th</v>
      </c>
      <c r="O21" s="12">
        <f t="shared" si="2"/>
        <v>1</v>
      </c>
      <c r="R21" s="17" t="s">
        <v>237</v>
      </c>
    </row>
    <row r="22">
      <c r="A22" s="8">
        <f>'2.2'!A:A</f>
        <v>46212.62525</v>
      </c>
      <c r="B22" s="2" t="str">
        <f>'2.2'!B:B</f>
        <v>bnco0977@signalschool.ac.th</v>
      </c>
      <c r="C22" s="2" t="str">
        <f>'2.2'!C:C</f>
        <v>พ.ต.ไมตรี บุญเหลื่อม</v>
      </c>
      <c r="D22" s="9">
        <v>1.0</v>
      </c>
      <c r="E22" s="10">
        <f>IFERROR(vlookup('2.2'!D:D,lookup!$A$2:$B$4,2,false),0)</f>
        <v>5</v>
      </c>
      <c r="F22" s="10">
        <f>IFERROR(vlookup('2.2'!E:E,lookup!$A$6:$B$8,2,false),0)</f>
        <v>5</v>
      </c>
      <c r="G22" s="10">
        <f>IFERROR(vlookup('2.2'!F:F,lookup!$A$10:$B$12,2,false),0)</f>
        <v>5</v>
      </c>
      <c r="H22" s="10">
        <f>IFERROR(vlookup('2.2'!G:G,lookup!$A$14:$B$16,2,false),0)</f>
        <v>5</v>
      </c>
      <c r="I22" s="10">
        <f>IFERROR(vlookup('2.2'!H:H,lookup!$A$18:$B$20,2,false),0)</f>
        <v>5</v>
      </c>
      <c r="J22" s="10">
        <f>IFERROR(vlookup('2.2'!I:I,lookup!$A$22:$B$24,2,false),0)</f>
        <v>5</v>
      </c>
      <c r="K22" s="10">
        <f>IFERROR(vlookup('2.2'!J:J,lookup!$A$26:$B$28,2,false),0)</f>
        <v>5</v>
      </c>
      <c r="L22" s="2"/>
      <c r="M22" s="10">
        <v>21.0</v>
      </c>
      <c r="N22" s="11" t="str">
        <f t="shared" si="1"/>
        <v>bnco0921@signalschool.ac.th</v>
      </c>
      <c r="O22" s="12">
        <f t="shared" si="2"/>
        <v>1</v>
      </c>
      <c r="R22" s="17" t="s">
        <v>238</v>
      </c>
    </row>
    <row r="23">
      <c r="A23" s="8">
        <f>'2.2'!A:A</f>
        <v>46212.62529</v>
      </c>
      <c r="B23" s="2" t="str">
        <f>'2.2'!B:B</f>
        <v>bnco0930@signalschool.ac.th</v>
      </c>
      <c r="C23" s="2" t="str">
        <f>'2.2'!C:C</f>
        <v>พ.ต.ไมตรี บุญเหลื่อม</v>
      </c>
      <c r="D23" s="9">
        <v>1.0</v>
      </c>
      <c r="E23" s="10">
        <f>IFERROR(vlookup('2.2'!D:D,lookup!$A$2:$B$4,2,false),0)</f>
        <v>5</v>
      </c>
      <c r="F23" s="10">
        <f>IFERROR(vlookup('2.2'!E:E,lookup!$A$6:$B$8,2,false),0)</f>
        <v>5</v>
      </c>
      <c r="G23" s="10">
        <f>IFERROR(vlookup('2.2'!F:F,lookup!$A$10:$B$12,2,false),0)</f>
        <v>5</v>
      </c>
      <c r="H23" s="10">
        <f>IFERROR(vlookup('2.2'!G:G,lookup!$A$14:$B$16,2,false),0)</f>
        <v>5</v>
      </c>
      <c r="I23" s="10">
        <f>IFERROR(vlookup('2.2'!H:H,lookup!$A$18:$B$20,2,false),0)</f>
        <v>5</v>
      </c>
      <c r="J23" s="10">
        <f>IFERROR(vlookup('2.2'!I:I,lookup!$A$22:$B$24,2,false),0)</f>
        <v>5</v>
      </c>
      <c r="K23" s="10">
        <f>IFERROR(vlookup('2.2'!J:J,lookup!$A$26:$B$28,2,false),0)</f>
        <v>5</v>
      </c>
      <c r="L23" s="2"/>
      <c r="M23" s="10">
        <v>22.0</v>
      </c>
      <c r="N23" s="11" t="str">
        <f t="shared" si="1"/>
        <v>bnco0922@signalschool.ac.th</v>
      </c>
      <c r="O23" s="12">
        <f t="shared" si="2"/>
        <v>1</v>
      </c>
      <c r="R23" s="17" t="s">
        <v>239</v>
      </c>
    </row>
    <row r="24">
      <c r="A24" s="8">
        <f>'2.2'!A:A</f>
        <v>46212.6254</v>
      </c>
      <c r="B24" s="2" t="str">
        <f>'2.2'!B:B</f>
        <v>bnco0925@signalschool.ac.th</v>
      </c>
      <c r="C24" s="2" t="str">
        <f>'2.2'!C:C</f>
        <v>พ.ต.ไมตรี บุญเหลื่อม</v>
      </c>
      <c r="D24" s="9">
        <v>1.0</v>
      </c>
      <c r="E24" s="10">
        <f>IFERROR(vlookup('2.2'!D:D,lookup!$A$2:$B$4,2,false),0)</f>
        <v>5</v>
      </c>
      <c r="F24" s="10">
        <f>IFERROR(vlookup('2.2'!E:E,lookup!$A$6:$B$8,2,false),0)</f>
        <v>5</v>
      </c>
      <c r="G24" s="10">
        <f>IFERROR(vlookup('2.2'!F:F,lookup!$A$10:$B$12,2,false),0)</f>
        <v>5</v>
      </c>
      <c r="H24" s="10">
        <f>IFERROR(vlookup('2.2'!G:G,lookup!$A$14:$B$16,2,false),0)</f>
        <v>5</v>
      </c>
      <c r="I24" s="10">
        <f>IFERROR(vlookup('2.2'!H:H,lookup!$A$18:$B$20,2,false),0)</f>
        <v>5</v>
      </c>
      <c r="J24" s="10">
        <f>IFERROR(vlookup('2.2'!I:I,lookup!$A$22:$B$24,2,false),0)</f>
        <v>5</v>
      </c>
      <c r="K24" s="10">
        <f>IFERROR(vlookup('2.2'!J:J,lookup!$A$26:$B$28,2,false),0)</f>
        <v>5</v>
      </c>
      <c r="L24" s="2"/>
      <c r="M24" s="10">
        <v>23.0</v>
      </c>
      <c r="N24" s="11" t="str">
        <f t="shared" si="1"/>
        <v>bnco0923@signalschool.ac.th</v>
      </c>
      <c r="O24" s="12">
        <f t="shared" si="2"/>
        <v>1</v>
      </c>
      <c r="R24" s="17" t="s">
        <v>240</v>
      </c>
    </row>
    <row r="25">
      <c r="A25" s="8">
        <f>'2.2'!A:A</f>
        <v>46212.62545</v>
      </c>
      <c r="B25" s="2" t="str">
        <f>'2.2'!B:B</f>
        <v>bnco0903@signalschool.ac.th</v>
      </c>
      <c r="C25" s="2" t="str">
        <f>'2.2'!C:C</f>
        <v>พ.ต.ไมตรี บุญเหลื่อม</v>
      </c>
      <c r="D25" s="9">
        <v>1.0</v>
      </c>
      <c r="E25" s="10">
        <f>IFERROR(vlookup('2.2'!D:D,lookup!$A$2:$B$4,2,false),0)</f>
        <v>5</v>
      </c>
      <c r="F25" s="10">
        <f>IFERROR(vlookup('2.2'!E:E,lookup!$A$6:$B$8,2,false),0)</f>
        <v>5</v>
      </c>
      <c r="G25" s="10">
        <f>IFERROR(vlookup('2.2'!F:F,lookup!$A$10:$B$12,2,false),0)</f>
        <v>5</v>
      </c>
      <c r="H25" s="10">
        <f>IFERROR(vlookup('2.2'!G:G,lookup!$A$14:$B$16,2,false),0)</f>
        <v>5</v>
      </c>
      <c r="I25" s="10">
        <f>IFERROR(vlookup('2.2'!H:H,lookup!$A$18:$B$20,2,false),0)</f>
        <v>5</v>
      </c>
      <c r="J25" s="10">
        <f>IFERROR(vlookup('2.2'!I:I,lookup!$A$22:$B$24,2,false),0)</f>
        <v>5</v>
      </c>
      <c r="K25" s="10">
        <f>IFERROR(vlookup('2.2'!J:J,lookup!$A$26:$B$28,2,false),0)</f>
        <v>5</v>
      </c>
      <c r="L25" s="2"/>
      <c r="M25" s="10">
        <v>24.0</v>
      </c>
      <c r="N25" s="11" t="str">
        <f t="shared" si="1"/>
        <v>bnco0924@signalschool.ac.th</v>
      </c>
      <c r="O25" s="12">
        <f t="shared" si="2"/>
        <v>1</v>
      </c>
      <c r="R25" s="17" t="s">
        <v>241</v>
      </c>
    </row>
    <row r="26">
      <c r="A26" s="8">
        <f>'2.2'!A:A</f>
        <v>46212.62579</v>
      </c>
      <c r="B26" s="2" t="str">
        <f>'2.2'!B:B</f>
        <v>bnco0926@signalschool.ac.th</v>
      </c>
      <c r="C26" s="2" t="str">
        <f>'2.2'!C:C</f>
        <v>พ.ต.ไมตรี บุญเหลื่อม</v>
      </c>
      <c r="D26" s="9">
        <v>1.0</v>
      </c>
      <c r="E26" s="10">
        <f>IFERROR(vlookup('2.2'!D:D,lookup!$A$2:$B$4,2,false),0)</f>
        <v>5</v>
      </c>
      <c r="F26" s="10">
        <f>IFERROR(vlookup('2.2'!E:E,lookup!$A$6:$B$8,2,false),0)</f>
        <v>5</v>
      </c>
      <c r="G26" s="10">
        <f>IFERROR(vlookup('2.2'!F:F,lookup!$A$10:$B$12,2,false),0)</f>
        <v>5</v>
      </c>
      <c r="H26" s="10">
        <f>IFERROR(vlookup('2.2'!G:G,lookup!$A$14:$B$16,2,false),0)</f>
        <v>5</v>
      </c>
      <c r="I26" s="10">
        <f>IFERROR(vlookup('2.2'!H:H,lookup!$A$18:$B$20,2,false),0)</f>
        <v>5</v>
      </c>
      <c r="J26" s="10">
        <f>IFERROR(vlookup('2.2'!I:I,lookup!$A$22:$B$24,2,false),0)</f>
        <v>5</v>
      </c>
      <c r="K26" s="10">
        <f>IFERROR(vlookup('2.2'!J:J,lookup!$A$26:$B$28,2,false),0)</f>
        <v>5</v>
      </c>
      <c r="L26" s="2"/>
      <c r="M26" s="10">
        <v>25.0</v>
      </c>
      <c r="N26" s="11" t="str">
        <f t="shared" si="1"/>
        <v>bnco0925@signalschool.ac.th</v>
      </c>
      <c r="O26" s="12">
        <f t="shared" si="2"/>
        <v>1</v>
      </c>
      <c r="R26" s="17" t="s">
        <v>242</v>
      </c>
    </row>
    <row r="27">
      <c r="A27" s="8">
        <f>'2.2'!A:A</f>
        <v>46212.6258</v>
      </c>
      <c r="B27" s="2" t="str">
        <f>'2.2'!B:B</f>
        <v>bnco0934@signalschool.ac.th</v>
      </c>
      <c r="C27" s="2" t="str">
        <f>'2.2'!C:C</f>
        <v>พ.ต.ไมตรี บุญเหลื่อม</v>
      </c>
      <c r="D27" s="9">
        <v>1.0</v>
      </c>
      <c r="E27" s="10">
        <f>IFERROR(vlookup('2.2'!D:D,lookup!$A$2:$B$4,2,false),0)</f>
        <v>5</v>
      </c>
      <c r="F27" s="10">
        <f>IFERROR(vlookup('2.2'!E:E,lookup!$A$6:$B$8,2,false),0)</f>
        <v>5</v>
      </c>
      <c r="G27" s="10">
        <f>IFERROR(vlookup('2.2'!F:F,lookup!$A$10:$B$12,2,false),0)</f>
        <v>5</v>
      </c>
      <c r="H27" s="10">
        <f>IFERROR(vlookup('2.2'!G:G,lookup!$A$14:$B$16,2,false),0)</f>
        <v>5</v>
      </c>
      <c r="I27" s="10">
        <f>IFERROR(vlookup('2.2'!H:H,lookup!$A$18:$B$20,2,false),0)</f>
        <v>5</v>
      </c>
      <c r="J27" s="10">
        <f>IFERROR(vlookup('2.2'!I:I,lookup!$A$22:$B$24,2,false),0)</f>
        <v>5</v>
      </c>
      <c r="K27" s="10">
        <f>IFERROR(vlookup('2.2'!J:J,lookup!$A$26:$B$28,2,false),0)</f>
        <v>5</v>
      </c>
      <c r="L27" s="2"/>
      <c r="M27" s="10">
        <v>26.0</v>
      </c>
      <c r="N27" s="11" t="str">
        <f t="shared" si="1"/>
        <v>bnco0926@signalschool.ac.th</v>
      </c>
      <c r="O27" s="12">
        <f t="shared" si="2"/>
        <v>1</v>
      </c>
      <c r="R27" s="17" t="s">
        <v>243</v>
      </c>
    </row>
    <row r="28">
      <c r="A28" s="8">
        <f>'2.2'!A:A</f>
        <v>46212.62582</v>
      </c>
      <c r="B28" s="2" t="str">
        <f>'2.2'!B:B</f>
        <v>bnco0921@signalschool.ac.th</v>
      </c>
      <c r="C28" s="2" t="str">
        <f>'2.2'!C:C</f>
        <v>พ.ต.ไมตรี บุญเหลื่อม</v>
      </c>
      <c r="D28" s="9">
        <v>1.0</v>
      </c>
      <c r="E28" s="10">
        <f>IFERROR(vlookup('2.2'!D:D,lookup!$A$2:$B$4,2,false),0)</f>
        <v>5</v>
      </c>
      <c r="F28" s="10">
        <f>IFERROR(vlookup('2.2'!E:E,lookup!$A$6:$B$8,2,false),0)</f>
        <v>5</v>
      </c>
      <c r="G28" s="10">
        <f>IFERROR(vlookup('2.2'!F:F,lookup!$A$10:$B$12,2,false),0)</f>
        <v>5</v>
      </c>
      <c r="H28" s="10">
        <f>IFERROR(vlookup('2.2'!G:G,lookup!$A$14:$B$16,2,false),0)</f>
        <v>5</v>
      </c>
      <c r="I28" s="10">
        <f>IFERROR(vlookup('2.2'!H:H,lookup!$A$18:$B$20,2,false),0)</f>
        <v>5</v>
      </c>
      <c r="J28" s="10">
        <f>IFERROR(vlookup('2.2'!I:I,lookup!$A$22:$B$24,2,false),0)</f>
        <v>5</v>
      </c>
      <c r="K28" s="10">
        <f>IFERROR(vlookup('2.2'!J:J,lookup!$A$26:$B$28,2,false),0)</f>
        <v>5</v>
      </c>
      <c r="L28" s="2"/>
      <c r="M28" s="10">
        <v>27.0</v>
      </c>
      <c r="N28" s="11" t="str">
        <f t="shared" si="1"/>
        <v>bnco0927@signalschool.ac.th</v>
      </c>
      <c r="O28" s="12">
        <f t="shared" si="2"/>
        <v>1</v>
      </c>
      <c r="R28" s="17" t="s">
        <v>244</v>
      </c>
    </row>
    <row r="29">
      <c r="A29" s="8">
        <f>'2.2'!A:A</f>
        <v>46212.62592</v>
      </c>
      <c r="B29" s="2" t="str">
        <f>'2.2'!B:B</f>
        <v>bnco0904@signalschool.ac.th</v>
      </c>
      <c r="C29" s="2" t="str">
        <f>'2.2'!C:C</f>
        <v>พ.ต.ไมตรี  บุญเหลื่อม</v>
      </c>
      <c r="D29" s="9">
        <v>1.0</v>
      </c>
      <c r="E29" s="10">
        <f>IFERROR(vlookup('2.2'!D:D,lookup!$A$2:$B$4,2,false),0)</f>
        <v>5</v>
      </c>
      <c r="F29" s="10">
        <f>IFERROR(vlookup('2.2'!E:E,lookup!$A$6:$B$8,2,false),0)</f>
        <v>5</v>
      </c>
      <c r="G29" s="10">
        <f>IFERROR(vlookup('2.2'!F:F,lookup!$A$10:$B$12,2,false),0)</f>
        <v>5</v>
      </c>
      <c r="H29" s="10">
        <f>IFERROR(vlookup('2.2'!G:G,lookup!$A$14:$B$16,2,false),0)</f>
        <v>5</v>
      </c>
      <c r="I29" s="10">
        <f>IFERROR(vlookup('2.2'!H:H,lookup!$A$18:$B$20,2,false),0)</f>
        <v>5</v>
      </c>
      <c r="J29" s="10">
        <f>IFERROR(vlookup('2.2'!I:I,lookup!$A$22:$B$24,2,false),0)</f>
        <v>5</v>
      </c>
      <c r="K29" s="10">
        <f>IFERROR(vlookup('2.2'!J:J,lookup!$A$26:$B$28,2,false),0)</f>
        <v>5</v>
      </c>
      <c r="L29" s="2"/>
      <c r="M29" s="10">
        <v>28.0</v>
      </c>
      <c r="N29" s="11" t="str">
        <f t="shared" si="1"/>
        <v>bnco0928@signalschool.ac.th</v>
      </c>
      <c r="O29" s="12">
        <f t="shared" si="2"/>
        <v>1</v>
      </c>
      <c r="R29" s="17" t="s">
        <v>245</v>
      </c>
    </row>
    <row r="30">
      <c r="A30" s="8">
        <f>'2.2'!A:A</f>
        <v>46212.62601</v>
      </c>
      <c r="B30" s="2" t="str">
        <f>'2.2'!B:B</f>
        <v>bnco0949@signalschool.ac.th</v>
      </c>
      <c r="C30" s="2" t="str">
        <f>'2.2'!C:C</f>
        <v>พ.ต.ไมตรี บุญเหลื่อม</v>
      </c>
      <c r="D30" s="9">
        <v>1.0</v>
      </c>
      <c r="E30" s="10">
        <f>IFERROR(vlookup('2.2'!D:D,lookup!$A$2:$B$4,2,false),0)</f>
        <v>5</v>
      </c>
      <c r="F30" s="10">
        <f>IFERROR(vlookup('2.2'!E:E,lookup!$A$6:$B$8,2,false),0)</f>
        <v>5</v>
      </c>
      <c r="G30" s="10">
        <f>IFERROR(vlookup('2.2'!F:F,lookup!$A$10:$B$12,2,false),0)</f>
        <v>5</v>
      </c>
      <c r="H30" s="10">
        <f>IFERROR(vlookup('2.2'!G:G,lookup!$A$14:$B$16,2,false),0)</f>
        <v>5</v>
      </c>
      <c r="I30" s="10">
        <f>IFERROR(vlookup('2.2'!H:H,lookup!$A$18:$B$20,2,false),0)</f>
        <v>5</v>
      </c>
      <c r="J30" s="10">
        <f>IFERROR(vlookup('2.2'!I:I,lookup!$A$22:$B$24,2,false),0)</f>
        <v>5</v>
      </c>
      <c r="K30" s="10">
        <f>IFERROR(vlookup('2.2'!J:J,lookup!$A$26:$B$28,2,false),0)</f>
        <v>5</v>
      </c>
      <c r="L30" s="2"/>
      <c r="M30" s="10">
        <v>29.0</v>
      </c>
      <c r="N30" s="11" t="str">
        <f t="shared" si="1"/>
        <v>bnco0929@signalschool.ac.th</v>
      </c>
      <c r="O30" s="12">
        <f t="shared" si="2"/>
        <v>1</v>
      </c>
      <c r="R30" s="17" t="s">
        <v>246</v>
      </c>
    </row>
    <row r="31">
      <c r="A31" s="8">
        <f>'2.2'!A:A</f>
        <v>46212.62608</v>
      </c>
      <c r="B31" s="2" t="str">
        <f>'2.2'!B:B</f>
        <v>bnco0948@signalschool.ac.th</v>
      </c>
      <c r="C31" s="2" t="str">
        <f>'2.2'!C:C</f>
        <v>พ.ต.ไมตรี บุญเหลื่อม</v>
      </c>
      <c r="D31" s="9">
        <v>1.0</v>
      </c>
      <c r="E31" s="10">
        <f>IFERROR(vlookup('2.2'!D:D,lookup!$A$2:$B$4,2,false),0)</f>
        <v>5</v>
      </c>
      <c r="F31" s="10">
        <f>IFERROR(vlookup('2.2'!E:E,lookup!$A$6:$B$8,2,false),0)</f>
        <v>5</v>
      </c>
      <c r="G31" s="10">
        <f>IFERROR(vlookup('2.2'!F:F,lookup!$A$10:$B$12,2,false),0)</f>
        <v>5</v>
      </c>
      <c r="H31" s="10">
        <f>IFERROR(vlookup('2.2'!G:G,lookup!$A$14:$B$16,2,false),0)</f>
        <v>5</v>
      </c>
      <c r="I31" s="10">
        <f>IFERROR(vlookup('2.2'!H:H,lookup!$A$18:$B$20,2,false),0)</f>
        <v>5</v>
      </c>
      <c r="J31" s="10">
        <f>IFERROR(vlookup('2.2'!I:I,lookup!$A$22:$B$24,2,false),0)</f>
        <v>5</v>
      </c>
      <c r="K31" s="10">
        <f>IFERROR(vlookup('2.2'!J:J,lookup!$A$26:$B$28,2,false),0)</f>
        <v>5</v>
      </c>
      <c r="L31" s="2"/>
      <c r="M31" s="10">
        <v>30.0</v>
      </c>
      <c r="N31" s="11" t="str">
        <f t="shared" si="1"/>
        <v>bnco0930@signalschool.ac.th</v>
      </c>
      <c r="O31" s="12">
        <f t="shared" si="2"/>
        <v>1</v>
      </c>
      <c r="R31" s="17" t="s">
        <v>247</v>
      </c>
    </row>
    <row r="32">
      <c r="A32" s="8">
        <f>'2.2'!A:A</f>
        <v>46212.62617</v>
      </c>
      <c r="B32" s="2" t="str">
        <f>'2.2'!B:B</f>
        <v>bnco0967@signalschool.ac.th</v>
      </c>
      <c r="C32" s="2" t="str">
        <f>'2.2'!C:C</f>
        <v>พ.ต.ไมตรี บุญเหลื่อม</v>
      </c>
      <c r="D32" s="9">
        <v>1.0</v>
      </c>
      <c r="E32" s="10">
        <f>IFERROR(vlookup('2.2'!D:D,lookup!$A$2:$B$4,2,false),0)</f>
        <v>5</v>
      </c>
      <c r="F32" s="10">
        <f>IFERROR(vlookup('2.2'!E:E,lookup!$A$6:$B$8,2,false),0)</f>
        <v>5</v>
      </c>
      <c r="G32" s="10">
        <f>IFERROR(vlookup('2.2'!F:F,lookup!$A$10:$B$12,2,false),0)</f>
        <v>5</v>
      </c>
      <c r="H32" s="10">
        <f>IFERROR(vlookup('2.2'!G:G,lookup!$A$14:$B$16,2,false),0)</f>
        <v>5</v>
      </c>
      <c r="I32" s="10">
        <f>IFERROR(vlookup('2.2'!H:H,lookup!$A$18:$B$20,2,false),0)</f>
        <v>5</v>
      </c>
      <c r="J32" s="10">
        <f>IFERROR(vlookup('2.2'!I:I,lookup!$A$22:$B$24,2,false),0)</f>
        <v>5</v>
      </c>
      <c r="K32" s="10">
        <f>IFERROR(vlookup('2.2'!J:J,lookup!$A$26:$B$28,2,false),0)</f>
        <v>5</v>
      </c>
      <c r="L32" s="2"/>
      <c r="M32" s="10">
        <v>31.0</v>
      </c>
      <c r="N32" s="11" t="str">
        <f t="shared" si="1"/>
        <v>bnco0931@signalschool.ac.th</v>
      </c>
      <c r="O32" s="12">
        <f t="shared" si="2"/>
        <v>1</v>
      </c>
      <c r="R32" s="17" t="s">
        <v>248</v>
      </c>
    </row>
    <row r="33">
      <c r="A33" s="8">
        <f>'2.2'!A:A</f>
        <v>46212.62622</v>
      </c>
      <c r="B33" s="2" t="str">
        <f>'2.2'!B:B</f>
        <v>bnco0914@signalschool.ac.th</v>
      </c>
      <c r="C33" s="2" t="str">
        <f>'2.2'!C:C</f>
        <v>พ.ต.ไมตรี บุญเหลื่อม</v>
      </c>
      <c r="D33" s="9">
        <v>1.0</v>
      </c>
      <c r="E33" s="10">
        <f>IFERROR(vlookup('2.2'!D:D,lookup!$A$2:$B$4,2,false),0)</f>
        <v>5</v>
      </c>
      <c r="F33" s="10">
        <f>IFERROR(vlookup('2.2'!E:E,lookup!$A$6:$B$8,2,false),0)</f>
        <v>5</v>
      </c>
      <c r="G33" s="10">
        <f>IFERROR(vlookup('2.2'!F:F,lookup!$A$10:$B$12,2,false),0)</f>
        <v>5</v>
      </c>
      <c r="H33" s="10">
        <f>IFERROR(vlookup('2.2'!G:G,lookup!$A$14:$B$16,2,false),0)</f>
        <v>5</v>
      </c>
      <c r="I33" s="10">
        <f>IFERROR(vlookup('2.2'!H:H,lookup!$A$18:$B$20,2,false),0)</f>
        <v>5</v>
      </c>
      <c r="J33" s="10">
        <f>IFERROR(vlookup('2.2'!I:I,lookup!$A$22:$B$24,2,false),0)</f>
        <v>5</v>
      </c>
      <c r="K33" s="10">
        <f>IFERROR(vlookup('2.2'!J:J,lookup!$A$26:$B$28,2,false),0)</f>
        <v>5</v>
      </c>
      <c r="L33" s="2"/>
      <c r="M33" s="10">
        <v>32.0</v>
      </c>
      <c r="N33" s="11" t="str">
        <f t="shared" si="1"/>
        <v>bnco0932@signalschool.ac.th</v>
      </c>
      <c r="O33" s="12">
        <f t="shared" si="2"/>
        <v>1</v>
      </c>
      <c r="R33" s="17" t="s">
        <v>249</v>
      </c>
    </row>
    <row r="34">
      <c r="A34" s="8">
        <f>'2.2'!A:A</f>
        <v>46212.62624</v>
      </c>
      <c r="B34" s="2" t="str">
        <f>'2.2'!B:B</f>
        <v>bnco0919@signalschool.ac.th</v>
      </c>
      <c r="C34" s="2" t="str">
        <f>'2.2'!C:C</f>
        <v>พ.ต.ไมตรี บุญเหลื่อม</v>
      </c>
      <c r="D34" s="9">
        <v>1.0</v>
      </c>
      <c r="E34" s="10">
        <f>IFERROR(vlookup('2.2'!D:D,lookup!$A$2:$B$4,2,false),0)</f>
        <v>5</v>
      </c>
      <c r="F34" s="10">
        <f>IFERROR(vlookup('2.2'!E:E,lookup!$A$6:$B$8,2,false),0)</f>
        <v>5</v>
      </c>
      <c r="G34" s="10">
        <f>IFERROR(vlookup('2.2'!F:F,lookup!$A$10:$B$12,2,false),0)</f>
        <v>5</v>
      </c>
      <c r="H34" s="10">
        <f>IFERROR(vlookup('2.2'!G:G,lookup!$A$14:$B$16,2,false),0)</f>
        <v>5</v>
      </c>
      <c r="I34" s="10">
        <f>IFERROR(vlookup('2.2'!H:H,lookup!$A$18:$B$20,2,false),0)</f>
        <v>5</v>
      </c>
      <c r="J34" s="10">
        <f>IFERROR(vlookup('2.2'!I:I,lookup!$A$22:$B$24,2,false),0)</f>
        <v>5</v>
      </c>
      <c r="K34" s="10">
        <f>IFERROR(vlookup('2.2'!J:J,lookup!$A$26:$B$28,2,false),0)</f>
        <v>5</v>
      </c>
      <c r="L34" s="2"/>
      <c r="M34" s="10">
        <v>33.0</v>
      </c>
      <c r="N34" s="11" t="str">
        <f t="shared" si="1"/>
        <v>bnco0933@signalschool.ac.th</v>
      </c>
      <c r="O34" s="12">
        <f t="shared" si="2"/>
        <v>1</v>
      </c>
      <c r="R34" s="17" t="s">
        <v>250</v>
      </c>
    </row>
    <row r="35">
      <c r="A35" s="8">
        <f>'2.2'!A:A</f>
        <v>46212.62628</v>
      </c>
      <c r="B35" s="2" t="str">
        <f>'2.2'!B:B</f>
        <v>bnco0979@signalschool.ac.th</v>
      </c>
      <c r="C35" s="2" t="str">
        <f>'2.2'!C:C</f>
        <v>พ.ต.ไมตร บุญเหลื่อม</v>
      </c>
      <c r="D35" s="9">
        <v>1.0</v>
      </c>
      <c r="E35" s="10">
        <f>IFERROR(vlookup('2.2'!D:D,lookup!$A$2:$B$4,2,false),0)</f>
        <v>5</v>
      </c>
      <c r="F35" s="10">
        <f>IFERROR(vlookup('2.2'!E:E,lookup!$A$6:$B$8,2,false),0)</f>
        <v>5</v>
      </c>
      <c r="G35" s="10">
        <f>IFERROR(vlookup('2.2'!F:F,lookup!$A$10:$B$12,2,false),0)</f>
        <v>5</v>
      </c>
      <c r="H35" s="10">
        <f>IFERROR(vlookup('2.2'!G:G,lookup!$A$14:$B$16,2,false),0)</f>
        <v>5</v>
      </c>
      <c r="I35" s="10">
        <f>IFERROR(vlookup('2.2'!H:H,lookup!$A$18:$B$20,2,false),0)</f>
        <v>5</v>
      </c>
      <c r="J35" s="10">
        <f>IFERROR(vlookup('2.2'!I:I,lookup!$A$22:$B$24,2,false),0)</f>
        <v>5</v>
      </c>
      <c r="K35" s="10">
        <f>IFERROR(vlookup('2.2'!J:J,lookup!$A$26:$B$28,2,false),0)</f>
        <v>5</v>
      </c>
      <c r="L35" s="2"/>
      <c r="M35" s="10">
        <v>34.0</v>
      </c>
      <c r="N35" s="11" t="str">
        <f t="shared" si="1"/>
        <v>bnco0934@signalschool.ac.th</v>
      </c>
      <c r="O35" s="12">
        <f t="shared" si="2"/>
        <v>1</v>
      </c>
      <c r="R35" s="17" t="s">
        <v>251</v>
      </c>
    </row>
    <row r="36">
      <c r="A36" s="8">
        <f>'2.2'!A:A</f>
        <v>46212.62629</v>
      </c>
      <c r="B36" s="2" t="str">
        <f>'2.2'!B:B</f>
        <v>bnco0927@signalschool.ac.th</v>
      </c>
      <c r="C36" s="2" t="str">
        <f>'2.2'!C:C</f>
        <v>พ.ต.ไมตรี บุญเหลื่อม</v>
      </c>
      <c r="D36" s="9">
        <v>1.0</v>
      </c>
      <c r="E36" s="10">
        <f>IFERROR(vlookup('2.2'!D:D,lookup!$A$2:$B$4,2,false),0)</f>
        <v>5</v>
      </c>
      <c r="F36" s="10">
        <f>IFERROR(vlookup('2.2'!E:E,lookup!$A$6:$B$8,2,false),0)</f>
        <v>5</v>
      </c>
      <c r="G36" s="10">
        <f>IFERROR(vlookup('2.2'!F:F,lookup!$A$10:$B$12,2,false),0)</f>
        <v>5</v>
      </c>
      <c r="H36" s="10">
        <f>IFERROR(vlookup('2.2'!G:G,lookup!$A$14:$B$16,2,false),0)</f>
        <v>5</v>
      </c>
      <c r="I36" s="10">
        <f>IFERROR(vlookup('2.2'!H:H,lookup!$A$18:$B$20,2,false),0)</f>
        <v>5</v>
      </c>
      <c r="J36" s="10">
        <f>IFERROR(vlookup('2.2'!I:I,lookup!$A$22:$B$24,2,false),0)</f>
        <v>5</v>
      </c>
      <c r="K36" s="10">
        <f>IFERROR(vlookup('2.2'!J:J,lookup!$A$26:$B$28,2,false),0)</f>
        <v>5</v>
      </c>
      <c r="L36" s="2"/>
      <c r="M36" s="10">
        <v>35.0</v>
      </c>
      <c r="N36" s="11" t="str">
        <f t="shared" si="1"/>
        <v>bnco0935@signalschool.ac.th</v>
      </c>
      <c r="O36" s="12">
        <f t="shared" si="2"/>
        <v>1</v>
      </c>
      <c r="R36" s="17" t="s">
        <v>252</v>
      </c>
    </row>
    <row r="37">
      <c r="A37" s="8">
        <f>'2.2'!A:A</f>
        <v>46212.62633</v>
      </c>
      <c r="B37" s="2" t="str">
        <f>'2.2'!B:B</f>
        <v>bnco0908@signalschool.ac.th</v>
      </c>
      <c r="C37" s="2" t="str">
        <f>'2.2'!C:C</f>
        <v>พ.ต.ไมตรี บุญเหลื่อม</v>
      </c>
      <c r="D37" s="9">
        <v>1.0</v>
      </c>
      <c r="E37" s="10">
        <f>IFERROR(vlookup('2.2'!D:D,lookup!$A$2:$B$4,2,false),0)</f>
        <v>5</v>
      </c>
      <c r="F37" s="10">
        <f>IFERROR(vlookup('2.2'!E:E,lookup!$A$6:$B$8,2,false),0)</f>
        <v>5</v>
      </c>
      <c r="G37" s="10">
        <f>IFERROR(vlookup('2.2'!F:F,lookup!$A$10:$B$12,2,false),0)</f>
        <v>5</v>
      </c>
      <c r="H37" s="10">
        <f>IFERROR(vlookup('2.2'!G:G,lookup!$A$14:$B$16,2,false),0)</f>
        <v>5</v>
      </c>
      <c r="I37" s="10">
        <f>IFERROR(vlookup('2.2'!H:H,lookup!$A$18:$B$20,2,false),0)</f>
        <v>5</v>
      </c>
      <c r="J37" s="10">
        <f>IFERROR(vlookup('2.2'!I:I,lookup!$A$22:$B$24,2,false),0)</f>
        <v>5</v>
      </c>
      <c r="K37" s="10">
        <f>IFERROR(vlookup('2.2'!J:J,lookup!$A$26:$B$28,2,false),0)</f>
        <v>5</v>
      </c>
      <c r="L37" s="2"/>
      <c r="M37" s="10">
        <v>36.0</v>
      </c>
      <c r="N37" s="11" t="str">
        <f t="shared" si="1"/>
        <v>bnco0936@signalschool.ac.th</v>
      </c>
      <c r="O37" s="12">
        <f t="shared" si="2"/>
        <v>1</v>
      </c>
      <c r="R37" s="17" t="s">
        <v>253</v>
      </c>
    </row>
    <row r="38">
      <c r="A38" s="8">
        <f>'2.2'!A:A</f>
        <v>46212.62639</v>
      </c>
      <c r="B38" s="2" t="str">
        <f>'2.2'!B:B</f>
        <v>bnco0913@signalschool.ac.th</v>
      </c>
      <c r="C38" s="2" t="str">
        <f>'2.2'!C:C</f>
        <v>พ.ต.ไมตรี บุญเหลื่อม</v>
      </c>
      <c r="D38" s="9">
        <v>1.0</v>
      </c>
      <c r="E38" s="10">
        <f>IFERROR(vlookup('2.2'!D:D,lookup!$A$2:$B$4,2,false),0)</f>
        <v>5</v>
      </c>
      <c r="F38" s="10">
        <f>IFERROR(vlookup('2.2'!E:E,lookup!$A$6:$B$8,2,false),0)</f>
        <v>5</v>
      </c>
      <c r="G38" s="10">
        <f>IFERROR(vlookup('2.2'!F:F,lookup!$A$10:$B$12,2,false),0)</f>
        <v>5</v>
      </c>
      <c r="H38" s="10">
        <f>IFERROR(vlookup('2.2'!G:G,lookup!$A$14:$B$16,2,false),0)</f>
        <v>5</v>
      </c>
      <c r="I38" s="10">
        <f>IFERROR(vlookup('2.2'!H:H,lookup!$A$18:$B$20,2,false),0)</f>
        <v>5</v>
      </c>
      <c r="J38" s="10">
        <f>IFERROR(vlookup('2.2'!I:I,lookup!$A$22:$B$24,2,false),0)</f>
        <v>5</v>
      </c>
      <c r="K38" s="10">
        <f>IFERROR(vlookup('2.2'!J:J,lookup!$A$26:$B$28,2,false),0)</f>
        <v>5</v>
      </c>
      <c r="L38" s="2"/>
      <c r="M38" s="10">
        <v>37.0</v>
      </c>
      <c r="N38" s="11" t="str">
        <f t="shared" si="1"/>
        <v>bnco0937@signalschool.ac.th</v>
      </c>
      <c r="O38" s="12">
        <f t="shared" si="2"/>
        <v>1</v>
      </c>
      <c r="R38" s="17" t="s">
        <v>254</v>
      </c>
    </row>
    <row r="39">
      <c r="A39" s="8">
        <f>'2.2'!A:A</f>
        <v>46212.62652</v>
      </c>
      <c r="B39" s="2" t="str">
        <f>'2.2'!B:B</f>
        <v>bnco0909@signalschool.ac.th</v>
      </c>
      <c r="C39" s="2" t="str">
        <f>'2.2'!C:C</f>
        <v>พ.ต. ไมตรี บุญเหลือม</v>
      </c>
      <c r="D39" s="9">
        <v>1.0</v>
      </c>
      <c r="E39" s="10">
        <f>IFERROR(vlookup('2.2'!D:D,lookup!$A$2:$B$4,2,false),0)</f>
        <v>5</v>
      </c>
      <c r="F39" s="10">
        <f>IFERROR(vlookup('2.2'!E:E,lookup!$A$6:$B$8,2,false),0)</f>
        <v>5</v>
      </c>
      <c r="G39" s="10">
        <f>IFERROR(vlookup('2.2'!F:F,lookup!$A$10:$B$12,2,false),0)</f>
        <v>5</v>
      </c>
      <c r="H39" s="10">
        <f>IFERROR(vlookup('2.2'!G:G,lookup!$A$14:$B$16,2,false),0)</f>
        <v>5</v>
      </c>
      <c r="I39" s="10">
        <f>IFERROR(vlookup('2.2'!H:H,lookup!$A$18:$B$20,2,false),0)</f>
        <v>5</v>
      </c>
      <c r="J39" s="10">
        <f>IFERROR(vlookup('2.2'!I:I,lookup!$A$22:$B$24,2,false),0)</f>
        <v>5</v>
      </c>
      <c r="K39" s="10">
        <f>IFERROR(vlookup('2.2'!J:J,lookup!$A$26:$B$28,2,false),0)</f>
        <v>5</v>
      </c>
      <c r="L39" s="2"/>
      <c r="M39" s="10">
        <v>38.0</v>
      </c>
      <c r="N39" s="11" t="str">
        <f t="shared" si="1"/>
        <v>bnco0938@signalschool.ac.th</v>
      </c>
      <c r="O39" s="12">
        <f t="shared" si="2"/>
        <v>1</v>
      </c>
      <c r="R39" s="17" t="s">
        <v>255</v>
      </c>
    </row>
    <row r="40">
      <c r="A40" s="8">
        <f>'2.2'!A:A</f>
        <v>46212.62661</v>
      </c>
      <c r="B40" s="2" t="str">
        <f>'2.2'!B:B</f>
        <v>bnco0936@signalschool.ac.th</v>
      </c>
      <c r="C40" s="2" t="str">
        <f>'2.2'!C:C</f>
        <v>พ.ต.ไมตรี บุญเหลื่อม</v>
      </c>
      <c r="D40" s="9">
        <v>1.0</v>
      </c>
      <c r="E40" s="10">
        <f>IFERROR(vlookup('2.2'!D:D,lookup!$A$2:$B$4,2,false),0)</f>
        <v>5</v>
      </c>
      <c r="F40" s="10">
        <f>IFERROR(vlookup('2.2'!E:E,lookup!$A$6:$B$8,2,false),0)</f>
        <v>5</v>
      </c>
      <c r="G40" s="10">
        <f>IFERROR(vlookup('2.2'!F:F,lookup!$A$10:$B$12,2,false),0)</f>
        <v>5</v>
      </c>
      <c r="H40" s="10">
        <f>IFERROR(vlookup('2.2'!G:G,lookup!$A$14:$B$16,2,false),0)</f>
        <v>5</v>
      </c>
      <c r="I40" s="10">
        <f>IFERROR(vlookup('2.2'!H:H,lookup!$A$18:$B$20,2,false),0)</f>
        <v>5</v>
      </c>
      <c r="J40" s="10">
        <f>IFERROR(vlookup('2.2'!I:I,lookup!$A$22:$B$24,2,false),0)</f>
        <v>5</v>
      </c>
      <c r="K40" s="10">
        <f>IFERROR(vlookup('2.2'!J:J,lookup!$A$26:$B$28,2,false),0)</f>
        <v>5</v>
      </c>
      <c r="L40" s="2"/>
      <c r="M40" s="10">
        <v>39.0</v>
      </c>
      <c r="N40" s="11" t="str">
        <f t="shared" si="1"/>
        <v>bnco0939@signalschool.ac.th</v>
      </c>
      <c r="O40" s="12">
        <f t="shared" si="2"/>
        <v>1</v>
      </c>
      <c r="R40" s="17" t="s">
        <v>256</v>
      </c>
    </row>
    <row r="41">
      <c r="A41" s="8">
        <f>'2.2'!A:A</f>
        <v>46212.62713</v>
      </c>
      <c r="B41" s="2" t="str">
        <f>'2.2'!B:B</f>
        <v>bnco0978@signalschool.ac.th</v>
      </c>
      <c r="C41" s="2" t="str">
        <f>'2.2'!C:C</f>
        <v>พ.ต.ไมตรี บุญเหลื่อม</v>
      </c>
      <c r="D41" s="9">
        <v>1.0</v>
      </c>
      <c r="E41" s="10">
        <f>IFERROR(vlookup('2.2'!D:D,lookup!$A$2:$B$4,2,false),0)</f>
        <v>5</v>
      </c>
      <c r="F41" s="10">
        <f>IFERROR(vlookup('2.2'!E:E,lookup!$A$6:$B$8,2,false),0)</f>
        <v>5</v>
      </c>
      <c r="G41" s="10">
        <f>IFERROR(vlookup('2.2'!F:F,lookup!$A$10:$B$12,2,false),0)</f>
        <v>5</v>
      </c>
      <c r="H41" s="10">
        <f>IFERROR(vlookup('2.2'!G:G,lookup!$A$14:$B$16,2,false),0)</f>
        <v>5</v>
      </c>
      <c r="I41" s="10">
        <f>IFERROR(vlookup('2.2'!H:H,lookup!$A$18:$B$20,2,false),0)</f>
        <v>5</v>
      </c>
      <c r="J41" s="10">
        <f>IFERROR(vlookup('2.2'!I:I,lookup!$A$22:$B$24,2,false),0)</f>
        <v>5</v>
      </c>
      <c r="K41" s="10">
        <f>IFERROR(vlookup('2.2'!J:J,lookup!$A$26:$B$28,2,false),0)</f>
        <v>5</v>
      </c>
      <c r="L41" s="2"/>
      <c r="M41" s="10">
        <v>40.0</v>
      </c>
      <c r="N41" s="11" t="str">
        <f t="shared" si="1"/>
        <v>bnco0940@signalschool.ac.th</v>
      </c>
      <c r="O41" s="12">
        <f t="shared" si="2"/>
        <v>1</v>
      </c>
      <c r="R41" s="17" t="s">
        <v>257</v>
      </c>
    </row>
    <row r="42">
      <c r="A42" s="8">
        <f>'2.2'!A:A</f>
        <v>46212.62716</v>
      </c>
      <c r="B42" s="2" t="str">
        <f>'2.2'!B:B</f>
        <v>bnco0916@signalschool.ac.th</v>
      </c>
      <c r="C42" s="2" t="str">
        <f>'2.2'!C:C</f>
        <v>พ.ต.ไมตรี บุญเหลื่อม</v>
      </c>
      <c r="D42" s="9">
        <v>1.0</v>
      </c>
      <c r="E42" s="10">
        <f>IFERROR(vlookup('2.2'!D:D,lookup!$A$2:$B$4,2,false),0)</f>
        <v>5</v>
      </c>
      <c r="F42" s="10">
        <f>IFERROR(vlookup('2.2'!E:E,lookup!$A$6:$B$8,2,false),0)</f>
        <v>5</v>
      </c>
      <c r="G42" s="10">
        <f>IFERROR(vlookup('2.2'!F:F,lookup!$A$10:$B$12,2,false),0)</f>
        <v>5</v>
      </c>
      <c r="H42" s="10">
        <f>IFERROR(vlookup('2.2'!G:G,lookup!$A$14:$B$16,2,false),0)</f>
        <v>5</v>
      </c>
      <c r="I42" s="10">
        <f>IFERROR(vlookup('2.2'!H:H,lookup!$A$18:$B$20,2,false),0)</f>
        <v>5</v>
      </c>
      <c r="J42" s="10">
        <f>IFERROR(vlookup('2.2'!I:I,lookup!$A$22:$B$24,2,false),0)</f>
        <v>5</v>
      </c>
      <c r="K42" s="10">
        <f>IFERROR(vlookup('2.2'!J:J,lookup!$A$26:$B$28,2,false),0)</f>
        <v>5</v>
      </c>
      <c r="L42" s="2"/>
      <c r="M42" s="10">
        <v>41.0</v>
      </c>
      <c r="N42" s="11" t="str">
        <f t="shared" si="1"/>
        <v>bnco0941@signalschool.ac.th</v>
      </c>
      <c r="O42" s="12">
        <f t="shared" si="2"/>
        <v>1</v>
      </c>
      <c r="R42" s="17" t="s">
        <v>258</v>
      </c>
    </row>
    <row r="43">
      <c r="A43" s="8">
        <f>'2.2'!A:A</f>
        <v>46212.62734</v>
      </c>
      <c r="B43" s="2" t="str">
        <f>'2.2'!B:B</f>
        <v>bnco0970@signalschool.ac.th</v>
      </c>
      <c r="C43" s="2" t="str">
        <f>'2.2'!C:C</f>
        <v>พ.ต.ไมตรี บุญเหลื่อม</v>
      </c>
      <c r="D43" s="9">
        <v>1.0</v>
      </c>
      <c r="E43" s="10">
        <f>IFERROR(vlookup('2.2'!D:D,lookup!$A$2:$B$4,2,false),0)</f>
        <v>5</v>
      </c>
      <c r="F43" s="10">
        <f>IFERROR(vlookup('2.2'!E:E,lookup!$A$6:$B$8,2,false),0)</f>
        <v>5</v>
      </c>
      <c r="G43" s="10">
        <f>IFERROR(vlookup('2.2'!F:F,lookup!$A$10:$B$12,2,false),0)</f>
        <v>5</v>
      </c>
      <c r="H43" s="10">
        <f>IFERROR(vlookup('2.2'!G:G,lookup!$A$14:$B$16,2,false),0)</f>
        <v>5</v>
      </c>
      <c r="I43" s="10">
        <f>IFERROR(vlookup('2.2'!H:H,lookup!$A$18:$B$20,2,false),0)</f>
        <v>5</v>
      </c>
      <c r="J43" s="10">
        <f>IFERROR(vlookup('2.2'!I:I,lookup!$A$22:$B$24,2,false),0)</f>
        <v>5</v>
      </c>
      <c r="K43" s="10">
        <f>IFERROR(vlookup('2.2'!J:J,lookup!$A$26:$B$28,2,false),0)</f>
        <v>5</v>
      </c>
      <c r="L43" s="2"/>
      <c r="M43" s="10">
        <v>42.0</v>
      </c>
      <c r="N43" s="11" t="str">
        <f t="shared" si="1"/>
        <v>bnco0942@signalschool.ac.th</v>
      </c>
      <c r="O43" s="12">
        <f t="shared" si="2"/>
        <v>1</v>
      </c>
      <c r="R43" s="17" t="s">
        <v>259</v>
      </c>
    </row>
    <row r="44">
      <c r="A44" s="8">
        <f>'2.2'!A:A</f>
        <v>46212.62738</v>
      </c>
      <c r="B44" s="2" t="str">
        <f>'2.2'!B:B</f>
        <v>bnco0968@signalschool.ac.th</v>
      </c>
      <c r="C44" s="2" t="str">
        <f>'2.2'!C:C</f>
        <v>พ.ต.ไมตรี บุญเหลื่อม</v>
      </c>
      <c r="D44" s="9">
        <v>1.0</v>
      </c>
      <c r="E44" s="10">
        <f>IFERROR(vlookup('2.2'!D:D,lookup!$A$2:$B$4,2,false),0)</f>
        <v>5</v>
      </c>
      <c r="F44" s="10">
        <f>IFERROR(vlookup('2.2'!E:E,lookup!$A$6:$B$8,2,false),0)</f>
        <v>5</v>
      </c>
      <c r="G44" s="10">
        <f>IFERROR(vlookup('2.2'!F:F,lookup!$A$10:$B$12,2,false),0)</f>
        <v>5</v>
      </c>
      <c r="H44" s="10">
        <f>IFERROR(vlookup('2.2'!G:G,lookup!$A$14:$B$16,2,false),0)</f>
        <v>5</v>
      </c>
      <c r="I44" s="10">
        <f>IFERROR(vlookup('2.2'!H:H,lookup!$A$18:$B$20,2,false),0)</f>
        <v>5</v>
      </c>
      <c r="J44" s="10">
        <f>IFERROR(vlookup('2.2'!I:I,lookup!$A$22:$B$24,2,false),0)</f>
        <v>5</v>
      </c>
      <c r="K44" s="10">
        <f>IFERROR(vlookup('2.2'!J:J,lookup!$A$26:$B$28,2,false),0)</f>
        <v>5</v>
      </c>
      <c r="L44" s="2"/>
      <c r="M44" s="10">
        <v>43.0</v>
      </c>
      <c r="N44" s="11" t="str">
        <f t="shared" si="1"/>
        <v>bnco0943@signalschool.ac.th</v>
      </c>
      <c r="O44" s="12">
        <f t="shared" si="2"/>
        <v>1</v>
      </c>
      <c r="R44" s="17" t="s">
        <v>260</v>
      </c>
    </row>
    <row r="45">
      <c r="A45" s="8">
        <f>'2.2'!A:A</f>
        <v>46212.62757</v>
      </c>
      <c r="B45" s="2" t="str">
        <f>'2.2'!B:B</f>
        <v>bnco0964@signalschool.ac.th</v>
      </c>
      <c r="C45" s="2" t="str">
        <f>'2.2'!C:C</f>
        <v>พ.ต.ไมตรี บุญเหลื่อม</v>
      </c>
      <c r="D45" s="9">
        <v>1.0</v>
      </c>
      <c r="E45" s="10">
        <f>IFERROR(vlookup('2.2'!D:D,lookup!$A$2:$B$4,2,false),0)</f>
        <v>5</v>
      </c>
      <c r="F45" s="10">
        <f>IFERROR(vlookup('2.2'!E:E,lookup!$A$6:$B$8,2,false),0)</f>
        <v>5</v>
      </c>
      <c r="G45" s="10">
        <f>IFERROR(vlookup('2.2'!F:F,lookup!$A$10:$B$12,2,false),0)</f>
        <v>5</v>
      </c>
      <c r="H45" s="10">
        <f>IFERROR(vlookup('2.2'!G:G,lookup!$A$14:$B$16,2,false),0)</f>
        <v>5</v>
      </c>
      <c r="I45" s="10">
        <f>IFERROR(vlookup('2.2'!H:H,lookup!$A$18:$B$20,2,false),0)</f>
        <v>5</v>
      </c>
      <c r="J45" s="10">
        <f>IFERROR(vlookup('2.2'!I:I,lookup!$A$22:$B$24,2,false),0)</f>
        <v>5</v>
      </c>
      <c r="K45" s="10">
        <f>IFERROR(vlookup('2.2'!J:J,lookup!$A$26:$B$28,2,false),0)</f>
        <v>5</v>
      </c>
      <c r="L45" s="2"/>
      <c r="M45" s="10">
        <v>44.0</v>
      </c>
      <c r="N45" s="11" t="str">
        <f t="shared" si="1"/>
        <v>bnco0944@signalschool.ac.th</v>
      </c>
      <c r="O45" s="12">
        <f t="shared" si="2"/>
        <v>1</v>
      </c>
      <c r="R45" s="17" t="s">
        <v>261</v>
      </c>
    </row>
    <row r="46">
      <c r="A46" s="8">
        <f>'2.2'!A:A</f>
        <v>46212.62788</v>
      </c>
      <c r="B46" s="2" t="str">
        <f>'2.2'!B:B</f>
        <v>bnco0965@signalschool.ac.th</v>
      </c>
      <c r="C46" s="2" t="str">
        <f>'2.2'!C:C</f>
        <v>พ.ต.ไมตรี บุญเหลื่อม</v>
      </c>
      <c r="D46" s="9">
        <v>1.0</v>
      </c>
      <c r="E46" s="10">
        <f>IFERROR(vlookup('2.2'!D:D,lookup!$A$2:$B$4,2,false),0)</f>
        <v>5</v>
      </c>
      <c r="F46" s="10">
        <f>IFERROR(vlookup('2.2'!E:E,lookup!$A$6:$B$8,2,false),0)</f>
        <v>5</v>
      </c>
      <c r="G46" s="10">
        <f>IFERROR(vlookup('2.2'!F:F,lookup!$A$10:$B$12,2,false),0)</f>
        <v>5</v>
      </c>
      <c r="H46" s="10">
        <f>IFERROR(vlookup('2.2'!G:G,lookup!$A$14:$B$16,2,false),0)</f>
        <v>5</v>
      </c>
      <c r="I46" s="10">
        <f>IFERROR(vlookup('2.2'!H:H,lookup!$A$18:$B$20,2,false),0)</f>
        <v>5</v>
      </c>
      <c r="J46" s="10">
        <f>IFERROR(vlookup('2.2'!I:I,lookup!$A$22:$B$24,2,false),0)</f>
        <v>5</v>
      </c>
      <c r="K46" s="10">
        <f>IFERROR(vlookup('2.2'!J:J,lookup!$A$26:$B$28,2,false),0)</f>
        <v>5</v>
      </c>
      <c r="L46" s="2"/>
      <c r="M46" s="10">
        <v>45.0</v>
      </c>
      <c r="N46" s="11" t="str">
        <f t="shared" si="1"/>
        <v>bnco0945@signalschool.ac.th</v>
      </c>
      <c r="O46" s="12">
        <f t="shared" si="2"/>
        <v>1</v>
      </c>
      <c r="R46" s="17" t="s">
        <v>262</v>
      </c>
    </row>
    <row r="47">
      <c r="A47" s="8">
        <f>'2.2'!A:A</f>
        <v>46212.62809</v>
      </c>
      <c r="B47" s="2" t="str">
        <f>'2.2'!B:B</f>
        <v>bnco0929@signalschool.ac.th</v>
      </c>
      <c r="C47" s="2" t="str">
        <f>'2.2'!C:C</f>
        <v>พ.ต.ไมตรี บุญเหลื่อม</v>
      </c>
      <c r="D47" s="9">
        <v>1.0</v>
      </c>
      <c r="E47" s="10">
        <f>IFERROR(vlookup('2.2'!D:D,lookup!$A$2:$B$4,2,false),0)</f>
        <v>5</v>
      </c>
      <c r="F47" s="10">
        <f>IFERROR(vlookup('2.2'!E:E,lookup!$A$6:$B$8,2,false),0)</f>
        <v>5</v>
      </c>
      <c r="G47" s="10">
        <f>IFERROR(vlookup('2.2'!F:F,lookup!$A$10:$B$12,2,false),0)</f>
        <v>5</v>
      </c>
      <c r="H47" s="10">
        <f>IFERROR(vlookup('2.2'!G:G,lookup!$A$14:$B$16,2,false),0)</f>
        <v>5</v>
      </c>
      <c r="I47" s="10">
        <f>IFERROR(vlookup('2.2'!H:H,lookup!$A$18:$B$20,2,false),0)</f>
        <v>5</v>
      </c>
      <c r="J47" s="10">
        <f>IFERROR(vlookup('2.2'!I:I,lookup!$A$22:$B$24,2,false),0)</f>
        <v>5</v>
      </c>
      <c r="K47" s="10">
        <f>IFERROR(vlookup('2.2'!J:J,lookup!$A$26:$B$28,2,false),0)</f>
        <v>5</v>
      </c>
      <c r="L47" s="2"/>
      <c r="M47" s="10">
        <v>46.0</v>
      </c>
      <c r="N47" s="11" t="str">
        <f t="shared" si="1"/>
        <v>bnco0946@signalschool.ac.th</v>
      </c>
      <c r="O47" s="12">
        <f t="shared" si="2"/>
        <v>1</v>
      </c>
      <c r="R47" s="17" t="s">
        <v>263</v>
      </c>
    </row>
    <row r="48">
      <c r="A48" s="8">
        <f>'2.2'!A:A</f>
        <v>46212.6281</v>
      </c>
      <c r="B48" s="2" t="str">
        <f>'2.2'!B:B</f>
        <v>bnco0973@signalschool.ac.th</v>
      </c>
      <c r="C48" s="2" t="str">
        <f>'2.2'!C:C</f>
        <v>พ.ต.ไมตรี บุญเหลื่อม</v>
      </c>
      <c r="D48" s="9">
        <v>1.0</v>
      </c>
      <c r="E48" s="10">
        <f>IFERROR(vlookup('2.2'!D:D,lookup!$A$2:$B$4,2,false),0)</f>
        <v>5</v>
      </c>
      <c r="F48" s="10">
        <f>IFERROR(vlookup('2.2'!E:E,lookup!$A$6:$B$8,2,false),0)</f>
        <v>5</v>
      </c>
      <c r="G48" s="10">
        <f>IFERROR(vlookup('2.2'!F:F,lookup!$A$10:$B$12,2,false),0)</f>
        <v>5</v>
      </c>
      <c r="H48" s="10">
        <f>IFERROR(vlookup('2.2'!G:G,lookup!$A$14:$B$16,2,false),0)</f>
        <v>5</v>
      </c>
      <c r="I48" s="10">
        <f>IFERROR(vlookup('2.2'!H:H,lookup!$A$18:$B$20,2,false),0)</f>
        <v>5</v>
      </c>
      <c r="J48" s="10">
        <f>IFERROR(vlookup('2.2'!I:I,lookup!$A$22:$B$24,2,false),0)</f>
        <v>5</v>
      </c>
      <c r="K48" s="10">
        <f>IFERROR(vlookup('2.2'!J:J,lookup!$A$26:$B$28,2,false),0)</f>
        <v>5</v>
      </c>
      <c r="L48" s="2"/>
      <c r="M48" s="10">
        <v>47.0</v>
      </c>
      <c r="N48" s="11" t="str">
        <f t="shared" si="1"/>
        <v>bnco0947@signalschool.ac.th</v>
      </c>
      <c r="O48" s="12">
        <f t="shared" si="2"/>
        <v>1</v>
      </c>
      <c r="R48" s="17" t="s">
        <v>264</v>
      </c>
    </row>
    <row r="49">
      <c r="A49" s="8">
        <f>'2.2'!A:A</f>
        <v>46212.62818</v>
      </c>
      <c r="B49" s="2" t="str">
        <f>'2.2'!B:B</f>
        <v>bnco0960@signalschool.ac.th</v>
      </c>
      <c r="C49" s="2" t="str">
        <f>'2.2'!C:C</f>
        <v>พ.ต.ไมตรี บุญเหลื่อม</v>
      </c>
      <c r="D49" s="9">
        <v>1.0</v>
      </c>
      <c r="E49" s="10">
        <f>IFERROR(vlookup('2.2'!D:D,lookup!$A$2:$B$4,2,false),0)</f>
        <v>5</v>
      </c>
      <c r="F49" s="10">
        <f>IFERROR(vlookup('2.2'!E:E,lookup!$A$6:$B$8,2,false),0)</f>
        <v>5</v>
      </c>
      <c r="G49" s="10">
        <f>IFERROR(vlookup('2.2'!F:F,lookup!$A$10:$B$12,2,false),0)</f>
        <v>5</v>
      </c>
      <c r="H49" s="10">
        <f>IFERROR(vlookup('2.2'!G:G,lookup!$A$14:$B$16,2,false),0)</f>
        <v>5</v>
      </c>
      <c r="I49" s="10">
        <f>IFERROR(vlookup('2.2'!H:H,lookup!$A$18:$B$20,2,false),0)</f>
        <v>5</v>
      </c>
      <c r="J49" s="10">
        <f>IFERROR(vlookup('2.2'!I:I,lookup!$A$22:$B$24,2,false),0)</f>
        <v>5</v>
      </c>
      <c r="K49" s="10">
        <f>IFERROR(vlookup('2.2'!J:J,lookup!$A$26:$B$28,2,false),0)</f>
        <v>5</v>
      </c>
      <c r="L49" s="2"/>
      <c r="M49" s="10">
        <v>48.0</v>
      </c>
      <c r="N49" s="11" t="str">
        <f t="shared" si="1"/>
        <v>bnco0948@signalschool.ac.th</v>
      </c>
      <c r="O49" s="12">
        <f t="shared" si="2"/>
        <v>1</v>
      </c>
      <c r="R49" s="17" t="s">
        <v>265</v>
      </c>
    </row>
    <row r="50">
      <c r="A50" s="8">
        <f>'2.2'!A:A</f>
        <v>46212.62818</v>
      </c>
      <c r="B50" s="2" t="str">
        <f>'2.2'!B:B</f>
        <v>bnco0941@signalschool.ac.th</v>
      </c>
      <c r="C50" s="2" t="str">
        <f>'2.2'!C:C</f>
        <v>พ.ต.ไมตรี บุญเหลื่อม</v>
      </c>
      <c r="D50" s="9">
        <v>1.0</v>
      </c>
      <c r="E50" s="10">
        <f>IFERROR(vlookup('2.2'!D:D,lookup!$A$2:$B$4,2,false),0)</f>
        <v>5</v>
      </c>
      <c r="F50" s="10">
        <f>IFERROR(vlookup('2.2'!E:E,lookup!$A$6:$B$8,2,false),0)</f>
        <v>5</v>
      </c>
      <c r="G50" s="10">
        <f>IFERROR(vlookup('2.2'!F:F,lookup!$A$10:$B$12,2,false),0)</f>
        <v>5</v>
      </c>
      <c r="H50" s="10">
        <f>IFERROR(vlookup('2.2'!G:G,lookup!$A$14:$B$16,2,false),0)</f>
        <v>5</v>
      </c>
      <c r="I50" s="10">
        <f>IFERROR(vlookup('2.2'!H:H,lookup!$A$18:$B$20,2,false),0)</f>
        <v>5</v>
      </c>
      <c r="J50" s="10">
        <f>IFERROR(vlookup('2.2'!I:I,lookup!$A$22:$B$24,2,false),0)</f>
        <v>5</v>
      </c>
      <c r="K50" s="10">
        <f>IFERROR(vlookup('2.2'!J:J,lookup!$A$26:$B$28,2,false),0)</f>
        <v>5</v>
      </c>
      <c r="L50" s="2"/>
      <c r="M50" s="10">
        <v>49.0</v>
      </c>
      <c r="N50" s="11" t="str">
        <f t="shared" si="1"/>
        <v>bnco0949@signalschool.ac.th</v>
      </c>
      <c r="O50" s="12">
        <f t="shared" si="2"/>
        <v>1</v>
      </c>
      <c r="R50" s="17" t="s">
        <v>266</v>
      </c>
    </row>
    <row r="51">
      <c r="A51" s="8">
        <f>'2.2'!A:A</f>
        <v>46212.6282</v>
      </c>
      <c r="B51" s="2" t="str">
        <f>'2.2'!B:B</f>
        <v>bnco0938@signalschool.ac.th</v>
      </c>
      <c r="C51" s="2" t="str">
        <f>'2.2'!C:C</f>
        <v>พ.ต.ไมตรี บุญเหลื่อม</v>
      </c>
      <c r="D51" s="9">
        <v>1.0</v>
      </c>
      <c r="E51" s="10">
        <f>IFERROR(vlookup('2.2'!D:D,lookup!$A$2:$B$4,2,false),0)</f>
        <v>5</v>
      </c>
      <c r="F51" s="10">
        <f>IFERROR(vlookup('2.2'!E:E,lookup!$A$6:$B$8,2,false),0)</f>
        <v>5</v>
      </c>
      <c r="G51" s="10">
        <f>IFERROR(vlookup('2.2'!F:F,lookup!$A$10:$B$12,2,false),0)</f>
        <v>5</v>
      </c>
      <c r="H51" s="10">
        <f>IFERROR(vlookup('2.2'!G:G,lookup!$A$14:$B$16,2,false),0)</f>
        <v>5</v>
      </c>
      <c r="I51" s="10">
        <f>IFERROR(vlookup('2.2'!H:H,lookup!$A$18:$B$20,2,false),0)</f>
        <v>3</v>
      </c>
      <c r="J51" s="10">
        <f>IFERROR(vlookup('2.2'!I:I,lookup!$A$22:$B$24,2,false),0)</f>
        <v>5</v>
      </c>
      <c r="K51" s="10">
        <f>IFERROR(vlookup('2.2'!J:J,lookup!$A$26:$B$28,2,false),0)</f>
        <v>3</v>
      </c>
      <c r="L51" s="2"/>
      <c r="M51" s="10">
        <v>50.0</v>
      </c>
      <c r="N51" s="11" t="str">
        <f t="shared" si="1"/>
        <v>bnco0950@signalschool.ac.th</v>
      </c>
      <c r="O51" s="12">
        <f t="shared" si="2"/>
        <v>1</v>
      </c>
      <c r="R51" s="17" t="s">
        <v>267</v>
      </c>
    </row>
    <row r="52">
      <c r="A52" s="8">
        <f>'2.2'!A:A</f>
        <v>46212.62821</v>
      </c>
      <c r="B52" s="2" t="str">
        <f>'2.2'!B:B</f>
        <v>bnco0937@signalschool.ac.th</v>
      </c>
      <c r="C52" s="2" t="str">
        <f>'2.2'!C:C</f>
        <v>พ.ต.ไมตรี บุญเหลื่อม</v>
      </c>
      <c r="D52" s="9">
        <v>1.0</v>
      </c>
      <c r="E52" s="10">
        <f>IFERROR(vlookup('2.2'!D:D,lookup!$A$2:$B$4,2,false),0)</f>
        <v>5</v>
      </c>
      <c r="F52" s="10">
        <f>IFERROR(vlookup('2.2'!E:E,lookup!$A$6:$B$8,2,false),0)</f>
        <v>5</v>
      </c>
      <c r="G52" s="10">
        <f>IFERROR(vlookup('2.2'!F:F,lookup!$A$10:$B$12,2,false),0)</f>
        <v>5</v>
      </c>
      <c r="H52" s="10">
        <f>IFERROR(vlookup('2.2'!G:G,lookup!$A$14:$B$16,2,false),0)</f>
        <v>5</v>
      </c>
      <c r="I52" s="10">
        <f>IFERROR(vlookup('2.2'!H:H,lookup!$A$18:$B$20,2,false),0)</f>
        <v>5</v>
      </c>
      <c r="J52" s="10">
        <f>IFERROR(vlookup('2.2'!I:I,lookup!$A$22:$B$24,2,false),0)</f>
        <v>5</v>
      </c>
      <c r="K52" s="10">
        <f>IFERROR(vlookup('2.2'!J:J,lookup!$A$26:$B$28,2,false),0)</f>
        <v>5</v>
      </c>
      <c r="L52" s="2"/>
      <c r="M52" s="10">
        <v>51.0</v>
      </c>
      <c r="N52" s="11" t="str">
        <f t="shared" si="1"/>
        <v>bnco0951@signalschool.ac.th</v>
      </c>
      <c r="O52" s="12">
        <f t="shared" si="2"/>
        <v>1</v>
      </c>
      <c r="R52" s="17" t="s">
        <v>268</v>
      </c>
    </row>
    <row r="53">
      <c r="A53" s="8">
        <f>'2.2'!A:A</f>
        <v>46212.62822</v>
      </c>
      <c r="B53" s="2" t="str">
        <f>'2.2'!B:B</f>
        <v>bnco0963@signalschool.ac.th</v>
      </c>
      <c r="C53" s="2" t="str">
        <f>'2.2'!C:C</f>
        <v>พ.ต.ไมตรี บุญเหลื่อม</v>
      </c>
      <c r="D53" s="9">
        <v>1.0</v>
      </c>
      <c r="E53" s="10">
        <f>IFERROR(vlookup('2.2'!D:D,lookup!$A$2:$B$4,2,false),0)</f>
        <v>5</v>
      </c>
      <c r="F53" s="10">
        <f>IFERROR(vlookup('2.2'!E:E,lookup!$A$6:$B$8,2,false),0)</f>
        <v>5</v>
      </c>
      <c r="G53" s="10">
        <f>IFERROR(vlookup('2.2'!F:F,lookup!$A$10:$B$12,2,false),0)</f>
        <v>5</v>
      </c>
      <c r="H53" s="10">
        <f>IFERROR(vlookup('2.2'!G:G,lookup!$A$14:$B$16,2,false),0)</f>
        <v>5</v>
      </c>
      <c r="I53" s="10">
        <f>IFERROR(vlookup('2.2'!H:H,lookup!$A$18:$B$20,2,false),0)</f>
        <v>5</v>
      </c>
      <c r="J53" s="10">
        <f>IFERROR(vlookup('2.2'!I:I,lookup!$A$22:$B$24,2,false),0)</f>
        <v>5</v>
      </c>
      <c r="K53" s="10">
        <f>IFERROR(vlookup('2.2'!J:J,lookup!$A$26:$B$28,2,false),0)</f>
        <v>5</v>
      </c>
      <c r="L53" s="2"/>
      <c r="M53" s="10">
        <v>52.0</v>
      </c>
      <c r="N53" s="11" t="str">
        <f t="shared" si="1"/>
        <v>bnco0952@signalschool.ac.th</v>
      </c>
      <c r="O53" s="12">
        <f t="shared" si="2"/>
        <v>1</v>
      </c>
      <c r="R53" s="17" t="s">
        <v>269</v>
      </c>
    </row>
    <row r="54">
      <c r="A54" s="8">
        <f>'2.2'!A:A</f>
        <v>46212.62831</v>
      </c>
      <c r="B54" s="2" t="str">
        <f>'2.2'!B:B</f>
        <v>bnco0912@signalschool.ac.th</v>
      </c>
      <c r="C54" s="2" t="str">
        <f>'2.2'!C:C</f>
        <v>พ.ต.ไมตรี บุญเหลื่อม</v>
      </c>
      <c r="D54" s="9">
        <v>1.0</v>
      </c>
      <c r="E54" s="10">
        <f>IFERROR(vlookup('2.2'!D:D,lookup!$A$2:$B$4,2,false),0)</f>
        <v>5</v>
      </c>
      <c r="F54" s="10">
        <f>IFERROR(vlookup('2.2'!E:E,lookup!$A$6:$B$8,2,false),0)</f>
        <v>5</v>
      </c>
      <c r="G54" s="10">
        <f>IFERROR(vlookup('2.2'!F:F,lookup!$A$10:$B$12,2,false),0)</f>
        <v>5</v>
      </c>
      <c r="H54" s="10">
        <f>IFERROR(vlookup('2.2'!G:G,lookup!$A$14:$B$16,2,false),0)</f>
        <v>5</v>
      </c>
      <c r="I54" s="10">
        <f>IFERROR(vlookup('2.2'!H:H,lookup!$A$18:$B$20,2,false),0)</f>
        <v>5</v>
      </c>
      <c r="J54" s="10">
        <f>IFERROR(vlookup('2.2'!I:I,lookup!$A$22:$B$24,2,false),0)</f>
        <v>5</v>
      </c>
      <c r="K54" s="10">
        <f>IFERROR(vlookup('2.2'!J:J,lookup!$A$26:$B$28,2,false),0)</f>
        <v>5</v>
      </c>
      <c r="L54" s="2"/>
      <c r="M54" s="10">
        <v>53.0</v>
      </c>
      <c r="N54" s="11" t="str">
        <f t="shared" si="1"/>
        <v>bnco0953@signalschool.ac.th</v>
      </c>
      <c r="O54" s="12">
        <f t="shared" si="2"/>
        <v>1</v>
      </c>
      <c r="R54" s="17" t="s">
        <v>270</v>
      </c>
    </row>
    <row r="55">
      <c r="A55" s="8">
        <f>'2.2'!A:A</f>
        <v>46212.62843</v>
      </c>
      <c r="B55" s="2" t="str">
        <f>'2.2'!B:B</f>
        <v>bnco0915@signalschool.ac.th</v>
      </c>
      <c r="C55" s="2" t="str">
        <f>'2.2'!C:C</f>
        <v>พ.ต.ไมตรี​ บุญเหลี่ยม</v>
      </c>
      <c r="D55" s="9">
        <v>1.0</v>
      </c>
      <c r="E55" s="10">
        <f>IFERROR(vlookup('2.2'!D:D,lookup!$A$2:$B$4,2,false),0)</f>
        <v>5</v>
      </c>
      <c r="F55" s="10">
        <f>IFERROR(vlookup('2.2'!E:E,lookup!$A$6:$B$8,2,false),0)</f>
        <v>5</v>
      </c>
      <c r="G55" s="10">
        <f>IFERROR(vlookup('2.2'!F:F,lookup!$A$10:$B$12,2,false),0)</f>
        <v>5</v>
      </c>
      <c r="H55" s="10">
        <f>IFERROR(vlookup('2.2'!G:G,lookup!$A$14:$B$16,2,false),0)</f>
        <v>5</v>
      </c>
      <c r="I55" s="10">
        <f>IFERROR(vlookup('2.2'!H:H,lookup!$A$18:$B$20,2,false),0)</f>
        <v>5</v>
      </c>
      <c r="J55" s="10">
        <f>IFERROR(vlookup('2.2'!I:I,lookup!$A$22:$B$24,2,false),0)</f>
        <v>5</v>
      </c>
      <c r="K55" s="10">
        <f>IFERROR(vlookup('2.2'!J:J,lookup!$A$26:$B$28,2,false),0)</f>
        <v>5</v>
      </c>
      <c r="L55" s="2"/>
      <c r="M55" s="10">
        <v>54.0</v>
      </c>
      <c r="N55" s="11" t="str">
        <f t="shared" si="1"/>
        <v>bnco0954@signalschool.ac.th</v>
      </c>
      <c r="O55" s="12">
        <f t="shared" si="2"/>
        <v>1</v>
      </c>
      <c r="R55" s="17" t="s">
        <v>271</v>
      </c>
    </row>
    <row r="56">
      <c r="A56" s="8">
        <f>'2.2'!A:A</f>
        <v>46212.62844</v>
      </c>
      <c r="B56" s="2" t="str">
        <f>'2.2'!B:B</f>
        <v>bnco0933@signalschool.ac.th</v>
      </c>
      <c r="C56" s="2" t="str">
        <f>'2.2'!C:C</f>
        <v>พ.ต.ไมตรี บุญเหลื่อม</v>
      </c>
      <c r="D56" s="9">
        <v>1.0</v>
      </c>
      <c r="E56" s="10">
        <f>IFERROR(vlookup('2.2'!D:D,lookup!$A$2:$B$4,2,false),0)</f>
        <v>5</v>
      </c>
      <c r="F56" s="10">
        <f>IFERROR(vlookup('2.2'!E:E,lookup!$A$6:$B$8,2,false),0)</f>
        <v>5</v>
      </c>
      <c r="G56" s="10">
        <f>IFERROR(vlookup('2.2'!F:F,lookup!$A$10:$B$12,2,false),0)</f>
        <v>5</v>
      </c>
      <c r="H56" s="10">
        <f>IFERROR(vlookup('2.2'!G:G,lookup!$A$14:$B$16,2,false),0)</f>
        <v>5</v>
      </c>
      <c r="I56" s="10">
        <f>IFERROR(vlookup('2.2'!H:H,lookup!$A$18:$B$20,2,false),0)</f>
        <v>5</v>
      </c>
      <c r="J56" s="10">
        <f>IFERROR(vlookup('2.2'!I:I,lookup!$A$22:$B$24,2,false),0)</f>
        <v>5</v>
      </c>
      <c r="K56" s="10">
        <f>IFERROR(vlookup('2.2'!J:J,lookup!$A$26:$B$28,2,false),0)</f>
        <v>5</v>
      </c>
      <c r="L56" s="13"/>
      <c r="M56" s="10">
        <v>55.0</v>
      </c>
      <c r="N56" s="11" t="str">
        <f t="shared" si="1"/>
        <v>bnco0955@signalschool.ac.th</v>
      </c>
      <c r="O56" s="12">
        <f t="shared" si="2"/>
        <v>1</v>
      </c>
      <c r="R56" s="17" t="s">
        <v>272</v>
      </c>
    </row>
    <row r="57">
      <c r="A57" s="8">
        <f>'2.2'!A:A</f>
        <v>46212.62859</v>
      </c>
      <c r="B57" s="2" t="str">
        <f>'2.2'!B:B</f>
        <v>bnco0901@signalschool.ac.th</v>
      </c>
      <c r="C57" s="2" t="str">
        <f>'2.2'!C:C</f>
        <v>พ.ต.ไมตรี บุญเหลื่อม</v>
      </c>
      <c r="D57" s="9">
        <v>1.0</v>
      </c>
      <c r="E57" s="10">
        <f>IFERROR(vlookup('2.2'!D:D,lookup!$A$2:$B$4,2,false),0)</f>
        <v>5</v>
      </c>
      <c r="F57" s="10">
        <f>IFERROR(vlookup('2.2'!E:E,lookup!$A$6:$B$8,2,false),0)</f>
        <v>5</v>
      </c>
      <c r="G57" s="10">
        <f>IFERROR(vlookup('2.2'!F:F,lookup!$A$10:$B$12,2,false),0)</f>
        <v>5</v>
      </c>
      <c r="H57" s="10">
        <f>IFERROR(vlookup('2.2'!G:G,lookup!$A$14:$B$16,2,false),0)</f>
        <v>5</v>
      </c>
      <c r="I57" s="10">
        <f>IFERROR(vlookup('2.2'!H:H,lookup!$A$18:$B$20,2,false),0)</f>
        <v>5</v>
      </c>
      <c r="J57" s="10">
        <f>IFERROR(vlookup('2.2'!I:I,lookup!$A$22:$B$24,2,false),0)</f>
        <v>5</v>
      </c>
      <c r="K57" s="10">
        <f>IFERROR(vlookup('2.2'!J:J,lookup!$A$26:$B$28,2,false),0)</f>
        <v>5</v>
      </c>
      <c r="L57" s="13"/>
      <c r="M57" s="10">
        <v>56.0</v>
      </c>
      <c r="N57" s="11" t="str">
        <f t="shared" si="1"/>
        <v>bnco0956@signalschool.ac.th</v>
      </c>
      <c r="O57" s="12">
        <f t="shared" si="2"/>
        <v>1</v>
      </c>
      <c r="R57" s="17" t="s">
        <v>273</v>
      </c>
    </row>
    <row r="58">
      <c r="A58" s="8">
        <f>'2.2'!A:A</f>
        <v>46212.62878</v>
      </c>
      <c r="B58" s="2" t="str">
        <f>'2.2'!B:B</f>
        <v>bnco0957@signalschool.ac.th</v>
      </c>
      <c r="C58" s="2" t="str">
        <f>'2.2'!C:C</f>
        <v>พ.ต.ไมตรี บุญเหลื่อม</v>
      </c>
      <c r="D58" s="9">
        <v>1.0</v>
      </c>
      <c r="E58" s="10">
        <f>IFERROR(vlookup('2.2'!D:D,lookup!$A$2:$B$4,2,false),0)</f>
        <v>5</v>
      </c>
      <c r="F58" s="10">
        <f>IFERROR(vlookup('2.2'!E:E,lookup!$A$6:$B$8,2,false),0)</f>
        <v>5</v>
      </c>
      <c r="G58" s="10">
        <f>IFERROR(vlookup('2.2'!F:F,lookup!$A$10:$B$12,2,false),0)</f>
        <v>5</v>
      </c>
      <c r="H58" s="10">
        <f>IFERROR(vlookup('2.2'!G:G,lookup!$A$14:$B$16,2,false),0)</f>
        <v>5</v>
      </c>
      <c r="I58" s="10">
        <f>IFERROR(vlookup('2.2'!H:H,lookup!$A$18:$B$20,2,false),0)</f>
        <v>5</v>
      </c>
      <c r="J58" s="10">
        <f>IFERROR(vlookup('2.2'!I:I,lookup!$A$22:$B$24,2,false),0)</f>
        <v>5</v>
      </c>
      <c r="K58" s="10">
        <f>IFERROR(vlookup('2.2'!J:J,lookup!$A$26:$B$28,2,false),0)</f>
        <v>5</v>
      </c>
      <c r="L58" s="13"/>
      <c r="M58" s="10">
        <v>57.0</v>
      </c>
      <c r="N58" s="11" t="str">
        <f t="shared" si="1"/>
        <v>bnco0957@signalschool.ac.th</v>
      </c>
      <c r="O58" s="12">
        <f t="shared" si="2"/>
        <v>1</v>
      </c>
      <c r="R58" s="17" t="s">
        <v>274</v>
      </c>
    </row>
    <row r="59">
      <c r="A59" s="8">
        <f>'2.2'!A:A</f>
        <v>46212.6288</v>
      </c>
      <c r="B59" s="2" t="str">
        <f>'2.2'!B:B</f>
        <v>bnco0939@signalschool.ac.th</v>
      </c>
      <c r="C59" s="2" t="str">
        <f>'2.2'!C:C</f>
        <v>พ.ต.ไมตรี บุญเหลื่อม</v>
      </c>
      <c r="D59" s="9">
        <v>1.0</v>
      </c>
      <c r="E59" s="10">
        <f>IFERROR(vlookup('2.2'!D:D,lookup!$A$2:$B$4,2,false),0)</f>
        <v>5</v>
      </c>
      <c r="F59" s="10">
        <f>IFERROR(vlookup('2.2'!E:E,lookup!$A$6:$B$8,2,false),0)</f>
        <v>5</v>
      </c>
      <c r="G59" s="10">
        <f>IFERROR(vlookup('2.2'!F:F,lookup!$A$10:$B$12,2,false),0)</f>
        <v>5</v>
      </c>
      <c r="H59" s="10">
        <f>IFERROR(vlookup('2.2'!G:G,lookup!$A$14:$B$16,2,false),0)</f>
        <v>5</v>
      </c>
      <c r="I59" s="10">
        <f>IFERROR(vlookup('2.2'!H:H,lookup!$A$18:$B$20,2,false),0)</f>
        <v>5</v>
      </c>
      <c r="J59" s="10">
        <f>IFERROR(vlookup('2.2'!I:I,lookup!$A$22:$B$24,2,false),0)</f>
        <v>5</v>
      </c>
      <c r="K59" s="10">
        <f>IFERROR(vlookup('2.2'!J:J,lookup!$A$26:$B$28,2,false),0)</f>
        <v>5</v>
      </c>
      <c r="L59" s="14"/>
      <c r="M59" s="10">
        <v>58.0</v>
      </c>
      <c r="N59" s="11" t="str">
        <f t="shared" si="1"/>
        <v>bnco0958@signalschool.ac.th</v>
      </c>
      <c r="O59" s="12">
        <f t="shared" si="2"/>
        <v>1</v>
      </c>
      <c r="R59" s="17" t="s">
        <v>275</v>
      </c>
    </row>
    <row r="60">
      <c r="A60" s="8">
        <f>'2.2'!A:A</f>
        <v>46212.62882</v>
      </c>
      <c r="B60" s="2" t="str">
        <f>'2.2'!B:B</f>
        <v>bnco0902@signalschool.ac.th</v>
      </c>
      <c r="C60" s="2" t="str">
        <f>'2.2'!C:C</f>
        <v>พ.ต.ไมตรี บุญเหลื่อม</v>
      </c>
      <c r="D60" s="9">
        <v>1.0</v>
      </c>
      <c r="E60" s="10">
        <f>IFERROR(vlookup('2.2'!D:D,lookup!$A$2:$B$4,2,false),0)</f>
        <v>5</v>
      </c>
      <c r="F60" s="10">
        <f>IFERROR(vlookup('2.2'!E:E,lookup!$A$6:$B$8,2,false),0)</f>
        <v>5</v>
      </c>
      <c r="G60" s="10">
        <f>IFERROR(vlookup('2.2'!F:F,lookup!$A$10:$B$12,2,false),0)</f>
        <v>5</v>
      </c>
      <c r="H60" s="10">
        <f>IFERROR(vlookup('2.2'!G:G,lookup!$A$14:$B$16,2,false),0)</f>
        <v>5</v>
      </c>
      <c r="I60" s="10">
        <f>IFERROR(vlookup('2.2'!H:H,lookup!$A$18:$B$20,2,false),0)</f>
        <v>5</v>
      </c>
      <c r="J60" s="10">
        <f>IFERROR(vlookup('2.2'!I:I,lookup!$A$22:$B$24,2,false),0)</f>
        <v>5</v>
      </c>
      <c r="K60" s="10">
        <f>IFERROR(vlookup('2.2'!J:J,lookup!$A$26:$B$28,2,false),0)</f>
        <v>5</v>
      </c>
      <c r="L60" s="10"/>
      <c r="M60" s="10">
        <v>59.0</v>
      </c>
      <c r="N60" s="11" t="str">
        <f t="shared" si="1"/>
        <v>bnco0959@signalschool.ac.th</v>
      </c>
      <c r="O60" s="12">
        <f t="shared" si="2"/>
        <v>1</v>
      </c>
      <c r="R60" s="17" t="s">
        <v>276</v>
      </c>
    </row>
    <row r="61">
      <c r="A61" s="8">
        <f>'2.2'!A:A</f>
        <v>46212.62883</v>
      </c>
      <c r="B61" s="2" t="str">
        <f>'2.2'!B:B</f>
        <v>bnco0945@signalschool.ac.th</v>
      </c>
      <c r="C61" s="2" t="str">
        <f>'2.2'!C:C</f>
        <v>พ.ต.ไมตรี บุญเหลื่อม</v>
      </c>
      <c r="D61" s="9">
        <v>1.0</v>
      </c>
      <c r="E61" s="10">
        <f>IFERROR(vlookup('2.2'!D:D,lookup!$A$2:$B$4,2,false),0)</f>
        <v>5</v>
      </c>
      <c r="F61" s="10">
        <f>IFERROR(vlookup('2.2'!E:E,lookup!$A$6:$B$8,2,false),0)</f>
        <v>5</v>
      </c>
      <c r="G61" s="10">
        <f>IFERROR(vlookup('2.2'!F:F,lookup!$A$10:$B$12,2,false),0)</f>
        <v>5</v>
      </c>
      <c r="H61" s="10">
        <f>IFERROR(vlookup('2.2'!G:G,lookup!$A$14:$B$16,2,false),0)</f>
        <v>5</v>
      </c>
      <c r="I61" s="10">
        <f>IFERROR(vlookup('2.2'!H:H,lookup!$A$18:$B$20,2,false),0)</f>
        <v>5</v>
      </c>
      <c r="J61" s="10">
        <f>IFERROR(vlookup('2.2'!I:I,lookup!$A$22:$B$24,2,false),0)</f>
        <v>5</v>
      </c>
      <c r="K61" s="10">
        <f>IFERROR(vlookup('2.2'!J:J,lookup!$A$26:$B$28,2,false),0)</f>
        <v>5</v>
      </c>
      <c r="M61" s="10">
        <v>60.0</v>
      </c>
      <c r="N61" s="11" t="str">
        <f t="shared" si="1"/>
        <v>bnco0960@signalschool.ac.th</v>
      </c>
      <c r="O61" s="12">
        <f t="shared" si="2"/>
        <v>1</v>
      </c>
      <c r="R61" s="17" t="s">
        <v>277</v>
      </c>
    </row>
    <row r="62">
      <c r="A62" s="8">
        <f>'2.2'!A:A</f>
        <v>46212.62903</v>
      </c>
      <c r="B62" s="2" t="str">
        <f>'2.2'!B:B</f>
        <v>bnco0947@signalschool.ac.th</v>
      </c>
      <c r="C62" s="2" t="str">
        <f>'2.2'!C:C</f>
        <v>พ.ต.ไมตรี บุญเหลื่อม</v>
      </c>
      <c r="D62" s="9">
        <v>1.0</v>
      </c>
      <c r="E62" s="10">
        <f>IFERROR(vlookup('2.2'!D:D,lookup!$A$2:$B$4,2,false),0)</f>
        <v>5</v>
      </c>
      <c r="F62" s="10">
        <f>IFERROR(vlookup('2.2'!E:E,lookup!$A$6:$B$8,2,false),0)</f>
        <v>5</v>
      </c>
      <c r="G62" s="10">
        <f>IFERROR(vlookup('2.2'!F:F,lookup!$A$10:$B$12,2,false),0)</f>
        <v>5</v>
      </c>
      <c r="H62" s="10">
        <f>IFERROR(vlookup('2.2'!G:G,lookup!$A$14:$B$16,2,false),0)</f>
        <v>5</v>
      </c>
      <c r="I62" s="10">
        <f>IFERROR(vlookup('2.2'!H:H,lookup!$A$18:$B$20,2,false),0)</f>
        <v>5</v>
      </c>
      <c r="J62" s="10">
        <f>IFERROR(vlookup('2.2'!I:I,lookup!$A$22:$B$24,2,false),0)</f>
        <v>5</v>
      </c>
      <c r="K62" s="10">
        <f>IFERROR(vlookup('2.2'!J:J,lookup!$A$26:$B$28,2,false),0)</f>
        <v>5</v>
      </c>
      <c r="M62" s="10">
        <v>61.0</v>
      </c>
      <c r="N62" s="11" t="str">
        <f t="shared" si="1"/>
        <v>bnco0961@signalschool.ac.th</v>
      </c>
      <c r="O62" s="12">
        <f t="shared" si="2"/>
        <v>1</v>
      </c>
      <c r="R62" s="17" t="s">
        <v>278</v>
      </c>
    </row>
    <row r="63">
      <c r="A63" s="8">
        <f>'2.2'!A:A</f>
        <v>46212.62915</v>
      </c>
      <c r="B63" s="2" t="str">
        <f>'2.2'!B:B</f>
        <v>bnco0911@signalschool.ac.th</v>
      </c>
      <c r="C63" s="2" t="str">
        <f>'2.2'!C:C</f>
        <v>พ.ต.ไมตรี บุญเหลื่อม</v>
      </c>
      <c r="D63" s="9">
        <v>1.0</v>
      </c>
      <c r="E63" s="10">
        <f>IFERROR(vlookup('2.2'!D:D,lookup!$A$2:$B$4,2,false),0)</f>
        <v>5</v>
      </c>
      <c r="F63" s="10">
        <f>IFERROR(vlookup('2.2'!E:E,lookup!$A$6:$B$8,2,false),0)</f>
        <v>5</v>
      </c>
      <c r="G63" s="10">
        <f>IFERROR(vlookup('2.2'!F:F,lookup!$A$10:$B$12,2,false),0)</f>
        <v>5</v>
      </c>
      <c r="H63" s="10">
        <f>IFERROR(vlookup('2.2'!G:G,lookup!$A$14:$B$16,2,false),0)</f>
        <v>5</v>
      </c>
      <c r="I63" s="10">
        <f>IFERROR(vlookup('2.2'!H:H,lookup!$A$18:$B$20,2,false),0)</f>
        <v>5</v>
      </c>
      <c r="J63" s="10">
        <f>IFERROR(vlookup('2.2'!I:I,lookup!$A$22:$B$24,2,false),0)</f>
        <v>5</v>
      </c>
      <c r="K63" s="10">
        <f>IFERROR(vlookup('2.2'!J:J,lookup!$A$26:$B$28,2,false),0)</f>
        <v>5</v>
      </c>
      <c r="M63" s="10">
        <v>62.0</v>
      </c>
      <c r="N63" s="11" t="str">
        <f t="shared" si="1"/>
        <v>bnco0962@signalschool.ac.th</v>
      </c>
      <c r="O63" s="12">
        <f t="shared" si="2"/>
        <v>1</v>
      </c>
      <c r="R63" s="17" t="s">
        <v>279</v>
      </c>
    </row>
    <row r="64">
      <c r="A64" s="8">
        <f>'2.2'!A:A</f>
        <v>46212.62952</v>
      </c>
      <c r="B64" s="2" t="str">
        <f>'2.2'!B:B</f>
        <v>bnco0974@signalschool.ac.th</v>
      </c>
      <c r="C64" s="2" t="str">
        <f>'2.2'!C:C</f>
        <v>พ.ต.ไมตรี บุญเหลื่อม</v>
      </c>
      <c r="D64" s="9">
        <v>1.0</v>
      </c>
      <c r="E64" s="10">
        <f>IFERROR(vlookup('2.2'!D:D,lookup!$A$2:$B$4,2,false),0)</f>
        <v>5</v>
      </c>
      <c r="F64" s="10">
        <f>IFERROR(vlookup('2.2'!E:E,lookup!$A$6:$B$8,2,false),0)</f>
        <v>5</v>
      </c>
      <c r="G64" s="10">
        <f>IFERROR(vlookup('2.2'!F:F,lookup!$A$10:$B$12,2,false),0)</f>
        <v>5</v>
      </c>
      <c r="H64" s="10">
        <f>IFERROR(vlookup('2.2'!G:G,lookup!$A$14:$B$16,2,false),0)</f>
        <v>5</v>
      </c>
      <c r="I64" s="10">
        <f>IFERROR(vlookup('2.2'!H:H,lookup!$A$18:$B$20,2,false),0)</f>
        <v>3</v>
      </c>
      <c r="J64" s="10">
        <f>IFERROR(vlookup('2.2'!I:I,lookup!$A$22:$B$24,2,false),0)</f>
        <v>3</v>
      </c>
      <c r="K64" s="10">
        <f>IFERROR(vlookup('2.2'!J:J,lookup!$A$26:$B$28,2,false),0)</f>
        <v>3</v>
      </c>
      <c r="M64" s="10">
        <v>63.0</v>
      </c>
      <c r="N64" s="11" t="str">
        <f t="shared" si="1"/>
        <v>bnco0963@signalschool.ac.th</v>
      </c>
      <c r="O64" s="12">
        <f t="shared" si="2"/>
        <v>1</v>
      </c>
      <c r="R64" s="17" t="s">
        <v>280</v>
      </c>
    </row>
    <row r="65">
      <c r="A65" s="8">
        <f>'2.2'!A:A</f>
        <v>46212.62953</v>
      </c>
      <c r="B65" s="2" t="str">
        <f>'2.2'!B:B</f>
        <v>bnco0952@signalschool.ac.th</v>
      </c>
      <c r="C65" s="2" t="str">
        <f>'2.2'!C:C</f>
        <v>พ.ต.ไมตรี บุญเหลื่อม</v>
      </c>
      <c r="D65" s="9">
        <v>1.0</v>
      </c>
      <c r="E65" s="10">
        <f>IFERROR(vlookup('2.2'!D:D,lookup!$A$2:$B$4,2,false),0)</f>
        <v>5</v>
      </c>
      <c r="F65" s="10">
        <f>IFERROR(vlookup('2.2'!E:E,lookup!$A$6:$B$8,2,false),0)</f>
        <v>5</v>
      </c>
      <c r="G65" s="10">
        <f>IFERROR(vlookup('2.2'!F:F,lookup!$A$10:$B$12,2,false),0)</f>
        <v>5</v>
      </c>
      <c r="H65" s="10">
        <f>IFERROR(vlookup('2.2'!G:G,lookup!$A$14:$B$16,2,false),0)</f>
        <v>5</v>
      </c>
      <c r="I65" s="10">
        <f>IFERROR(vlookup('2.2'!H:H,lookup!$A$18:$B$20,2,false),0)</f>
        <v>5</v>
      </c>
      <c r="J65" s="10">
        <f>IFERROR(vlookup('2.2'!I:I,lookup!$A$22:$B$24,2,false),0)</f>
        <v>5</v>
      </c>
      <c r="K65" s="10">
        <f>IFERROR(vlookup('2.2'!J:J,lookup!$A$26:$B$28,2,false),0)</f>
        <v>5</v>
      </c>
      <c r="M65" s="10">
        <v>64.0</v>
      </c>
      <c r="N65" s="11" t="str">
        <f t="shared" si="1"/>
        <v>bnco0964@signalschool.ac.th</v>
      </c>
      <c r="O65" s="12">
        <f t="shared" si="2"/>
        <v>1</v>
      </c>
      <c r="R65" s="17" t="s">
        <v>281</v>
      </c>
    </row>
    <row r="66">
      <c r="A66" s="8">
        <f>'2.2'!A:A</f>
        <v>46212.62956</v>
      </c>
      <c r="B66" s="2" t="str">
        <f>'2.2'!B:B</f>
        <v>bnco0969@signalschool.ac.th</v>
      </c>
      <c r="C66" s="2" t="str">
        <f>'2.2'!C:C</f>
        <v>พ.ต.ไมตรี บุญเหลื่อม</v>
      </c>
      <c r="D66" s="9">
        <v>1.0</v>
      </c>
      <c r="E66" s="10">
        <f>IFERROR(vlookup('2.2'!D:D,lookup!$A$2:$B$4,2,false),0)</f>
        <v>5</v>
      </c>
      <c r="F66" s="10">
        <f>IFERROR(vlookup('2.2'!E:E,lookup!$A$6:$B$8,2,false),0)</f>
        <v>5</v>
      </c>
      <c r="G66" s="10">
        <f>IFERROR(vlookup('2.2'!F:F,lookup!$A$10:$B$12,2,false),0)</f>
        <v>5</v>
      </c>
      <c r="H66" s="10">
        <f>IFERROR(vlookup('2.2'!G:G,lookup!$A$14:$B$16,2,false),0)</f>
        <v>5</v>
      </c>
      <c r="I66" s="10">
        <f>IFERROR(vlookup('2.2'!H:H,lookup!$A$18:$B$20,2,false),0)</f>
        <v>5</v>
      </c>
      <c r="J66" s="10">
        <f>IFERROR(vlookup('2.2'!I:I,lookup!$A$22:$B$24,2,false),0)</f>
        <v>5</v>
      </c>
      <c r="K66" s="10">
        <f>IFERROR(vlookup('2.2'!J:J,lookup!$A$26:$B$28,2,false),0)</f>
        <v>5</v>
      </c>
      <c r="M66" s="10">
        <v>65.0</v>
      </c>
      <c r="N66" s="11" t="str">
        <f t="shared" si="1"/>
        <v>bnco0965@signalschool.ac.th</v>
      </c>
      <c r="O66" s="12">
        <f t="shared" si="2"/>
        <v>1</v>
      </c>
      <c r="R66" s="17" t="s">
        <v>282</v>
      </c>
    </row>
    <row r="67">
      <c r="A67" s="8">
        <f>'2.2'!A:A</f>
        <v>46212.62986</v>
      </c>
      <c r="B67" s="2" t="str">
        <f>'2.2'!B:B</f>
        <v>bnco0944@signalschool.ac.th</v>
      </c>
      <c r="C67" s="2" t="str">
        <f>'2.2'!C:C</f>
        <v>พ.ต.ไมตรี บุญเหลื่อม</v>
      </c>
      <c r="D67" s="9">
        <v>1.0</v>
      </c>
      <c r="E67" s="10">
        <f>IFERROR(vlookup('2.2'!D:D,lookup!$A$2:$B$4,2,false),0)</f>
        <v>5</v>
      </c>
      <c r="F67" s="10">
        <f>IFERROR(vlookup('2.2'!E:E,lookup!$A$6:$B$8,2,false),0)</f>
        <v>5</v>
      </c>
      <c r="G67" s="10">
        <f>IFERROR(vlookup('2.2'!F:F,lookup!$A$10:$B$12,2,false),0)</f>
        <v>5</v>
      </c>
      <c r="H67" s="10">
        <f>IFERROR(vlookup('2.2'!G:G,lookup!$A$14:$B$16,2,false),0)</f>
        <v>5</v>
      </c>
      <c r="I67" s="10">
        <f>IFERROR(vlookup('2.2'!H:H,lookup!$A$18:$B$20,2,false),0)</f>
        <v>5</v>
      </c>
      <c r="J67" s="10">
        <f>IFERROR(vlookup('2.2'!I:I,lookup!$A$22:$B$24,2,false),0)</f>
        <v>5</v>
      </c>
      <c r="K67" s="10">
        <f>IFERROR(vlookup('2.2'!J:J,lookup!$A$26:$B$28,2,false),0)</f>
        <v>5</v>
      </c>
      <c r="M67" s="10">
        <v>66.0</v>
      </c>
      <c r="N67" s="11" t="str">
        <f t="shared" si="1"/>
        <v>bnco0966@signalschool.ac.th</v>
      </c>
      <c r="O67" s="12">
        <f t="shared" si="2"/>
        <v>1</v>
      </c>
      <c r="R67" s="17" t="s">
        <v>283</v>
      </c>
    </row>
    <row r="68">
      <c r="A68" s="8">
        <f>'2.2'!A:A</f>
        <v>46212.63005</v>
      </c>
      <c r="B68" s="2" t="str">
        <f>'2.2'!B:B</f>
        <v>bnco0959@signalschool.ac.th</v>
      </c>
      <c r="C68" s="2" t="str">
        <f>'2.2'!C:C</f>
        <v>พ.ต.ไมตรี บุญเหลื่อม</v>
      </c>
      <c r="D68" s="9">
        <v>1.0</v>
      </c>
      <c r="E68" s="10">
        <f>IFERROR(vlookup('2.2'!D:D,lookup!$A$2:$B$4,2,false),0)</f>
        <v>5</v>
      </c>
      <c r="F68" s="10">
        <f>IFERROR(vlookup('2.2'!E:E,lookup!$A$6:$B$8,2,false),0)</f>
        <v>5</v>
      </c>
      <c r="G68" s="10">
        <f>IFERROR(vlookup('2.2'!F:F,lookup!$A$10:$B$12,2,false),0)</f>
        <v>5</v>
      </c>
      <c r="H68" s="10">
        <f>IFERROR(vlookup('2.2'!G:G,lookup!$A$14:$B$16,2,false),0)</f>
        <v>5</v>
      </c>
      <c r="I68" s="10">
        <f>IFERROR(vlookup('2.2'!H:H,lookup!$A$18:$B$20,2,false),0)</f>
        <v>5</v>
      </c>
      <c r="J68" s="10">
        <f>IFERROR(vlookup('2.2'!I:I,lookup!$A$22:$B$24,2,false),0)</f>
        <v>5</v>
      </c>
      <c r="K68" s="10">
        <f>IFERROR(vlookup('2.2'!J:J,lookup!$A$26:$B$28,2,false),0)</f>
        <v>5</v>
      </c>
      <c r="M68" s="10">
        <v>67.0</v>
      </c>
      <c r="N68" s="11" t="str">
        <f t="shared" si="1"/>
        <v>bnco0967@signalschool.ac.th</v>
      </c>
      <c r="O68" s="12">
        <f t="shared" si="2"/>
        <v>1</v>
      </c>
      <c r="R68" s="17" t="s">
        <v>284</v>
      </c>
    </row>
    <row r="69">
      <c r="A69" s="8">
        <f>'2.2'!A:A</f>
        <v>46212.63026</v>
      </c>
      <c r="B69" s="2" t="str">
        <f>'2.2'!B:B</f>
        <v>bnco0905@signalschool.ac.th</v>
      </c>
      <c r="C69" s="2" t="str">
        <f>'2.2'!C:C</f>
        <v>พ.ต.ไมตรี บุญเหลื่อม</v>
      </c>
      <c r="D69" s="9">
        <v>1.0</v>
      </c>
      <c r="E69" s="10">
        <f>IFERROR(vlookup('2.2'!D:D,lookup!$A$2:$B$4,2,false),0)</f>
        <v>5</v>
      </c>
      <c r="F69" s="10">
        <f>IFERROR(vlookup('2.2'!E:E,lookup!$A$6:$B$8,2,false),0)</f>
        <v>5</v>
      </c>
      <c r="G69" s="10">
        <f>IFERROR(vlookup('2.2'!F:F,lookup!$A$10:$B$12,2,false),0)</f>
        <v>5</v>
      </c>
      <c r="H69" s="10">
        <f>IFERROR(vlookup('2.2'!G:G,lookup!$A$14:$B$16,2,false),0)</f>
        <v>5</v>
      </c>
      <c r="I69" s="10">
        <f>IFERROR(vlookup('2.2'!H:H,lookup!$A$18:$B$20,2,false),0)</f>
        <v>5</v>
      </c>
      <c r="J69" s="10">
        <f>IFERROR(vlookup('2.2'!I:I,lookup!$A$22:$B$24,2,false),0)</f>
        <v>5</v>
      </c>
      <c r="K69" s="10">
        <f>IFERROR(vlookup('2.2'!J:J,lookup!$A$26:$B$28,2,false),0)</f>
        <v>5</v>
      </c>
      <c r="M69" s="10">
        <v>68.0</v>
      </c>
      <c r="N69" s="11" t="str">
        <f t="shared" si="1"/>
        <v>bnco0968@signalschool.ac.th</v>
      </c>
      <c r="O69" s="12">
        <f t="shared" si="2"/>
        <v>1</v>
      </c>
      <c r="R69" s="17" t="s">
        <v>285</v>
      </c>
    </row>
    <row r="70">
      <c r="A70" s="8">
        <f>'2.2'!A:A</f>
        <v>46212.63036</v>
      </c>
      <c r="B70" s="2" t="str">
        <f>'2.2'!B:B</f>
        <v>bnco0961@signalschool.ac.th</v>
      </c>
      <c r="C70" s="2" t="str">
        <f>'2.2'!C:C</f>
        <v> พ.ต.ไมตรี บุญเหลื่อม</v>
      </c>
      <c r="D70" s="9">
        <v>1.0</v>
      </c>
      <c r="E70" s="10">
        <f>IFERROR(vlookup('2.2'!D:D,lookup!$A$2:$B$4,2,false),0)</f>
        <v>5</v>
      </c>
      <c r="F70" s="10">
        <f>IFERROR(vlookup('2.2'!E:E,lookup!$A$6:$B$8,2,false),0)</f>
        <v>5</v>
      </c>
      <c r="G70" s="10">
        <f>IFERROR(vlookup('2.2'!F:F,lookup!$A$10:$B$12,2,false),0)</f>
        <v>5</v>
      </c>
      <c r="H70" s="10">
        <f>IFERROR(vlookup('2.2'!G:G,lookup!$A$14:$B$16,2,false),0)</f>
        <v>5</v>
      </c>
      <c r="I70" s="10">
        <f>IFERROR(vlookup('2.2'!H:H,lookup!$A$18:$B$20,2,false),0)</f>
        <v>5</v>
      </c>
      <c r="J70" s="10">
        <f>IFERROR(vlookup('2.2'!I:I,lookup!$A$22:$B$24,2,false),0)</f>
        <v>5</v>
      </c>
      <c r="K70" s="10">
        <f>IFERROR(vlookup('2.2'!J:J,lookup!$A$26:$B$28,2,false),0)</f>
        <v>5</v>
      </c>
      <c r="M70" s="10">
        <v>69.0</v>
      </c>
      <c r="N70" s="11" t="str">
        <f t="shared" si="1"/>
        <v>bnco0969@signalschool.ac.th</v>
      </c>
      <c r="O70" s="12">
        <f t="shared" si="2"/>
        <v>1</v>
      </c>
      <c r="R70" s="17" t="s">
        <v>286</v>
      </c>
    </row>
    <row r="71">
      <c r="A71" s="8">
        <f>'2.2'!A:A</f>
        <v>46212.63042</v>
      </c>
      <c r="B71" s="2" t="str">
        <f>'2.2'!B:B</f>
        <v>bnco0966@signalschool.ac.th</v>
      </c>
      <c r="C71" s="2" t="str">
        <f>'2.2'!C:C</f>
        <v>พ.ต.ไมตรี บุญเหลื่อม</v>
      </c>
      <c r="D71" s="9">
        <v>1.0</v>
      </c>
      <c r="E71" s="10">
        <f>IFERROR(vlookup('2.2'!D:D,lookup!$A$2:$B$4,2,false),0)</f>
        <v>5</v>
      </c>
      <c r="F71" s="10">
        <f>IFERROR(vlookup('2.2'!E:E,lookup!$A$6:$B$8,2,false),0)</f>
        <v>5</v>
      </c>
      <c r="G71" s="10">
        <f>IFERROR(vlookup('2.2'!F:F,lookup!$A$10:$B$12,2,false),0)</f>
        <v>5</v>
      </c>
      <c r="H71" s="10">
        <f>IFERROR(vlookup('2.2'!G:G,lookup!$A$14:$B$16,2,false),0)</f>
        <v>5</v>
      </c>
      <c r="I71" s="10">
        <f>IFERROR(vlookup('2.2'!H:H,lookup!$A$18:$B$20,2,false),0)</f>
        <v>5</v>
      </c>
      <c r="J71" s="10">
        <f>IFERROR(vlookup('2.2'!I:I,lookup!$A$22:$B$24,2,false),0)</f>
        <v>5</v>
      </c>
      <c r="K71" s="10">
        <f>IFERROR(vlookup('2.2'!J:J,lookup!$A$26:$B$28,2,false),0)</f>
        <v>5</v>
      </c>
      <c r="M71" s="10">
        <v>70.0</v>
      </c>
      <c r="N71" s="11" t="str">
        <f t="shared" si="1"/>
        <v>bnco0970@signalschool.ac.th</v>
      </c>
      <c r="O71" s="12">
        <f t="shared" si="2"/>
        <v>1</v>
      </c>
      <c r="R71" s="17" t="s">
        <v>287</v>
      </c>
    </row>
    <row r="72">
      <c r="A72" s="8">
        <f>'2.2'!A:A</f>
        <v>46212.63053</v>
      </c>
      <c r="B72" s="2" t="str">
        <f>'2.2'!B:B</f>
        <v>bnco0976@signalschool.ac.th</v>
      </c>
      <c r="C72" s="2" t="str">
        <f>'2.2'!C:C</f>
        <v>พ.ต.ไมตรี บุญเหลื่อม</v>
      </c>
      <c r="D72" s="9">
        <v>1.0</v>
      </c>
      <c r="E72" s="10">
        <f>IFERROR(vlookup('2.2'!D:D,lookup!$A$2:$B$4,2,false),0)</f>
        <v>5</v>
      </c>
      <c r="F72" s="10">
        <f>IFERROR(vlookup('2.2'!E:E,lookup!$A$6:$B$8,2,false),0)</f>
        <v>5</v>
      </c>
      <c r="G72" s="10">
        <f>IFERROR(vlookup('2.2'!F:F,lookup!$A$10:$B$12,2,false),0)</f>
        <v>5</v>
      </c>
      <c r="H72" s="10">
        <f>IFERROR(vlookup('2.2'!G:G,lookup!$A$14:$B$16,2,false),0)</f>
        <v>5</v>
      </c>
      <c r="I72" s="10">
        <f>IFERROR(vlookup('2.2'!H:H,lookup!$A$18:$B$20,2,false),0)</f>
        <v>5</v>
      </c>
      <c r="J72" s="10">
        <f>IFERROR(vlookup('2.2'!I:I,lookup!$A$22:$B$24,2,false),0)</f>
        <v>5</v>
      </c>
      <c r="K72" s="10">
        <f>IFERROR(vlookup('2.2'!J:J,lookup!$A$26:$B$28,2,false),0)</f>
        <v>5</v>
      </c>
      <c r="M72" s="10">
        <v>71.0</v>
      </c>
      <c r="N72" s="11" t="str">
        <f t="shared" si="1"/>
        <v>bnco0971@signalschool.ac.th</v>
      </c>
      <c r="O72" s="12">
        <f t="shared" si="2"/>
        <v>1</v>
      </c>
      <c r="R72" s="17" t="s">
        <v>288</v>
      </c>
    </row>
    <row r="73">
      <c r="A73" s="8">
        <f>'2.2'!A:A</f>
        <v>46212.63132</v>
      </c>
      <c r="B73" s="2" t="str">
        <f>'2.2'!B:B</f>
        <v>bnco0922@signalschool.ac.th</v>
      </c>
      <c r="C73" s="2" t="str">
        <f>'2.2'!C:C</f>
        <v>พ.ต.ไมตรี บุญเหลื่อม</v>
      </c>
      <c r="D73" s="9">
        <v>1.0</v>
      </c>
      <c r="E73" s="10">
        <f>IFERROR(vlookup('2.2'!D:D,lookup!$A$2:$B$4,2,false),0)</f>
        <v>5</v>
      </c>
      <c r="F73" s="10">
        <f>IFERROR(vlookup('2.2'!E:E,lookup!$A$6:$B$8,2,false),0)</f>
        <v>5</v>
      </c>
      <c r="G73" s="10">
        <f>IFERROR(vlookup('2.2'!F:F,lookup!$A$10:$B$12,2,false),0)</f>
        <v>5</v>
      </c>
      <c r="H73" s="10">
        <f>IFERROR(vlookup('2.2'!G:G,lookup!$A$14:$B$16,2,false),0)</f>
        <v>5</v>
      </c>
      <c r="I73" s="10">
        <f>IFERROR(vlookup('2.2'!H:H,lookup!$A$18:$B$20,2,false),0)</f>
        <v>5</v>
      </c>
      <c r="J73" s="10">
        <f>IFERROR(vlookup('2.2'!I:I,lookup!$A$22:$B$24,2,false),0)</f>
        <v>5</v>
      </c>
      <c r="K73" s="10">
        <f>IFERROR(vlookup('2.2'!J:J,lookup!$A$26:$B$28,2,false),0)</f>
        <v>5</v>
      </c>
      <c r="M73" s="10">
        <v>72.0</v>
      </c>
      <c r="N73" s="11" t="str">
        <f t="shared" si="1"/>
        <v>bnco0972@signalschool.ac.th</v>
      </c>
      <c r="O73" s="12">
        <f t="shared" si="2"/>
        <v>1</v>
      </c>
      <c r="R73" s="17" t="s">
        <v>289</v>
      </c>
    </row>
    <row r="74">
      <c r="A74" s="8">
        <f>'2.2'!A:A</f>
        <v>46212.63304</v>
      </c>
      <c r="B74" s="2" t="str">
        <f>'2.2'!B:B</f>
        <v>bnco0946@signalschool.ac.th</v>
      </c>
      <c r="C74" s="2" t="str">
        <f>'2.2'!C:C</f>
        <v>พ.ต.ไมตรี บุญเหลื่อม</v>
      </c>
      <c r="D74" s="9">
        <v>1.0</v>
      </c>
      <c r="E74" s="10">
        <f>IFERROR(vlookup('2.2'!D:D,lookup!$A$2:$B$4,2,false),0)</f>
        <v>5</v>
      </c>
      <c r="F74" s="10">
        <f>IFERROR(vlookup('2.2'!E:E,lookup!$A$6:$B$8,2,false),0)</f>
        <v>5</v>
      </c>
      <c r="G74" s="10">
        <f>IFERROR(vlookup('2.2'!F:F,lookup!$A$10:$B$12,2,false),0)</f>
        <v>5</v>
      </c>
      <c r="H74" s="10">
        <f>IFERROR(vlookup('2.2'!G:G,lookup!$A$14:$B$16,2,false),0)</f>
        <v>5</v>
      </c>
      <c r="I74" s="10">
        <f>IFERROR(vlookup('2.2'!H:H,lookup!$A$18:$B$20,2,false),0)</f>
        <v>5</v>
      </c>
      <c r="J74" s="10">
        <f>IFERROR(vlookup('2.2'!I:I,lookup!$A$22:$B$24,2,false),0)</f>
        <v>5</v>
      </c>
      <c r="K74" s="10">
        <f>IFERROR(vlookup('2.2'!J:J,lookup!$A$26:$B$28,2,false),0)</f>
        <v>5</v>
      </c>
      <c r="M74" s="10">
        <v>73.0</v>
      </c>
      <c r="N74" s="11" t="str">
        <f t="shared" si="1"/>
        <v>bnco0973@signalschool.ac.th</v>
      </c>
      <c r="O74" s="12">
        <f t="shared" si="2"/>
        <v>1</v>
      </c>
      <c r="R74" s="17" t="s">
        <v>290</v>
      </c>
    </row>
    <row r="75">
      <c r="A75" s="8">
        <f>'2.2'!A:A</f>
        <v>46212.63481</v>
      </c>
      <c r="B75" s="2" t="str">
        <f>'2.2'!B:B</f>
        <v>bnco0953@signalschool.ac.th</v>
      </c>
      <c r="C75" s="2" t="str">
        <f>'2.2'!C:C</f>
        <v>พ.ต.ไมตรี บุญเหลื่อม</v>
      </c>
      <c r="D75" s="9">
        <v>1.0</v>
      </c>
      <c r="E75" s="10">
        <f>IFERROR(vlookup('2.2'!D:D,lookup!$A$2:$B$4,2,false),0)</f>
        <v>5</v>
      </c>
      <c r="F75" s="10">
        <f>IFERROR(vlookup('2.2'!E:E,lookup!$A$6:$B$8,2,false),0)</f>
        <v>5</v>
      </c>
      <c r="G75" s="10">
        <f>IFERROR(vlookup('2.2'!F:F,lookup!$A$10:$B$12,2,false),0)</f>
        <v>5</v>
      </c>
      <c r="H75" s="10">
        <f>IFERROR(vlookup('2.2'!G:G,lookup!$A$14:$B$16,2,false),0)</f>
        <v>5</v>
      </c>
      <c r="I75" s="10">
        <f>IFERROR(vlookup('2.2'!H:H,lookup!$A$18:$B$20,2,false),0)</f>
        <v>5</v>
      </c>
      <c r="J75" s="10">
        <f>IFERROR(vlookup('2.2'!I:I,lookup!$A$22:$B$24,2,false),0)</f>
        <v>5</v>
      </c>
      <c r="K75" s="10">
        <f>IFERROR(vlookup('2.2'!J:J,lookup!$A$26:$B$28,2,false),0)</f>
        <v>5</v>
      </c>
      <c r="M75" s="10">
        <v>74.0</v>
      </c>
      <c r="N75" s="11" t="str">
        <f t="shared" si="1"/>
        <v>bnco0974@signalschool.ac.th</v>
      </c>
      <c r="O75" s="12">
        <f t="shared" si="2"/>
        <v>1</v>
      </c>
      <c r="R75" s="17" t="s">
        <v>291</v>
      </c>
    </row>
    <row r="76">
      <c r="A76" s="8">
        <f>'2.2'!A:A</f>
        <v>46212.63594</v>
      </c>
      <c r="B76" s="2" t="str">
        <f>'2.2'!B:B</f>
        <v>bnco0917@signalschool.ac.th</v>
      </c>
      <c r="C76" s="2" t="str">
        <f>'2.2'!C:C</f>
        <v>พ.ต.ไมตรี บุญเหลือม</v>
      </c>
      <c r="D76" s="9">
        <v>1.0</v>
      </c>
      <c r="E76" s="10">
        <f>IFERROR(vlookup('2.2'!D:D,lookup!$A$2:$B$4,2,false),0)</f>
        <v>5</v>
      </c>
      <c r="F76" s="10">
        <f>IFERROR(vlookup('2.2'!E:E,lookup!$A$6:$B$8,2,false),0)</f>
        <v>5</v>
      </c>
      <c r="G76" s="10">
        <f>IFERROR(vlookup('2.2'!F:F,lookup!$A$10:$B$12,2,false),0)</f>
        <v>5</v>
      </c>
      <c r="H76" s="10">
        <f>IFERROR(vlookup('2.2'!G:G,lookup!$A$14:$B$16,2,false),0)</f>
        <v>5</v>
      </c>
      <c r="I76" s="10">
        <f>IFERROR(vlookup('2.2'!H:H,lookup!$A$18:$B$20,2,false),0)</f>
        <v>5</v>
      </c>
      <c r="J76" s="10">
        <f>IFERROR(vlookup('2.2'!I:I,lookup!$A$22:$B$24,2,false),0)</f>
        <v>5</v>
      </c>
      <c r="K76" s="10">
        <f>IFERROR(vlookup('2.2'!J:J,lookup!$A$26:$B$28,2,false),0)</f>
        <v>5</v>
      </c>
      <c r="M76" s="10">
        <v>75.0</v>
      </c>
      <c r="N76" s="11" t="str">
        <f t="shared" si="1"/>
        <v>bnco0975@signalschool.ac.th</v>
      </c>
      <c r="O76" s="12">
        <f t="shared" si="2"/>
        <v>1</v>
      </c>
      <c r="R76" s="17" t="s">
        <v>292</v>
      </c>
    </row>
    <row r="77">
      <c r="A77" s="8">
        <f>'2.2'!A:A</f>
        <v>46212.71242</v>
      </c>
      <c r="B77" s="2" t="str">
        <f>'2.2'!B:B</f>
        <v>bnco0954@signalschool.ac.th</v>
      </c>
      <c r="C77" s="2" t="str">
        <f>'2.2'!C:C</f>
        <v>พ.ต.ไมตรี บุญเหลื่อม</v>
      </c>
      <c r="D77" s="9">
        <v>1.0</v>
      </c>
      <c r="E77" s="10">
        <f>IFERROR(vlookup('2.2'!D:D,lookup!$A$2:$B$4,2,false),0)</f>
        <v>5</v>
      </c>
      <c r="F77" s="10">
        <f>IFERROR(vlookup('2.2'!E:E,lookup!$A$6:$B$8,2,false),0)</f>
        <v>5</v>
      </c>
      <c r="G77" s="10">
        <f>IFERROR(vlookup('2.2'!F:F,lookup!$A$10:$B$12,2,false),0)</f>
        <v>5</v>
      </c>
      <c r="H77" s="10">
        <f>IFERROR(vlookup('2.2'!G:G,lookup!$A$14:$B$16,2,false),0)</f>
        <v>5</v>
      </c>
      <c r="I77" s="10">
        <f>IFERROR(vlookup('2.2'!H:H,lookup!$A$18:$B$20,2,false),0)</f>
        <v>5</v>
      </c>
      <c r="J77" s="10">
        <f>IFERROR(vlookup('2.2'!I:I,lookup!$A$22:$B$24,2,false),0)</f>
        <v>5</v>
      </c>
      <c r="K77" s="10">
        <f>IFERROR(vlookup('2.2'!J:J,lookup!$A$26:$B$28,2,false),0)</f>
        <v>5</v>
      </c>
      <c r="M77" s="10">
        <v>76.0</v>
      </c>
      <c r="N77" s="11" t="str">
        <f t="shared" si="1"/>
        <v>bnco0976@signalschool.ac.th</v>
      </c>
      <c r="O77" s="12">
        <f t="shared" si="2"/>
        <v>1</v>
      </c>
      <c r="R77" s="17" t="s">
        <v>293</v>
      </c>
    </row>
    <row r="78">
      <c r="A78" s="8">
        <f>'2.2'!A:A</f>
        <v>46212.83713</v>
      </c>
      <c r="B78" s="2" t="str">
        <f>'2.2'!B:B</f>
        <v>bnco0907@signalschool.ac.th</v>
      </c>
      <c r="C78" s="2" t="str">
        <f>'2.2'!C:C</f>
        <v>พ.ต.ไมตรี บุญเหลื่อม</v>
      </c>
      <c r="D78" s="9">
        <v>1.0</v>
      </c>
      <c r="E78" s="10">
        <f>IFERROR(vlookup('2.2'!D:D,lookup!$A$2:$B$4,2,false),0)</f>
        <v>5</v>
      </c>
      <c r="F78" s="10">
        <f>IFERROR(vlookup('2.2'!E:E,lookup!$A$6:$B$8,2,false),0)</f>
        <v>5</v>
      </c>
      <c r="G78" s="10">
        <f>IFERROR(vlookup('2.2'!F:F,lookup!$A$10:$B$12,2,false),0)</f>
        <v>5</v>
      </c>
      <c r="H78" s="10">
        <f>IFERROR(vlookup('2.2'!G:G,lookup!$A$14:$B$16,2,false),0)</f>
        <v>5</v>
      </c>
      <c r="I78" s="10">
        <f>IFERROR(vlookup('2.2'!H:H,lookup!$A$18:$B$20,2,false),0)</f>
        <v>5</v>
      </c>
      <c r="J78" s="10">
        <f>IFERROR(vlookup('2.2'!I:I,lookup!$A$22:$B$24,2,false),0)</f>
        <v>5</v>
      </c>
      <c r="K78" s="10">
        <f>IFERROR(vlookup('2.2'!J:J,lookup!$A$26:$B$28,2,false),0)</f>
        <v>5</v>
      </c>
      <c r="M78" s="10">
        <v>77.0</v>
      </c>
      <c r="N78" s="11" t="str">
        <f t="shared" si="1"/>
        <v>bnco0977@signalschool.ac.th</v>
      </c>
      <c r="O78" s="12">
        <f t="shared" si="2"/>
        <v>1</v>
      </c>
      <c r="R78" s="17" t="s">
        <v>294</v>
      </c>
    </row>
    <row r="79">
      <c r="A79" s="8">
        <f>'2.2'!A:A</f>
        <v>46213.40092</v>
      </c>
      <c r="B79" s="2" t="str">
        <f>'2.2'!B:B</f>
        <v>bnco0956@signalschool.ac.th</v>
      </c>
      <c r="C79" s="2" t="str">
        <f>'2.2'!C:C</f>
        <v>พ.ต.ไมตรี บุญเหลื่อม</v>
      </c>
      <c r="D79" s="9">
        <v>1.0</v>
      </c>
      <c r="E79" s="10">
        <f>IFERROR(vlookup('2.2'!D:D,lookup!$A$2:$B$4,2,false),0)</f>
        <v>5</v>
      </c>
      <c r="F79" s="10">
        <f>IFERROR(vlookup('2.2'!E:E,lookup!$A$6:$B$8,2,false),0)</f>
        <v>5</v>
      </c>
      <c r="G79" s="10">
        <f>IFERROR(vlookup('2.2'!F:F,lookup!$A$10:$B$12,2,false),0)</f>
        <v>5</v>
      </c>
      <c r="H79" s="10">
        <f>IFERROR(vlookup('2.2'!G:G,lookup!$A$14:$B$16,2,false),0)</f>
        <v>5</v>
      </c>
      <c r="I79" s="10">
        <f>IFERROR(vlookup('2.2'!H:H,lookup!$A$18:$B$20,2,false),0)</f>
        <v>5</v>
      </c>
      <c r="J79" s="10">
        <f>IFERROR(vlookup('2.2'!I:I,lookup!$A$22:$B$24,2,false),0)</f>
        <v>5</v>
      </c>
      <c r="K79" s="10">
        <f>IFERROR(vlookup('2.2'!J:J,lookup!$A$26:$B$28,2,false),0)</f>
        <v>5</v>
      </c>
      <c r="M79" s="10">
        <v>78.0</v>
      </c>
      <c r="N79" s="11" t="str">
        <f t="shared" si="1"/>
        <v>bnco0978@signalschool.ac.th</v>
      </c>
      <c r="O79" s="12">
        <f t="shared" si="2"/>
        <v>1</v>
      </c>
      <c r="R79" s="17" t="s">
        <v>295</v>
      </c>
    </row>
    <row r="80">
      <c r="A80" s="8">
        <f>'2.2'!A:A</f>
        <v>46213.41001</v>
      </c>
      <c r="B80" s="2" t="str">
        <f>'2.2'!B:B</f>
        <v>bnco0931@signalschool.ac.th</v>
      </c>
      <c r="C80" s="2" t="str">
        <f>'2.2'!C:C</f>
        <v>พ.ต.ไมตรี บุญเหลื่อม</v>
      </c>
      <c r="D80" s="9">
        <v>1.0</v>
      </c>
      <c r="E80" s="10">
        <f>IFERROR(vlookup('2.2'!D:D,lookup!$A$2:$B$4,2,false),0)</f>
        <v>5</v>
      </c>
      <c r="F80" s="10">
        <f>IFERROR(vlookup('2.2'!E:E,lookup!$A$6:$B$8,2,false),0)</f>
        <v>5</v>
      </c>
      <c r="G80" s="10">
        <f>IFERROR(vlookup('2.2'!F:F,lookup!$A$10:$B$12,2,false),0)</f>
        <v>5</v>
      </c>
      <c r="H80" s="10">
        <f>IFERROR(vlookup('2.2'!G:G,lookup!$A$14:$B$16,2,false),0)</f>
        <v>5</v>
      </c>
      <c r="I80" s="10">
        <f>IFERROR(vlookup('2.2'!H:H,lookup!$A$18:$B$20,2,false),0)</f>
        <v>5</v>
      </c>
      <c r="J80" s="10">
        <f>IFERROR(vlookup('2.2'!I:I,lookup!$A$22:$B$24,2,false),0)</f>
        <v>5</v>
      </c>
      <c r="K80" s="10">
        <f>IFERROR(vlookup('2.2'!J:J,lookup!$A$26:$B$28,2,false),0)</f>
        <v>5</v>
      </c>
      <c r="M80" s="10">
        <v>79.0</v>
      </c>
      <c r="N80" s="11" t="str">
        <f t="shared" si="1"/>
        <v>bnco0979@signalschool.ac.th</v>
      </c>
      <c r="O80" s="12">
        <f t="shared" si="2"/>
        <v>1</v>
      </c>
      <c r="R80" s="17" t="s">
        <v>296</v>
      </c>
    </row>
    <row r="81">
      <c r="A81" s="8">
        <f>'2.2'!A:A</f>
        <v>46213.45913</v>
      </c>
      <c r="B81" s="2" t="str">
        <f>'2.2'!B:B</f>
        <v>bnco0975@signalschool.ac.th</v>
      </c>
      <c r="C81" s="2" t="str">
        <f>'2.2'!C:C</f>
        <v>พ.ต.ไมตรี บุญเหลื่อม</v>
      </c>
      <c r="D81" s="9">
        <v>1.0</v>
      </c>
      <c r="E81" s="10">
        <f>IFERROR(vlookup('2.2'!D:D,lookup!$A$2:$B$4,2,false),0)</f>
        <v>5</v>
      </c>
      <c r="F81" s="10">
        <f>IFERROR(vlookup('2.2'!E:E,lookup!$A$6:$B$8,2,false),0)</f>
        <v>5</v>
      </c>
      <c r="G81" s="10">
        <f>IFERROR(vlookup('2.2'!F:F,lookup!$A$10:$B$12,2,false),0)</f>
        <v>5</v>
      </c>
      <c r="H81" s="10">
        <f>IFERROR(vlookup('2.2'!G:G,lookup!$A$14:$B$16,2,false),0)</f>
        <v>5</v>
      </c>
      <c r="I81" s="10">
        <f>IFERROR(vlookup('2.2'!H:H,lookup!$A$18:$B$20,2,false),0)</f>
        <v>5</v>
      </c>
      <c r="J81" s="10">
        <f>IFERROR(vlookup('2.2'!I:I,lookup!$A$22:$B$24,2,false),0)</f>
        <v>5</v>
      </c>
      <c r="K81" s="10">
        <f>IFERROR(vlookup('2.2'!J:J,lookup!$A$26:$B$28,2,false),0)</f>
        <v>5</v>
      </c>
      <c r="M81" s="10">
        <v>80.0</v>
      </c>
      <c r="N81" s="11" t="str">
        <f t="shared" si="1"/>
        <v>bnco0980@signalschool.ac.th</v>
      </c>
      <c r="O81" s="12">
        <f t="shared" si="2"/>
        <v>1</v>
      </c>
      <c r="R81" s="17" t="s">
        <v>297</v>
      </c>
    </row>
    <row r="82">
      <c r="A82" s="8"/>
      <c r="B82" s="2"/>
      <c r="C82" s="2"/>
      <c r="E82" s="14">
        <f t="shared" ref="E82:K82" si="3">AVERAGE(E2:E81)</f>
        <v>4.975</v>
      </c>
      <c r="F82" s="14">
        <f t="shared" si="3"/>
        <v>4.975</v>
      </c>
      <c r="G82" s="14">
        <f t="shared" si="3"/>
        <v>4.975</v>
      </c>
      <c r="H82" s="14">
        <f t="shared" si="3"/>
        <v>4.975</v>
      </c>
      <c r="I82" s="14">
        <f t="shared" si="3"/>
        <v>4.925</v>
      </c>
      <c r="J82" s="14">
        <f t="shared" si="3"/>
        <v>4.95</v>
      </c>
      <c r="K82" s="14">
        <f t="shared" si="3"/>
        <v>4.9</v>
      </c>
      <c r="L82" s="15">
        <f>AVERAGE(E82:K82)</f>
        <v>4.953571429</v>
      </c>
      <c r="N82" s="2" t="s">
        <v>298</v>
      </c>
      <c r="O82" s="10">
        <f>SUM(O2:O81)</f>
        <v>80</v>
      </c>
    </row>
    <row r="83">
      <c r="A83" s="8"/>
      <c r="B83" s="2"/>
      <c r="C83" s="2"/>
      <c r="E83" s="10"/>
      <c r="F83" s="10"/>
      <c r="G83" s="10"/>
      <c r="H83" s="10"/>
      <c r="I83" s="10"/>
      <c r="J83" s="10"/>
      <c r="K83" s="10"/>
      <c r="N83" s="2" t="s">
        <v>299</v>
      </c>
      <c r="O83" s="10">
        <f>(O82*100)/80</f>
        <v>100</v>
      </c>
    </row>
    <row r="84">
      <c r="A84" s="8"/>
      <c r="B84" s="2"/>
      <c r="C84" s="2"/>
      <c r="E84" s="10"/>
      <c r="K84" s="10"/>
    </row>
    <row r="85">
      <c r="A85" s="8"/>
      <c r="B85" s="2"/>
      <c r="C85" s="2"/>
      <c r="E85" s="10"/>
    </row>
    <row r="86">
      <c r="A86" s="8"/>
      <c r="B86" s="2"/>
      <c r="C86" s="2"/>
      <c r="E86" s="10"/>
    </row>
    <row r="87">
      <c r="A87" s="8"/>
      <c r="B87" s="2"/>
      <c r="C87" s="2"/>
      <c r="E87" s="10"/>
    </row>
    <row r="88">
      <c r="A88" s="8"/>
      <c r="B88" s="2"/>
      <c r="C88" s="2"/>
      <c r="E88" s="10"/>
    </row>
    <row r="89">
      <c r="A89" s="8"/>
      <c r="B89" s="2"/>
      <c r="C89" s="2"/>
      <c r="E89" s="10"/>
    </row>
    <row r="90">
      <c r="A90" s="8"/>
      <c r="B90" s="2"/>
      <c r="C90" s="2"/>
      <c r="E90" s="10"/>
    </row>
    <row r="91">
      <c r="A91" s="8"/>
      <c r="B91" s="2"/>
      <c r="C91" s="2"/>
      <c r="E91" s="10"/>
    </row>
    <row r="92">
      <c r="A92" s="8"/>
      <c r="B92" s="2"/>
      <c r="C92" s="2"/>
      <c r="E92" s="10"/>
    </row>
    <row r="93">
      <c r="A93" s="8"/>
      <c r="B93" s="2"/>
      <c r="C93" s="2"/>
      <c r="E93" s="10"/>
    </row>
    <row r="94">
      <c r="A94" s="8"/>
      <c r="B94" s="2"/>
      <c r="C94" s="2"/>
      <c r="E94" s="10"/>
    </row>
    <row r="95">
      <c r="A95" s="8"/>
      <c r="B95" s="2"/>
      <c r="C95" s="2"/>
      <c r="E95" s="10"/>
    </row>
    <row r="96">
      <c r="A96" s="8"/>
      <c r="B96" s="2"/>
      <c r="C96" s="2"/>
      <c r="E96" s="10"/>
    </row>
    <row r="97">
      <c r="A97" s="8"/>
      <c r="B97" s="2"/>
      <c r="C97" s="2"/>
      <c r="E97" s="10"/>
    </row>
    <row r="98">
      <c r="A98" s="8"/>
      <c r="C98" s="2"/>
      <c r="E98" s="10"/>
    </row>
    <row r="99">
      <c r="A99" s="8"/>
      <c r="C99" s="2"/>
      <c r="E99" s="10"/>
    </row>
    <row r="100">
      <c r="A100" s="8"/>
      <c r="C100" s="2"/>
    </row>
    <row r="101">
      <c r="A101" s="8"/>
      <c r="C101" s="2"/>
    </row>
    <row r="102">
      <c r="A102" s="8"/>
      <c r="C102" s="2"/>
    </row>
    <row r="103">
      <c r="A103" s="8"/>
      <c r="C103" s="2"/>
    </row>
    <row r="104">
      <c r="A104" s="8"/>
      <c r="C104" s="2"/>
    </row>
    <row r="105">
      <c r="A105" s="8"/>
      <c r="C105" s="2"/>
    </row>
    <row r="106">
      <c r="A106" s="8"/>
      <c r="C106" s="2"/>
    </row>
    <row r="107">
      <c r="A107" s="8"/>
      <c r="C107" s="2"/>
    </row>
    <row r="108">
      <c r="A108" s="8"/>
      <c r="C108" s="2"/>
    </row>
    <row r="109">
      <c r="A109" s="8"/>
      <c r="C109" s="2"/>
    </row>
    <row r="110">
      <c r="A110" s="8"/>
      <c r="C110" s="2"/>
    </row>
    <row r="111">
      <c r="A111" s="8"/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</sheetData>
  <mergeCells count="1">
    <mergeCell ref="M1:O1"/>
  </mergeCell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7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4">
        <v>46181.52669230324</v>
      </c>
      <c r="B2" s="6" t="s">
        <v>11</v>
      </c>
      <c r="C2" s="6" t="s">
        <v>458</v>
      </c>
      <c r="D2" s="6" t="s">
        <v>15</v>
      </c>
      <c r="E2" s="6" t="s">
        <v>16</v>
      </c>
      <c r="F2" s="6" t="s">
        <v>17</v>
      </c>
      <c r="G2" s="6" t="s">
        <v>18</v>
      </c>
      <c r="H2" s="6" t="s">
        <v>19</v>
      </c>
      <c r="I2" s="6" t="s">
        <v>20</v>
      </c>
      <c r="J2" s="6" t="s">
        <v>21</v>
      </c>
    </row>
    <row r="3">
      <c r="A3" s="4">
        <v>46189.441443958334</v>
      </c>
      <c r="B3" s="6" t="s">
        <v>27</v>
      </c>
      <c r="C3" s="6" t="s">
        <v>459</v>
      </c>
      <c r="D3" s="6" t="s">
        <v>15</v>
      </c>
      <c r="E3" s="6" t="s">
        <v>16</v>
      </c>
      <c r="F3" s="6" t="s">
        <v>17</v>
      </c>
      <c r="G3" s="6" t="s">
        <v>18</v>
      </c>
      <c r="H3" s="6" t="s">
        <v>19</v>
      </c>
      <c r="I3" s="6" t="s">
        <v>20</v>
      </c>
      <c r="J3" s="6" t="s">
        <v>21</v>
      </c>
      <c r="K3" s="6" t="s">
        <v>29</v>
      </c>
    </row>
    <row r="4">
      <c r="A4" s="4">
        <v>46195.35980815972</v>
      </c>
      <c r="B4" s="6" t="s">
        <v>166</v>
      </c>
      <c r="C4" s="6" t="s">
        <v>460</v>
      </c>
      <c r="D4" s="6" t="s">
        <v>15</v>
      </c>
      <c r="E4" s="6" t="s">
        <v>16</v>
      </c>
      <c r="F4" s="6" t="s">
        <v>17</v>
      </c>
      <c r="G4" s="6" t="s">
        <v>18</v>
      </c>
      <c r="H4" s="6" t="s">
        <v>19</v>
      </c>
      <c r="I4" s="6" t="s">
        <v>20</v>
      </c>
      <c r="J4" s="6" t="s">
        <v>21</v>
      </c>
    </row>
    <row r="5">
      <c r="A5" s="4">
        <v>46204.36023513888</v>
      </c>
      <c r="B5" s="6" t="s">
        <v>30</v>
      </c>
      <c r="C5" s="6" t="s">
        <v>461</v>
      </c>
      <c r="D5" s="6" t="s">
        <v>15</v>
      </c>
      <c r="E5" s="6" t="s">
        <v>16</v>
      </c>
      <c r="F5" s="6" t="s">
        <v>17</v>
      </c>
      <c r="G5" s="6" t="s">
        <v>18</v>
      </c>
      <c r="H5" s="6" t="s">
        <v>19</v>
      </c>
      <c r="I5" s="6" t="s">
        <v>20</v>
      </c>
      <c r="J5" s="6" t="s">
        <v>21</v>
      </c>
      <c r="K5" s="6" t="s">
        <v>34</v>
      </c>
    </row>
    <row r="6">
      <c r="A6" s="4">
        <v>46204.463084884264</v>
      </c>
      <c r="B6" s="6" t="s">
        <v>35</v>
      </c>
      <c r="C6" s="6" t="s">
        <v>461</v>
      </c>
      <c r="D6" s="6" t="s">
        <v>15</v>
      </c>
      <c r="E6" s="6" t="s">
        <v>16</v>
      </c>
      <c r="F6" s="6" t="s">
        <v>17</v>
      </c>
      <c r="G6" s="6" t="s">
        <v>18</v>
      </c>
      <c r="H6" s="6" t="s">
        <v>19</v>
      </c>
      <c r="I6" s="6" t="s">
        <v>20</v>
      </c>
      <c r="J6" s="6" t="s">
        <v>21</v>
      </c>
    </row>
    <row r="7">
      <c r="A7" s="4">
        <v>46206.601066076386</v>
      </c>
      <c r="B7" s="6" t="s">
        <v>37</v>
      </c>
      <c r="C7" s="6" t="s">
        <v>459</v>
      </c>
      <c r="D7" s="6" t="s">
        <v>15</v>
      </c>
      <c r="E7" s="6" t="s">
        <v>16</v>
      </c>
      <c r="F7" s="6" t="s">
        <v>17</v>
      </c>
      <c r="G7" s="6" t="s">
        <v>18</v>
      </c>
      <c r="H7" s="6" t="s">
        <v>19</v>
      </c>
      <c r="I7" s="6" t="s">
        <v>20</v>
      </c>
      <c r="J7" s="6" t="s">
        <v>21</v>
      </c>
      <c r="K7" s="6" t="s">
        <v>219</v>
      </c>
    </row>
    <row r="8">
      <c r="A8" s="4">
        <v>46212.5902418287</v>
      </c>
      <c r="B8" s="6" t="s">
        <v>40</v>
      </c>
      <c r="C8" s="6" t="s">
        <v>459</v>
      </c>
      <c r="D8" s="6" t="s">
        <v>41</v>
      </c>
      <c r="E8" s="6" t="s">
        <v>33</v>
      </c>
      <c r="F8" s="6" t="s">
        <v>43</v>
      </c>
      <c r="G8" s="6" t="s">
        <v>44</v>
      </c>
      <c r="H8" s="6" t="s">
        <v>46</v>
      </c>
      <c r="I8" s="6" t="s">
        <v>47</v>
      </c>
      <c r="J8" s="6" t="s">
        <v>48</v>
      </c>
    </row>
    <row r="9">
      <c r="A9" s="4">
        <v>46212.62028853009</v>
      </c>
      <c r="B9" s="6" t="s">
        <v>49</v>
      </c>
      <c r="C9" s="6" t="s">
        <v>475</v>
      </c>
      <c r="D9" s="6" t="s">
        <v>15</v>
      </c>
      <c r="E9" s="6" t="s">
        <v>16</v>
      </c>
      <c r="F9" s="6" t="s">
        <v>17</v>
      </c>
      <c r="G9" s="6" t="s">
        <v>18</v>
      </c>
      <c r="H9" s="6" t="s">
        <v>19</v>
      </c>
      <c r="I9" s="6" t="s">
        <v>20</v>
      </c>
      <c r="J9" s="6" t="s">
        <v>21</v>
      </c>
    </row>
    <row r="10">
      <c r="A10" s="4">
        <v>46212.620861620366</v>
      </c>
      <c r="B10" s="6" t="s">
        <v>12</v>
      </c>
      <c r="C10" s="6" t="s">
        <v>459</v>
      </c>
      <c r="D10" s="6" t="s">
        <v>15</v>
      </c>
      <c r="E10" s="6" t="s">
        <v>16</v>
      </c>
      <c r="F10" s="6" t="s">
        <v>17</v>
      </c>
      <c r="G10" s="6" t="s">
        <v>18</v>
      </c>
      <c r="H10" s="6" t="s">
        <v>19</v>
      </c>
      <c r="I10" s="6" t="s">
        <v>20</v>
      </c>
      <c r="J10" s="6" t="s">
        <v>21</v>
      </c>
    </row>
    <row r="11">
      <c r="A11" s="4">
        <v>46212.62099378472</v>
      </c>
      <c r="B11" s="6" t="s">
        <v>79</v>
      </c>
      <c r="C11" s="6" t="s">
        <v>463</v>
      </c>
      <c r="D11" s="6" t="s">
        <v>15</v>
      </c>
      <c r="E11" s="6" t="s">
        <v>16</v>
      </c>
      <c r="F11" s="6" t="s">
        <v>17</v>
      </c>
      <c r="G11" s="6" t="s">
        <v>18</v>
      </c>
      <c r="H11" s="6" t="s">
        <v>19</v>
      </c>
      <c r="I11" s="6" t="s">
        <v>20</v>
      </c>
      <c r="J11" s="6" t="s">
        <v>21</v>
      </c>
    </row>
    <row r="12">
      <c r="A12" s="4">
        <v>46212.621699537034</v>
      </c>
      <c r="B12" s="6" t="s">
        <v>76</v>
      </c>
      <c r="C12" s="6" t="s">
        <v>464</v>
      </c>
      <c r="D12" s="6" t="s">
        <v>15</v>
      </c>
      <c r="E12" s="6" t="s">
        <v>16</v>
      </c>
      <c r="F12" s="6" t="s">
        <v>17</v>
      </c>
      <c r="G12" s="6" t="s">
        <v>18</v>
      </c>
      <c r="H12" s="6" t="s">
        <v>19</v>
      </c>
      <c r="I12" s="6" t="s">
        <v>20</v>
      </c>
      <c r="J12" s="6" t="s">
        <v>21</v>
      </c>
    </row>
    <row r="13">
      <c r="A13" s="4">
        <v>46212.6234490162</v>
      </c>
      <c r="B13" s="6" t="s">
        <v>31</v>
      </c>
      <c r="C13" s="6" t="s">
        <v>459</v>
      </c>
      <c r="D13" s="6" t="s">
        <v>15</v>
      </c>
      <c r="E13" s="6" t="s">
        <v>16</v>
      </c>
      <c r="F13" s="6" t="s">
        <v>17</v>
      </c>
      <c r="G13" s="6" t="s">
        <v>18</v>
      </c>
      <c r="H13" s="6" t="s">
        <v>19</v>
      </c>
      <c r="I13" s="6" t="s">
        <v>20</v>
      </c>
      <c r="J13" s="6" t="s">
        <v>21</v>
      </c>
    </row>
    <row r="14">
      <c r="A14" s="4">
        <v>46212.62389175926</v>
      </c>
      <c r="B14" s="6" t="s">
        <v>57</v>
      </c>
      <c r="C14" s="6" t="s">
        <v>459</v>
      </c>
      <c r="D14" s="6" t="s">
        <v>15</v>
      </c>
      <c r="E14" s="6" t="s">
        <v>16</v>
      </c>
      <c r="F14" s="6" t="s">
        <v>17</v>
      </c>
      <c r="G14" s="6" t="s">
        <v>18</v>
      </c>
      <c r="H14" s="6" t="s">
        <v>19</v>
      </c>
      <c r="I14" s="6" t="s">
        <v>20</v>
      </c>
      <c r="J14" s="6" t="s">
        <v>21</v>
      </c>
    </row>
    <row r="15">
      <c r="A15" s="4">
        <v>46212.62404039352</v>
      </c>
      <c r="B15" s="6" t="s">
        <v>67</v>
      </c>
      <c r="C15" s="6" t="s">
        <v>459</v>
      </c>
      <c r="D15" s="6" t="s">
        <v>15</v>
      </c>
      <c r="E15" s="6" t="s">
        <v>16</v>
      </c>
      <c r="F15" s="6" t="s">
        <v>17</v>
      </c>
      <c r="G15" s="6" t="s">
        <v>18</v>
      </c>
      <c r="H15" s="6" t="s">
        <v>19</v>
      </c>
      <c r="I15" s="6" t="s">
        <v>20</v>
      </c>
      <c r="J15" s="6" t="s">
        <v>21</v>
      </c>
    </row>
    <row r="16">
      <c r="A16" s="4">
        <v>46212.62408055556</v>
      </c>
      <c r="B16" s="6" t="s">
        <v>106</v>
      </c>
      <c r="C16" s="6" t="s">
        <v>460</v>
      </c>
      <c r="D16" s="6" t="s">
        <v>15</v>
      </c>
      <c r="E16" s="6" t="s">
        <v>16</v>
      </c>
      <c r="F16" s="6" t="s">
        <v>17</v>
      </c>
      <c r="G16" s="6" t="s">
        <v>18</v>
      </c>
      <c r="H16" s="6" t="s">
        <v>19</v>
      </c>
      <c r="I16" s="6" t="s">
        <v>20</v>
      </c>
      <c r="J16" s="6" t="s">
        <v>21</v>
      </c>
    </row>
    <row r="17">
      <c r="A17" s="4">
        <v>46212.624110439814</v>
      </c>
      <c r="B17" s="6" t="s">
        <v>119</v>
      </c>
      <c r="C17" s="6" t="s">
        <v>459</v>
      </c>
      <c r="D17" s="6" t="s">
        <v>15</v>
      </c>
      <c r="E17" s="6" t="s">
        <v>16</v>
      </c>
      <c r="F17" s="6" t="s">
        <v>17</v>
      </c>
      <c r="G17" s="6" t="s">
        <v>18</v>
      </c>
      <c r="H17" s="6" t="s">
        <v>19</v>
      </c>
      <c r="I17" s="6" t="s">
        <v>20</v>
      </c>
      <c r="J17" s="6" t="s">
        <v>21</v>
      </c>
    </row>
    <row r="18">
      <c r="A18" s="4">
        <v>46212.62502515047</v>
      </c>
      <c r="B18" s="6" t="s">
        <v>75</v>
      </c>
      <c r="C18" s="6" t="s">
        <v>463</v>
      </c>
      <c r="D18" s="6" t="s">
        <v>15</v>
      </c>
      <c r="E18" s="6" t="s">
        <v>16</v>
      </c>
      <c r="F18" s="6" t="s">
        <v>17</v>
      </c>
      <c r="G18" s="6" t="s">
        <v>18</v>
      </c>
      <c r="H18" s="6" t="s">
        <v>19</v>
      </c>
      <c r="I18" s="6" t="s">
        <v>20</v>
      </c>
      <c r="J18" s="6" t="s">
        <v>21</v>
      </c>
    </row>
    <row r="19">
      <c r="A19" s="4">
        <v>46212.62526429398</v>
      </c>
      <c r="B19" s="6" t="s">
        <v>110</v>
      </c>
      <c r="C19" s="6" t="s">
        <v>459</v>
      </c>
      <c r="D19" s="6" t="s">
        <v>15</v>
      </c>
      <c r="E19" s="6" t="s">
        <v>16</v>
      </c>
      <c r="F19" s="6" t="s">
        <v>17</v>
      </c>
      <c r="G19" s="6" t="s">
        <v>18</v>
      </c>
      <c r="H19" s="6" t="s">
        <v>19</v>
      </c>
      <c r="I19" s="6" t="s">
        <v>20</v>
      </c>
      <c r="J19" s="6" t="s">
        <v>21</v>
      </c>
    </row>
    <row r="20">
      <c r="A20" s="4">
        <v>46212.62551099537</v>
      </c>
      <c r="B20" s="6" t="s">
        <v>101</v>
      </c>
      <c r="C20" s="6" t="s">
        <v>459</v>
      </c>
      <c r="D20" s="6" t="s">
        <v>15</v>
      </c>
      <c r="E20" s="6" t="s">
        <v>16</v>
      </c>
      <c r="F20" s="6" t="s">
        <v>17</v>
      </c>
      <c r="G20" s="6" t="s">
        <v>18</v>
      </c>
      <c r="H20" s="6" t="s">
        <v>19</v>
      </c>
      <c r="I20" s="6" t="s">
        <v>20</v>
      </c>
      <c r="J20" s="6" t="s">
        <v>21</v>
      </c>
    </row>
    <row r="21">
      <c r="A21" s="4">
        <v>46212.62552429398</v>
      </c>
      <c r="B21" s="6" t="s">
        <v>142</v>
      </c>
      <c r="C21" s="6" t="s">
        <v>460</v>
      </c>
      <c r="D21" s="6" t="s">
        <v>15</v>
      </c>
      <c r="E21" s="6" t="s">
        <v>16</v>
      </c>
      <c r="F21" s="6" t="s">
        <v>17</v>
      </c>
      <c r="G21" s="6" t="s">
        <v>18</v>
      </c>
      <c r="H21" s="6" t="s">
        <v>19</v>
      </c>
      <c r="I21" s="6" t="s">
        <v>20</v>
      </c>
      <c r="J21" s="6" t="s">
        <v>21</v>
      </c>
    </row>
    <row r="22">
      <c r="A22" s="4">
        <v>46212.62559574074</v>
      </c>
      <c r="B22" s="6" t="s">
        <v>53</v>
      </c>
      <c r="C22" s="6" t="s">
        <v>459</v>
      </c>
      <c r="D22" s="6" t="s">
        <v>15</v>
      </c>
      <c r="E22" s="6" t="s">
        <v>16</v>
      </c>
      <c r="F22" s="6" t="s">
        <v>17</v>
      </c>
      <c r="G22" s="6" t="s">
        <v>18</v>
      </c>
      <c r="H22" s="6" t="s">
        <v>19</v>
      </c>
      <c r="I22" s="6" t="s">
        <v>20</v>
      </c>
      <c r="J22" s="6" t="s">
        <v>21</v>
      </c>
    </row>
    <row r="23">
      <c r="A23" s="4">
        <v>46212.62565944444</v>
      </c>
      <c r="B23" s="6" t="s">
        <v>125</v>
      </c>
      <c r="C23" s="6" t="s">
        <v>459</v>
      </c>
      <c r="D23" s="6" t="s">
        <v>15</v>
      </c>
      <c r="E23" s="6" t="s">
        <v>16</v>
      </c>
      <c r="F23" s="6" t="s">
        <v>17</v>
      </c>
      <c r="G23" s="6" t="s">
        <v>18</v>
      </c>
      <c r="H23" s="6" t="s">
        <v>19</v>
      </c>
      <c r="I23" s="6" t="s">
        <v>20</v>
      </c>
      <c r="J23" s="6" t="s">
        <v>21</v>
      </c>
    </row>
    <row r="24">
      <c r="A24" s="4">
        <v>46212.62584765046</v>
      </c>
      <c r="B24" s="6" t="s">
        <v>74</v>
      </c>
      <c r="C24" s="6" t="s">
        <v>459</v>
      </c>
      <c r="D24" s="6" t="s">
        <v>15</v>
      </c>
      <c r="E24" s="6" t="s">
        <v>16</v>
      </c>
      <c r="F24" s="6" t="s">
        <v>17</v>
      </c>
      <c r="G24" s="6" t="s">
        <v>18</v>
      </c>
      <c r="H24" s="6" t="s">
        <v>19</v>
      </c>
      <c r="I24" s="6" t="s">
        <v>20</v>
      </c>
      <c r="J24" s="6" t="s">
        <v>21</v>
      </c>
    </row>
    <row r="25">
      <c r="A25" s="4">
        <v>46212.6259630787</v>
      </c>
      <c r="B25" s="6" t="s">
        <v>63</v>
      </c>
      <c r="C25" s="6" t="s">
        <v>459</v>
      </c>
      <c r="D25" s="6" t="s">
        <v>15</v>
      </c>
      <c r="E25" s="6" t="s">
        <v>16</v>
      </c>
      <c r="F25" s="6" t="s">
        <v>17</v>
      </c>
      <c r="G25" s="6" t="s">
        <v>18</v>
      </c>
      <c r="H25" s="6" t="s">
        <v>19</v>
      </c>
      <c r="I25" s="6" t="s">
        <v>20</v>
      </c>
      <c r="J25" s="6" t="s">
        <v>21</v>
      </c>
    </row>
    <row r="26">
      <c r="A26" s="4">
        <v>46212.62614201389</v>
      </c>
      <c r="B26" s="6" t="s">
        <v>108</v>
      </c>
      <c r="C26" s="6" t="s">
        <v>459</v>
      </c>
      <c r="D26" s="6" t="s">
        <v>15</v>
      </c>
      <c r="E26" s="6" t="s">
        <v>16</v>
      </c>
      <c r="F26" s="6" t="s">
        <v>17</v>
      </c>
      <c r="G26" s="6" t="s">
        <v>18</v>
      </c>
      <c r="H26" s="6" t="s">
        <v>19</v>
      </c>
      <c r="I26" s="6" t="s">
        <v>20</v>
      </c>
      <c r="J26" s="6" t="s">
        <v>21</v>
      </c>
    </row>
    <row r="27">
      <c r="A27" s="4">
        <v>46212.62625850695</v>
      </c>
      <c r="B27" s="6" t="s">
        <v>25</v>
      </c>
      <c r="C27" s="6" t="s">
        <v>459</v>
      </c>
      <c r="D27" s="6" t="s">
        <v>15</v>
      </c>
      <c r="E27" s="6" t="s">
        <v>16</v>
      </c>
      <c r="F27" s="6" t="s">
        <v>17</v>
      </c>
      <c r="G27" s="6" t="s">
        <v>18</v>
      </c>
      <c r="H27" s="6" t="s">
        <v>19</v>
      </c>
      <c r="I27" s="6" t="s">
        <v>20</v>
      </c>
      <c r="J27" s="6" t="s">
        <v>21</v>
      </c>
    </row>
    <row r="28">
      <c r="A28" s="4">
        <v>46212.6263444213</v>
      </c>
      <c r="B28" s="6" t="s">
        <v>93</v>
      </c>
      <c r="C28" s="6" t="s">
        <v>460</v>
      </c>
      <c r="D28" s="6" t="s">
        <v>15</v>
      </c>
      <c r="E28" s="6" t="s">
        <v>16</v>
      </c>
      <c r="F28" s="6" t="s">
        <v>17</v>
      </c>
      <c r="G28" s="6" t="s">
        <v>18</v>
      </c>
      <c r="H28" s="6" t="s">
        <v>19</v>
      </c>
      <c r="I28" s="6" t="s">
        <v>20</v>
      </c>
      <c r="J28" s="6" t="s">
        <v>21</v>
      </c>
    </row>
    <row r="29">
      <c r="A29" s="4">
        <v>46212.62643870371</v>
      </c>
      <c r="B29" s="6" t="s">
        <v>91</v>
      </c>
      <c r="C29" s="6" t="s">
        <v>459</v>
      </c>
      <c r="D29" s="6" t="s">
        <v>15</v>
      </c>
      <c r="E29" s="6" t="s">
        <v>16</v>
      </c>
      <c r="F29" s="6" t="s">
        <v>17</v>
      </c>
      <c r="G29" s="6" t="s">
        <v>18</v>
      </c>
      <c r="H29" s="6" t="s">
        <v>19</v>
      </c>
      <c r="I29" s="6" t="s">
        <v>20</v>
      </c>
      <c r="J29" s="6" t="s">
        <v>21</v>
      </c>
    </row>
    <row r="30">
      <c r="A30" s="4">
        <v>46212.62648680556</v>
      </c>
      <c r="B30" s="6" t="s">
        <v>42</v>
      </c>
      <c r="C30" s="6" t="s">
        <v>459</v>
      </c>
      <c r="D30" s="6" t="s">
        <v>15</v>
      </c>
      <c r="E30" s="6" t="s">
        <v>16</v>
      </c>
      <c r="F30" s="6" t="s">
        <v>17</v>
      </c>
      <c r="G30" s="6" t="s">
        <v>18</v>
      </c>
      <c r="H30" s="6" t="s">
        <v>19</v>
      </c>
      <c r="I30" s="6" t="s">
        <v>20</v>
      </c>
      <c r="J30" s="6" t="s">
        <v>21</v>
      </c>
    </row>
    <row r="31">
      <c r="A31" s="4">
        <v>46212.626534421295</v>
      </c>
      <c r="B31" s="6" t="s">
        <v>102</v>
      </c>
      <c r="C31" s="6" t="s">
        <v>459</v>
      </c>
      <c r="D31" s="6" t="s">
        <v>15</v>
      </c>
      <c r="E31" s="6" t="s">
        <v>16</v>
      </c>
      <c r="F31" s="6" t="s">
        <v>17</v>
      </c>
      <c r="G31" s="6" t="s">
        <v>18</v>
      </c>
      <c r="H31" s="6" t="s">
        <v>19</v>
      </c>
      <c r="I31" s="6" t="s">
        <v>20</v>
      </c>
      <c r="J31" s="6" t="s">
        <v>21</v>
      </c>
    </row>
    <row r="32">
      <c r="A32" s="4">
        <v>46212.62667561343</v>
      </c>
      <c r="B32" s="6" t="s">
        <v>98</v>
      </c>
      <c r="C32" s="6" t="s">
        <v>459</v>
      </c>
      <c r="D32" s="6" t="s">
        <v>15</v>
      </c>
      <c r="E32" s="6" t="s">
        <v>16</v>
      </c>
      <c r="F32" s="6" t="s">
        <v>17</v>
      </c>
      <c r="G32" s="6" t="s">
        <v>18</v>
      </c>
      <c r="H32" s="6" t="s">
        <v>19</v>
      </c>
      <c r="I32" s="6" t="s">
        <v>20</v>
      </c>
      <c r="J32" s="6" t="s">
        <v>21</v>
      </c>
      <c r="K32" s="6" t="s">
        <v>34</v>
      </c>
    </row>
    <row r="33">
      <c r="A33" s="4">
        <v>46212.62669347222</v>
      </c>
      <c r="B33" s="6" t="s">
        <v>54</v>
      </c>
      <c r="C33" s="6" t="s">
        <v>459</v>
      </c>
      <c r="D33" s="6" t="s">
        <v>15</v>
      </c>
      <c r="E33" s="6" t="s">
        <v>16</v>
      </c>
      <c r="F33" s="6" t="s">
        <v>17</v>
      </c>
      <c r="G33" s="6" t="s">
        <v>18</v>
      </c>
      <c r="H33" s="6" t="s">
        <v>19</v>
      </c>
      <c r="I33" s="6" t="s">
        <v>20</v>
      </c>
      <c r="J33" s="6" t="s">
        <v>21</v>
      </c>
    </row>
    <row r="34">
      <c r="A34" s="4">
        <v>46212.62674304398</v>
      </c>
      <c r="B34" s="6" t="s">
        <v>124</v>
      </c>
      <c r="C34" s="6" t="s">
        <v>459</v>
      </c>
      <c r="D34" s="6" t="s">
        <v>15</v>
      </c>
      <c r="E34" s="6" t="s">
        <v>16</v>
      </c>
      <c r="F34" s="6" t="s">
        <v>17</v>
      </c>
      <c r="G34" s="6" t="s">
        <v>18</v>
      </c>
      <c r="H34" s="6" t="s">
        <v>19</v>
      </c>
      <c r="I34" s="6" t="s">
        <v>20</v>
      </c>
      <c r="J34" s="6" t="s">
        <v>21</v>
      </c>
    </row>
    <row r="35">
      <c r="A35" s="4">
        <v>46212.626746828704</v>
      </c>
      <c r="B35" s="6" t="s">
        <v>144</v>
      </c>
      <c r="C35" s="6" t="s">
        <v>459</v>
      </c>
      <c r="D35" s="6" t="s">
        <v>15</v>
      </c>
      <c r="E35" s="6" t="s">
        <v>16</v>
      </c>
      <c r="F35" s="6" t="s">
        <v>17</v>
      </c>
      <c r="G35" s="6" t="s">
        <v>18</v>
      </c>
      <c r="H35" s="6" t="s">
        <v>19</v>
      </c>
      <c r="I35" s="6" t="s">
        <v>20</v>
      </c>
      <c r="J35" s="6" t="s">
        <v>21</v>
      </c>
    </row>
    <row r="36">
      <c r="A36" s="4">
        <v>46212.62686780092</v>
      </c>
      <c r="B36" s="6" t="s">
        <v>134</v>
      </c>
      <c r="C36" s="6" t="s">
        <v>459</v>
      </c>
      <c r="D36" s="6" t="s">
        <v>15</v>
      </c>
      <c r="E36" s="6" t="s">
        <v>16</v>
      </c>
      <c r="F36" s="6" t="s">
        <v>17</v>
      </c>
      <c r="G36" s="6" t="s">
        <v>18</v>
      </c>
      <c r="H36" s="6" t="s">
        <v>19</v>
      </c>
      <c r="I36" s="6" t="s">
        <v>20</v>
      </c>
      <c r="J36" s="6" t="s">
        <v>21</v>
      </c>
    </row>
    <row r="37">
      <c r="A37" s="4">
        <v>46212.62700337963</v>
      </c>
      <c r="B37" s="6" t="s">
        <v>22</v>
      </c>
      <c r="C37" s="6" t="s">
        <v>459</v>
      </c>
      <c r="D37" s="6" t="s">
        <v>15</v>
      </c>
      <c r="E37" s="6" t="s">
        <v>16</v>
      </c>
      <c r="F37" s="6" t="s">
        <v>17</v>
      </c>
      <c r="G37" s="6" t="s">
        <v>18</v>
      </c>
      <c r="H37" s="6" t="s">
        <v>19</v>
      </c>
      <c r="I37" s="6" t="s">
        <v>20</v>
      </c>
      <c r="J37" s="6" t="s">
        <v>21</v>
      </c>
    </row>
    <row r="38">
      <c r="A38" s="4">
        <v>46212.6270803588</v>
      </c>
      <c r="B38" s="6" t="s">
        <v>138</v>
      </c>
      <c r="C38" s="6" t="s">
        <v>465</v>
      </c>
      <c r="D38" s="6" t="s">
        <v>15</v>
      </c>
      <c r="E38" s="6" t="s">
        <v>16</v>
      </c>
      <c r="F38" s="6" t="s">
        <v>17</v>
      </c>
      <c r="G38" s="6" t="s">
        <v>18</v>
      </c>
      <c r="H38" s="6" t="s">
        <v>19</v>
      </c>
      <c r="I38" s="6" t="s">
        <v>20</v>
      </c>
      <c r="J38" s="6" t="s">
        <v>21</v>
      </c>
    </row>
    <row r="39">
      <c r="A39" s="4">
        <v>46212.627337094906</v>
      </c>
      <c r="B39" s="6" t="s">
        <v>151</v>
      </c>
      <c r="C39" s="6" t="s">
        <v>471</v>
      </c>
      <c r="D39" s="6" t="s">
        <v>15</v>
      </c>
      <c r="E39" s="6" t="s">
        <v>16</v>
      </c>
      <c r="F39" s="6" t="s">
        <v>17</v>
      </c>
      <c r="G39" s="6" t="s">
        <v>18</v>
      </c>
      <c r="H39" s="6" t="s">
        <v>19</v>
      </c>
      <c r="I39" s="6" t="s">
        <v>20</v>
      </c>
      <c r="J39" s="6" t="s">
        <v>21</v>
      </c>
    </row>
    <row r="40">
      <c r="A40" s="4">
        <v>46212.627441805555</v>
      </c>
      <c r="B40" s="6" t="s">
        <v>94</v>
      </c>
      <c r="C40" s="6" t="s">
        <v>459</v>
      </c>
      <c r="D40" s="6" t="s">
        <v>15</v>
      </c>
      <c r="E40" s="6" t="s">
        <v>16</v>
      </c>
      <c r="F40" s="6" t="s">
        <v>17</v>
      </c>
      <c r="G40" s="6" t="s">
        <v>18</v>
      </c>
      <c r="H40" s="6" t="s">
        <v>19</v>
      </c>
      <c r="I40" s="6" t="s">
        <v>20</v>
      </c>
      <c r="J40" s="6" t="s">
        <v>21</v>
      </c>
    </row>
    <row r="41">
      <c r="A41" s="4">
        <v>46212.627550624995</v>
      </c>
      <c r="B41" s="6" t="s">
        <v>100</v>
      </c>
      <c r="C41" s="6" t="s">
        <v>459</v>
      </c>
      <c r="D41" s="6" t="s">
        <v>15</v>
      </c>
      <c r="E41" s="6" t="s">
        <v>16</v>
      </c>
      <c r="F41" s="6" t="s">
        <v>17</v>
      </c>
      <c r="G41" s="6" t="s">
        <v>18</v>
      </c>
      <c r="H41" s="6" t="s">
        <v>19</v>
      </c>
      <c r="I41" s="6" t="s">
        <v>20</v>
      </c>
      <c r="J41" s="6" t="s">
        <v>21</v>
      </c>
    </row>
    <row r="42">
      <c r="A42" s="4">
        <v>46212.62776634259</v>
      </c>
      <c r="B42" s="6" t="s">
        <v>105</v>
      </c>
      <c r="C42" s="6" t="s">
        <v>459</v>
      </c>
      <c r="D42" s="6" t="s">
        <v>15</v>
      </c>
      <c r="E42" s="6" t="s">
        <v>16</v>
      </c>
      <c r="F42" s="6" t="s">
        <v>17</v>
      </c>
      <c r="G42" s="6" t="s">
        <v>18</v>
      </c>
      <c r="H42" s="6" t="s">
        <v>19</v>
      </c>
      <c r="I42" s="6" t="s">
        <v>20</v>
      </c>
      <c r="J42" s="6" t="s">
        <v>21</v>
      </c>
    </row>
    <row r="43">
      <c r="A43" s="4">
        <v>46212.627816886576</v>
      </c>
      <c r="B43" s="6" t="s">
        <v>59</v>
      </c>
      <c r="C43" s="6" t="s">
        <v>459</v>
      </c>
      <c r="D43" s="6" t="s">
        <v>15</v>
      </c>
      <c r="E43" s="6" t="s">
        <v>16</v>
      </c>
      <c r="F43" s="6" t="s">
        <v>17</v>
      </c>
      <c r="G43" s="6" t="s">
        <v>18</v>
      </c>
      <c r="H43" s="6" t="s">
        <v>19</v>
      </c>
      <c r="I43" s="6" t="s">
        <v>20</v>
      </c>
      <c r="J43" s="6" t="s">
        <v>21</v>
      </c>
    </row>
    <row r="44">
      <c r="A44" s="4">
        <v>46212.627894537036</v>
      </c>
      <c r="B44" s="6" t="s">
        <v>118</v>
      </c>
      <c r="C44" s="6" t="s">
        <v>459</v>
      </c>
      <c r="D44" s="6" t="s">
        <v>15</v>
      </c>
      <c r="E44" s="6" t="s">
        <v>16</v>
      </c>
      <c r="F44" s="6" t="s">
        <v>17</v>
      </c>
      <c r="G44" s="6" t="s">
        <v>18</v>
      </c>
      <c r="H44" s="6" t="s">
        <v>19</v>
      </c>
      <c r="I44" s="6" t="s">
        <v>20</v>
      </c>
      <c r="J44" s="6" t="s">
        <v>21</v>
      </c>
    </row>
    <row r="45">
      <c r="A45" s="4">
        <v>46212.628047175924</v>
      </c>
      <c r="B45" s="6" t="s">
        <v>123</v>
      </c>
      <c r="C45" s="6" t="s">
        <v>459</v>
      </c>
      <c r="D45" s="6" t="s">
        <v>15</v>
      </c>
      <c r="E45" s="6" t="s">
        <v>16</v>
      </c>
      <c r="F45" s="6" t="s">
        <v>17</v>
      </c>
      <c r="G45" s="6" t="s">
        <v>18</v>
      </c>
      <c r="H45" s="6" t="s">
        <v>19</v>
      </c>
      <c r="I45" s="6" t="s">
        <v>20</v>
      </c>
      <c r="J45" s="6" t="s">
        <v>21</v>
      </c>
    </row>
    <row r="46">
      <c r="A46" s="4">
        <v>46212.62827747685</v>
      </c>
      <c r="B46" s="6" t="s">
        <v>95</v>
      </c>
      <c r="C46" s="6" t="s">
        <v>459</v>
      </c>
      <c r="D46" s="6" t="s">
        <v>15</v>
      </c>
      <c r="E46" s="6" t="s">
        <v>16</v>
      </c>
      <c r="F46" s="6" t="s">
        <v>17</v>
      </c>
      <c r="G46" s="6" t="s">
        <v>18</v>
      </c>
      <c r="H46" s="6" t="s">
        <v>19</v>
      </c>
      <c r="I46" s="6" t="s">
        <v>20</v>
      </c>
      <c r="J46" s="6" t="s">
        <v>21</v>
      </c>
    </row>
    <row r="47">
      <c r="A47" s="4">
        <v>46212.62833228009</v>
      </c>
      <c r="B47" s="6" t="s">
        <v>161</v>
      </c>
      <c r="C47" s="6" t="s">
        <v>459</v>
      </c>
      <c r="D47" s="6" t="s">
        <v>15</v>
      </c>
      <c r="E47" s="6" t="s">
        <v>16</v>
      </c>
      <c r="F47" s="6" t="s">
        <v>17</v>
      </c>
      <c r="G47" s="6" t="s">
        <v>18</v>
      </c>
      <c r="H47" s="6" t="s">
        <v>19</v>
      </c>
      <c r="I47" s="6" t="s">
        <v>20</v>
      </c>
      <c r="J47" s="6" t="s">
        <v>21</v>
      </c>
    </row>
    <row r="48">
      <c r="A48" s="4">
        <v>46212.62836423611</v>
      </c>
      <c r="B48" s="6" t="s">
        <v>62</v>
      </c>
      <c r="C48" s="6" t="s">
        <v>459</v>
      </c>
      <c r="D48" s="6" t="s">
        <v>15</v>
      </c>
      <c r="E48" s="6" t="s">
        <v>16</v>
      </c>
      <c r="F48" s="6" t="s">
        <v>17</v>
      </c>
      <c r="G48" s="6" t="s">
        <v>18</v>
      </c>
      <c r="H48" s="6" t="s">
        <v>19</v>
      </c>
      <c r="I48" s="6" t="s">
        <v>20</v>
      </c>
      <c r="J48" s="6" t="s">
        <v>21</v>
      </c>
    </row>
    <row r="49">
      <c r="A49" s="4">
        <v>46212.62844587963</v>
      </c>
      <c r="B49" s="6" t="s">
        <v>104</v>
      </c>
      <c r="C49" s="6" t="s">
        <v>459</v>
      </c>
      <c r="D49" s="6" t="s">
        <v>15</v>
      </c>
      <c r="E49" s="6" t="s">
        <v>16</v>
      </c>
      <c r="F49" s="6" t="s">
        <v>17</v>
      </c>
      <c r="G49" s="6" t="s">
        <v>18</v>
      </c>
      <c r="H49" s="6" t="s">
        <v>19</v>
      </c>
      <c r="I49" s="6" t="s">
        <v>20</v>
      </c>
      <c r="J49" s="6" t="s">
        <v>21</v>
      </c>
    </row>
    <row r="50">
      <c r="A50" s="4">
        <v>46212.62844170139</v>
      </c>
      <c r="B50" s="6" t="s">
        <v>82</v>
      </c>
      <c r="C50" s="6" t="s">
        <v>459</v>
      </c>
      <c r="D50" s="6" t="s">
        <v>15</v>
      </c>
      <c r="E50" s="6" t="s">
        <v>16</v>
      </c>
      <c r="F50" s="6" t="s">
        <v>17</v>
      </c>
      <c r="G50" s="6" t="s">
        <v>18</v>
      </c>
      <c r="H50" s="6" t="s">
        <v>19</v>
      </c>
      <c r="I50" s="6" t="s">
        <v>20</v>
      </c>
      <c r="J50" s="6" t="s">
        <v>21</v>
      </c>
    </row>
    <row r="51">
      <c r="A51" s="4">
        <v>46212.628453020836</v>
      </c>
      <c r="B51" s="6" t="s">
        <v>55</v>
      </c>
      <c r="C51" s="6" t="s">
        <v>459</v>
      </c>
      <c r="D51" s="6" t="s">
        <v>15</v>
      </c>
      <c r="E51" s="6" t="s">
        <v>16</v>
      </c>
      <c r="F51" s="6" t="s">
        <v>17</v>
      </c>
      <c r="G51" s="6" t="s">
        <v>18</v>
      </c>
      <c r="H51" s="6" t="s">
        <v>19</v>
      </c>
      <c r="I51" s="6" t="s">
        <v>20</v>
      </c>
      <c r="J51" s="6" t="s">
        <v>21</v>
      </c>
    </row>
    <row r="52">
      <c r="A52" s="4">
        <v>46212.628526817134</v>
      </c>
      <c r="B52" s="6" t="s">
        <v>88</v>
      </c>
      <c r="C52" s="6" t="s">
        <v>459</v>
      </c>
      <c r="D52" s="6" t="s">
        <v>15</v>
      </c>
      <c r="E52" s="6" t="s">
        <v>16</v>
      </c>
      <c r="F52" s="6" t="s">
        <v>17</v>
      </c>
      <c r="G52" s="6" t="s">
        <v>18</v>
      </c>
      <c r="H52" s="6" t="s">
        <v>19</v>
      </c>
      <c r="I52" s="6" t="s">
        <v>20</v>
      </c>
      <c r="J52" s="6" t="s">
        <v>21</v>
      </c>
    </row>
    <row r="53">
      <c r="A53" s="4">
        <v>46212.628579236116</v>
      </c>
      <c r="B53" s="6" t="s">
        <v>148</v>
      </c>
      <c r="C53" s="6" t="s">
        <v>459</v>
      </c>
      <c r="D53" s="6" t="s">
        <v>15</v>
      </c>
      <c r="E53" s="6" t="s">
        <v>16</v>
      </c>
      <c r="F53" s="6" t="s">
        <v>17</v>
      </c>
      <c r="G53" s="6" t="s">
        <v>18</v>
      </c>
      <c r="H53" s="6" t="s">
        <v>19</v>
      </c>
      <c r="I53" s="6" t="s">
        <v>20</v>
      </c>
      <c r="J53" s="6" t="s">
        <v>21</v>
      </c>
    </row>
    <row r="54">
      <c r="A54" s="4">
        <v>46212.62866200232</v>
      </c>
      <c r="B54" s="6" t="s">
        <v>121</v>
      </c>
      <c r="C54" s="6" t="s">
        <v>467</v>
      </c>
      <c r="D54" s="6" t="s">
        <v>15</v>
      </c>
      <c r="E54" s="6" t="s">
        <v>16</v>
      </c>
      <c r="F54" s="6" t="s">
        <v>17</v>
      </c>
      <c r="G54" s="6" t="s">
        <v>18</v>
      </c>
      <c r="H54" s="6" t="s">
        <v>19</v>
      </c>
      <c r="I54" s="6" t="s">
        <v>20</v>
      </c>
      <c r="J54" s="6" t="s">
        <v>21</v>
      </c>
    </row>
    <row r="55">
      <c r="A55" s="4">
        <v>46212.628752986115</v>
      </c>
      <c r="B55" s="6" t="s">
        <v>65</v>
      </c>
      <c r="C55" s="6" t="s">
        <v>459</v>
      </c>
      <c r="D55" s="6" t="s">
        <v>15</v>
      </c>
      <c r="E55" s="6" t="s">
        <v>16</v>
      </c>
      <c r="F55" s="6" t="s">
        <v>17</v>
      </c>
      <c r="G55" s="6" t="s">
        <v>44</v>
      </c>
      <c r="H55" s="6" t="s">
        <v>19</v>
      </c>
      <c r="I55" s="6" t="s">
        <v>20</v>
      </c>
      <c r="J55" s="6" t="s">
        <v>48</v>
      </c>
    </row>
    <row r="56">
      <c r="A56" s="4">
        <v>46212.62877252315</v>
      </c>
      <c r="B56" s="6" t="s">
        <v>71</v>
      </c>
      <c r="C56" s="6" t="s">
        <v>459</v>
      </c>
      <c r="D56" s="6" t="s">
        <v>15</v>
      </c>
      <c r="E56" s="6" t="s">
        <v>16</v>
      </c>
      <c r="F56" s="6" t="s">
        <v>17</v>
      </c>
      <c r="G56" s="6" t="s">
        <v>18</v>
      </c>
      <c r="H56" s="6" t="s">
        <v>19</v>
      </c>
      <c r="I56" s="6" t="s">
        <v>20</v>
      </c>
      <c r="J56" s="6" t="s">
        <v>21</v>
      </c>
    </row>
    <row r="57">
      <c r="A57" s="4">
        <v>46212.628901331016</v>
      </c>
      <c r="B57" s="6" t="s">
        <v>81</v>
      </c>
      <c r="C57" s="6" t="s">
        <v>459</v>
      </c>
      <c r="D57" s="6" t="s">
        <v>15</v>
      </c>
      <c r="E57" s="6" t="s">
        <v>16</v>
      </c>
      <c r="F57" s="6" t="s">
        <v>17</v>
      </c>
      <c r="G57" s="6" t="s">
        <v>18</v>
      </c>
      <c r="H57" s="6" t="s">
        <v>19</v>
      </c>
      <c r="I57" s="6" t="s">
        <v>20</v>
      </c>
      <c r="J57" s="6" t="s">
        <v>21</v>
      </c>
    </row>
    <row r="58">
      <c r="A58" s="4">
        <v>46212.62924275463</v>
      </c>
      <c r="B58" s="6" t="s">
        <v>147</v>
      </c>
      <c r="C58" s="6" t="s">
        <v>459</v>
      </c>
      <c r="D58" s="6" t="s">
        <v>15</v>
      </c>
      <c r="E58" s="6" t="s">
        <v>16</v>
      </c>
      <c r="F58" s="6" t="s">
        <v>17</v>
      </c>
      <c r="G58" s="6" t="s">
        <v>18</v>
      </c>
      <c r="H58" s="6" t="s">
        <v>19</v>
      </c>
      <c r="I58" s="6" t="s">
        <v>20</v>
      </c>
      <c r="J58" s="6" t="s">
        <v>21</v>
      </c>
    </row>
    <row r="59">
      <c r="A59" s="4">
        <v>46212.62924445602</v>
      </c>
      <c r="B59" s="6" t="s">
        <v>128</v>
      </c>
      <c r="C59" s="6" t="s">
        <v>459</v>
      </c>
      <c r="D59" s="6" t="s">
        <v>15</v>
      </c>
      <c r="E59" s="6" t="s">
        <v>16</v>
      </c>
      <c r="F59" s="6" t="s">
        <v>17</v>
      </c>
      <c r="G59" s="6" t="s">
        <v>18</v>
      </c>
      <c r="H59" s="6" t="s">
        <v>19</v>
      </c>
      <c r="I59" s="6" t="s">
        <v>20</v>
      </c>
      <c r="J59" s="6" t="s">
        <v>21</v>
      </c>
      <c r="K59" s="6" t="s">
        <v>29</v>
      </c>
    </row>
    <row r="60">
      <c r="A60" s="4">
        <v>46212.62925381944</v>
      </c>
      <c r="B60" s="6" t="s">
        <v>137</v>
      </c>
      <c r="C60" s="6" t="s">
        <v>459</v>
      </c>
      <c r="D60" s="6" t="s">
        <v>15</v>
      </c>
      <c r="E60" s="6" t="s">
        <v>16</v>
      </c>
      <c r="F60" s="6" t="s">
        <v>17</v>
      </c>
      <c r="G60" s="6" t="s">
        <v>18</v>
      </c>
      <c r="H60" s="6" t="s">
        <v>19</v>
      </c>
      <c r="I60" s="6" t="s">
        <v>20</v>
      </c>
      <c r="J60" s="6" t="s">
        <v>21</v>
      </c>
    </row>
    <row r="61">
      <c r="A61" s="4">
        <v>46212.62925925926</v>
      </c>
      <c r="B61" s="6" t="s">
        <v>61</v>
      </c>
      <c r="C61" s="6" t="s">
        <v>459</v>
      </c>
      <c r="D61" s="6" t="s">
        <v>15</v>
      </c>
      <c r="E61" s="6" t="s">
        <v>16</v>
      </c>
      <c r="F61" s="6" t="s">
        <v>17</v>
      </c>
      <c r="G61" s="6" t="s">
        <v>18</v>
      </c>
      <c r="H61" s="6" t="s">
        <v>19</v>
      </c>
      <c r="I61" s="6" t="s">
        <v>20</v>
      </c>
      <c r="J61" s="6" t="s">
        <v>21</v>
      </c>
    </row>
    <row r="62">
      <c r="A62" s="4">
        <v>46212.62943584491</v>
      </c>
      <c r="B62" s="6" t="s">
        <v>92</v>
      </c>
      <c r="C62" s="6" t="s">
        <v>459</v>
      </c>
      <c r="D62" s="6" t="s">
        <v>15</v>
      </c>
      <c r="E62" s="6" t="s">
        <v>16</v>
      </c>
      <c r="F62" s="6" t="s">
        <v>17</v>
      </c>
      <c r="G62" s="6" t="s">
        <v>18</v>
      </c>
      <c r="H62" s="6" t="s">
        <v>19</v>
      </c>
      <c r="I62" s="6" t="s">
        <v>20</v>
      </c>
      <c r="J62" s="6" t="s">
        <v>21</v>
      </c>
    </row>
    <row r="63">
      <c r="A63" s="4">
        <v>46212.62944690972</v>
      </c>
      <c r="B63" s="6" t="s">
        <v>158</v>
      </c>
      <c r="C63" s="6" t="s">
        <v>459</v>
      </c>
      <c r="D63" s="6" t="s">
        <v>15</v>
      </c>
      <c r="E63" s="6" t="s">
        <v>16</v>
      </c>
      <c r="F63" s="6" t="s">
        <v>17</v>
      </c>
      <c r="G63" s="6" t="s">
        <v>18</v>
      </c>
      <c r="H63" s="6" t="s">
        <v>19</v>
      </c>
      <c r="I63" s="6" t="s">
        <v>20</v>
      </c>
      <c r="J63" s="6" t="s">
        <v>21</v>
      </c>
    </row>
    <row r="64">
      <c r="A64" s="4">
        <v>46212.6299441088</v>
      </c>
      <c r="B64" s="6" t="s">
        <v>73</v>
      </c>
      <c r="C64" s="6" t="s">
        <v>459</v>
      </c>
      <c r="D64" s="6" t="s">
        <v>15</v>
      </c>
      <c r="E64" s="6" t="s">
        <v>16</v>
      </c>
      <c r="F64" s="6" t="s">
        <v>17</v>
      </c>
      <c r="G64" s="6" t="s">
        <v>18</v>
      </c>
      <c r="H64" s="6" t="s">
        <v>19</v>
      </c>
      <c r="I64" s="6" t="s">
        <v>20</v>
      </c>
      <c r="J64" s="6" t="s">
        <v>21</v>
      </c>
    </row>
    <row r="65">
      <c r="A65" s="4">
        <v>46212.62997849537</v>
      </c>
      <c r="B65" s="6" t="s">
        <v>135</v>
      </c>
      <c r="C65" s="6" t="s">
        <v>459</v>
      </c>
      <c r="D65" s="6" t="s">
        <v>15</v>
      </c>
      <c r="E65" s="6" t="s">
        <v>16</v>
      </c>
      <c r="F65" s="6" t="s">
        <v>17</v>
      </c>
      <c r="G65" s="6" t="s">
        <v>18</v>
      </c>
      <c r="H65" s="6" t="s">
        <v>19</v>
      </c>
      <c r="I65" s="6" t="s">
        <v>20</v>
      </c>
      <c r="J65" s="6" t="s">
        <v>21</v>
      </c>
    </row>
    <row r="66">
      <c r="A66" s="4">
        <v>46212.630104375</v>
      </c>
      <c r="B66" s="6" t="s">
        <v>51</v>
      </c>
      <c r="C66" s="6" t="s">
        <v>459</v>
      </c>
      <c r="D66" s="6" t="s">
        <v>15</v>
      </c>
      <c r="E66" s="6" t="s">
        <v>16</v>
      </c>
      <c r="F66" s="6" t="s">
        <v>17</v>
      </c>
      <c r="G66" s="6" t="s">
        <v>18</v>
      </c>
      <c r="H66" s="6" t="s">
        <v>19</v>
      </c>
      <c r="I66" s="6" t="s">
        <v>20</v>
      </c>
      <c r="J66" s="6" t="s">
        <v>21</v>
      </c>
    </row>
    <row r="67">
      <c r="A67" s="4">
        <v>46212.630370416664</v>
      </c>
      <c r="B67" s="6" t="s">
        <v>114</v>
      </c>
      <c r="C67" s="6" t="s">
        <v>459</v>
      </c>
      <c r="D67" s="6" t="s">
        <v>15</v>
      </c>
      <c r="E67" s="6" t="s">
        <v>16</v>
      </c>
      <c r="F67" s="6" t="s">
        <v>17</v>
      </c>
      <c r="G67" s="6" t="s">
        <v>18</v>
      </c>
      <c r="H67" s="6" t="s">
        <v>19</v>
      </c>
      <c r="I67" s="6" t="s">
        <v>20</v>
      </c>
      <c r="J67" s="6" t="s">
        <v>21</v>
      </c>
    </row>
    <row r="68">
      <c r="A68" s="4">
        <v>46212.63067074074</v>
      </c>
      <c r="B68" s="6" t="s">
        <v>133</v>
      </c>
      <c r="C68" s="6" t="s">
        <v>459</v>
      </c>
      <c r="D68" s="6" t="s">
        <v>15</v>
      </c>
      <c r="E68" s="6" t="s">
        <v>16</v>
      </c>
      <c r="F68" s="6" t="s">
        <v>17</v>
      </c>
      <c r="G68" s="6" t="s">
        <v>18</v>
      </c>
      <c r="H68" s="6" t="s">
        <v>19</v>
      </c>
      <c r="I68" s="6" t="s">
        <v>20</v>
      </c>
      <c r="J68" s="6" t="s">
        <v>21</v>
      </c>
    </row>
    <row r="69">
      <c r="A69" s="4">
        <v>46212.63069097222</v>
      </c>
      <c r="B69" s="6" t="s">
        <v>68</v>
      </c>
      <c r="C69" s="6" t="s">
        <v>459</v>
      </c>
      <c r="D69" s="6" t="s">
        <v>15</v>
      </c>
      <c r="E69" s="6" t="s">
        <v>16</v>
      </c>
      <c r="F69" s="6" t="s">
        <v>17</v>
      </c>
      <c r="G69" s="6" t="s">
        <v>18</v>
      </c>
      <c r="H69" s="6" t="s">
        <v>19</v>
      </c>
      <c r="I69" s="6" t="s">
        <v>20</v>
      </c>
      <c r="J69" s="6" t="s">
        <v>21</v>
      </c>
    </row>
    <row r="70">
      <c r="A70" s="4">
        <v>46212.63089597222</v>
      </c>
      <c r="B70" s="6" t="s">
        <v>162</v>
      </c>
      <c r="C70" s="6" t="s">
        <v>473</v>
      </c>
      <c r="D70" s="6" t="s">
        <v>15</v>
      </c>
      <c r="E70" s="6" t="s">
        <v>16</v>
      </c>
      <c r="F70" s="6" t="s">
        <v>17</v>
      </c>
      <c r="G70" s="6" t="s">
        <v>18</v>
      </c>
      <c r="H70" s="6" t="s">
        <v>19</v>
      </c>
      <c r="I70" s="6" t="s">
        <v>20</v>
      </c>
      <c r="J70" s="6" t="s">
        <v>21</v>
      </c>
    </row>
    <row r="71">
      <c r="A71" s="4">
        <v>46212.631250798615</v>
      </c>
      <c r="B71" s="6" t="s">
        <v>130</v>
      </c>
      <c r="C71" s="6" t="s">
        <v>460</v>
      </c>
      <c r="D71" s="6" t="s">
        <v>15</v>
      </c>
      <c r="E71" s="6" t="s">
        <v>16</v>
      </c>
      <c r="F71" s="6" t="s">
        <v>17</v>
      </c>
      <c r="G71" s="6" t="s">
        <v>18</v>
      </c>
      <c r="H71" s="6" t="s">
        <v>19</v>
      </c>
      <c r="I71" s="6" t="s">
        <v>20</v>
      </c>
      <c r="J71" s="6" t="s">
        <v>21</v>
      </c>
    </row>
    <row r="72">
      <c r="A72" s="4">
        <v>46212.63156652778</v>
      </c>
      <c r="B72" s="6" t="s">
        <v>126</v>
      </c>
      <c r="C72" s="6" t="s">
        <v>459</v>
      </c>
      <c r="D72" s="6" t="s">
        <v>15</v>
      </c>
      <c r="E72" s="6" t="s">
        <v>16</v>
      </c>
      <c r="F72" s="6" t="s">
        <v>17</v>
      </c>
      <c r="G72" s="6" t="s">
        <v>18</v>
      </c>
      <c r="H72" s="6" t="s">
        <v>19</v>
      </c>
      <c r="I72" s="6" t="s">
        <v>20</v>
      </c>
      <c r="J72" s="6" t="s">
        <v>21</v>
      </c>
    </row>
    <row r="73">
      <c r="A73" s="4">
        <v>46212.63192810185</v>
      </c>
      <c r="B73" s="6" t="s">
        <v>89</v>
      </c>
      <c r="C73" s="6" t="s">
        <v>459</v>
      </c>
      <c r="D73" s="6" t="s">
        <v>15</v>
      </c>
      <c r="E73" s="6" t="s">
        <v>16</v>
      </c>
      <c r="F73" s="6" t="s">
        <v>17</v>
      </c>
      <c r="G73" s="6" t="s">
        <v>18</v>
      </c>
      <c r="H73" s="6" t="s">
        <v>19</v>
      </c>
      <c r="I73" s="6" t="s">
        <v>20</v>
      </c>
      <c r="J73" s="6" t="s">
        <v>21</v>
      </c>
      <c r="K73" s="6" t="s">
        <v>29</v>
      </c>
    </row>
    <row r="74">
      <c r="A74" s="4">
        <v>46212.63357549769</v>
      </c>
      <c r="B74" s="6" t="s">
        <v>150</v>
      </c>
      <c r="C74" s="6" t="s">
        <v>459</v>
      </c>
      <c r="D74" s="6" t="s">
        <v>15</v>
      </c>
      <c r="E74" s="6" t="s">
        <v>16</v>
      </c>
      <c r="F74" s="6" t="s">
        <v>17</v>
      </c>
      <c r="G74" s="6" t="s">
        <v>18</v>
      </c>
      <c r="H74" s="6" t="s">
        <v>19</v>
      </c>
      <c r="I74" s="6" t="s">
        <v>20</v>
      </c>
      <c r="J74" s="6" t="s">
        <v>21</v>
      </c>
    </row>
    <row r="75">
      <c r="A75" s="4">
        <v>46212.63547686343</v>
      </c>
      <c r="B75" s="6" t="s">
        <v>113</v>
      </c>
      <c r="C75" s="6" t="s">
        <v>459</v>
      </c>
      <c r="D75" s="6" t="s">
        <v>15</v>
      </c>
      <c r="E75" s="6" t="s">
        <v>16</v>
      </c>
      <c r="F75" s="6" t="s">
        <v>17</v>
      </c>
      <c r="G75" s="6" t="s">
        <v>18</v>
      </c>
      <c r="H75" s="6" t="s">
        <v>19</v>
      </c>
      <c r="I75" s="6" t="s">
        <v>20</v>
      </c>
      <c r="J75" s="6" t="s">
        <v>21</v>
      </c>
    </row>
    <row r="76">
      <c r="A76" s="4">
        <v>46212.63703060185</v>
      </c>
      <c r="B76" s="6" t="s">
        <v>169</v>
      </c>
      <c r="C76" s="6" t="s">
        <v>476</v>
      </c>
      <c r="D76" s="6" t="s">
        <v>15</v>
      </c>
      <c r="E76" s="6" t="s">
        <v>16</v>
      </c>
      <c r="F76" s="6" t="s">
        <v>17</v>
      </c>
      <c r="G76" s="6" t="s">
        <v>18</v>
      </c>
      <c r="H76" s="6" t="s">
        <v>19</v>
      </c>
      <c r="I76" s="6" t="s">
        <v>20</v>
      </c>
      <c r="J76" s="6" t="s">
        <v>21</v>
      </c>
    </row>
    <row r="77">
      <c r="A77" s="4">
        <v>46212.71274287037</v>
      </c>
      <c r="B77" s="6" t="s">
        <v>70</v>
      </c>
      <c r="C77" s="6" t="s">
        <v>459</v>
      </c>
      <c r="D77" s="6" t="s">
        <v>15</v>
      </c>
      <c r="E77" s="6" t="s">
        <v>16</v>
      </c>
      <c r="F77" s="6" t="s">
        <v>17</v>
      </c>
      <c r="G77" s="6" t="s">
        <v>18</v>
      </c>
      <c r="H77" s="6" t="s">
        <v>19</v>
      </c>
      <c r="I77" s="6" t="s">
        <v>20</v>
      </c>
      <c r="J77" s="6" t="s">
        <v>21</v>
      </c>
    </row>
    <row r="78">
      <c r="A78" s="4">
        <v>46212.83736038195</v>
      </c>
      <c r="B78" s="6" t="s">
        <v>155</v>
      </c>
      <c r="C78" s="6" t="s">
        <v>459</v>
      </c>
      <c r="D78" s="6" t="s">
        <v>15</v>
      </c>
      <c r="E78" s="6" t="s">
        <v>16</v>
      </c>
      <c r="F78" s="6" t="s">
        <v>17</v>
      </c>
      <c r="G78" s="6" t="s">
        <v>18</v>
      </c>
      <c r="H78" s="6" t="s">
        <v>19</v>
      </c>
      <c r="I78" s="6" t="s">
        <v>20</v>
      </c>
      <c r="J78" s="6" t="s">
        <v>21</v>
      </c>
    </row>
    <row r="79">
      <c r="A79" s="4">
        <v>46213.401314097224</v>
      </c>
      <c r="B79" s="6" t="s">
        <v>86</v>
      </c>
      <c r="C79" s="6" t="s">
        <v>459</v>
      </c>
      <c r="D79" s="6" t="s">
        <v>15</v>
      </c>
      <c r="E79" s="6" t="s">
        <v>16</v>
      </c>
      <c r="F79" s="6" t="s">
        <v>17</v>
      </c>
      <c r="G79" s="6" t="s">
        <v>18</v>
      </c>
      <c r="H79" s="6" t="s">
        <v>19</v>
      </c>
      <c r="I79" s="6" t="s">
        <v>20</v>
      </c>
      <c r="J79" s="6" t="s">
        <v>21</v>
      </c>
    </row>
    <row r="80">
      <c r="A80" s="4">
        <v>46213.41466445602</v>
      </c>
      <c r="B80" s="6" t="s">
        <v>171</v>
      </c>
      <c r="C80" s="6" t="s">
        <v>459</v>
      </c>
      <c r="D80" s="6" t="s">
        <v>15</v>
      </c>
      <c r="E80" s="6" t="s">
        <v>16</v>
      </c>
      <c r="F80" s="6" t="s">
        <v>17</v>
      </c>
      <c r="G80" s="6" t="s">
        <v>18</v>
      </c>
      <c r="H80" s="6" t="s">
        <v>19</v>
      </c>
      <c r="I80" s="6" t="s">
        <v>20</v>
      </c>
      <c r="J80" s="6" t="s">
        <v>21</v>
      </c>
    </row>
    <row r="81">
      <c r="A81" s="4">
        <v>46213.45975364583</v>
      </c>
      <c r="B81" s="6" t="s">
        <v>172</v>
      </c>
      <c r="C81" s="6" t="s">
        <v>459</v>
      </c>
      <c r="D81" s="6" t="s">
        <v>15</v>
      </c>
      <c r="E81" s="6" t="s">
        <v>16</v>
      </c>
      <c r="F81" s="6" t="s">
        <v>17</v>
      </c>
      <c r="G81" s="6" t="s">
        <v>18</v>
      </c>
      <c r="H81" s="6" t="s">
        <v>19</v>
      </c>
      <c r="I81" s="6" t="s">
        <v>20</v>
      </c>
      <c r="J81" s="6" t="s">
        <v>21</v>
      </c>
      <c r="K81" s="6" t="s">
        <v>115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4" max="4" width="2.13"/>
    <col customWidth="1" min="14" max="14" width="24.5"/>
  </cols>
  <sheetData>
    <row r="1">
      <c r="A1" s="2" t="s">
        <v>0</v>
      </c>
      <c r="B1" s="2" t="s">
        <v>1</v>
      </c>
      <c r="C1" s="3" t="s">
        <v>2</v>
      </c>
      <c r="D1" s="5"/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3" t="s">
        <v>9</v>
      </c>
      <c r="L1" s="2"/>
      <c r="M1" s="7" t="s">
        <v>24</v>
      </c>
    </row>
    <row r="2">
      <c r="A2" s="8">
        <f>'2.3'!A:A</f>
        <v>46181.52669</v>
      </c>
      <c r="B2" s="2" t="str">
        <f>'2.3'!B:B</f>
        <v>bnco0910@signalschool.ac.th</v>
      </c>
      <c r="C2" s="2" t="str">
        <f>'2.3'!C:C</f>
        <v>พ.ต. ไมตรี  บุญเหลื่อม</v>
      </c>
      <c r="D2" s="9">
        <v>1.0</v>
      </c>
      <c r="E2" s="10">
        <f>IFERROR(vlookup('2.3'!D:D,lookup!$A$2:$B$4,2,false),0)</f>
        <v>5</v>
      </c>
      <c r="F2" s="10">
        <f>IFERROR(vlookup('2.3'!E:E,lookup!$A$6:$B$8,2,false),0)</f>
        <v>5</v>
      </c>
      <c r="G2" s="10">
        <f>IFERROR(vlookup('2.3'!F:F,lookup!$A$10:$B$12,2,false),0)</f>
        <v>5</v>
      </c>
      <c r="H2" s="10">
        <f>IFERROR(vlookup('2.3'!G:G,lookup!$A$14:$B$16,2,false),0)</f>
        <v>5</v>
      </c>
      <c r="I2" s="10">
        <f>IFERROR(vlookup('2.3'!H:H,lookup!$A$18:$B$20,2,false),0)</f>
        <v>5</v>
      </c>
      <c r="J2" s="10">
        <f>IFERROR(vlookup('2.3'!I:I,lookup!$A$22:$B$24,2,false),0)</f>
        <v>5</v>
      </c>
      <c r="K2" s="10">
        <f>IFERROR(vlookup('2.3'!J:J,lookup!$A$26:$B$28,2,false),0)</f>
        <v>5</v>
      </c>
      <c r="L2" s="2"/>
      <c r="M2" s="10">
        <v>1.0</v>
      </c>
      <c r="N2" s="11" t="str">
        <f t="shared" ref="N2:N81" si="1">CONCAT(R2,"@signalschool.ac.th")</f>
        <v>bnco0901@signalschool.ac.th</v>
      </c>
      <c r="O2" s="12">
        <f t="shared" ref="O2:O81" si="2">IFERROR(VLOOKUP(N2,B$2:D$81,3,FALSE),0)</f>
        <v>1</v>
      </c>
      <c r="R2" s="17" t="s">
        <v>116</v>
      </c>
    </row>
    <row r="3">
      <c r="A3" s="8">
        <f>'2.3'!A:A</f>
        <v>46189.44144</v>
      </c>
      <c r="B3" s="2" t="str">
        <f>'2.3'!B:B</f>
        <v>bnco0940@signalschool.ac.th</v>
      </c>
      <c r="C3" s="2" t="str">
        <f>'2.3'!C:C</f>
        <v>พ.ต.ไมตรี บุญเหลื่อม</v>
      </c>
      <c r="D3" s="9">
        <v>1.0</v>
      </c>
      <c r="E3" s="10">
        <f>IFERROR(vlookup('2.3'!D:D,lookup!$A$2:$B$4,2,false),0)</f>
        <v>5</v>
      </c>
      <c r="F3" s="10">
        <f>IFERROR(vlookup('2.3'!E:E,lookup!$A$6:$B$8,2,false),0)</f>
        <v>5</v>
      </c>
      <c r="G3" s="10">
        <f>IFERROR(vlookup('2.3'!F:F,lookup!$A$10:$B$12,2,false),0)</f>
        <v>5</v>
      </c>
      <c r="H3" s="10">
        <f>IFERROR(vlookup('2.3'!G:G,lookup!$A$14:$B$16,2,false),0)</f>
        <v>5</v>
      </c>
      <c r="I3" s="10">
        <f>IFERROR(vlookup('2.3'!H:H,lookup!$A$18:$B$20,2,false),0)</f>
        <v>5</v>
      </c>
      <c r="J3" s="10">
        <f>IFERROR(vlookup('2.3'!I:I,lookup!$A$22:$B$24,2,false),0)</f>
        <v>5</v>
      </c>
      <c r="K3" s="10">
        <f>IFERROR(vlookup('2.3'!J:J,lookup!$A$26:$B$28,2,false),0)</f>
        <v>5</v>
      </c>
      <c r="L3" s="2"/>
      <c r="M3" s="10">
        <v>2.0</v>
      </c>
      <c r="N3" s="11" t="str">
        <f t="shared" si="1"/>
        <v>bnco0902@signalschool.ac.th</v>
      </c>
      <c r="O3" s="12">
        <f t="shared" si="2"/>
        <v>1</v>
      </c>
      <c r="R3" s="17" t="s">
        <v>157</v>
      </c>
    </row>
    <row r="4">
      <c r="A4" s="8">
        <f>'2.3'!A:A</f>
        <v>46195.35981</v>
      </c>
      <c r="B4" s="2" t="str">
        <f>'2.3'!B:B</f>
        <v>bnco0980@signalschool.ac.th</v>
      </c>
      <c r="C4" s="2" t="str">
        <f>'2.3'!C:C</f>
        <v>พ.ต.ไมตรี  บุญเหลื่อม</v>
      </c>
      <c r="D4" s="9">
        <v>1.0</v>
      </c>
      <c r="E4" s="10">
        <f>IFERROR(vlookup('2.3'!D:D,lookup!$A$2:$B$4,2,false),0)</f>
        <v>5</v>
      </c>
      <c r="F4" s="10">
        <f>IFERROR(vlookup('2.3'!E:E,lookup!$A$6:$B$8,2,false),0)</f>
        <v>5</v>
      </c>
      <c r="G4" s="10">
        <f>IFERROR(vlookup('2.3'!F:F,lookup!$A$10:$B$12,2,false),0)</f>
        <v>5</v>
      </c>
      <c r="H4" s="10">
        <f>IFERROR(vlookup('2.3'!G:G,lookup!$A$14:$B$16,2,false),0)</f>
        <v>5</v>
      </c>
      <c r="I4" s="10">
        <f>IFERROR(vlookup('2.3'!H:H,lookup!$A$18:$B$20,2,false),0)</f>
        <v>5</v>
      </c>
      <c r="J4" s="10">
        <f>IFERROR(vlookup('2.3'!I:I,lookup!$A$22:$B$24,2,false),0)</f>
        <v>5</v>
      </c>
      <c r="K4" s="10">
        <f>IFERROR(vlookup('2.3'!J:J,lookup!$A$26:$B$28,2,false),0)</f>
        <v>5</v>
      </c>
      <c r="L4" s="2"/>
      <c r="M4" s="10">
        <v>3.0</v>
      </c>
      <c r="N4" s="11" t="str">
        <f t="shared" si="1"/>
        <v>bnco0903@signalschool.ac.th</v>
      </c>
      <c r="O4" s="12">
        <f t="shared" si="2"/>
        <v>1</v>
      </c>
      <c r="R4" s="17" t="s">
        <v>182</v>
      </c>
    </row>
    <row r="5">
      <c r="A5" s="8">
        <f>'2.3'!A:A</f>
        <v>46204.36024</v>
      </c>
      <c r="B5" s="2" t="str">
        <f>'2.3'!B:B</f>
        <v>bnco0950@signalschool.ac.th</v>
      </c>
      <c r="C5" s="2" t="str">
        <f>'2.3'!C:C</f>
        <v>พ.ต.ไมตรี บุญเหลี่ยม</v>
      </c>
      <c r="D5" s="9">
        <v>1.0</v>
      </c>
      <c r="E5" s="10">
        <f>IFERROR(vlookup('2.3'!D:D,lookup!$A$2:$B$4,2,false),0)</f>
        <v>5</v>
      </c>
      <c r="F5" s="10">
        <f>IFERROR(vlookup('2.3'!E:E,lookup!$A$6:$B$8,2,false),0)</f>
        <v>5</v>
      </c>
      <c r="G5" s="10">
        <f>IFERROR(vlookup('2.3'!F:F,lookup!$A$10:$B$12,2,false),0)</f>
        <v>5</v>
      </c>
      <c r="H5" s="10">
        <f>IFERROR(vlookup('2.3'!G:G,lookup!$A$14:$B$16,2,false),0)</f>
        <v>5</v>
      </c>
      <c r="I5" s="10">
        <f>IFERROR(vlookup('2.3'!H:H,lookup!$A$18:$B$20,2,false),0)</f>
        <v>5</v>
      </c>
      <c r="J5" s="10">
        <f>IFERROR(vlookup('2.3'!I:I,lookup!$A$22:$B$24,2,false),0)</f>
        <v>5</v>
      </c>
      <c r="K5" s="10">
        <f>IFERROR(vlookup('2.3'!J:J,lookup!$A$26:$B$28,2,false),0)</f>
        <v>5</v>
      </c>
      <c r="L5" s="2"/>
      <c r="M5" s="10">
        <v>4.0</v>
      </c>
      <c r="N5" s="11" t="str">
        <f t="shared" si="1"/>
        <v>bnco0904@signalschool.ac.th</v>
      </c>
      <c r="O5" s="12">
        <f t="shared" si="2"/>
        <v>1</v>
      </c>
      <c r="R5" s="17" t="s">
        <v>193</v>
      </c>
    </row>
    <row r="6">
      <c r="A6" s="8">
        <f>'2.3'!A:A</f>
        <v>46204.46308</v>
      </c>
      <c r="B6" s="2" t="str">
        <f>'2.3'!B:B</f>
        <v>bnco0951@signalschool.ac.th</v>
      </c>
      <c r="C6" s="2" t="str">
        <f>'2.3'!C:C</f>
        <v>พ.ต.ไมตรี บุญเหลี่ยม</v>
      </c>
      <c r="D6" s="9">
        <v>1.0</v>
      </c>
      <c r="E6" s="10">
        <f>IFERROR(vlookup('2.3'!D:D,lookup!$A$2:$B$4,2,false),0)</f>
        <v>5</v>
      </c>
      <c r="F6" s="10">
        <f>IFERROR(vlookup('2.3'!E:E,lookup!$A$6:$B$8,2,false),0)</f>
        <v>5</v>
      </c>
      <c r="G6" s="10">
        <f>IFERROR(vlookup('2.3'!F:F,lookup!$A$10:$B$12,2,false),0)</f>
        <v>5</v>
      </c>
      <c r="H6" s="10">
        <f>IFERROR(vlookup('2.3'!G:G,lookup!$A$14:$B$16,2,false),0)</f>
        <v>5</v>
      </c>
      <c r="I6" s="10">
        <f>IFERROR(vlookup('2.3'!H:H,lookup!$A$18:$B$20,2,false),0)</f>
        <v>5</v>
      </c>
      <c r="J6" s="10">
        <f>IFERROR(vlookup('2.3'!I:I,lookup!$A$22:$B$24,2,false),0)</f>
        <v>5</v>
      </c>
      <c r="K6" s="10">
        <f>IFERROR(vlookup('2.3'!J:J,lookup!$A$26:$B$28,2,false),0)</f>
        <v>5</v>
      </c>
      <c r="L6" s="2"/>
      <c r="M6" s="10">
        <v>5.0</v>
      </c>
      <c r="N6" s="11" t="str">
        <f t="shared" si="1"/>
        <v>bnco0905@signalschool.ac.th</v>
      </c>
      <c r="O6" s="12">
        <f t="shared" si="2"/>
        <v>1</v>
      </c>
      <c r="R6" s="17" t="s">
        <v>197</v>
      </c>
    </row>
    <row r="7">
      <c r="A7" s="8">
        <f>'2.3'!A:A</f>
        <v>46206.60107</v>
      </c>
      <c r="B7" s="2" t="str">
        <f>'2.3'!B:B</f>
        <v>bnco0920@signalschool.ac.th</v>
      </c>
      <c r="C7" s="2" t="str">
        <f>'2.3'!C:C</f>
        <v>พ.ต.ไมตรี บุญเหลื่อม</v>
      </c>
      <c r="D7" s="9">
        <v>1.0</v>
      </c>
      <c r="E7" s="10">
        <f>IFERROR(vlookup('2.3'!D:D,lookup!$A$2:$B$4,2,false),0)</f>
        <v>5</v>
      </c>
      <c r="F7" s="10">
        <f>IFERROR(vlookup('2.3'!E:E,lookup!$A$6:$B$8,2,false),0)</f>
        <v>5</v>
      </c>
      <c r="G7" s="10">
        <f>IFERROR(vlookup('2.3'!F:F,lookup!$A$10:$B$12,2,false),0)</f>
        <v>5</v>
      </c>
      <c r="H7" s="10">
        <f>IFERROR(vlookup('2.3'!G:G,lookup!$A$14:$B$16,2,false),0)</f>
        <v>5</v>
      </c>
      <c r="I7" s="10">
        <f>IFERROR(vlookup('2.3'!H:H,lookup!$A$18:$B$20,2,false),0)</f>
        <v>5</v>
      </c>
      <c r="J7" s="10">
        <f>IFERROR(vlookup('2.3'!I:I,lookup!$A$22:$B$24,2,false),0)</f>
        <v>5</v>
      </c>
      <c r="K7" s="10">
        <f>IFERROR(vlookup('2.3'!J:J,lookup!$A$26:$B$28,2,false),0)</f>
        <v>5</v>
      </c>
      <c r="L7" s="2"/>
      <c r="M7" s="10">
        <v>6.0</v>
      </c>
      <c r="N7" s="11" t="str">
        <f t="shared" si="1"/>
        <v>bnco0906@signalschool.ac.th</v>
      </c>
      <c r="O7" s="12">
        <f t="shared" si="2"/>
        <v>1</v>
      </c>
      <c r="R7" s="17" t="s">
        <v>203</v>
      </c>
    </row>
    <row r="8">
      <c r="A8" s="8">
        <f>'2.3'!A:A</f>
        <v>46212.59024</v>
      </c>
      <c r="B8" s="2" t="str">
        <f>'2.3'!B:B</f>
        <v>bnco0906@signalschool.ac.th</v>
      </c>
      <c r="C8" s="2" t="str">
        <f>'2.3'!C:C</f>
        <v>พ.ต.ไมตรี บุญเหลื่อม</v>
      </c>
      <c r="D8" s="9">
        <v>1.0</v>
      </c>
      <c r="E8" s="10">
        <f>IFERROR(vlookup('2.3'!D:D,lookup!$A$2:$B$4,2,false),0)</f>
        <v>3</v>
      </c>
      <c r="F8" s="10">
        <f>IFERROR(vlookup('2.3'!E:E,lookup!$A$6:$B$8,2,false),0)</f>
        <v>3</v>
      </c>
      <c r="G8" s="10">
        <f>IFERROR(vlookup('2.3'!F:F,lookup!$A$10:$B$12,2,false),0)</f>
        <v>3</v>
      </c>
      <c r="H8" s="10">
        <f>IFERROR(vlookup('2.3'!G:G,lookup!$A$14:$B$16,2,false),0)</f>
        <v>3</v>
      </c>
      <c r="I8" s="10">
        <f>IFERROR(vlookup('2.3'!H:H,lookup!$A$18:$B$20,2,false),0)</f>
        <v>3</v>
      </c>
      <c r="J8" s="10">
        <f>IFERROR(vlookup('2.3'!I:I,lookup!$A$22:$B$24,2,false),0)</f>
        <v>3</v>
      </c>
      <c r="K8" s="10">
        <f>IFERROR(vlookup('2.3'!J:J,lookup!$A$26:$B$28,2,false),0)</f>
        <v>3</v>
      </c>
      <c r="L8" s="2"/>
      <c r="M8" s="10">
        <v>7.0</v>
      </c>
      <c r="N8" s="11" t="str">
        <f t="shared" si="1"/>
        <v>bnco0907@signalschool.ac.th</v>
      </c>
      <c r="O8" s="12">
        <f t="shared" si="2"/>
        <v>1</v>
      </c>
      <c r="R8" s="17" t="s">
        <v>206</v>
      </c>
    </row>
    <row r="9">
      <c r="A9" s="8">
        <f>'2.3'!A:A</f>
        <v>46212.62029</v>
      </c>
      <c r="B9" s="2" t="str">
        <f>'2.3'!B:B</f>
        <v>bnco0955@signalschool.ac.th</v>
      </c>
      <c r="C9" s="2" t="str">
        <f>'2.3'!C:C</f>
        <v>อาจารย์ประจำวิชาระเบียบงานสารบรรณ</v>
      </c>
      <c r="D9" s="9">
        <v>1.0</v>
      </c>
      <c r="E9" s="10">
        <f>IFERROR(vlookup('2.3'!D:D,lookup!$A$2:$B$4,2,false),0)</f>
        <v>5</v>
      </c>
      <c r="F9" s="10">
        <f>IFERROR(vlookup('2.3'!E:E,lookup!$A$6:$B$8,2,false),0)</f>
        <v>5</v>
      </c>
      <c r="G9" s="10">
        <f>IFERROR(vlookup('2.3'!F:F,lookup!$A$10:$B$12,2,false),0)</f>
        <v>5</v>
      </c>
      <c r="H9" s="10">
        <f>IFERROR(vlookup('2.3'!G:G,lookup!$A$14:$B$16,2,false),0)</f>
        <v>5</v>
      </c>
      <c r="I9" s="10">
        <f>IFERROR(vlookup('2.3'!H:H,lookup!$A$18:$B$20,2,false),0)</f>
        <v>5</v>
      </c>
      <c r="J9" s="10">
        <f>IFERROR(vlookup('2.3'!I:I,lookup!$A$22:$B$24,2,false),0)</f>
        <v>5</v>
      </c>
      <c r="K9" s="10">
        <f>IFERROR(vlookup('2.3'!J:J,lookup!$A$26:$B$28,2,false),0)</f>
        <v>5</v>
      </c>
      <c r="L9" s="2"/>
      <c r="M9" s="10">
        <v>8.0</v>
      </c>
      <c r="N9" s="11" t="str">
        <f t="shared" si="1"/>
        <v>bnco0908@signalschool.ac.th</v>
      </c>
      <c r="O9" s="12">
        <f t="shared" si="2"/>
        <v>1</v>
      </c>
      <c r="R9" s="17" t="s">
        <v>211</v>
      </c>
    </row>
    <row r="10">
      <c r="A10" s="8">
        <f>'2.3'!A:A</f>
        <v>46212.62086</v>
      </c>
      <c r="B10" s="2" t="str">
        <f>'2.3'!B:B</f>
        <v>bnco0958@signalschool.ac.th</v>
      </c>
      <c r="C10" s="2" t="str">
        <f>'2.3'!C:C</f>
        <v>พ.ต.ไมตรี บุญเหลื่อม</v>
      </c>
      <c r="D10" s="9">
        <v>1.0</v>
      </c>
      <c r="E10" s="10">
        <f>IFERROR(vlookup('2.3'!D:D,lookup!$A$2:$B$4,2,false),0)</f>
        <v>5</v>
      </c>
      <c r="F10" s="10">
        <f>IFERROR(vlookup('2.3'!E:E,lookup!$A$6:$B$8,2,false),0)</f>
        <v>5</v>
      </c>
      <c r="G10" s="10">
        <f>IFERROR(vlookup('2.3'!F:F,lookup!$A$10:$B$12,2,false),0)</f>
        <v>5</v>
      </c>
      <c r="H10" s="10">
        <f>IFERROR(vlookup('2.3'!G:G,lookup!$A$14:$B$16,2,false),0)</f>
        <v>5</v>
      </c>
      <c r="I10" s="10">
        <f>IFERROR(vlookup('2.3'!H:H,lookup!$A$18:$B$20,2,false),0)</f>
        <v>5</v>
      </c>
      <c r="J10" s="10">
        <f>IFERROR(vlookup('2.3'!I:I,lookup!$A$22:$B$24,2,false),0)</f>
        <v>5</v>
      </c>
      <c r="K10" s="10">
        <f>IFERROR(vlookup('2.3'!J:J,lookup!$A$26:$B$28,2,false),0)</f>
        <v>5</v>
      </c>
      <c r="L10" s="2"/>
      <c r="M10" s="10">
        <v>9.0</v>
      </c>
      <c r="N10" s="11" t="str">
        <f t="shared" si="1"/>
        <v>bnco0909@signalschool.ac.th</v>
      </c>
      <c r="O10" s="12">
        <f t="shared" si="2"/>
        <v>1</v>
      </c>
      <c r="R10" s="17" t="s">
        <v>212</v>
      </c>
    </row>
    <row r="11">
      <c r="A11" s="8">
        <f>'2.3'!A:A</f>
        <v>46212.62099</v>
      </c>
      <c r="B11" s="2" t="str">
        <f>'2.3'!B:B</f>
        <v>bnco0932@signalschool.ac.th</v>
      </c>
      <c r="C11" s="2" t="str">
        <f>'2.3'!C:C</f>
        <v>พ.ต.ไมตรี บุญเหลือม</v>
      </c>
      <c r="D11" s="9">
        <v>1.0</v>
      </c>
      <c r="E11" s="10">
        <f>IFERROR(vlookup('2.3'!D:D,lookup!$A$2:$B$4,2,false),0)</f>
        <v>5</v>
      </c>
      <c r="F11" s="10">
        <f>IFERROR(vlookup('2.3'!E:E,lookup!$A$6:$B$8,2,false),0)</f>
        <v>5</v>
      </c>
      <c r="G11" s="10">
        <f>IFERROR(vlookup('2.3'!F:F,lookup!$A$10:$B$12,2,false),0)</f>
        <v>5</v>
      </c>
      <c r="H11" s="10">
        <f>IFERROR(vlookup('2.3'!G:G,lookup!$A$14:$B$16,2,false),0)</f>
        <v>5</v>
      </c>
      <c r="I11" s="10">
        <f>IFERROR(vlookup('2.3'!H:H,lookup!$A$18:$B$20,2,false),0)</f>
        <v>5</v>
      </c>
      <c r="J11" s="10">
        <f>IFERROR(vlookup('2.3'!I:I,lookup!$A$22:$B$24,2,false),0)</f>
        <v>5</v>
      </c>
      <c r="K11" s="10">
        <f>IFERROR(vlookup('2.3'!J:J,lookup!$A$26:$B$28,2,false),0)</f>
        <v>5</v>
      </c>
      <c r="L11" s="2"/>
      <c r="M11" s="10">
        <v>10.0</v>
      </c>
      <c r="N11" s="11" t="str">
        <f t="shared" si="1"/>
        <v>bnco0910@signalschool.ac.th</v>
      </c>
      <c r="O11" s="12">
        <f t="shared" si="2"/>
        <v>1</v>
      </c>
      <c r="R11" s="17" t="s">
        <v>213</v>
      </c>
    </row>
    <row r="12">
      <c r="A12" s="8">
        <f>'2.3'!A:A</f>
        <v>46212.6217</v>
      </c>
      <c r="B12" s="2" t="str">
        <f>'2.3'!B:B</f>
        <v>bnco0962@signalschool.ac.th</v>
      </c>
      <c r="C12" s="2" t="str">
        <f>'2.3'!C:C</f>
        <v>พ.ต.ไมตรี   บุญเหลื่อม</v>
      </c>
      <c r="D12" s="9">
        <v>1.0</v>
      </c>
      <c r="E12" s="10">
        <f>IFERROR(vlookup('2.3'!D:D,lookup!$A$2:$B$4,2,false),0)</f>
        <v>5</v>
      </c>
      <c r="F12" s="10">
        <f>IFERROR(vlookup('2.3'!E:E,lookup!$A$6:$B$8,2,false),0)</f>
        <v>5</v>
      </c>
      <c r="G12" s="10">
        <f>IFERROR(vlookup('2.3'!F:F,lookup!$A$10:$B$12,2,false),0)</f>
        <v>5</v>
      </c>
      <c r="H12" s="10">
        <f>IFERROR(vlookup('2.3'!G:G,lookup!$A$14:$B$16,2,false),0)</f>
        <v>5</v>
      </c>
      <c r="I12" s="10">
        <f>IFERROR(vlookup('2.3'!H:H,lookup!$A$18:$B$20,2,false),0)</f>
        <v>5</v>
      </c>
      <c r="J12" s="10">
        <f>IFERROR(vlookup('2.3'!I:I,lookup!$A$22:$B$24,2,false),0)</f>
        <v>5</v>
      </c>
      <c r="K12" s="10">
        <f>IFERROR(vlookup('2.3'!J:J,lookup!$A$26:$B$28,2,false),0)</f>
        <v>5</v>
      </c>
      <c r="L12" s="2"/>
      <c r="M12" s="10">
        <v>11.0</v>
      </c>
      <c r="N12" s="11" t="str">
        <f t="shared" si="1"/>
        <v>bnco0911@signalschool.ac.th</v>
      </c>
      <c r="O12" s="12">
        <f t="shared" si="2"/>
        <v>1</v>
      </c>
      <c r="R12" s="17" t="s">
        <v>214</v>
      </c>
    </row>
    <row r="13">
      <c r="A13" s="8">
        <f>'2.3'!A:A</f>
        <v>46212.62345</v>
      </c>
      <c r="B13" s="2" t="str">
        <f>'2.3'!B:B</f>
        <v>bnco0971@signalschool.ac.th</v>
      </c>
      <c r="C13" s="2" t="str">
        <f>'2.3'!C:C</f>
        <v>พ.ต.ไมตรี บุญเหลื่อม</v>
      </c>
      <c r="D13" s="9">
        <v>1.0</v>
      </c>
      <c r="E13" s="10">
        <f>IFERROR(vlookup('2.3'!D:D,lookup!$A$2:$B$4,2,false),0)</f>
        <v>5</v>
      </c>
      <c r="F13" s="10">
        <f>IFERROR(vlookup('2.3'!E:E,lookup!$A$6:$B$8,2,false),0)</f>
        <v>5</v>
      </c>
      <c r="G13" s="10">
        <f>IFERROR(vlookup('2.3'!F:F,lookup!$A$10:$B$12,2,false),0)</f>
        <v>5</v>
      </c>
      <c r="H13" s="10">
        <f>IFERROR(vlookup('2.3'!G:G,lookup!$A$14:$B$16,2,false),0)</f>
        <v>5</v>
      </c>
      <c r="I13" s="10">
        <f>IFERROR(vlookup('2.3'!H:H,lookup!$A$18:$B$20,2,false),0)</f>
        <v>5</v>
      </c>
      <c r="J13" s="10">
        <f>IFERROR(vlookup('2.3'!I:I,lookup!$A$22:$B$24,2,false),0)</f>
        <v>5</v>
      </c>
      <c r="K13" s="10">
        <f>IFERROR(vlookup('2.3'!J:J,lookup!$A$26:$B$28,2,false),0)</f>
        <v>5</v>
      </c>
      <c r="L13" s="2"/>
      <c r="M13" s="10">
        <v>12.0</v>
      </c>
      <c r="N13" s="11" t="str">
        <f t="shared" si="1"/>
        <v>bnco0912@signalschool.ac.th</v>
      </c>
      <c r="O13" s="12">
        <f t="shared" si="2"/>
        <v>1</v>
      </c>
      <c r="R13" s="17" t="s">
        <v>222</v>
      </c>
    </row>
    <row r="14">
      <c r="A14" s="8">
        <f>'2.3'!A:A</f>
        <v>46212.62389</v>
      </c>
      <c r="B14" s="2" t="str">
        <f>'2.3'!B:B</f>
        <v>bnco0924@signalschool.ac.th</v>
      </c>
      <c r="C14" s="2" t="str">
        <f>'2.3'!C:C</f>
        <v>พ.ต.ไมตรี บุญเหลื่อม</v>
      </c>
      <c r="D14" s="9">
        <v>1.0</v>
      </c>
      <c r="E14" s="10">
        <f>IFERROR(vlookup('2.3'!D:D,lookup!$A$2:$B$4,2,false),0)</f>
        <v>5</v>
      </c>
      <c r="F14" s="10">
        <f>IFERROR(vlookup('2.3'!E:E,lookup!$A$6:$B$8,2,false),0)</f>
        <v>5</v>
      </c>
      <c r="G14" s="10">
        <f>IFERROR(vlookup('2.3'!F:F,lookup!$A$10:$B$12,2,false),0)</f>
        <v>5</v>
      </c>
      <c r="H14" s="10">
        <f>IFERROR(vlookup('2.3'!G:G,lookup!$A$14:$B$16,2,false),0)</f>
        <v>5</v>
      </c>
      <c r="I14" s="10">
        <f>IFERROR(vlookup('2.3'!H:H,lookup!$A$18:$B$20,2,false),0)</f>
        <v>5</v>
      </c>
      <c r="J14" s="10">
        <f>IFERROR(vlookup('2.3'!I:I,lookup!$A$22:$B$24,2,false),0)</f>
        <v>5</v>
      </c>
      <c r="K14" s="10">
        <f>IFERROR(vlookup('2.3'!J:J,lookup!$A$26:$B$28,2,false),0)</f>
        <v>5</v>
      </c>
      <c r="L14" s="2"/>
      <c r="M14" s="10">
        <v>13.0</v>
      </c>
      <c r="N14" s="11" t="str">
        <f t="shared" si="1"/>
        <v>bnco0913@signalschool.ac.th</v>
      </c>
      <c r="O14" s="12">
        <f t="shared" si="2"/>
        <v>1</v>
      </c>
      <c r="R14" s="17" t="s">
        <v>227</v>
      </c>
    </row>
    <row r="15">
      <c r="A15" s="8">
        <f>'2.3'!A:A</f>
        <v>46212.62404</v>
      </c>
      <c r="B15" s="2" t="str">
        <f>'2.3'!B:B</f>
        <v>bnco0935@signalschool.ac.th</v>
      </c>
      <c r="C15" s="2" t="str">
        <f>'2.3'!C:C</f>
        <v>พ.ต.ไมตรี บุญเหลื่อม</v>
      </c>
      <c r="D15" s="9">
        <v>1.0</v>
      </c>
      <c r="E15" s="10">
        <f>IFERROR(vlookup('2.3'!D:D,lookup!$A$2:$B$4,2,false),0)</f>
        <v>5</v>
      </c>
      <c r="F15" s="10">
        <f>IFERROR(vlookup('2.3'!E:E,lookup!$A$6:$B$8,2,false),0)</f>
        <v>5</v>
      </c>
      <c r="G15" s="10">
        <f>IFERROR(vlookup('2.3'!F:F,lookup!$A$10:$B$12,2,false),0)</f>
        <v>5</v>
      </c>
      <c r="H15" s="10">
        <f>IFERROR(vlookup('2.3'!G:G,lookup!$A$14:$B$16,2,false),0)</f>
        <v>5</v>
      </c>
      <c r="I15" s="10">
        <f>IFERROR(vlookup('2.3'!H:H,lookup!$A$18:$B$20,2,false),0)</f>
        <v>5</v>
      </c>
      <c r="J15" s="10">
        <f>IFERROR(vlookup('2.3'!I:I,lookup!$A$22:$B$24,2,false),0)</f>
        <v>5</v>
      </c>
      <c r="K15" s="10">
        <f>IFERROR(vlookup('2.3'!J:J,lookup!$A$26:$B$28,2,false),0)</f>
        <v>5</v>
      </c>
      <c r="L15" s="2"/>
      <c r="M15" s="10">
        <v>14.0</v>
      </c>
      <c r="N15" s="11" t="str">
        <f t="shared" si="1"/>
        <v>bnco0914@signalschool.ac.th</v>
      </c>
      <c r="O15" s="12">
        <f t="shared" si="2"/>
        <v>1</v>
      </c>
      <c r="R15" s="17" t="s">
        <v>230</v>
      </c>
    </row>
    <row r="16">
      <c r="A16" s="8">
        <f>'2.3'!A:A</f>
        <v>46212.62408</v>
      </c>
      <c r="B16" s="2" t="str">
        <f>'2.3'!B:B</f>
        <v>bnco0972@signalschool.ac.th</v>
      </c>
      <c r="C16" s="2" t="str">
        <f>'2.3'!C:C</f>
        <v>พ.ต.ไมตรี  บุญเหลื่อม</v>
      </c>
      <c r="D16" s="9">
        <v>1.0</v>
      </c>
      <c r="E16" s="10">
        <f>IFERROR(vlookup('2.3'!D:D,lookup!$A$2:$B$4,2,false),0)</f>
        <v>5</v>
      </c>
      <c r="F16" s="10">
        <f>IFERROR(vlookup('2.3'!E:E,lookup!$A$6:$B$8,2,false),0)</f>
        <v>5</v>
      </c>
      <c r="G16" s="10">
        <f>IFERROR(vlookup('2.3'!F:F,lookup!$A$10:$B$12,2,false),0)</f>
        <v>5</v>
      </c>
      <c r="H16" s="10">
        <f>IFERROR(vlookup('2.3'!G:G,lookup!$A$14:$B$16,2,false),0)</f>
        <v>5</v>
      </c>
      <c r="I16" s="10">
        <f>IFERROR(vlookup('2.3'!H:H,lookup!$A$18:$B$20,2,false),0)</f>
        <v>5</v>
      </c>
      <c r="J16" s="10">
        <f>IFERROR(vlookup('2.3'!I:I,lookup!$A$22:$B$24,2,false),0)</f>
        <v>5</v>
      </c>
      <c r="K16" s="10">
        <f>IFERROR(vlookup('2.3'!J:J,lookup!$A$26:$B$28,2,false),0)</f>
        <v>5</v>
      </c>
      <c r="L16" s="2"/>
      <c r="M16" s="10">
        <v>15.0</v>
      </c>
      <c r="N16" s="11" t="str">
        <f t="shared" si="1"/>
        <v>bnco0915@signalschool.ac.th</v>
      </c>
      <c r="O16" s="12">
        <f t="shared" si="2"/>
        <v>1</v>
      </c>
      <c r="R16" s="17" t="s">
        <v>232</v>
      </c>
    </row>
    <row r="17">
      <c r="A17" s="8">
        <f>'2.3'!A:A</f>
        <v>46212.62411</v>
      </c>
      <c r="B17" s="2" t="str">
        <f>'2.3'!B:B</f>
        <v>bnco0928@signalschool.ac.th</v>
      </c>
      <c r="C17" s="2" t="str">
        <f>'2.3'!C:C</f>
        <v>พ.ต.ไมตรี บุญเหลื่อม</v>
      </c>
      <c r="D17" s="9">
        <v>1.0</v>
      </c>
      <c r="E17" s="10">
        <f>IFERROR(vlookup('2.3'!D:D,lookup!$A$2:$B$4,2,false),0)</f>
        <v>5</v>
      </c>
      <c r="F17" s="10">
        <f>IFERROR(vlookup('2.3'!E:E,lookup!$A$6:$B$8,2,false),0)</f>
        <v>5</v>
      </c>
      <c r="G17" s="10">
        <f>IFERROR(vlookup('2.3'!F:F,lookup!$A$10:$B$12,2,false),0)</f>
        <v>5</v>
      </c>
      <c r="H17" s="10">
        <f>IFERROR(vlookup('2.3'!G:G,lookup!$A$14:$B$16,2,false),0)</f>
        <v>5</v>
      </c>
      <c r="I17" s="10">
        <f>IFERROR(vlookup('2.3'!H:H,lookup!$A$18:$B$20,2,false),0)</f>
        <v>5</v>
      </c>
      <c r="J17" s="10">
        <f>IFERROR(vlookup('2.3'!I:I,lookup!$A$22:$B$24,2,false),0)</f>
        <v>5</v>
      </c>
      <c r="K17" s="10">
        <f>IFERROR(vlookup('2.3'!J:J,lookup!$A$26:$B$28,2,false),0)</f>
        <v>5</v>
      </c>
      <c r="L17" s="2"/>
      <c r="M17" s="10">
        <v>16.0</v>
      </c>
      <c r="N17" s="11" t="str">
        <f t="shared" si="1"/>
        <v>bnco0916@signalschool.ac.th</v>
      </c>
      <c r="O17" s="12">
        <f t="shared" si="2"/>
        <v>1</v>
      </c>
      <c r="R17" s="17" t="s">
        <v>233</v>
      </c>
    </row>
    <row r="18">
      <c r="A18" s="8">
        <f>'2.3'!A:A</f>
        <v>46212.62503</v>
      </c>
      <c r="B18" s="2" t="str">
        <f>'2.3'!B:B</f>
        <v>bnco0923@signalschool.ac.th</v>
      </c>
      <c r="C18" s="2" t="str">
        <f>'2.3'!C:C</f>
        <v>พ.ต.ไมตรี บุญเหลือม</v>
      </c>
      <c r="D18" s="9">
        <v>1.0</v>
      </c>
      <c r="E18" s="10">
        <f>IFERROR(vlookup('2.3'!D:D,lookup!$A$2:$B$4,2,false),0)</f>
        <v>5</v>
      </c>
      <c r="F18" s="10">
        <f>IFERROR(vlookup('2.3'!E:E,lookup!$A$6:$B$8,2,false),0)</f>
        <v>5</v>
      </c>
      <c r="G18" s="10">
        <f>IFERROR(vlookup('2.3'!F:F,lookup!$A$10:$B$12,2,false),0)</f>
        <v>5</v>
      </c>
      <c r="H18" s="10">
        <f>IFERROR(vlookup('2.3'!G:G,lookup!$A$14:$B$16,2,false),0)</f>
        <v>5</v>
      </c>
      <c r="I18" s="10">
        <f>IFERROR(vlookup('2.3'!H:H,lookup!$A$18:$B$20,2,false),0)</f>
        <v>5</v>
      </c>
      <c r="J18" s="10">
        <f>IFERROR(vlookup('2.3'!I:I,lookup!$A$22:$B$24,2,false),0)</f>
        <v>5</v>
      </c>
      <c r="K18" s="10">
        <f>IFERROR(vlookup('2.3'!J:J,lookup!$A$26:$B$28,2,false),0)</f>
        <v>5</v>
      </c>
      <c r="L18" s="2"/>
      <c r="M18" s="10">
        <v>17.0</v>
      </c>
      <c r="N18" s="11" t="str">
        <f t="shared" si="1"/>
        <v>bnco0917@signalschool.ac.th</v>
      </c>
      <c r="O18" s="12">
        <f t="shared" si="2"/>
        <v>1</v>
      </c>
      <c r="R18" s="17" t="s">
        <v>234</v>
      </c>
    </row>
    <row r="19">
      <c r="A19" s="8">
        <f>'2.3'!A:A</f>
        <v>46212.62526</v>
      </c>
      <c r="B19" s="2" t="str">
        <f>'2.3'!B:B</f>
        <v>bnco0918@signalschool.ac.th</v>
      </c>
      <c r="C19" s="2" t="str">
        <f>'2.3'!C:C</f>
        <v>พ.ต.ไมตรี บุญเหลื่อม</v>
      </c>
      <c r="D19" s="9">
        <v>1.0</v>
      </c>
      <c r="E19" s="10">
        <f>IFERROR(vlookup('2.3'!D:D,lookup!$A$2:$B$4,2,false),0)</f>
        <v>5</v>
      </c>
      <c r="F19" s="10">
        <f>IFERROR(vlookup('2.3'!E:E,lookup!$A$6:$B$8,2,false),0)</f>
        <v>5</v>
      </c>
      <c r="G19" s="10">
        <f>IFERROR(vlookup('2.3'!F:F,lookup!$A$10:$B$12,2,false),0)</f>
        <v>5</v>
      </c>
      <c r="H19" s="10">
        <f>IFERROR(vlookup('2.3'!G:G,lookup!$A$14:$B$16,2,false),0)</f>
        <v>5</v>
      </c>
      <c r="I19" s="10">
        <f>IFERROR(vlookup('2.3'!H:H,lookup!$A$18:$B$20,2,false),0)</f>
        <v>5</v>
      </c>
      <c r="J19" s="10">
        <f>IFERROR(vlookup('2.3'!I:I,lookup!$A$22:$B$24,2,false),0)</f>
        <v>5</v>
      </c>
      <c r="K19" s="10">
        <f>IFERROR(vlookup('2.3'!J:J,lookup!$A$26:$B$28,2,false),0)</f>
        <v>5</v>
      </c>
      <c r="L19" s="2"/>
      <c r="M19" s="10">
        <v>18.0</v>
      </c>
      <c r="N19" s="11" t="str">
        <f t="shared" si="1"/>
        <v>bnco0918@signalschool.ac.th</v>
      </c>
      <c r="O19" s="12">
        <f t="shared" si="2"/>
        <v>1</v>
      </c>
      <c r="R19" s="17" t="s">
        <v>235</v>
      </c>
    </row>
    <row r="20">
      <c r="A20" s="8">
        <f>'2.3'!A:A</f>
        <v>46212.62551</v>
      </c>
      <c r="B20" s="2" t="str">
        <f>'2.3'!B:B</f>
        <v>bnco0977@signalschool.ac.th</v>
      </c>
      <c r="C20" s="2" t="str">
        <f>'2.3'!C:C</f>
        <v>พ.ต.ไมตรี บุญเหลื่อม</v>
      </c>
      <c r="D20" s="9">
        <v>1.0</v>
      </c>
      <c r="E20" s="10">
        <f>IFERROR(vlookup('2.3'!D:D,lookup!$A$2:$B$4,2,false),0)</f>
        <v>5</v>
      </c>
      <c r="F20" s="10">
        <f>IFERROR(vlookup('2.3'!E:E,lookup!$A$6:$B$8,2,false),0)</f>
        <v>5</v>
      </c>
      <c r="G20" s="10">
        <f>IFERROR(vlookup('2.3'!F:F,lookup!$A$10:$B$12,2,false),0)</f>
        <v>5</v>
      </c>
      <c r="H20" s="10">
        <f>IFERROR(vlookup('2.3'!G:G,lookup!$A$14:$B$16,2,false),0)</f>
        <v>5</v>
      </c>
      <c r="I20" s="10">
        <f>IFERROR(vlookup('2.3'!H:H,lookup!$A$18:$B$20,2,false),0)</f>
        <v>5</v>
      </c>
      <c r="J20" s="10">
        <f>IFERROR(vlookup('2.3'!I:I,lookup!$A$22:$B$24,2,false),0)</f>
        <v>5</v>
      </c>
      <c r="K20" s="10">
        <f>IFERROR(vlookup('2.3'!J:J,lookup!$A$26:$B$28,2,false),0)</f>
        <v>5</v>
      </c>
      <c r="L20" s="2"/>
      <c r="M20" s="10">
        <v>19.0</v>
      </c>
      <c r="N20" s="11" t="str">
        <f t="shared" si="1"/>
        <v>bnco0919@signalschool.ac.th</v>
      </c>
      <c r="O20" s="12">
        <f t="shared" si="2"/>
        <v>1</v>
      </c>
      <c r="R20" s="17" t="s">
        <v>236</v>
      </c>
    </row>
    <row r="21">
      <c r="A21" s="8">
        <f>'2.3'!A:A</f>
        <v>46212.62552</v>
      </c>
      <c r="B21" s="2" t="str">
        <f>'2.3'!B:B</f>
        <v>bnco0942@signalschool.ac.th</v>
      </c>
      <c r="C21" s="2" t="str">
        <f>'2.3'!C:C</f>
        <v>พ.ต.ไมตรี  บุญเหลื่อม</v>
      </c>
      <c r="D21" s="9">
        <v>1.0</v>
      </c>
      <c r="E21" s="10">
        <f>IFERROR(vlookup('2.3'!D:D,lookup!$A$2:$B$4,2,false),0)</f>
        <v>5</v>
      </c>
      <c r="F21" s="10">
        <f>IFERROR(vlookup('2.3'!E:E,lookup!$A$6:$B$8,2,false),0)</f>
        <v>5</v>
      </c>
      <c r="G21" s="10">
        <f>IFERROR(vlookup('2.3'!F:F,lookup!$A$10:$B$12,2,false),0)</f>
        <v>5</v>
      </c>
      <c r="H21" s="10">
        <f>IFERROR(vlookup('2.3'!G:G,lookup!$A$14:$B$16,2,false),0)</f>
        <v>5</v>
      </c>
      <c r="I21" s="10">
        <f>IFERROR(vlookup('2.3'!H:H,lookup!$A$18:$B$20,2,false),0)</f>
        <v>5</v>
      </c>
      <c r="J21" s="10">
        <f>IFERROR(vlookup('2.3'!I:I,lookup!$A$22:$B$24,2,false),0)</f>
        <v>5</v>
      </c>
      <c r="K21" s="10">
        <f>IFERROR(vlookup('2.3'!J:J,lookup!$A$26:$B$28,2,false),0)</f>
        <v>5</v>
      </c>
      <c r="L21" s="2"/>
      <c r="M21" s="10">
        <v>20.0</v>
      </c>
      <c r="N21" s="11" t="str">
        <f t="shared" si="1"/>
        <v>bnco0920@signalschool.ac.th</v>
      </c>
      <c r="O21" s="12">
        <f t="shared" si="2"/>
        <v>1</v>
      </c>
      <c r="R21" s="17" t="s">
        <v>237</v>
      </c>
    </row>
    <row r="22">
      <c r="A22" s="8">
        <f>'2.3'!A:A</f>
        <v>46212.6256</v>
      </c>
      <c r="B22" s="2" t="str">
        <f>'2.3'!B:B</f>
        <v>bnco0943@signalschool.ac.th</v>
      </c>
      <c r="C22" s="2" t="str">
        <f>'2.3'!C:C</f>
        <v>พ.ต.ไมตรี บุญเหลื่อม</v>
      </c>
      <c r="D22" s="9">
        <v>1.0</v>
      </c>
      <c r="E22" s="10">
        <f>IFERROR(vlookup('2.3'!D:D,lookup!$A$2:$B$4,2,false),0)</f>
        <v>5</v>
      </c>
      <c r="F22" s="10">
        <f>IFERROR(vlookup('2.3'!E:E,lookup!$A$6:$B$8,2,false),0)</f>
        <v>5</v>
      </c>
      <c r="G22" s="10">
        <f>IFERROR(vlookup('2.3'!F:F,lookup!$A$10:$B$12,2,false),0)</f>
        <v>5</v>
      </c>
      <c r="H22" s="10">
        <f>IFERROR(vlookup('2.3'!G:G,lookup!$A$14:$B$16,2,false),0)</f>
        <v>5</v>
      </c>
      <c r="I22" s="10">
        <f>IFERROR(vlookup('2.3'!H:H,lookup!$A$18:$B$20,2,false),0)</f>
        <v>5</v>
      </c>
      <c r="J22" s="10">
        <f>IFERROR(vlookup('2.3'!I:I,lookup!$A$22:$B$24,2,false),0)</f>
        <v>5</v>
      </c>
      <c r="K22" s="10">
        <f>IFERROR(vlookup('2.3'!J:J,lookup!$A$26:$B$28,2,false),0)</f>
        <v>5</v>
      </c>
      <c r="L22" s="2"/>
      <c r="M22" s="10">
        <v>21.0</v>
      </c>
      <c r="N22" s="11" t="str">
        <f t="shared" si="1"/>
        <v>bnco0921@signalschool.ac.th</v>
      </c>
      <c r="O22" s="12">
        <f t="shared" si="2"/>
        <v>1</v>
      </c>
      <c r="R22" s="17" t="s">
        <v>238</v>
      </c>
    </row>
    <row r="23">
      <c r="A23" s="8">
        <f>'2.3'!A:A</f>
        <v>46212.62566</v>
      </c>
      <c r="B23" s="2" t="str">
        <f>'2.3'!B:B</f>
        <v>bnco0930@signalschool.ac.th</v>
      </c>
      <c r="C23" s="2" t="str">
        <f>'2.3'!C:C</f>
        <v>พ.ต.ไมตรี บุญเหลื่อม</v>
      </c>
      <c r="D23" s="9">
        <v>1.0</v>
      </c>
      <c r="E23" s="10">
        <f>IFERROR(vlookup('2.3'!D:D,lookup!$A$2:$B$4,2,false),0)</f>
        <v>5</v>
      </c>
      <c r="F23" s="10">
        <f>IFERROR(vlookup('2.3'!E:E,lookup!$A$6:$B$8,2,false),0)</f>
        <v>5</v>
      </c>
      <c r="G23" s="10">
        <f>IFERROR(vlookup('2.3'!F:F,lookup!$A$10:$B$12,2,false),0)</f>
        <v>5</v>
      </c>
      <c r="H23" s="10">
        <f>IFERROR(vlookup('2.3'!G:G,lookup!$A$14:$B$16,2,false),0)</f>
        <v>5</v>
      </c>
      <c r="I23" s="10">
        <f>IFERROR(vlookup('2.3'!H:H,lookup!$A$18:$B$20,2,false),0)</f>
        <v>5</v>
      </c>
      <c r="J23" s="10">
        <f>IFERROR(vlookup('2.3'!I:I,lookup!$A$22:$B$24,2,false),0)</f>
        <v>5</v>
      </c>
      <c r="K23" s="10">
        <f>IFERROR(vlookup('2.3'!J:J,lookup!$A$26:$B$28,2,false),0)</f>
        <v>5</v>
      </c>
      <c r="L23" s="2"/>
      <c r="M23" s="10">
        <v>22.0</v>
      </c>
      <c r="N23" s="11" t="str">
        <f t="shared" si="1"/>
        <v>bnco0922@signalschool.ac.th</v>
      </c>
      <c r="O23" s="12">
        <f t="shared" si="2"/>
        <v>1</v>
      </c>
      <c r="R23" s="17" t="s">
        <v>239</v>
      </c>
    </row>
    <row r="24">
      <c r="A24" s="8">
        <f>'2.3'!A:A</f>
        <v>46212.62585</v>
      </c>
      <c r="B24" s="2" t="str">
        <f>'2.3'!B:B</f>
        <v>bnco0903@signalschool.ac.th</v>
      </c>
      <c r="C24" s="2" t="str">
        <f>'2.3'!C:C</f>
        <v>พ.ต.ไมตรี บุญเหลื่อม</v>
      </c>
      <c r="D24" s="9">
        <v>1.0</v>
      </c>
      <c r="E24" s="10">
        <f>IFERROR(vlookup('2.3'!D:D,lookup!$A$2:$B$4,2,false),0)</f>
        <v>5</v>
      </c>
      <c r="F24" s="10">
        <f>IFERROR(vlookup('2.3'!E:E,lookup!$A$6:$B$8,2,false),0)</f>
        <v>5</v>
      </c>
      <c r="G24" s="10">
        <f>IFERROR(vlookup('2.3'!F:F,lookup!$A$10:$B$12,2,false),0)</f>
        <v>5</v>
      </c>
      <c r="H24" s="10">
        <f>IFERROR(vlookup('2.3'!G:G,lookup!$A$14:$B$16,2,false),0)</f>
        <v>5</v>
      </c>
      <c r="I24" s="10">
        <f>IFERROR(vlookup('2.3'!H:H,lookup!$A$18:$B$20,2,false),0)</f>
        <v>5</v>
      </c>
      <c r="J24" s="10">
        <f>IFERROR(vlookup('2.3'!I:I,lookup!$A$22:$B$24,2,false),0)</f>
        <v>5</v>
      </c>
      <c r="K24" s="10">
        <f>IFERROR(vlookup('2.3'!J:J,lookup!$A$26:$B$28,2,false),0)</f>
        <v>5</v>
      </c>
      <c r="L24" s="2"/>
      <c r="M24" s="10">
        <v>23.0</v>
      </c>
      <c r="N24" s="11" t="str">
        <f t="shared" si="1"/>
        <v>bnco0923@signalschool.ac.th</v>
      </c>
      <c r="O24" s="12">
        <f t="shared" si="2"/>
        <v>1</v>
      </c>
      <c r="R24" s="17" t="s">
        <v>240</v>
      </c>
    </row>
    <row r="25">
      <c r="A25" s="8">
        <f>'2.3'!A:A</f>
        <v>46212.62596</v>
      </c>
      <c r="B25" s="2" t="str">
        <f>'2.3'!B:B</f>
        <v>bnco0925@signalschool.ac.th</v>
      </c>
      <c r="C25" s="2" t="str">
        <f>'2.3'!C:C</f>
        <v>พ.ต.ไมตรี บุญเหลื่อม</v>
      </c>
      <c r="D25" s="9">
        <v>1.0</v>
      </c>
      <c r="E25" s="10">
        <f>IFERROR(vlookup('2.3'!D:D,lookup!$A$2:$B$4,2,false),0)</f>
        <v>5</v>
      </c>
      <c r="F25" s="10">
        <f>IFERROR(vlookup('2.3'!E:E,lookup!$A$6:$B$8,2,false),0)</f>
        <v>5</v>
      </c>
      <c r="G25" s="10">
        <f>IFERROR(vlookup('2.3'!F:F,lookup!$A$10:$B$12,2,false),0)</f>
        <v>5</v>
      </c>
      <c r="H25" s="10">
        <f>IFERROR(vlookup('2.3'!G:G,lookup!$A$14:$B$16,2,false),0)</f>
        <v>5</v>
      </c>
      <c r="I25" s="10">
        <f>IFERROR(vlookup('2.3'!H:H,lookup!$A$18:$B$20,2,false),0)</f>
        <v>5</v>
      </c>
      <c r="J25" s="10">
        <f>IFERROR(vlookup('2.3'!I:I,lookup!$A$22:$B$24,2,false),0)</f>
        <v>5</v>
      </c>
      <c r="K25" s="10">
        <f>IFERROR(vlookup('2.3'!J:J,lookup!$A$26:$B$28,2,false),0)</f>
        <v>5</v>
      </c>
      <c r="L25" s="2"/>
      <c r="M25" s="10">
        <v>24.0</v>
      </c>
      <c r="N25" s="11" t="str">
        <f t="shared" si="1"/>
        <v>bnco0924@signalschool.ac.th</v>
      </c>
      <c r="O25" s="12">
        <f t="shared" si="2"/>
        <v>1</v>
      </c>
      <c r="R25" s="17" t="s">
        <v>241</v>
      </c>
    </row>
    <row r="26">
      <c r="A26" s="8">
        <f>'2.3'!A:A</f>
        <v>46212.62614</v>
      </c>
      <c r="B26" s="2" t="str">
        <f>'2.3'!B:B</f>
        <v>bnco0926@signalschool.ac.th</v>
      </c>
      <c r="C26" s="2" t="str">
        <f>'2.3'!C:C</f>
        <v>พ.ต.ไมตรี บุญเหลื่อม</v>
      </c>
      <c r="D26" s="9">
        <v>1.0</v>
      </c>
      <c r="E26" s="10">
        <f>IFERROR(vlookup('2.3'!D:D,lookup!$A$2:$B$4,2,false),0)</f>
        <v>5</v>
      </c>
      <c r="F26" s="10">
        <f>IFERROR(vlookup('2.3'!E:E,lookup!$A$6:$B$8,2,false),0)</f>
        <v>5</v>
      </c>
      <c r="G26" s="10">
        <f>IFERROR(vlookup('2.3'!F:F,lookup!$A$10:$B$12,2,false),0)</f>
        <v>5</v>
      </c>
      <c r="H26" s="10">
        <f>IFERROR(vlookup('2.3'!G:G,lookup!$A$14:$B$16,2,false),0)</f>
        <v>5</v>
      </c>
      <c r="I26" s="10">
        <f>IFERROR(vlookup('2.3'!H:H,lookup!$A$18:$B$20,2,false),0)</f>
        <v>5</v>
      </c>
      <c r="J26" s="10">
        <f>IFERROR(vlookup('2.3'!I:I,lookup!$A$22:$B$24,2,false),0)</f>
        <v>5</v>
      </c>
      <c r="K26" s="10">
        <f>IFERROR(vlookup('2.3'!J:J,lookup!$A$26:$B$28,2,false),0)</f>
        <v>5</v>
      </c>
      <c r="L26" s="2"/>
      <c r="M26" s="10">
        <v>25.0</v>
      </c>
      <c r="N26" s="11" t="str">
        <f t="shared" si="1"/>
        <v>bnco0925@signalschool.ac.th</v>
      </c>
      <c r="O26" s="12">
        <f t="shared" si="2"/>
        <v>1</v>
      </c>
      <c r="R26" s="17" t="s">
        <v>242</v>
      </c>
    </row>
    <row r="27">
      <c r="A27" s="8">
        <f>'2.3'!A:A</f>
        <v>46212.62626</v>
      </c>
      <c r="B27" s="2" t="str">
        <f>'2.3'!B:B</f>
        <v>bnco0934@signalschool.ac.th</v>
      </c>
      <c r="C27" s="2" t="str">
        <f>'2.3'!C:C</f>
        <v>พ.ต.ไมตรี บุญเหลื่อม</v>
      </c>
      <c r="D27" s="9">
        <v>1.0</v>
      </c>
      <c r="E27" s="10">
        <f>IFERROR(vlookup('2.3'!D:D,lookup!$A$2:$B$4,2,false),0)</f>
        <v>5</v>
      </c>
      <c r="F27" s="10">
        <f>IFERROR(vlookup('2.3'!E:E,lookup!$A$6:$B$8,2,false),0)</f>
        <v>5</v>
      </c>
      <c r="G27" s="10">
        <f>IFERROR(vlookup('2.3'!F:F,lookup!$A$10:$B$12,2,false),0)</f>
        <v>5</v>
      </c>
      <c r="H27" s="10">
        <f>IFERROR(vlookup('2.3'!G:G,lookup!$A$14:$B$16,2,false),0)</f>
        <v>5</v>
      </c>
      <c r="I27" s="10">
        <f>IFERROR(vlookup('2.3'!H:H,lookup!$A$18:$B$20,2,false),0)</f>
        <v>5</v>
      </c>
      <c r="J27" s="10">
        <f>IFERROR(vlookup('2.3'!I:I,lookup!$A$22:$B$24,2,false),0)</f>
        <v>5</v>
      </c>
      <c r="K27" s="10">
        <f>IFERROR(vlookup('2.3'!J:J,lookup!$A$26:$B$28,2,false),0)</f>
        <v>5</v>
      </c>
      <c r="L27" s="2"/>
      <c r="M27" s="10">
        <v>26.0</v>
      </c>
      <c r="N27" s="11" t="str">
        <f t="shared" si="1"/>
        <v>bnco0926@signalschool.ac.th</v>
      </c>
      <c r="O27" s="12">
        <f t="shared" si="2"/>
        <v>1</v>
      </c>
      <c r="R27" s="17" t="s">
        <v>243</v>
      </c>
    </row>
    <row r="28">
      <c r="A28" s="8">
        <f>'2.3'!A:A</f>
        <v>46212.62634</v>
      </c>
      <c r="B28" s="2" t="str">
        <f>'2.3'!B:B</f>
        <v>bnco0904@signalschool.ac.th</v>
      </c>
      <c r="C28" s="2" t="str">
        <f>'2.3'!C:C</f>
        <v>พ.ต.ไมตรี  บุญเหลื่อม</v>
      </c>
      <c r="D28" s="9">
        <v>1.0</v>
      </c>
      <c r="E28" s="10">
        <f>IFERROR(vlookup('2.3'!D:D,lookup!$A$2:$B$4,2,false),0)</f>
        <v>5</v>
      </c>
      <c r="F28" s="10">
        <f>IFERROR(vlookup('2.3'!E:E,lookup!$A$6:$B$8,2,false),0)</f>
        <v>5</v>
      </c>
      <c r="G28" s="10">
        <f>IFERROR(vlookup('2.3'!F:F,lookup!$A$10:$B$12,2,false),0)</f>
        <v>5</v>
      </c>
      <c r="H28" s="10">
        <f>IFERROR(vlookup('2.3'!G:G,lookup!$A$14:$B$16,2,false),0)</f>
        <v>5</v>
      </c>
      <c r="I28" s="10">
        <f>IFERROR(vlookup('2.3'!H:H,lookup!$A$18:$B$20,2,false),0)</f>
        <v>5</v>
      </c>
      <c r="J28" s="10">
        <f>IFERROR(vlookup('2.3'!I:I,lookup!$A$22:$B$24,2,false),0)</f>
        <v>5</v>
      </c>
      <c r="K28" s="10">
        <f>IFERROR(vlookup('2.3'!J:J,lookup!$A$26:$B$28,2,false),0)</f>
        <v>5</v>
      </c>
      <c r="L28" s="2"/>
      <c r="M28" s="10">
        <v>27.0</v>
      </c>
      <c r="N28" s="11" t="str">
        <f t="shared" si="1"/>
        <v>bnco0927@signalschool.ac.th</v>
      </c>
      <c r="O28" s="12">
        <f t="shared" si="2"/>
        <v>1</v>
      </c>
      <c r="R28" s="17" t="s">
        <v>244</v>
      </c>
    </row>
    <row r="29">
      <c r="A29" s="8">
        <f>'2.3'!A:A</f>
        <v>46212.62644</v>
      </c>
      <c r="B29" s="2" t="str">
        <f>'2.3'!B:B</f>
        <v>bnco0949@signalschool.ac.th</v>
      </c>
      <c r="C29" s="2" t="str">
        <f>'2.3'!C:C</f>
        <v>พ.ต.ไมตรี บุญเหลื่อม</v>
      </c>
      <c r="D29" s="9">
        <v>1.0</v>
      </c>
      <c r="E29" s="10">
        <f>IFERROR(vlookup('2.3'!D:D,lookup!$A$2:$B$4,2,false),0)</f>
        <v>5</v>
      </c>
      <c r="F29" s="10">
        <f>IFERROR(vlookup('2.3'!E:E,lookup!$A$6:$B$8,2,false),0)</f>
        <v>5</v>
      </c>
      <c r="G29" s="10">
        <f>IFERROR(vlookup('2.3'!F:F,lookup!$A$10:$B$12,2,false),0)</f>
        <v>5</v>
      </c>
      <c r="H29" s="10">
        <f>IFERROR(vlookup('2.3'!G:G,lookup!$A$14:$B$16,2,false),0)</f>
        <v>5</v>
      </c>
      <c r="I29" s="10">
        <f>IFERROR(vlookup('2.3'!H:H,lookup!$A$18:$B$20,2,false),0)</f>
        <v>5</v>
      </c>
      <c r="J29" s="10">
        <f>IFERROR(vlookup('2.3'!I:I,lookup!$A$22:$B$24,2,false),0)</f>
        <v>5</v>
      </c>
      <c r="K29" s="10">
        <f>IFERROR(vlookup('2.3'!J:J,lookup!$A$26:$B$28,2,false),0)</f>
        <v>5</v>
      </c>
      <c r="L29" s="2"/>
      <c r="M29" s="10">
        <v>28.0</v>
      </c>
      <c r="N29" s="11" t="str">
        <f t="shared" si="1"/>
        <v>bnco0928@signalschool.ac.th</v>
      </c>
      <c r="O29" s="12">
        <f t="shared" si="2"/>
        <v>1</v>
      </c>
      <c r="R29" s="17" t="s">
        <v>245</v>
      </c>
    </row>
    <row r="30">
      <c r="A30" s="8">
        <f>'2.3'!A:A</f>
        <v>46212.62649</v>
      </c>
      <c r="B30" s="2" t="str">
        <f>'2.3'!B:B</f>
        <v>bnco0967@signalschool.ac.th</v>
      </c>
      <c r="C30" s="2" t="str">
        <f>'2.3'!C:C</f>
        <v>พ.ต.ไมตรี บุญเหลื่อม</v>
      </c>
      <c r="D30" s="9">
        <v>1.0</v>
      </c>
      <c r="E30" s="10">
        <f>IFERROR(vlookup('2.3'!D:D,lookup!$A$2:$B$4,2,false),0)</f>
        <v>5</v>
      </c>
      <c r="F30" s="10">
        <f>IFERROR(vlookup('2.3'!E:E,lookup!$A$6:$B$8,2,false),0)</f>
        <v>5</v>
      </c>
      <c r="G30" s="10">
        <f>IFERROR(vlookup('2.3'!F:F,lookup!$A$10:$B$12,2,false),0)</f>
        <v>5</v>
      </c>
      <c r="H30" s="10">
        <f>IFERROR(vlookup('2.3'!G:G,lookup!$A$14:$B$16,2,false),0)</f>
        <v>5</v>
      </c>
      <c r="I30" s="10">
        <f>IFERROR(vlookup('2.3'!H:H,lookup!$A$18:$B$20,2,false),0)</f>
        <v>5</v>
      </c>
      <c r="J30" s="10">
        <f>IFERROR(vlookup('2.3'!I:I,lookup!$A$22:$B$24,2,false),0)</f>
        <v>5</v>
      </c>
      <c r="K30" s="10">
        <f>IFERROR(vlookup('2.3'!J:J,lookup!$A$26:$B$28,2,false),0)</f>
        <v>5</v>
      </c>
      <c r="L30" s="2"/>
      <c r="M30" s="10">
        <v>29.0</v>
      </c>
      <c r="N30" s="11" t="str">
        <f t="shared" si="1"/>
        <v>bnco0929@signalschool.ac.th</v>
      </c>
      <c r="O30" s="12">
        <f t="shared" si="2"/>
        <v>1</v>
      </c>
      <c r="R30" s="17" t="s">
        <v>246</v>
      </c>
    </row>
    <row r="31">
      <c r="A31" s="8">
        <f>'2.3'!A:A</f>
        <v>46212.62653</v>
      </c>
      <c r="B31" s="2" t="str">
        <f>'2.3'!B:B</f>
        <v>bnco0914@signalschool.ac.th</v>
      </c>
      <c r="C31" s="2" t="str">
        <f>'2.3'!C:C</f>
        <v>พ.ต.ไมตรี บุญเหลื่อม</v>
      </c>
      <c r="D31" s="9">
        <v>1.0</v>
      </c>
      <c r="E31" s="10">
        <f>IFERROR(vlookup('2.3'!D:D,lookup!$A$2:$B$4,2,false),0)</f>
        <v>5</v>
      </c>
      <c r="F31" s="10">
        <f>IFERROR(vlookup('2.3'!E:E,lookup!$A$6:$B$8,2,false),0)</f>
        <v>5</v>
      </c>
      <c r="G31" s="10">
        <f>IFERROR(vlookup('2.3'!F:F,lookup!$A$10:$B$12,2,false),0)</f>
        <v>5</v>
      </c>
      <c r="H31" s="10">
        <f>IFERROR(vlookup('2.3'!G:G,lookup!$A$14:$B$16,2,false),0)</f>
        <v>5</v>
      </c>
      <c r="I31" s="10">
        <f>IFERROR(vlookup('2.3'!H:H,lookup!$A$18:$B$20,2,false),0)</f>
        <v>5</v>
      </c>
      <c r="J31" s="10">
        <f>IFERROR(vlookup('2.3'!I:I,lookup!$A$22:$B$24,2,false),0)</f>
        <v>5</v>
      </c>
      <c r="K31" s="10">
        <f>IFERROR(vlookup('2.3'!J:J,lookup!$A$26:$B$28,2,false),0)</f>
        <v>5</v>
      </c>
      <c r="L31" s="2"/>
      <c r="M31" s="10">
        <v>30.0</v>
      </c>
      <c r="N31" s="11" t="str">
        <f t="shared" si="1"/>
        <v>bnco0930@signalschool.ac.th</v>
      </c>
      <c r="O31" s="12">
        <f t="shared" si="2"/>
        <v>1</v>
      </c>
      <c r="R31" s="17" t="s">
        <v>247</v>
      </c>
    </row>
    <row r="32">
      <c r="A32" s="8">
        <f>'2.3'!A:A</f>
        <v>46212.62668</v>
      </c>
      <c r="B32" s="2" t="str">
        <f>'2.3'!B:B</f>
        <v>bnco0948@signalschool.ac.th</v>
      </c>
      <c r="C32" s="2" t="str">
        <f>'2.3'!C:C</f>
        <v>พ.ต.ไมตรี บุญเหลื่อม</v>
      </c>
      <c r="D32" s="9">
        <v>1.0</v>
      </c>
      <c r="E32" s="10">
        <f>IFERROR(vlookup('2.3'!D:D,lookup!$A$2:$B$4,2,false),0)</f>
        <v>5</v>
      </c>
      <c r="F32" s="10">
        <f>IFERROR(vlookup('2.3'!E:E,lookup!$A$6:$B$8,2,false),0)</f>
        <v>5</v>
      </c>
      <c r="G32" s="10">
        <f>IFERROR(vlookup('2.3'!F:F,lookup!$A$10:$B$12,2,false),0)</f>
        <v>5</v>
      </c>
      <c r="H32" s="10">
        <f>IFERROR(vlookup('2.3'!G:G,lookup!$A$14:$B$16,2,false),0)</f>
        <v>5</v>
      </c>
      <c r="I32" s="10">
        <f>IFERROR(vlookup('2.3'!H:H,lookup!$A$18:$B$20,2,false),0)</f>
        <v>5</v>
      </c>
      <c r="J32" s="10">
        <f>IFERROR(vlookup('2.3'!I:I,lookup!$A$22:$B$24,2,false),0)</f>
        <v>5</v>
      </c>
      <c r="K32" s="10">
        <f>IFERROR(vlookup('2.3'!J:J,lookup!$A$26:$B$28,2,false),0)</f>
        <v>5</v>
      </c>
      <c r="L32" s="2"/>
      <c r="M32" s="10">
        <v>31.0</v>
      </c>
      <c r="N32" s="11" t="str">
        <f t="shared" si="1"/>
        <v>bnco0931@signalschool.ac.th</v>
      </c>
      <c r="O32" s="12">
        <f t="shared" si="2"/>
        <v>1</v>
      </c>
      <c r="R32" s="17" t="s">
        <v>248</v>
      </c>
    </row>
    <row r="33">
      <c r="A33" s="8">
        <f>'2.3'!A:A</f>
        <v>46212.62669</v>
      </c>
      <c r="B33" s="2" t="str">
        <f>'2.3'!B:B</f>
        <v>bnco0919@signalschool.ac.th</v>
      </c>
      <c r="C33" s="2" t="str">
        <f>'2.3'!C:C</f>
        <v>พ.ต.ไมตรี บุญเหลื่อม</v>
      </c>
      <c r="D33" s="9">
        <v>1.0</v>
      </c>
      <c r="E33" s="10">
        <f>IFERROR(vlookup('2.3'!D:D,lookup!$A$2:$B$4,2,false),0)</f>
        <v>5</v>
      </c>
      <c r="F33" s="10">
        <f>IFERROR(vlookup('2.3'!E:E,lookup!$A$6:$B$8,2,false),0)</f>
        <v>5</v>
      </c>
      <c r="G33" s="10">
        <f>IFERROR(vlookup('2.3'!F:F,lookup!$A$10:$B$12,2,false),0)</f>
        <v>5</v>
      </c>
      <c r="H33" s="10">
        <f>IFERROR(vlookup('2.3'!G:G,lookup!$A$14:$B$16,2,false),0)</f>
        <v>5</v>
      </c>
      <c r="I33" s="10">
        <f>IFERROR(vlookup('2.3'!H:H,lookup!$A$18:$B$20,2,false),0)</f>
        <v>5</v>
      </c>
      <c r="J33" s="10">
        <f>IFERROR(vlookup('2.3'!I:I,lookup!$A$22:$B$24,2,false),0)</f>
        <v>5</v>
      </c>
      <c r="K33" s="10">
        <f>IFERROR(vlookup('2.3'!J:J,lookup!$A$26:$B$28,2,false),0)</f>
        <v>5</v>
      </c>
      <c r="L33" s="2"/>
      <c r="M33" s="10">
        <v>32.0</v>
      </c>
      <c r="N33" s="11" t="str">
        <f t="shared" si="1"/>
        <v>bnco0932@signalschool.ac.th</v>
      </c>
      <c r="O33" s="12">
        <f t="shared" si="2"/>
        <v>1</v>
      </c>
      <c r="R33" s="17" t="s">
        <v>249</v>
      </c>
    </row>
    <row r="34">
      <c r="A34" s="8">
        <f>'2.3'!A:A</f>
        <v>46212.62674</v>
      </c>
      <c r="B34" s="2" t="str">
        <f>'2.3'!B:B</f>
        <v>bnco0908@signalschool.ac.th</v>
      </c>
      <c r="C34" s="2" t="str">
        <f>'2.3'!C:C</f>
        <v>พ.ต.ไมตรี บุญเหลื่อม</v>
      </c>
      <c r="D34" s="9">
        <v>1.0</v>
      </c>
      <c r="E34" s="10">
        <f>IFERROR(vlookup('2.3'!D:D,lookup!$A$2:$B$4,2,false),0)</f>
        <v>5</v>
      </c>
      <c r="F34" s="10">
        <f>IFERROR(vlookup('2.3'!E:E,lookup!$A$6:$B$8,2,false),0)</f>
        <v>5</v>
      </c>
      <c r="G34" s="10">
        <f>IFERROR(vlookup('2.3'!F:F,lookup!$A$10:$B$12,2,false),0)</f>
        <v>5</v>
      </c>
      <c r="H34" s="10">
        <f>IFERROR(vlookup('2.3'!G:G,lookup!$A$14:$B$16,2,false),0)</f>
        <v>5</v>
      </c>
      <c r="I34" s="10">
        <f>IFERROR(vlookup('2.3'!H:H,lookup!$A$18:$B$20,2,false),0)</f>
        <v>5</v>
      </c>
      <c r="J34" s="10">
        <f>IFERROR(vlookup('2.3'!I:I,lookup!$A$22:$B$24,2,false),0)</f>
        <v>5</v>
      </c>
      <c r="K34" s="10">
        <f>IFERROR(vlookup('2.3'!J:J,lookup!$A$26:$B$28,2,false),0)</f>
        <v>5</v>
      </c>
      <c r="L34" s="2"/>
      <c r="M34" s="10">
        <v>33.0</v>
      </c>
      <c r="N34" s="11" t="str">
        <f t="shared" si="1"/>
        <v>bnco0933@signalschool.ac.th</v>
      </c>
      <c r="O34" s="12">
        <f t="shared" si="2"/>
        <v>1</v>
      </c>
      <c r="R34" s="17" t="s">
        <v>250</v>
      </c>
    </row>
    <row r="35">
      <c r="A35" s="8">
        <f>'2.3'!A:A</f>
        <v>46212.62675</v>
      </c>
      <c r="B35" s="2" t="str">
        <f>'2.3'!B:B</f>
        <v>bnco0913@signalschool.ac.th</v>
      </c>
      <c r="C35" s="2" t="str">
        <f>'2.3'!C:C</f>
        <v>พ.ต.ไมตรี บุญเหลื่อม</v>
      </c>
      <c r="D35" s="9">
        <v>1.0</v>
      </c>
      <c r="E35" s="10">
        <f>IFERROR(vlookup('2.3'!D:D,lookup!$A$2:$B$4,2,false),0)</f>
        <v>5</v>
      </c>
      <c r="F35" s="10">
        <f>IFERROR(vlookup('2.3'!E:E,lookup!$A$6:$B$8,2,false),0)</f>
        <v>5</v>
      </c>
      <c r="G35" s="10">
        <f>IFERROR(vlookup('2.3'!F:F,lookup!$A$10:$B$12,2,false),0)</f>
        <v>5</v>
      </c>
      <c r="H35" s="10">
        <f>IFERROR(vlookup('2.3'!G:G,lookup!$A$14:$B$16,2,false),0)</f>
        <v>5</v>
      </c>
      <c r="I35" s="10">
        <f>IFERROR(vlookup('2.3'!H:H,lookup!$A$18:$B$20,2,false),0)</f>
        <v>5</v>
      </c>
      <c r="J35" s="10">
        <f>IFERROR(vlookup('2.3'!I:I,lookup!$A$22:$B$24,2,false),0)</f>
        <v>5</v>
      </c>
      <c r="K35" s="10">
        <f>IFERROR(vlookup('2.3'!J:J,lookup!$A$26:$B$28,2,false),0)</f>
        <v>5</v>
      </c>
      <c r="L35" s="2"/>
      <c r="M35" s="10">
        <v>34.0</v>
      </c>
      <c r="N35" s="11" t="str">
        <f t="shared" si="1"/>
        <v>bnco0934@signalschool.ac.th</v>
      </c>
      <c r="O35" s="12">
        <f t="shared" si="2"/>
        <v>1</v>
      </c>
      <c r="R35" s="17" t="s">
        <v>251</v>
      </c>
    </row>
    <row r="36">
      <c r="A36" s="8">
        <f>'2.3'!A:A</f>
        <v>46212.62687</v>
      </c>
      <c r="B36" s="2" t="str">
        <f>'2.3'!B:B</f>
        <v>bnco0927@signalschool.ac.th</v>
      </c>
      <c r="C36" s="2" t="str">
        <f>'2.3'!C:C</f>
        <v>พ.ต.ไมตรี บุญเหลื่อม</v>
      </c>
      <c r="D36" s="9">
        <v>1.0</v>
      </c>
      <c r="E36" s="10">
        <f>IFERROR(vlookup('2.3'!D:D,lookup!$A$2:$B$4,2,false),0)</f>
        <v>5</v>
      </c>
      <c r="F36" s="10">
        <f>IFERROR(vlookup('2.3'!E:E,lookup!$A$6:$B$8,2,false),0)</f>
        <v>5</v>
      </c>
      <c r="G36" s="10">
        <f>IFERROR(vlookup('2.3'!F:F,lookup!$A$10:$B$12,2,false),0)</f>
        <v>5</v>
      </c>
      <c r="H36" s="10">
        <f>IFERROR(vlookup('2.3'!G:G,lookup!$A$14:$B$16,2,false),0)</f>
        <v>5</v>
      </c>
      <c r="I36" s="10">
        <f>IFERROR(vlookup('2.3'!H:H,lookup!$A$18:$B$20,2,false),0)</f>
        <v>5</v>
      </c>
      <c r="J36" s="10">
        <f>IFERROR(vlookup('2.3'!I:I,lookup!$A$22:$B$24,2,false),0)</f>
        <v>5</v>
      </c>
      <c r="K36" s="10">
        <f>IFERROR(vlookup('2.3'!J:J,lookup!$A$26:$B$28,2,false),0)</f>
        <v>5</v>
      </c>
      <c r="L36" s="2"/>
      <c r="M36" s="10">
        <v>35.0</v>
      </c>
      <c r="N36" s="11" t="str">
        <f t="shared" si="1"/>
        <v>bnco0935@signalschool.ac.th</v>
      </c>
      <c r="O36" s="12">
        <f t="shared" si="2"/>
        <v>1</v>
      </c>
      <c r="R36" s="17" t="s">
        <v>252</v>
      </c>
    </row>
    <row r="37">
      <c r="A37" s="8">
        <f>'2.3'!A:A</f>
        <v>46212.627</v>
      </c>
      <c r="B37" s="2" t="str">
        <f>'2.3'!B:B</f>
        <v>bnco0936@signalschool.ac.th</v>
      </c>
      <c r="C37" s="2" t="str">
        <f>'2.3'!C:C</f>
        <v>พ.ต.ไมตรี บุญเหลื่อม</v>
      </c>
      <c r="D37" s="9">
        <v>1.0</v>
      </c>
      <c r="E37" s="10">
        <f>IFERROR(vlookup('2.3'!D:D,lookup!$A$2:$B$4,2,false),0)</f>
        <v>5</v>
      </c>
      <c r="F37" s="10">
        <f>IFERROR(vlookup('2.3'!E:E,lookup!$A$6:$B$8,2,false),0)</f>
        <v>5</v>
      </c>
      <c r="G37" s="10">
        <f>IFERROR(vlookup('2.3'!F:F,lookup!$A$10:$B$12,2,false),0)</f>
        <v>5</v>
      </c>
      <c r="H37" s="10">
        <f>IFERROR(vlookup('2.3'!G:G,lookup!$A$14:$B$16,2,false),0)</f>
        <v>5</v>
      </c>
      <c r="I37" s="10">
        <f>IFERROR(vlookup('2.3'!H:H,lookup!$A$18:$B$20,2,false),0)</f>
        <v>5</v>
      </c>
      <c r="J37" s="10">
        <f>IFERROR(vlookup('2.3'!I:I,lookup!$A$22:$B$24,2,false),0)</f>
        <v>5</v>
      </c>
      <c r="K37" s="10">
        <f>IFERROR(vlookup('2.3'!J:J,lookup!$A$26:$B$28,2,false),0)</f>
        <v>5</v>
      </c>
      <c r="L37" s="2"/>
      <c r="M37" s="10">
        <v>36.0</v>
      </c>
      <c r="N37" s="11" t="str">
        <f t="shared" si="1"/>
        <v>bnco0936@signalschool.ac.th</v>
      </c>
      <c r="O37" s="12">
        <f t="shared" si="2"/>
        <v>1</v>
      </c>
      <c r="R37" s="17" t="s">
        <v>253</v>
      </c>
    </row>
    <row r="38">
      <c r="A38" s="8">
        <f>'2.3'!A:A</f>
        <v>46212.62708</v>
      </c>
      <c r="B38" s="2" t="str">
        <f>'2.3'!B:B</f>
        <v>bnco0909@signalschool.ac.th</v>
      </c>
      <c r="C38" s="2" t="str">
        <f>'2.3'!C:C</f>
        <v>พ.ต. ไมตรี บุญเหลือม</v>
      </c>
      <c r="D38" s="9">
        <v>1.0</v>
      </c>
      <c r="E38" s="10">
        <f>IFERROR(vlookup('2.3'!D:D,lookup!$A$2:$B$4,2,false),0)</f>
        <v>5</v>
      </c>
      <c r="F38" s="10">
        <f>IFERROR(vlookup('2.3'!E:E,lookup!$A$6:$B$8,2,false),0)</f>
        <v>5</v>
      </c>
      <c r="G38" s="10">
        <f>IFERROR(vlookup('2.3'!F:F,lookup!$A$10:$B$12,2,false),0)</f>
        <v>5</v>
      </c>
      <c r="H38" s="10">
        <f>IFERROR(vlookup('2.3'!G:G,lookup!$A$14:$B$16,2,false),0)</f>
        <v>5</v>
      </c>
      <c r="I38" s="10">
        <f>IFERROR(vlookup('2.3'!H:H,lookup!$A$18:$B$20,2,false),0)</f>
        <v>5</v>
      </c>
      <c r="J38" s="10">
        <f>IFERROR(vlookup('2.3'!I:I,lookup!$A$22:$B$24,2,false),0)</f>
        <v>5</v>
      </c>
      <c r="K38" s="10">
        <f>IFERROR(vlookup('2.3'!J:J,lookup!$A$26:$B$28,2,false),0)</f>
        <v>5</v>
      </c>
      <c r="L38" s="2"/>
      <c r="M38" s="10">
        <v>37.0</v>
      </c>
      <c r="N38" s="11" t="str">
        <f t="shared" si="1"/>
        <v>bnco0937@signalschool.ac.th</v>
      </c>
      <c r="O38" s="12">
        <f t="shared" si="2"/>
        <v>1</v>
      </c>
      <c r="R38" s="17" t="s">
        <v>254</v>
      </c>
    </row>
    <row r="39">
      <c r="A39" s="8">
        <f>'2.3'!A:A</f>
        <v>46212.62734</v>
      </c>
      <c r="B39" s="2" t="str">
        <f>'2.3'!B:B</f>
        <v>bnco0979@signalschool.ac.th</v>
      </c>
      <c r="C39" s="2" t="str">
        <f>'2.3'!C:C</f>
        <v>พ.ต.ไมตร บุญเหลื่อม</v>
      </c>
      <c r="D39" s="9">
        <v>1.0</v>
      </c>
      <c r="E39" s="10">
        <f>IFERROR(vlookup('2.3'!D:D,lookup!$A$2:$B$4,2,false),0)</f>
        <v>5</v>
      </c>
      <c r="F39" s="10">
        <f>IFERROR(vlookup('2.3'!E:E,lookup!$A$6:$B$8,2,false),0)</f>
        <v>5</v>
      </c>
      <c r="G39" s="10">
        <f>IFERROR(vlookup('2.3'!F:F,lookup!$A$10:$B$12,2,false),0)</f>
        <v>5</v>
      </c>
      <c r="H39" s="10">
        <f>IFERROR(vlookup('2.3'!G:G,lookup!$A$14:$B$16,2,false),0)</f>
        <v>5</v>
      </c>
      <c r="I39" s="10">
        <f>IFERROR(vlookup('2.3'!H:H,lookup!$A$18:$B$20,2,false),0)</f>
        <v>5</v>
      </c>
      <c r="J39" s="10">
        <f>IFERROR(vlookup('2.3'!I:I,lookup!$A$22:$B$24,2,false),0)</f>
        <v>5</v>
      </c>
      <c r="K39" s="10">
        <f>IFERROR(vlookup('2.3'!J:J,lookup!$A$26:$B$28,2,false),0)</f>
        <v>5</v>
      </c>
      <c r="L39" s="2"/>
      <c r="M39" s="10">
        <v>38.0</v>
      </c>
      <c r="N39" s="11" t="str">
        <f t="shared" si="1"/>
        <v>bnco0938@signalschool.ac.th</v>
      </c>
      <c r="O39" s="12">
        <f t="shared" si="2"/>
        <v>1</v>
      </c>
      <c r="R39" s="17" t="s">
        <v>255</v>
      </c>
    </row>
    <row r="40">
      <c r="A40" s="8">
        <f>'2.3'!A:A</f>
        <v>46212.62744</v>
      </c>
      <c r="B40" s="2" t="str">
        <f>'2.3'!B:B</f>
        <v>bnco0978@signalschool.ac.th</v>
      </c>
      <c r="C40" s="2" t="str">
        <f>'2.3'!C:C</f>
        <v>พ.ต.ไมตรี บุญเหลื่อม</v>
      </c>
      <c r="D40" s="9">
        <v>1.0</v>
      </c>
      <c r="E40" s="10">
        <f>IFERROR(vlookup('2.3'!D:D,lookup!$A$2:$B$4,2,false),0)</f>
        <v>5</v>
      </c>
      <c r="F40" s="10">
        <f>IFERROR(vlookup('2.3'!E:E,lookup!$A$6:$B$8,2,false),0)</f>
        <v>5</v>
      </c>
      <c r="G40" s="10">
        <f>IFERROR(vlookup('2.3'!F:F,lookup!$A$10:$B$12,2,false),0)</f>
        <v>5</v>
      </c>
      <c r="H40" s="10">
        <f>IFERROR(vlookup('2.3'!G:G,lookup!$A$14:$B$16,2,false),0)</f>
        <v>5</v>
      </c>
      <c r="I40" s="10">
        <f>IFERROR(vlookup('2.3'!H:H,lookup!$A$18:$B$20,2,false),0)</f>
        <v>5</v>
      </c>
      <c r="J40" s="10">
        <f>IFERROR(vlookup('2.3'!I:I,lookup!$A$22:$B$24,2,false),0)</f>
        <v>5</v>
      </c>
      <c r="K40" s="10">
        <f>IFERROR(vlookup('2.3'!J:J,lookup!$A$26:$B$28,2,false),0)</f>
        <v>5</v>
      </c>
      <c r="L40" s="2"/>
      <c r="M40" s="10">
        <v>39.0</v>
      </c>
      <c r="N40" s="11" t="str">
        <f t="shared" si="1"/>
        <v>bnco0939@signalschool.ac.th</v>
      </c>
      <c r="O40" s="12">
        <f t="shared" si="2"/>
        <v>1</v>
      </c>
      <c r="R40" s="17" t="s">
        <v>256</v>
      </c>
    </row>
    <row r="41">
      <c r="A41" s="8">
        <f>'2.3'!A:A</f>
        <v>46212.62755</v>
      </c>
      <c r="B41" s="2" t="str">
        <f>'2.3'!B:B</f>
        <v>bnco0916@signalschool.ac.th</v>
      </c>
      <c r="C41" s="2" t="str">
        <f>'2.3'!C:C</f>
        <v>พ.ต.ไมตรี บุญเหลื่อม</v>
      </c>
      <c r="D41" s="9">
        <v>1.0</v>
      </c>
      <c r="E41" s="10">
        <f>IFERROR(vlookup('2.3'!D:D,lookup!$A$2:$B$4,2,false),0)</f>
        <v>5</v>
      </c>
      <c r="F41" s="10">
        <f>IFERROR(vlookup('2.3'!E:E,lookup!$A$6:$B$8,2,false),0)</f>
        <v>5</v>
      </c>
      <c r="G41" s="10">
        <f>IFERROR(vlookup('2.3'!F:F,lookup!$A$10:$B$12,2,false),0)</f>
        <v>5</v>
      </c>
      <c r="H41" s="10">
        <f>IFERROR(vlookup('2.3'!G:G,lookup!$A$14:$B$16,2,false),0)</f>
        <v>5</v>
      </c>
      <c r="I41" s="10">
        <f>IFERROR(vlookup('2.3'!H:H,lookup!$A$18:$B$20,2,false),0)</f>
        <v>5</v>
      </c>
      <c r="J41" s="10">
        <f>IFERROR(vlookup('2.3'!I:I,lookup!$A$22:$B$24,2,false),0)</f>
        <v>5</v>
      </c>
      <c r="K41" s="10">
        <f>IFERROR(vlookup('2.3'!J:J,lookup!$A$26:$B$28,2,false),0)</f>
        <v>5</v>
      </c>
      <c r="L41" s="2"/>
      <c r="M41" s="10">
        <v>40.0</v>
      </c>
      <c r="N41" s="11" t="str">
        <f t="shared" si="1"/>
        <v>bnco0940@signalschool.ac.th</v>
      </c>
      <c r="O41" s="12">
        <f t="shared" si="2"/>
        <v>1</v>
      </c>
      <c r="R41" s="17" t="s">
        <v>257</v>
      </c>
    </row>
    <row r="42">
      <c r="A42" s="8">
        <f>'2.3'!A:A</f>
        <v>46212.62777</v>
      </c>
      <c r="B42" s="2" t="str">
        <f>'2.3'!B:B</f>
        <v>bnco0968@signalschool.ac.th</v>
      </c>
      <c r="C42" s="2" t="str">
        <f>'2.3'!C:C</f>
        <v>พ.ต.ไมตรี บุญเหลื่อม</v>
      </c>
      <c r="D42" s="9">
        <v>1.0</v>
      </c>
      <c r="E42" s="10">
        <f>IFERROR(vlookup('2.3'!D:D,lookup!$A$2:$B$4,2,false),0)</f>
        <v>5</v>
      </c>
      <c r="F42" s="10">
        <f>IFERROR(vlookup('2.3'!E:E,lookup!$A$6:$B$8,2,false),0)</f>
        <v>5</v>
      </c>
      <c r="G42" s="10">
        <f>IFERROR(vlookup('2.3'!F:F,lookup!$A$10:$B$12,2,false),0)</f>
        <v>5</v>
      </c>
      <c r="H42" s="10">
        <f>IFERROR(vlookup('2.3'!G:G,lookup!$A$14:$B$16,2,false),0)</f>
        <v>5</v>
      </c>
      <c r="I42" s="10">
        <f>IFERROR(vlookup('2.3'!H:H,lookup!$A$18:$B$20,2,false),0)</f>
        <v>5</v>
      </c>
      <c r="J42" s="10">
        <f>IFERROR(vlookup('2.3'!I:I,lookup!$A$22:$B$24,2,false),0)</f>
        <v>5</v>
      </c>
      <c r="K42" s="10">
        <f>IFERROR(vlookup('2.3'!J:J,lookup!$A$26:$B$28,2,false),0)</f>
        <v>5</v>
      </c>
      <c r="L42" s="2"/>
      <c r="M42" s="10">
        <v>41.0</v>
      </c>
      <c r="N42" s="11" t="str">
        <f t="shared" si="1"/>
        <v>bnco0941@signalschool.ac.th</v>
      </c>
      <c r="O42" s="12">
        <f t="shared" si="2"/>
        <v>1</v>
      </c>
      <c r="R42" s="17" t="s">
        <v>258</v>
      </c>
    </row>
    <row r="43">
      <c r="A43" s="8">
        <f>'2.3'!A:A</f>
        <v>46212.62782</v>
      </c>
      <c r="B43" s="2" t="str">
        <f>'2.3'!B:B</f>
        <v>bnco0970@signalschool.ac.th</v>
      </c>
      <c r="C43" s="2" t="str">
        <f>'2.3'!C:C</f>
        <v>พ.ต.ไมตรี บุญเหลื่อม</v>
      </c>
      <c r="D43" s="9">
        <v>1.0</v>
      </c>
      <c r="E43" s="10">
        <f>IFERROR(vlookup('2.3'!D:D,lookup!$A$2:$B$4,2,false),0)</f>
        <v>5</v>
      </c>
      <c r="F43" s="10">
        <f>IFERROR(vlookup('2.3'!E:E,lookup!$A$6:$B$8,2,false),0)</f>
        <v>5</v>
      </c>
      <c r="G43" s="10">
        <f>IFERROR(vlookup('2.3'!F:F,lookup!$A$10:$B$12,2,false),0)</f>
        <v>5</v>
      </c>
      <c r="H43" s="10">
        <f>IFERROR(vlookup('2.3'!G:G,lookup!$A$14:$B$16,2,false),0)</f>
        <v>5</v>
      </c>
      <c r="I43" s="10">
        <f>IFERROR(vlookup('2.3'!H:H,lookup!$A$18:$B$20,2,false),0)</f>
        <v>5</v>
      </c>
      <c r="J43" s="10">
        <f>IFERROR(vlookup('2.3'!I:I,lookup!$A$22:$B$24,2,false),0)</f>
        <v>5</v>
      </c>
      <c r="K43" s="10">
        <f>IFERROR(vlookup('2.3'!J:J,lookup!$A$26:$B$28,2,false),0)</f>
        <v>5</v>
      </c>
      <c r="L43" s="2"/>
      <c r="M43" s="10">
        <v>42.0</v>
      </c>
      <c r="N43" s="11" t="str">
        <f t="shared" si="1"/>
        <v>bnco0942@signalschool.ac.th</v>
      </c>
      <c r="O43" s="12">
        <f t="shared" si="2"/>
        <v>1</v>
      </c>
      <c r="R43" s="17" t="s">
        <v>259</v>
      </c>
    </row>
    <row r="44">
      <c r="A44" s="8">
        <f>'2.3'!A:A</f>
        <v>46212.62789</v>
      </c>
      <c r="B44" s="2" t="str">
        <f>'2.3'!B:B</f>
        <v>bnco0921@signalschool.ac.th</v>
      </c>
      <c r="C44" s="2" t="str">
        <f>'2.3'!C:C</f>
        <v>พ.ต.ไมตรี บุญเหลื่อม</v>
      </c>
      <c r="D44" s="9">
        <v>1.0</v>
      </c>
      <c r="E44" s="10">
        <f>IFERROR(vlookup('2.3'!D:D,lookup!$A$2:$B$4,2,false),0)</f>
        <v>5</v>
      </c>
      <c r="F44" s="10">
        <f>IFERROR(vlookup('2.3'!E:E,lookup!$A$6:$B$8,2,false),0)</f>
        <v>5</v>
      </c>
      <c r="G44" s="10">
        <f>IFERROR(vlookup('2.3'!F:F,lookup!$A$10:$B$12,2,false),0)</f>
        <v>5</v>
      </c>
      <c r="H44" s="10">
        <f>IFERROR(vlookup('2.3'!G:G,lookup!$A$14:$B$16,2,false),0)</f>
        <v>5</v>
      </c>
      <c r="I44" s="10">
        <f>IFERROR(vlookup('2.3'!H:H,lookup!$A$18:$B$20,2,false),0)</f>
        <v>5</v>
      </c>
      <c r="J44" s="10">
        <f>IFERROR(vlookup('2.3'!I:I,lookup!$A$22:$B$24,2,false),0)</f>
        <v>5</v>
      </c>
      <c r="K44" s="10">
        <f>IFERROR(vlookup('2.3'!J:J,lookup!$A$26:$B$28,2,false),0)</f>
        <v>5</v>
      </c>
      <c r="L44" s="2"/>
      <c r="M44" s="10">
        <v>43.0</v>
      </c>
      <c r="N44" s="11" t="str">
        <f t="shared" si="1"/>
        <v>bnco0943@signalschool.ac.th</v>
      </c>
      <c r="O44" s="12">
        <f t="shared" si="2"/>
        <v>1</v>
      </c>
      <c r="R44" s="17" t="s">
        <v>260</v>
      </c>
    </row>
    <row r="45">
      <c r="A45" s="8">
        <f>'2.3'!A:A</f>
        <v>46212.62805</v>
      </c>
      <c r="B45" s="2" t="str">
        <f>'2.3'!B:B</f>
        <v>bnco0964@signalschool.ac.th</v>
      </c>
      <c r="C45" s="2" t="str">
        <f>'2.3'!C:C</f>
        <v>พ.ต.ไมตรี บุญเหลื่อม</v>
      </c>
      <c r="D45" s="9">
        <v>1.0</v>
      </c>
      <c r="E45" s="10">
        <f>IFERROR(vlookup('2.3'!D:D,lookup!$A$2:$B$4,2,false),0)</f>
        <v>5</v>
      </c>
      <c r="F45" s="10">
        <f>IFERROR(vlookup('2.3'!E:E,lookup!$A$6:$B$8,2,false),0)</f>
        <v>5</v>
      </c>
      <c r="G45" s="10">
        <f>IFERROR(vlookup('2.3'!F:F,lookup!$A$10:$B$12,2,false),0)</f>
        <v>5</v>
      </c>
      <c r="H45" s="10">
        <f>IFERROR(vlookup('2.3'!G:G,lookup!$A$14:$B$16,2,false),0)</f>
        <v>5</v>
      </c>
      <c r="I45" s="10">
        <f>IFERROR(vlookup('2.3'!H:H,lookup!$A$18:$B$20,2,false),0)</f>
        <v>5</v>
      </c>
      <c r="J45" s="10">
        <f>IFERROR(vlookup('2.3'!I:I,lookup!$A$22:$B$24,2,false),0)</f>
        <v>5</v>
      </c>
      <c r="K45" s="10">
        <f>IFERROR(vlookup('2.3'!J:J,lookup!$A$26:$B$28,2,false),0)</f>
        <v>5</v>
      </c>
      <c r="L45" s="2"/>
      <c r="M45" s="10">
        <v>44.0</v>
      </c>
      <c r="N45" s="11" t="str">
        <f t="shared" si="1"/>
        <v>bnco0944@signalschool.ac.th</v>
      </c>
      <c r="O45" s="12">
        <f t="shared" si="2"/>
        <v>1</v>
      </c>
      <c r="R45" s="17" t="s">
        <v>261</v>
      </c>
    </row>
    <row r="46">
      <c r="A46" s="8">
        <f>'2.3'!A:A</f>
        <v>46212.62828</v>
      </c>
      <c r="B46" s="2" t="str">
        <f>'2.3'!B:B</f>
        <v>bnco0965@signalschool.ac.th</v>
      </c>
      <c r="C46" s="2" t="str">
        <f>'2.3'!C:C</f>
        <v>พ.ต.ไมตรี บุญเหลื่อม</v>
      </c>
      <c r="D46" s="9">
        <v>1.0</v>
      </c>
      <c r="E46" s="10">
        <f>IFERROR(vlookup('2.3'!D:D,lookup!$A$2:$B$4,2,false),0)</f>
        <v>5</v>
      </c>
      <c r="F46" s="10">
        <f>IFERROR(vlookup('2.3'!E:E,lookup!$A$6:$B$8,2,false),0)</f>
        <v>5</v>
      </c>
      <c r="G46" s="10">
        <f>IFERROR(vlookup('2.3'!F:F,lookup!$A$10:$B$12,2,false),0)</f>
        <v>5</v>
      </c>
      <c r="H46" s="10">
        <f>IFERROR(vlookup('2.3'!G:G,lookup!$A$14:$B$16,2,false),0)</f>
        <v>5</v>
      </c>
      <c r="I46" s="10">
        <f>IFERROR(vlookup('2.3'!H:H,lookup!$A$18:$B$20,2,false),0)</f>
        <v>5</v>
      </c>
      <c r="J46" s="10">
        <f>IFERROR(vlookup('2.3'!I:I,lookup!$A$22:$B$24,2,false),0)</f>
        <v>5</v>
      </c>
      <c r="K46" s="10">
        <f>IFERROR(vlookup('2.3'!J:J,lookup!$A$26:$B$28,2,false),0)</f>
        <v>5</v>
      </c>
      <c r="L46" s="2"/>
      <c r="M46" s="10">
        <v>45.0</v>
      </c>
      <c r="N46" s="11" t="str">
        <f t="shared" si="1"/>
        <v>bnco0945@signalschool.ac.th</v>
      </c>
      <c r="O46" s="12">
        <f t="shared" si="2"/>
        <v>1</v>
      </c>
      <c r="R46" s="17" t="s">
        <v>262</v>
      </c>
    </row>
    <row r="47">
      <c r="A47" s="8">
        <f>'2.3'!A:A</f>
        <v>46212.62833</v>
      </c>
      <c r="B47" s="2" t="str">
        <f>'2.3'!B:B</f>
        <v>bnco0929@signalschool.ac.th</v>
      </c>
      <c r="C47" s="2" t="str">
        <f>'2.3'!C:C</f>
        <v>พ.ต.ไมตรี บุญเหลื่อม</v>
      </c>
      <c r="D47" s="9">
        <v>1.0</v>
      </c>
      <c r="E47" s="10">
        <f>IFERROR(vlookup('2.3'!D:D,lookup!$A$2:$B$4,2,false),0)</f>
        <v>5</v>
      </c>
      <c r="F47" s="10">
        <f>IFERROR(vlookup('2.3'!E:E,lookup!$A$6:$B$8,2,false),0)</f>
        <v>5</v>
      </c>
      <c r="G47" s="10">
        <f>IFERROR(vlookup('2.3'!F:F,lookup!$A$10:$B$12,2,false),0)</f>
        <v>5</v>
      </c>
      <c r="H47" s="10">
        <f>IFERROR(vlookup('2.3'!G:G,lookup!$A$14:$B$16,2,false),0)</f>
        <v>5</v>
      </c>
      <c r="I47" s="10">
        <f>IFERROR(vlookup('2.3'!H:H,lookup!$A$18:$B$20,2,false),0)</f>
        <v>5</v>
      </c>
      <c r="J47" s="10">
        <f>IFERROR(vlookup('2.3'!I:I,lookup!$A$22:$B$24,2,false),0)</f>
        <v>5</v>
      </c>
      <c r="K47" s="10">
        <f>IFERROR(vlookup('2.3'!J:J,lookup!$A$26:$B$28,2,false),0)</f>
        <v>5</v>
      </c>
      <c r="L47" s="2"/>
      <c r="M47" s="10">
        <v>46.0</v>
      </c>
      <c r="N47" s="11" t="str">
        <f t="shared" si="1"/>
        <v>bnco0946@signalschool.ac.th</v>
      </c>
      <c r="O47" s="12">
        <f t="shared" si="2"/>
        <v>1</v>
      </c>
      <c r="R47" s="17" t="s">
        <v>263</v>
      </c>
    </row>
    <row r="48">
      <c r="A48" s="8">
        <f>'2.3'!A:A</f>
        <v>46212.62836</v>
      </c>
      <c r="B48" s="2" t="str">
        <f>'2.3'!B:B</f>
        <v>bnco0973@signalschool.ac.th</v>
      </c>
      <c r="C48" s="2" t="str">
        <f>'2.3'!C:C</f>
        <v>พ.ต.ไมตรี บุญเหลื่อม</v>
      </c>
      <c r="D48" s="9">
        <v>1.0</v>
      </c>
      <c r="E48" s="10">
        <f>IFERROR(vlookup('2.3'!D:D,lookup!$A$2:$B$4,2,false),0)</f>
        <v>5</v>
      </c>
      <c r="F48" s="10">
        <f>IFERROR(vlookup('2.3'!E:E,lookup!$A$6:$B$8,2,false),0)</f>
        <v>5</v>
      </c>
      <c r="G48" s="10">
        <f>IFERROR(vlookup('2.3'!F:F,lookup!$A$10:$B$12,2,false),0)</f>
        <v>5</v>
      </c>
      <c r="H48" s="10">
        <f>IFERROR(vlookup('2.3'!G:G,lookup!$A$14:$B$16,2,false),0)</f>
        <v>5</v>
      </c>
      <c r="I48" s="10">
        <f>IFERROR(vlookup('2.3'!H:H,lookup!$A$18:$B$20,2,false),0)</f>
        <v>5</v>
      </c>
      <c r="J48" s="10">
        <f>IFERROR(vlookup('2.3'!I:I,lookup!$A$22:$B$24,2,false),0)</f>
        <v>5</v>
      </c>
      <c r="K48" s="10">
        <f>IFERROR(vlookup('2.3'!J:J,lookup!$A$26:$B$28,2,false),0)</f>
        <v>5</v>
      </c>
      <c r="L48" s="2"/>
      <c r="M48" s="10">
        <v>47.0</v>
      </c>
      <c r="N48" s="11" t="str">
        <f t="shared" si="1"/>
        <v>bnco0947@signalschool.ac.th</v>
      </c>
      <c r="O48" s="12">
        <f t="shared" si="2"/>
        <v>1</v>
      </c>
      <c r="R48" s="17" t="s">
        <v>264</v>
      </c>
    </row>
    <row r="49">
      <c r="A49" s="8">
        <f>'2.3'!A:A</f>
        <v>46212.62845</v>
      </c>
      <c r="B49" s="2" t="str">
        <f>'2.3'!B:B</f>
        <v>bnco0960@signalschool.ac.th</v>
      </c>
      <c r="C49" s="2" t="str">
        <f>'2.3'!C:C</f>
        <v>พ.ต.ไมตรี บุญเหลื่อม</v>
      </c>
      <c r="D49" s="9">
        <v>1.0</v>
      </c>
      <c r="E49" s="10">
        <f>IFERROR(vlookup('2.3'!D:D,lookup!$A$2:$B$4,2,false),0)</f>
        <v>5</v>
      </c>
      <c r="F49" s="10">
        <f>IFERROR(vlookup('2.3'!E:E,lookup!$A$6:$B$8,2,false),0)</f>
        <v>5</v>
      </c>
      <c r="G49" s="10">
        <f>IFERROR(vlookup('2.3'!F:F,lookup!$A$10:$B$12,2,false),0)</f>
        <v>5</v>
      </c>
      <c r="H49" s="10">
        <f>IFERROR(vlookup('2.3'!G:G,lookup!$A$14:$B$16,2,false),0)</f>
        <v>5</v>
      </c>
      <c r="I49" s="10">
        <f>IFERROR(vlookup('2.3'!H:H,lookup!$A$18:$B$20,2,false),0)</f>
        <v>5</v>
      </c>
      <c r="J49" s="10">
        <f>IFERROR(vlookup('2.3'!I:I,lookup!$A$22:$B$24,2,false),0)</f>
        <v>5</v>
      </c>
      <c r="K49" s="10">
        <f>IFERROR(vlookup('2.3'!J:J,lookup!$A$26:$B$28,2,false),0)</f>
        <v>5</v>
      </c>
      <c r="L49" s="2"/>
      <c r="M49" s="10">
        <v>48.0</v>
      </c>
      <c r="N49" s="11" t="str">
        <f t="shared" si="1"/>
        <v>bnco0948@signalschool.ac.th</v>
      </c>
      <c r="O49" s="12">
        <f t="shared" si="2"/>
        <v>1</v>
      </c>
      <c r="R49" s="17" t="s">
        <v>265</v>
      </c>
    </row>
    <row r="50">
      <c r="A50" s="8">
        <f>'2.3'!A:A</f>
        <v>46212.62844</v>
      </c>
      <c r="B50" s="2" t="str">
        <f>'2.3'!B:B</f>
        <v>bnco0941@signalschool.ac.th</v>
      </c>
      <c r="C50" s="2" t="str">
        <f>'2.3'!C:C</f>
        <v>พ.ต.ไมตรี บุญเหลื่อม</v>
      </c>
      <c r="D50" s="9">
        <v>1.0</v>
      </c>
      <c r="E50" s="10">
        <f>IFERROR(vlookup('2.3'!D:D,lookup!$A$2:$B$4,2,false),0)</f>
        <v>5</v>
      </c>
      <c r="F50" s="10">
        <f>IFERROR(vlookup('2.3'!E:E,lookup!$A$6:$B$8,2,false),0)</f>
        <v>5</v>
      </c>
      <c r="G50" s="10">
        <f>IFERROR(vlookup('2.3'!F:F,lookup!$A$10:$B$12,2,false),0)</f>
        <v>5</v>
      </c>
      <c r="H50" s="10">
        <f>IFERROR(vlookup('2.3'!G:G,lookup!$A$14:$B$16,2,false),0)</f>
        <v>5</v>
      </c>
      <c r="I50" s="10">
        <f>IFERROR(vlookup('2.3'!H:H,lookup!$A$18:$B$20,2,false),0)</f>
        <v>5</v>
      </c>
      <c r="J50" s="10">
        <f>IFERROR(vlookup('2.3'!I:I,lookup!$A$22:$B$24,2,false),0)</f>
        <v>5</v>
      </c>
      <c r="K50" s="10">
        <f>IFERROR(vlookup('2.3'!J:J,lookup!$A$26:$B$28,2,false),0)</f>
        <v>5</v>
      </c>
      <c r="L50" s="2"/>
      <c r="M50" s="10">
        <v>49.0</v>
      </c>
      <c r="N50" s="11" t="str">
        <f t="shared" si="1"/>
        <v>bnco0949@signalschool.ac.th</v>
      </c>
      <c r="O50" s="12">
        <f t="shared" si="2"/>
        <v>1</v>
      </c>
      <c r="R50" s="17" t="s">
        <v>266</v>
      </c>
    </row>
    <row r="51">
      <c r="A51" s="8">
        <f>'2.3'!A:A</f>
        <v>46212.62845</v>
      </c>
      <c r="B51" s="2" t="str">
        <f>'2.3'!B:B</f>
        <v>bnco0937@signalschool.ac.th</v>
      </c>
      <c r="C51" s="2" t="str">
        <f>'2.3'!C:C</f>
        <v>พ.ต.ไมตรี บุญเหลื่อม</v>
      </c>
      <c r="D51" s="9">
        <v>1.0</v>
      </c>
      <c r="E51" s="10">
        <f>IFERROR(vlookup('2.3'!D:D,lookup!$A$2:$B$4,2,false),0)</f>
        <v>5</v>
      </c>
      <c r="F51" s="10">
        <f>IFERROR(vlookup('2.3'!E:E,lookup!$A$6:$B$8,2,false),0)</f>
        <v>5</v>
      </c>
      <c r="G51" s="10">
        <f>IFERROR(vlookup('2.3'!F:F,lookup!$A$10:$B$12,2,false),0)</f>
        <v>5</v>
      </c>
      <c r="H51" s="10">
        <f>IFERROR(vlookup('2.3'!G:G,lookup!$A$14:$B$16,2,false),0)</f>
        <v>5</v>
      </c>
      <c r="I51" s="10">
        <f>IFERROR(vlookup('2.3'!H:H,lookup!$A$18:$B$20,2,false),0)</f>
        <v>5</v>
      </c>
      <c r="J51" s="10">
        <f>IFERROR(vlookup('2.3'!I:I,lookup!$A$22:$B$24,2,false),0)</f>
        <v>5</v>
      </c>
      <c r="K51" s="10">
        <f>IFERROR(vlookup('2.3'!J:J,lookup!$A$26:$B$28,2,false),0)</f>
        <v>5</v>
      </c>
      <c r="L51" s="2"/>
      <c r="M51" s="10">
        <v>50.0</v>
      </c>
      <c r="N51" s="11" t="str">
        <f t="shared" si="1"/>
        <v>bnco0950@signalschool.ac.th</v>
      </c>
      <c r="O51" s="12">
        <f t="shared" si="2"/>
        <v>1</v>
      </c>
      <c r="R51" s="17" t="s">
        <v>267</v>
      </c>
    </row>
    <row r="52">
      <c r="A52" s="8">
        <f>'2.3'!A:A</f>
        <v>46212.62853</v>
      </c>
      <c r="B52" s="2" t="str">
        <f>'2.3'!B:B</f>
        <v>bnco0963@signalschool.ac.th</v>
      </c>
      <c r="C52" s="2" t="str">
        <f>'2.3'!C:C</f>
        <v>พ.ต.ไมตรี บุญเหลื่อม</v>
      </c>
      <c r="D52" s="9">
        <v>1.0</v>
      </c>
      <c r="E52" s="10">
        <f>IFERROR(vlookup('2.3'!D:D,lookup!$A$2:$B$4,2,false),0)</f>
        <v>5</v>
      </c>
      <c r="F52" s="10">
        <f>IFERROR(vlookup('2.3'!E:E,lookup!$A$6:$B$8,2,false),0)</f>
        <v>5</v>
      </c>
      <c r="G52" s="10">
        <f>IFERROR(vlookup('2.3'!F:F,lookup!$A$10:$B$12,2,false),0)</f>
        <v>5</v>
      </c>
      <c r="H52" s="10">
        <f>IFERROR(vlookup('2.3'!G:G,lookup!$A$14:$B$16,2,false),0)</f>
        <v>5</v>
      </c>
      <c r="I52" s="10">
        <f>IFERROR(vlookup('2.3'!H:H,lookup!$A$18:$B$20,2,false),0)</f>
        <v>5</v>
      </c>
      <c r="J52" s="10">
        <f>IFERROR(vlookup('2.3'!I:I,lookup!$A$22:$B$24,2,false),0)</f>
        <v>5</v>
      </c>
      <c r="K52" s="10">
        <f>IFERROR(vlookup('2.3'!J:J,lookup!$A$26:$B$28,2,false),0)</f>
        <v>5</v>
      </c>
      <c r="L52" s="2"/>
      <c r="M52" s="10">
        <v>51.0</v>
      </c>
      <c r="N52" s="11" t="str">
        <f t="shared" si="1"/>
        <v>bnco0951@signalschool.ac.th</v>
      </c>
      <c r="O52" s="12">
        <f t="shared" si="2"/>
        <v>1</v>
      </c>
      <c r="R52" s="17" t="s">
        <v>268</v>
      </c>
    </row>
    <row r="53">
      <c r="A53" s="8">
        <f>'2.3'!A:A</f>
        <v>46212.62858</v>
      </c>
      <c r="B53" s="2" t="str">
        <f>'2.3'!B:B</f>
        <v>bnco0912@signalschool.ac.th</v>
      </c>
      <c r="C53" s="2" t="str">
        <f>'2.3'!C:C</f>
        <v>พ.ต.ไมตรี บุญเหลื่อม</v>
      </c>
      <c r="D53" s="9">
        <v>1.0</v>
      </c>
      <c r="E53" s="10">
        <f>IFERROR(vlookup('2.3'!D:D,lookup!$A$2:$B$4,2,false),0)</f>
        <v>5</v>
      </c>
      <c r="F53" s="10">
        <f>IFERROR(vlookup('2.3'!E:E,lookup!$A$6:$B$8,2,false),0)</f>
        <v>5</v>
      </c>
      <c r="G53" s="10">
        <f>IFERROR(vlookup('2.3'!F:F,lookup!$A$10:$B$12,2,false),0)</f>
        <v>5</v>
      </c>
      <c r="H53" s="10">
        <f>IFERROR(vlookup('2.3'!G:G,lookup!$A$14:$B$16,2,false),0)</f>
        <v>5</v>
      </c>
      <c r="I53" s="10">
        <f>IFERROR(vlookup('2.3'!H:H,lookup!$A$18:$B$20,2,false),0)</f>
        <v>5</v>
      </c>
      <c r="J53" s="10">
        <f>IFERROR(vlookup('2.3'!I:I,lookup!$A$22:$B$24,2,false),0)</f>
        <v>5</v>
      </c>
      <c r="K53" s="10">
        <f>IFERROR(vlookup('2.3'!J:J,lookup!$A$26:$B$28,2,false),0)</f>
        <v>5</v>
      </c>
      <c r="L53" s="2"/>
      <c r="M53" s="10">
        <v>52.0</v>
      </c>
      <c r="N53" s="11" t="str">
        <f t="shared" si="1"/>
        <v>bnco0952@signalschool.ac.th</v>
      </c>
      <c r="O53" s="12">
        <f t="shared" si="2"/>
        <v>1</v>
      </c>
      <c r="R53" s="17" t="s">
        <v>269</v>
      </c>
    </row>
    <row r="54">
      <c r="A54" s="8">
        <f>'2.3'!A:A</f>
        <v>46212.62866</v>
      </c>
      <c r="B54" s="2" t="str">
        <f>'2.3'!B:B</f>
        <v>bnco0915@signalschool.ac.th</v>
      </c>
      <c r="C54" s="2" t="str">
        <f>'2.3'!C:C</f>
        <v>พ.ต.ไมตรี​ บุญเหลี่ยม</v>
      </c>
      <c r="D54" s="9">
        <v>1.0</v>
      </c>
      <c r="E54" s="10">
        <f>IFERROR(vlookup('2.3'!D:D,lookup!$A$2:$B$4,2,false),0)</f>
        <v>5</v>
      </c>
      <c r="F54" s="10">
        <f>IFERROR(vlookup('2.3'!E:E,lookup!$A$6:$B$8,2,false),0)</f>
        <v>5</v>
      </c>
      <c r="G54" s="10">
        <f>IFERROR(vlookup('2.3'!F:F,lookup!$A$10:$B$12,2,false),0)</f>
        <v>5</v>
      </c>
      <c r="H54" s="10">
        <f>IFERROR(vlookup('2.3'!G:G,lookup!$A$14:$B$16,2,false),0)</f>
        <v>5</v>
      </c>
      <c r="I54" s="10">
        <f>IFERROR(vlookup('2.3'!H:H,lookup!$A$18:$B$20,2,false),0)</f>
        <v>5</v>
      </c>
      <c r="J54" s="10">
        <f>IFERROR(vlookup('2.3'!I:I,lookup!$A$22:$B$24,2,false),0)</f>
        <v>5</v>
      </c>
      <c r="K54" s="10">
        <f>IFERROR(vlookup('2.3'!J:J,lookup!$A$26:$B$28,2,false),0)</f>
        <v>5</v>
      </c>
      <c r="L54" s="2"/>
      <c r="M54" s="10">
        <v>53.0</v>
      </c>
      <c r="N54" s="11" t="str">
        <f t="shared" si="1"/>
        <v>bnco0953@signalschool.ac.th</v>
      </c>
      <c r="O54" s="12">
        <f t="shared" si="2"/>
        <v>1</v>
      </c>
      <c r="R54" s="17" t="s">
        <v>270</v>
      </c>
    </row>
    <row r="55">
      <c r="A55" s="8">
        <f>'2.3'!A:A</f>
        <v>46212.62875</v>
      </c>
      <c r="B55" s="2" t="str">
        <f>'2.3'!B:B</f>
        <v>bnco0938@signalschool.ac.th</v>
      </c>
      <c r="C55" s="2" t="str">
        <f>'2.3'!C:C</f>
        <v>พ.ต.ไมตรี บุญเหลื่อม</v>
      </c>
      <c r="D55" s="9">
        <v>1.0</v>
      </c>
      <c r="E55" s="10">
        <f>IFERROR(vlookup('2.3'!D:D,lookup!$A$2:$B$4,2,false),0)</f>
        <v>5</v>
      </c>
      <c r="F55" s="10">
        <f>IFERROR(vlookup('2.3'!E:E,lookup!$A$6:$B$8,2,false),0)</f>
        <v>5</v>
      </c>
      <c r="G55" s="10">
        <f>IFERROR(vlookup('2.3'!F:F,lookup!$A$10:$B$12,2,false),0)</f>
        <v>5</v>
      </c>
      <c r="H55" s="10">
        <f>IFERROR(vlookup('2.3'!G:G,lookup!$A$14:$B$16,2,false),0)</f>
        <v>3</v>
      </c>
      <c r="I55" s="10">
        <f>IFERROR(vlookup('2.3'!H:H,lookup!$A$18:$B$20,2,false),0)</f>
        <v>5</v>
      </c>
      <c r="J55" s="10">
        <f>IFERROR(vlookup('2.3'!I:I,lookup!$A$22:$B$24,2,false),0)</f>
        <v>5</v>
      </c>
      <c r="K55" s="10">
        <f>IFERROR(vlookup('2.3'!J:J,lookup!$A$26:$B$28,2,false),0)</f>
        <v>3</v>
      </c>
      <c r="L55" s="2"/>
      <c r="M55" s="10">
        <v>54.0</v>
      </c>
      <c r="N55" s="11" t="str">
        <f t="shared" si="1"/>
        <v>bnco0954@signalschool.ac.th</v>
      </c>
      <c r="O55" s="12">
        <f t="shared" si="2"/>
        <v>1</v>
      </c>
      <c r="R55" s="17" t="s">
        <v>271</v>
      </c>
    </row>
    <row r="56">
      <c r="A56" s="8">
        <f>'2.3'!A:A</f>
        <v>46212.62877</v>
      </c>
      <c r="B56" s="2" t="str">
        <f>'2.3'!B:B</f>
        <v>bnco0933@signalschool.ac.th</v>
      </c>
      <c r="C56" s="2" t="str">
        <f>'2.3'!C:C</f>
        <v>พ.ต.ไมตรี บุญเหลื่อม</v>
      </c>
      <c r="D56" s="9">
        <v>1.0</v>
      </c>
      <c r="E56" s="10">
        <f>IFERROR(vlookup('2.3'!D:D,lookup!$A$2:$B$4,2,false),0)</f>
        <v>5</v>
      </c>
      <c r="F56" s="10">
        <f>IFERROR(vlookup('2.3'!E:E,lookup!$A$6:$B$8,2,false),0)</f>
        <v>5</v>
      </c>
      <c r="G56" s="10">
        <f>IFERROR(vlookup('2.3'!F:F,lookup!$A$10:$B$12,2,false),0)</f>
        <v>5</v>
      </c>
      <c r="H56" s="10">
        <f>IFERROR(vlookup('2.3'!G:G,lookup!$A$14:$B$16,2,false),0)</f>
        <v>5</v>
      </c>
      <c r="I56" s="10">
        <f>IFERROR(vlookup('2.3'!H:H,lookup!$A$18:$B$20,2,false),0)</f>
        <v>5</v>
      </c>
      <c r="J56" s="10">
        <f>IFERROR(vlookup('2.3'!I:I,lookup!$A$22:$B$24,2,false),0)</f>
        <v>5</v>
      </c>
      <c r="K56" s="10">
        <f>IFERROR(vlookup('2.3'!J:J,lookup!$A$26:$B$28,2,false),0)</f>
        <v>5</v>
      </c>
      <c r="L56" s="13"/>
      <c r="M56" s="10">
        <v>55.0</v>
      </c>
      <c r="N56" s="11" t="str">
        <f t="shared" si="1"/>
        <v>bnco0955@signalschool.ac.th</v>
      </c>
      <c r="O56" s="12">
        <f t="shared" si="2"/>
        <v>1</v>
      </c>
      <c r="R56" s="17" t="s">
        <v>272</v>
      </c>
    </row>
    <row r="57">
      <c r="A57" s="8">
        <f>'2.3'!A:A</f>
        <v>46212.6289</v>
      </c>
      <c r="B57" s="2" t="str">
        <f>'2.3'!B:B</f>
        <v>bnco0901@signalschool.ac.th</v>
      </c>
      <c r="C57" s="2" t="str">
        <f>'2.3'!C:C</f>
        <v>พ.ต.ไมตรี บุญเหลื่อม</v>
      </c>
      <c r="D57" s="9">
        <v>1.0</v>
      </c>
      <c r="E57" s="10">
        <f>IFERROR(vlookup('2.3'!D:D,lookup!$A$2:$B$4,2,false),0)</f>
        <v>5</v>
      </c>
      <c r="F57" s="10">
        <f>IFERROR(vlookup('2.3'!E:E,lookup!$A$6:$B$8,2,false),0)</f>
        <v>5</v>
      </c>
      <c r="G57" s="10">
        <f>IFERROR(vlookup('2.3'!F:F,lookup!$A$10:$B$12,2,false),0)</f>
        <v>5</v>
      </c>
      <c r="H57" s="10">
        <f>IFERROR(vlookup('2.3'!G:G,lookup!$A$14:$B$16,2,false),0)</f>
        <v>5</v>
      </c>
      <c r="I57" s="10">
        <f>IFERROR(vlookup('2.3'!H:H,lookup!$A$18:$B$20,2,false),0)</f>
        <v>5</v>
      </c>
      <c r="J57" s="10">
        <f>IFERROR(vlookup('2.3'!I:I,lookup!$A$22:$B$24,2,false),0)</f>
        <v>5</v>
      </c>
      <c r="K57" s="10">
        <f>IFERROR(vlookup('2.3'!J:J,lookup!$A$26:$B$28,2,false),0)</f>
        <v>5</v>
      </c>
      <c r="L57" s="13"/>
      <c r="M57" s="10">
        <v>56.0</v>
      </c>
      <c r="N57" s="11" t="str">
        <f t="shared" si="1"/>
        <v>bnco0956@signalschool.ac.th</v>
      </c>
      <c r="O57" s="12">
        <f t="shared" si="2"/>
        <v>1</v>
      </c>
      <c r="R57" s="17" t="s">
        <v>273</v>
      </c>
    </row>
    <row r="58">
      <c r="A58" s="8">
        <f>'2.3'!A:A</f>
        <v>46212.62924</v>
      </c>
      <c r="B58" s="2" t="str">
        <f>'2.3'!B:B</f>
        <v>bnco0902@signalschool.ac.th</v>
      </c>
      <c r="C58" s="2" t="str">
        <f>'2.3'!C:C</f>
        <v>พ.ต.ไมตรี บุญเหลื่อม</v>
      </c>
      <c r="D58" s="9">
        <v>1.0</v>
      </c>
      <c r="E58" s="10">
        <f>IFERROR(vlookup('2.3'!D:D,lookup!$A$2:$B$4,2,false),0)</f>
        <v>5</v>
      </c>
      <c r="F58" s="10">
        <f>IFERROR(vlookup('2.3'!E:E,lookup!$A$6:$B$8,2,false),0)</f>
        <v>5</v>
      </c>
      <c r="G58" s="10">
        <f>IFERROR(vlookup('2.3'!F:F,lookup!$A$10:$B$12,2,false),0)</f>
        <v>5</v>
      </c>
      <c r="H58" s="10">
        <f>IFERROR(vlookup('2.3'!G:G,lookup!$A$14:$B$16,2,false),0)</f>
        <v>5</v>
      </c>
      <c r="I58" s="10">
        <f>IFERROR(vlookup('2.3'!H:H,lookup!$A$18:$B$20,2,false),0)</f>
        <v>5</v>
      </c>
      <c r="J58" s="10">
        <f>IFERROR(vlookup('2.3'!I:I,lookup!$A$22:$B$24,2,false),0)</f>
        <v>5</v>
      </c>
      <c r="K58" s="10">
        <f>IFERROR(vlookup('2.3'!J:J,lookup!$A$26:$B$28,2,false),0)</f>
        <v>5</v>
      </c>
      <c r="L58" s="13"/>
      <c r="M58" s="10">
        <v>57.0</v>
      </c>
      <c r="N58" s="11" t="str">
        <f t="shared" si="1"/>
        <v>bnco0957@signalschool.ac.th</v>
      </c>
      <c r="O58" s="12">
        <f t="shared" si="2"/>
        <v>1</v>
      </c>
      <c r="R58" s="17" t="s">
        <v>274</v>
      </c>
    </row>
    <row r="59">
      <c r="A59" s="8">
        <f>'2.3'!A:A</f>
        <v>46212.62924</v>
      </c>
      <c r="B59" s="2" t="str">
        <f>'2.3'!B:B</f>
        <v>bnco0957@signalschool.ac.th</v>
      </c>
      <c r="C59" s="2" t="str">
        <f>'2.3'!C:C</f>
        <v>พ.ต.ไมตรี บุญเหลื่อม</v>
      </c>
      <c r="D59" s="9">
        <v>1.0</v>
      </c>
      <c r="E59" s="10">
        <f>IFERROR(vlookup('2.3'!D:D,lookup!$A$2:$B$4,2,false),0)</f>
        <v>5</v>
      </c>
      <c r="F59" s="10">
        <f>IFERROR(vlookup('2.3'!E:E,lookup!$A$6:$B$8,2,false),0)</f>
        <v>5</v>
      </c>
      <c r="G59" s="10">
        <f>IFERROR(vlookup('2.3'!F:F,lookup!$A$10:$B$12,2,false),0)</f>
        <v>5</v>
      </c>
      <c r="H59" s="10">
        <f>IFERROR(vlookup('2.3'!G:G,lookup!$A$14:$B$16,2,false),0)</f>
        <v>5</v>
      </c>
      <c r="I59" s="10">
        <f>IFERROR(vlookup('2.3'!H:H,lookup!$A$18:$B$20,2,false),0)</f>
        <v>5</v>
      </c>
      <c r="J59" s="10">
        <f>IFERROR(vlookup('2.3'!I:I,lookup!$A$22:$B$24,2,false),0)</f>
        <v>5</v>
      </c>
      <c r="K59" s="10">
        <f>IFERROR(vlookup('2.3'!J:J,lookup!$A$26:$B$28,2,false),0)</f>
        <v>5</v>
      </c>
      <c r="L59" s="14"/>
      <c r="M59" s="10">
        <v>58.0</v>
      </c>
      <c r="N59" s="11" t="str">
        <f t="shared" si="1"/>
        <v>bnco0958@signalschool.ac.th</v>
      </c>
      <c r="O59" s="12">
        <f t="shared" si="2"/>
        <v>1</v>
      </c>
      <c r="R59" s="17" t="s">
        <v>275</v>
      </c>
    </row>
    <row r="60">
      <c r="A60" s="8">
        <f>'2.3'!A:A</f>
        <v>46212.62925</v>
      </c>
      <c r="B60" s="2" t="str">
        <f>'2.3'!B:B</f>
        <v>bnco0945@signalschool.ac.th</v>
      </c>
      <c r="C60" s="2" t="str">
        <f>'2.3'!C:C</f>
        <v>พ.ต.ไมตรี บุญเหลื่อม</v>
      </c>
      <c r="D60" s="9">
        <v>1.0</v>
      </c>
      <c r="E60" s="10">
        <f>IFERROR(vlookup('2.3'!D:D,lookup!$A$2:$B$4,2,false),0)</f>
        <v>5</v>
      </c>
      <c r="F60" s="10">
        <f>IFERROR(vlookup('2.3'!E:E,lookup!$A$6:$B$8,2,false),0)</f>
        <v>5</v>
      </c>
      <c r="G60" s="10">
        <f>IFERROR(vlookup('2.3'!F:F,lookup!$A$10:$B$12,2,false),0)</f>
        <v>5</v>
      </c>
      <c r="H60" s="10">
        <f>IFERROR(vlookup('2.3'!G:G,lookup!$A$14:$B$16,2,false),0)</f>
        <v>5</v>
      </c>
      <c r="I60" s="10">
        <f>IFERROR(vlookup('2.3'!H:H,lookup!$A$18:$B$20,2,false),0)</f>
        <v>5</v>
      </c>
      <c r="J60" s="10">
        <f>IFERROR(vlookup('2.3'!I:I,lookup!$A$22:$B$24,2,false),0)</f>
        <v>5</v>
      </c>
      <c r="K60" s="10">
        <f>IFERROR(vlookup('2.3'!J:J,lookup!$A$26:$B$28,2,false),0)</f>
        <v>5</v>
      </c>
      <c r="L60" s="10"/>
      <c r="M60" s="10">
        <v>59.0</v>
      </c>
      <c r="N60" s="11" t="str">
        <f t="shared" si="1"/>
        <v>bnco0959@signalschool.ac.th</v>
      </c>
      <c r="O60" s="12">
        <f t="shared" si="2"/>
        <v>1</v>
      </c>
      <c r="R60" s="17" t="s">
        <v>276</v>
      </c>
    </row>
    <row r="61">
      <c r="A61" s="8">
        <f>'2.3'!A:A</f>
        <v>46212.62926</v>
      </c>
      <c r="B61" s="2" t="str">
        <f>'2.3'!B:B</f>
        <v>bnco0939@signalschool.ac.th</v>
      </c>
      <c r="C61" s="2" t="str">
        <f>'2.3'!C:C</f>
        <v>พ.ต.ไมตรี บุญเหลื่อม</v>
      </c>
      <c r="D61" s="9">
        <v>1.0</v>
      </c>
      <c r="E61" s="10">
        <f>IFERROR(vlookup('2.3'!D:D,lookup!$A$2:$B$4,2,false),0)</f>
        <v>5</v>
      </c>
      <c r="F61" s="10">
        <f>IFERROR(vlookup('2.3'!E:E,lookup!$A$6:$B$8,2,false),0)</f>
        <v>5</v>
      </c>
      <c r="G61" s="10">
        <f>IFERROR(vlookup('2.3'!F:F,lookup!$A$10:$B$12,2,false),0)</f>
        <v>5</v>
      </c>
      <c r="H61" s="10">
        <f>IFERROR(vlookup('2.3'!G:G,lookup!$A$14:$B$16,2,false),0)</f>
        <v>5</v>
      </c>
      <c r="I61" s="10">
        <f>IFERROR(vlookup('2.3'!H:H,lookup!$A$18:$B$20,2,false),0)</f>
        <v>5</v>
      </c>
      <c r="J61" s="10">
        <f>IFERROR(vlookup('2.3'!I:I,lookup!$A$22:$B$24,2,false),0)</f>
        <v>5</v>
      </c>
      <c r="K61" s="10">
        <f>IFERROR(vlookup('2.3'!J:J,lookup!$A$26:$B$28,2,false),0)</f>
        <v>5</v>
      </c>
      <c r="M61" s="10">
        <v>60.0</v>
      </c>
      <c r="N61" s="11" t="str">
        <f t="shared" si="1"/>
        <v>bnco0960@signalschool.ac.th</v>
      </c>
      <c r="O61" s="12">
        <f t="shared" si="2"/>
        <v>1</v>
      </c>
      <c r="R61" s="17" t="s">
        <v>277</v>
      </c>
    </row>
    <row r="62">
      <c r="A62" s="8">
        <f>'2.3'!A:A</f>
        <v>46212.62944</v>
      </c>
      <c r="B62" s="2" t="str">
        <f>'2.3'!B:B</f>
        <v>bnco0911@signalschool.ac.th</v>
      </c>
      <c r="C62" s="2" t="str">
        <f>'2.3'!C:C</f>
        <v>พ.ต.ไมตรี บุญเหลื่อม</v>
      </c>
      <c r="D62" s="9">
        <v>1.0</v>
      </c>
      <c r="E62" s="10">
        <f>IFERROR(vlookup('2.3'!D:D,lookup!$A$2:$B$4,2,false),0)</f>
        <v>5</v>
      </c>
      <c r="F62" s="10">
        <f>IFERROR(vlookup('2.3'!E:E,lookup!$A$6:$B$8,2,false),0)</f>
        <v>5</v>
      </c>
      <c r="G62" s="10">
        <f>IFERROR(vlookup('2.3'!F:F,lookup!$A$10:$B$12,2,false),0)</f>
        <v>5</v>
      </c>
      <c r="H62" s="10">
        <f>IFERROR(vlookup('2.3'!G:G,lookup!$A$14:$B$16,2,false),0)</f>
        <v>5</v>
      </c>
      <c r="I62" s="10">
        <f>IFERROR(vlookup('2.3'!H:H,lookup!$A$18:$B$20,2,false),0)</f>
        <v>5</v>
      </c>
      <c r="J62" s="10">
        <f>IFERROR(vlookup('2.3'!I:I,lookup!$A$22:$B$24,2,false),0)</f>
        <v>5</v>
      </c>
      <c r="K62" s="10">
        <f>IFERROR(vlookup('2.3'!J:J,lookup!$A$26:$B$28,2,false),0)</f>
        <v>5</v>
      </c>
      <c r="M62" s="10">
        <v>61.0</v>
      </c>
      <c r="N62" s="11" t="str">
        <f t="shared" si="1"/>
        <v>bnco0961@signalschool.ac.th</v>
      </c>
      <c r="O62" s="12">
        <f t="shared" si="2"/>
        <v>1</v>
      </c>
      <c r="R62" s="17" t="s">
        <v>278</v>
      </c>
    </row>
    <row r="63">
      <c r="A63" s="8">
        <f>'2.3'!A:A</f>
        <v>46212.62945</v>
      </c>
      <c r="B63" s="2" t="str">
        <f>'2.3'!B:B</f>
        <v>bnco0947@signalschool.ac.th</v>
      </c>
      <c r="C63" s="2" t="str">
        <f>'2.3'!C:C</f>
        <v>พ.ต.ไมตรี บุญเหลื่อม</v>
      </c>
      <c r="D63" s="9">
        <v>1.0</v>
      </c>
      <c r="E63" s="10">
        <f>IFERROR(vlookup('2.3'!D:D,lookup!$A$2:$B$4,2,false),0)</f>
        <v>5</v>
      </c>
      <c r="F63" s="10">
        <f>IFERROR(vlookup('2.3'!E:E,lookup!$A$6:$B$8,2,false),0)</f>
        <v>5</v>
      </c>
      <c r="G63" s="10">
        <f>IFERROR(vlookup('2.3'!F:F,lookup!$A$10:$B$12,2,false),0)</f>
        <v>5</v>
      </c>
      <c r="H63" s="10">
        <f>IFERROR(vlookup('2.3'!G:G,lookup!$A$14:$B$16,2,false),0)</f>
        <v>5</v>
      </c>
      <c r="I63" s="10">
        <f>IFERROR(vlookup('2.3'!H:H,lookup!$A$18:$B$20,2,false),0)</f>
        <v>5</v>
      </c>
      <c r="J63" s="10">
        <f>IFERROR(vlookup('2.3'!I:I,lookup!$A$22:$B$24,2,false),0)</f>
        <v>5</v>
      </c>
      <c r="K63" s="10">
        <f>IFERROR(vlookup('2.3'!J:J,lookup!$A$26:$B$28,2,false),0)</f>
        <v>5</v>
      </c>
      <c r="M63" s="10">
        <v>62.0</v>
      </c>
      <c r="N63" s="11" t="str">
        <f t="shared" si="1"/>
        <v>bnco0962@signalschool.ac.th</v>
      </c>
      <c r="O63" s="12">
        <f t="shared" si="2"/>
        <v>1</v>
      </c>
      <c r="R63" s="17" t="s">
        <v>279</v>
      </c>
    </row>
    <row r="64">
      <c r="A64" s="8">
        <f>'2.3'!A:A</f>
        <v>46212.62994</v>
      </c>
      <c r="B64" s="2" t="str">
        <f>'2.3'!B:B</f>
        <v>bnco0952@signalschool.ac.th</v>
      </c>
      <c r="C64" s="2" t="str">
        <f>'2.3'!C:C</f>
        <v>พ.ต.ไมตรี บุญเหลื่อม</v>
      </c>
      <c r="D64" s="9">
        <v>1.0</v>
      </c>
      <c r="E64" s="10">
        <f>IFERROR(vlookup('2.3'!D:D,lookup!$A$2:$B$4,2,false),0)</f>
        <v>5</v>
      </c>
      <c r="F64" s="10">
        <f>IFERROR(vlookup('2.3'!E:E,lookup!$A$6:$B$8,2,false),0)</f>
        <v>5</v>
      </c>
      <c r="G64" s="10">
        <f>IFERROR(vlookup('2.3'!F:F,lookup!$A$10:$B$12,2,false),0)</f>
        <v>5</v>
      </c>
      <c r="H64" s="10">
        <f>IFERROR(vlookup('2.3'!G:G,lookup!$A$14:$B$16,2,false),0)</f>
        <v>5</v>
      </c>
      <c r="I64" s="10">
        <f>IFERROR(vlookup('2.3'!H:H,lookup!$A$18:$B$20,2,false),0)</f>
        <v>5</v>
      </c>
      <c r="J64" s="10">
        <f>IFERROR(vlookup('2.3'!I:I,lookup!$A$22:$B$24,2,false),0)</f>
        <v>5</v>
      </c>
      <c r="K64" s="10">
        <f>IFERROR(vlookup('2.3'!J:J,lookup!$A$26:$B$28,2,false),0)</f>
        <v>5</v>
      </c>
      <c r="M64" s="10">
        <v>63.0</v>
      </c>
      <c r="N64" s="11" t="str">
        <f t="shared" si="1"/>
        <v>bnco0963@signalschool.ac.th</v>
      </c>
      <c r="O64" s="12">
        <f t="shared" si="2"/>
        <v>1</v>
      </c>
      <c r="R64" s="17" t="s">
        <v>280</v>
      </c>
    </row>
    <row r="65">
      <c r="A65" s="8">
        <f>'2.3'!A:A</f>
        <v>46212.62998</v>
      </c>
      <c r="B65" s="2" t="str">
        <f>'2.3'!B:B</f>
        <v>bnco0969@signalschool.ac.th</v>
      </c>
      <c r="C65" s="2" t="str">
        <f>'2.3'!C:C</f>
        <v>พ.ต.ไมตรี บุญเหลื่อม</v>
      </c>
      <c r="D65" s="9">
        <v>1.0</v>
      </c>
      <c r="E65" s="10">
        <f>IFERROR(vlookup('2.3'!D:D,lookup!$A$2:$B$4,2,false),0)</f>
        <v>5</v>
      </c>
      <c r="F65" s="10">
        <f>IFERROR(vlookup('2.3'!E:E,lookup!$A$6:$B$8,2,false),0)</f>
        <v>5</v>
      </c>
      <c r="G65" s="10">
        <f>IFERROR(vlookup('2.3'!F:F,lookup!$A$10:$B$12,2,false),0)</f>
        <v>5</v>
      </c>
      <c r="H65" s="10">
        <f>IFERROR(vlookup('2.3'!G:G,lookup!$A$14:$B$16,2,false),0)</f>
        <v>5</v>
      </c>
      <c r="I65" s="10">
        <f>IFERROR(vlookup('2.3'!H:H,lookup!$A$18:$B$20,2,false),0)</f>
        <v>5</v>
      </c>
      <c r="J65" s="10">
        <f>IFERROR(vlookup('2.3'!I:I,lookup!$A$22:$B$24,2,false),0)</f>
        <v>5</v>
      </c>
      <c r="K65" s="10">
        <f>IFERROR(vlookup('2.3'!J:J,lookup!$A$26:$B$28,2,false),0)</f>
        <v>5</v>
      </c>
      <c r="M65" s="10">
        <v>64.0</v>
      </c>
      <c r="N65" s="11" t="str">
        <f t="shared" si="1"/>
        <v>bnco0964@signalschool.ac.th</v>
      </c>
      <c r="O65" s="12">
        <f t="shared" si="2"/>
        <v>1</v>
      </c>
      <c r="R65" s="17" t="s">
        <v>281</v>
      </c>
    </row>
    <row r="66">
      <c r="A66" s="8">
        <f>'2.3'!A:A</f>
        <v>46212.6301</v>
      </c>
      <c r="B66" s="2" t="str">
        <f>'2.3'!B:B</f>
        <v>bnco0974@signalschool.ac.th</v>
      </c>
      <c r="C66" s="2" t="str">
        <f>'2.3'!C:C</f>
        <v>พ.ต.ไมตรี บุญเหลื่อม</v>
      </c>
      <c r="D66" s="9">
        <v>1.0</v>
      </c>
      <c r="E66" s="10">
        <f>IFERROR(vlookup('2.3'!D:D,lookup!$A$2:$B$4,2,false),0)</f>
        <v>5</v>
      </c>
      <c r="F66" s="10">
        <f>IFERROR(vlookup('2.3'!E:E,lookup!$A$6:$B$8,2,false),0)</f>
        <v>5</v>
      </c>
      <c r="G66" s="10">
        <f>IFERROR(vlookup('2.3'!F:F,lookup!$A$10:$B$12,2,false),0)</f>
        <v>5</v>
      </c>
      <c r="H66" s="10">
        <f>IFERROR(vlookup('2.3'!G:G,lookup!$A$14:$B$16,2,false),0)</f>
        <v>5</v>
      </c>
      <c r="I66" s="10">
        <f>IFERROR(vlookup('2.3'!H:H,lookup!$A$18:$B$20,2,false),0)</f>
        <v>5</v>
      </c>
      <c r="J66" s="10">
        <f>IFERROR(vlookup('2.3'!I:I,lookup!$A$22:$B$24,2,false),0)</f>
        <v>5</v>
      </c>
      <c r="K66" s="10">
        <f>IFERROR(vlookup('2.3'!J:J,lookup!$A$26:$B$28,2,false),0)</f>
        <v>5</v>
      </c>
      <c r="M66" s="10">
        <v>65.0</v>
      </c>
      <c r="N66" s="11" t="str">
        <f t="shared" si="1"/>
        <v>bnco0965@signalschool.ac.th</v>
      </c>
      <c r="O66" s="12">
        <f t="shared" si="2"/>
        <v>1</v>
      </c>
      <c r="R66" s="17" t="s">
        <v>282</v>
      </c>
    </row>
    <row r="67">
      <c r="A67" s="8">
        <f>'2.3'!A:A</f>
        <v>46212.63037</v>
      </c>
      <c r="B67" s="2" t="str">
        <f>'2.3'!B:B</f>
        <v>bnco0959@signalschool.ac.th</v>
      </c>
      <c r="C67" s="2" t="str">
        <f>'2.3'!C:C</f>
        <v>พ.ต.ไมตรี บุญเหลื่อม</v>
      </c>
      <c r="D67" s="9">
        <v>1.0</v>
      </c>
      <c r="E67" s="10">
        <f>IFERROR(vlookup('2.3'!D:D,lookup!$A$2:$B$4,2,false),0)</f>
        <v>5</v>
      </c>
      <c r="F67" s="10">
        <f>IFERROR(vlookup('2.3'!E:E,lookup!$A$6:$B$8,2,false),0)</f>
        <v>5</v>
      </c>
      <c r="G67" s="10">
        <f>IFERROR(vlookup('2.3'!F:F,lookup!$A$10:$B$12,2,false),0)</f>
        <v>5</v>
      </c>
      <c r="H67" s="10">
        <f>IFERROR(vlookup('2.3'!G:G,lookup!$A$14:$B$16,2,false),0)</f>
        <v>5</v>
      </c>
      <c r="I67" s="10">
        <f>IFERROR(vlookup('2.3'!H:H,lookup!$A$18:$B$20,2,false),0)</f>
        <v>5</v>
      </c>
      <c r="J67" s="10">
        <f>IFERROR(vlookup('2.3'!I:I,lookup!$A$22:$B$24,2,false),0)</f>
        <v>5</v>
      </c>
      <c r="K67" s="10">
        <f>IFERROR(vlookup('2.3'!J:J,lookup!$A$26:$B$28,2,false),0)</f>
        <v>5</v>
      </c>
      <c r="M67" s="10">
        <v>66.0</v>
      </c>
      <c r="N67" s="11" t="str">
        <f t="shared" si="1"/>
        <v>bnco0966@signalschool.ac.th</v>
      </c>
      <c r="O67" s="12">
        <f t="shared" si="2"/>
        <v>1</v>
      </c>
      <c r="R67" s="17" t="s">
        <v>283</v>
      </c>
    </row>
    <row r="68">
      <c r="A68" s="8">
        <f>'2.3'!A:A</f>
        <v>46212.63067</v>
      </c>
      <c r="B68" s="2" t="str">
        <f>'2.3'!B:B</f>
        <v>bnco0944@signalschool.ac.th</v>
      </c>
      <c r="C68" s="2" t="str">
        <f>'2.3'!C:C</f>
        <v>พ.ต.ไมตรี บุญเหลื่อม</v>
      </c>
      <c r="D68" s="9">
        <v>1.0</v>
      </c>
      <c r="E68" s="10">
        <f>IFERROR(vlookup('2.3'!D:D,lookup!$A$2:$B$4,2,false),0)</f>
        <v>5</v>
      </c>
      <c r="F68" s="10">
        <f>IFERROR(vlookup('2.3'!E:E,lookup!$A$6:$B$8,2,false),0)</f>
        <v>5</v>
      </c>
      <c r="G68" s="10">
        <f>IFERROR(vlookup('2.3'!F:F,lookup!$A$10:$B$12,2,false),0)</f>
        <v>5</v>
      </c>
      <c r="H68" s="10">
        <f>IFERROR(vlookup('2.3'!G:G,lookup!$A$14:$B$16,2,false),0)</f>
        <v>5</v>
      </c>
      <c r="I68" s="10">
        <f>IFERROR(vlookup('2.3'!H:H,lookup!$A$18:$B$20,2,false),0)</f>
        <v>5</v>
      </c>
      <c r="J68" s="10">
        <f>IFERROR(vlookup('2.3'!I:I,lookup!$A$22:$B$24,2,false),0)</f>
        <v>5</v>
      </c>
      <c r="K68" s="10">
        <f>IFERROR(vlookup('2.3'!J:J,lookup!$A$26:$B$28,2,false),0)</f>
        <v>5</v>
      </c>
      <c r="M68" s="10">
        <v>67.0</v>
      </c>
      <c r="N68" s="11" t="str">
        <f t="shared" si="1"/>
        <v>bnco0967@signalschool.ac.th</v>
      </c>
      <c r="O68" s="12">
        <f t="shared" si="2"/>
        <v>1</v>
      </c>
      <c r="R68" s="17" t="s">
        <v>284</v>
      </c>
    </row>
    <row r="69">
      <c r="A69" s="8">
        <f>'2.3'!A:A</f>
        <v>46212.63069</v>
      </c>
      <c r="B69" s="2" t="str">
        <f>'2.3'!B:B</f>
        <v>bnco0905@signalschool.ac.th</v>
      </c>
      <c r="C69" s="2" t="str">
        <f>'2.3'!C:C</f>
        <v>พ.ต.ไมตรี บุญเหลื่อม</v>
      </c>
      <c r="D69" s="9">
        <v>1.0</v>
      </c>
      <c r="E69" s="10">
        <f>IFERROR(vlookup('2.3'!D:D,lookup!$A$2:$B$4,2,false),0)</f>
        <v>5</v>
      </c>
      <c r="F69" s="10">
        <f>IFERROR(vlookup('2.3'!E:E,lookup!$A$6:$B$8,2,false),0)</f>
        <v>5</v>
      </c>
      <c r="G69" s="10">
        <f>IFERROR(vlookup('2.3'!F:F,lookup!$A$10:$B$12,2,false),0)</f>
        <v>5</v>
      </c>
      <c r="H69" s="10">
        <f>IFERROR(vlookup('2.3'!G:G,lookup!$A$14:$B$16,2,false),0)</f>
        <v>5</v>
      </c>
      <c r="I69" s="10">
        <f>IFERROR(vlookup('2.3'!H:H,lookup!$A$18:$B$20,2,false),0)</f>
        <v>5</v>
      </c>
      <c r="J69" s="10">
        <f>IFERROR(vlookup('2.3'!I:I,lookup!$A$22:$B$24,2,false),0)</f>
        <v>5</v>
      </c>
      <c r="K69" s="10">
        <f>IFERROR(vlookup('2.3'!J:J,lookup!$A$26:$B$28,2,false),0)</f>
        <v>5</v>
      </c>
      <c r="M69" s="10">
        <v>68.0</v>
      </c>
      <c r="N69" s="11" t="str">
        <f t="shared" si="1"/>
        <v>bnco0968@signalschool.ac.th</v>
      </c>
      <c r="O69" s="12">
        <f t="shared" si="2"/>
        <v>1</v>
      </c>
      <c r="R69" s="17" t="s">
        <v>285</v>
      </c>
    </row>
    <row r="70">
      <c r="A70" s="8">
        <f>'2.3'!A:A</f>
        <v>46212.6309</v>
      </c>
      <c r="B70" s="2" t="str">
        <f>'2.3'!B:B</f>
        <v>bnco0961@signalschool.ac.th</v>
      </c>
      <c r="C70" s="2" t="str">
        <f>'2.3'!C:C</f>
        <v> พ.ต.ไมตรี บุญเหลื่อม</v>
      </c>
      <c r="D70" s="9">
        <v>1.0</v>
      </c>
      <c r="E70" s="10">
        <f>IFERROR(vlookup('2.3'!D:D,lookup!$A$2:$B$4,2,false),0)</f>
        <v>5</v>
      </c>
      <c r="F70" s="10">
        <f>IFERROR(vlookup('2.3'!E:E,lookup!$A$6:$B$8,2,false),0)</f>
        <v>5</v>
      </c>
      <c r="G70" s="10">
        <f>IFERROR(vlookup('2.3'!F:F,lookup!$A$10:$B$12,2,false),0)</f>
        <v>5</v>
      </c>
      <c r="H70" s="10">
        <f>IFERROR(vlookup('2.3'!G:G,lookup!$A$14:$B$16,2,false),0)</f>
        <v>5</v>
      </c>
      <c r="I70" s="10">
        <f>IFERROR(vlookup('2.3'!H:H,lookup!$A$18:$B$20,2,false),0)</f>
        <v>5</v>
      </c>
      <c r="J70" s="10">
        <f>IFERROR(vlookup('2.3'!I:I,lookup!$A$22:$B$24,2,false),0)</f>
        <v>5</v>
      </c>
      <c r="K70" s="10">
        <f>IFERROR(vlookup('2.3'!J:J,lookup!$A$26:$B$28,2,false),0)</f>
        <v>5</v>
      </c>
      <c r="M70" s="10">
        <v>69.0</v>
      </c>
      <c r="N70" s="11" t="str">
        <f t="shared" si="1"/>
        <v>bnco0969@signalschool.ac.th</v>
      </c>
      <c r="O70" s="12">
        <f t="shared" si="2"/>
        <v>1</v>
      </c>
      <c r="R70" s="17" t="s">
        <v>286</v>
      </c>
    </row>
    <row r="71">
      <c r="A71" s="8">
        <f>'2.3'!A:A</f>
        <v>46212.63125</v>
      </c>
      <c r="B71" s="2" t="str">
        <f>'2.3'!B:B</f>
        <v>bnco0976@signalschool.ac.th</v>
      </c>
      <c r="C71" s="2" t="str">
        <f>'2.3'!C:C</f>
        <v>พ.ต.ไมตรี  บุญเหลื่อม</v>
      </c>
      <c r="D71" s="9">
        <v>1.0</v>
      </c>
      <c r="E71" s="10">
        <f>IFERROR(vlookup('2.3'!D:D,lookup!$A$2:$B$4,2,false),0)</f>
        <v>5</v>
      </c>
      <c r="F71" s="10">
        <f>IFERROR(vlookup('2.3'!E:E,lookup!$A$6:$B$8,2,false),0)</f>
        <v>5</v>
      </c>
      <c r="G71" s="10">
        <f>IFERROR(vlookup('2.3'!F:F,lookup!$A$10:$B$12,2,false),0)</f>
        <v>5</v>
      </c>
      <c r="H71" s="10">
        <f>IFERROR(vlookup('2.3'!G:G,lookup!$A$14:$B$16,2,false),0)</f>
        <v>5</v>
      </c>
      <c r="I71" s="10">
        <f>IFERROR(vlookup('2.3'!H:H,lookup!$A$18:$B$20,2,false),0)</f>
        <v>5</v>
      </c>
      <c r="J71" s="10">
        <f>IFERROR(vlookup('2.3'!I:I,lookup!$A$22:$B$24,2,false),0)</f>
        <v>5</v>
      </c>
      <c r="K71" s="10">
        <f>IFERROR(vlookup('2.3'!J:J,lookup!$A$26:$B$28,2,false),0)</f>
        <v>5</v>
      </c>
      <c r="M71" s="10">
        <v>70.0</v>
      </c>
      <c r="N71" s="11" t="str">
        <f t="shared" si="1"/>
        <v>bnco0970@signalschool.ac.th</v>
      </c>
      <c r="O71" s="12">
        <f t="shared" si="2"/>
        <v>1</v>
      </c>
      <c r="R71" s="17" t="s">
        <v>287</v>
      </c>
    </row>
    <row r="72">
      <c r="A72" s="8">
        <f>'2.3'!A:A</f>
        <v>46212.63157</v>
      </c>
      <c r="B72" s="2" t="str">
        <f>'2.3'!B:B</f>
        <v>bnco0966@signalschool.ac.th</v>
      </c>
      <c r="C72" s="2" t="str">
        <f>'2.3'!C:C</f>
        <v>พ.ต.ไมตรี บุญเหลื่อม</v>
      </c>
      <c r="D72" s="9">
        <v>1.0</v>
      </c>
      <c r="E72" s="10">
        <f>IFERROR(vlookup('2.3'!D:D,lookup!$A$2:$B$4,2,false),0)</f>
        <v>5</v>
      </c>
      <c r="F72" s="10">
        <f>IFERROR(vlookup('2.3'!E:E,lookup!$A$6:$B$8,2,false),0)</f>
        <v>5</v>
      </c>
      <c r="G72" s="10">
        <f>IFERROR(vlookup('2.3'!F:F,lookup!$A$10:$B$12,2,false),0)</f>
        <v>5</v>
      </c>
      <c r="H72" s="10">
        <f>IFERROR(vlookup('2.3'!G:G,lookup!$A$14:$B$16,2,false),0)</f>
        <v>5</v>
      </c>
      <c r="I72" s="10">
        <f>IFERROR(vlookup('2.3'!H:H,lookup!$A$18:$B$20,2,false),0)</f>
        <v>5</v>
      </c>
      <c r="J72" s="10">
        <f>IFERROR(vlookup('2.3'!I:I,lookup!$A$22:$B$24,2,false),0)</f>
        <v>5</v>
      </c>
      <c r="K72" s="10">
        <f>IFERROR(vlookup('2.3'!J:J,lookup!$A$26:$B$28,2,false),0)</f>
        <v>5</v>
      </c>
      <c r="M72" s="10">
        <v>71.0</v>
      </c>
      <c r="N72" s="11" t="str">
        <f t="shared" si="1"/>
        <v>bnco0971@signalschool.ac.th</v>
      </c>
      <c r="O72" s="12">
        <f t="shared" si="2"/>
        <v>1</v>
      </c>
      <c r="R72" s="17" t="s">
        <v>288</v>
      </c>
    </row>
    <row r="73">
      <c r="A73" s="8">
        <f>'2.3'!A:A</f>
        <v>46212.63193</v>
      </c>
      <c r="B73" s="2" t="str">
        <f>'2.3'!B:B</f>
        <v>bnco0922@signalschool.ac.th</v>
      </c>
      <c r="C73" s="2" t="str">
        <f>'2.3'!C:C</f>
        <v>พ.ต.ไมตรี บุญเหลื่อม</v>
      </c>
      <c r="D73" s="9">
        <v>1.0</v>
      </c>
      <c r="E73" s="10">
        <f>IFERROR(vlookup('2.3'!D:D,lookup!$A$2:$B$4,2,false),0)</f>
        <v>5</v>
      </c>
      <c r="F73" s="10">
        <f>IFERROR(vlookup('2.3'!E:E,lookup!$A$6:$B$8,2,false),0)</f>
        <v>5</v>
      </c>
      <c r="G73" s="10">
        <f>IFERROR(vlookup('2.3'!F:F,lookup!$A$10:$B$12,2,false),0)</f>
        <v>5</v>
      </c>
      <c r="H73" s="10">
        <f>IFERROR(vlookup('2.3'!G:G,lookup!$A$14:$B$16,2,false),0)</f>
        <v>5</v>
      </c>
      <c r="I73" s="10">
        <f>IFERROR(vlookup('2.3'!H:H,lookup!$A$18:$B$20,2,false),0)</f>
        <v>5</v>
      </c>
      <c r="J73" s="10">
        <f>IFERROR(vlookup('2.3'!I:I,lookup!$A$22:$B$24,2,false),0)</f>
        <v>5</v>
      </c>
      <c r="K73" s="10">
        <f>IFERROR(vlookup('2.3'!J:J,lookup!$A$26:$B$28,2,false),0)</f>
        <v>5</v>
      </c>
      <c r="M73" s="10">
        <v>72.0</v>
      </c>
      <c r="N73" s="11" t="str">
        <f t="shared" si="1"/>
        <v>bnco0972@signalschool.ac.th</v>
      </c>
      <c r="O73" s="12">
        <f t="shared" si="2"/>
        <v>1</v>
      </c>
      <c r="R73" s="17" t="s">
        <v>289</v>
      </c>
    </row>
    <row r="74">
      <c r="A74" s="8">
        <f>'2.3'!A:A</f>
        <v>46212.63358</v>
      </c>
      <c r="B74" s="2" t="str">
        <f>'2.3'!B:B</f>
        <v>bnco0946@signalschool.ac.th</v>
      </c>
      <c r="C74" s="2" t="str">
        <f>'2.3'!C:C</f>
        <v>พ.ต.ไมตรี บุญเหลื่อม</v>
      </c>
      <c r="D74" s="9">
        <v>1.0</v>
      </c>
      <c r="E74" s="10">
        <f>IFERROR(vlookup('2.3'!D:D,lookup!$A$2:$B$4,2,false),0)</f>
        <v>5</v>
      </c>
      <c r="F74" s="10">
        <f>IFERROR(vlookup('2.3'!E:E,lookup!$A$6:$B$8,2,false),0)</f>
        <v>5</v>
      </c>
      <c r="G74" s="10">
        <f>IFERROR(vlookup('2.3'!F:F,lookup!$A$10:$B$12,2,false),0)</f>
        <v>5</v>
      </c>
      <c r="H74" s="10">
        <f>IFERROR(vlookup('2.3'!G:G,lookup!$A$14:$B$16,2,false),0)</f>
        <v>5</v>
      </c>
      <c r="I74" s="10">
        <f>IFERROR(vlookup('2.3'!H:H,lookup!$A$18:$B$20,2,false),0)</f>
        <v>5</v>
      </c>
      <c r="J74" s="10">
        <f>IFERROR(vlookup('2.3'!I:I,lookup!$A$22:$B$24,2,false),0)</f>
        <v>5</v>
      </c>
      <c r="K74" s="10">
        <f>IFERROR(vlookup('2.3'!J:J,lookup!$A$26:$B$28,2,false),0)</f>
        <v>5</v>
      </c>
      <c r="M74" s="10">
        <v>73.0</v>
      </c>
      <c r="N74" s="11" t="str">
        <f t="shared" si="1"/>
        <v>bnco0973@signalschool.ac.th</v>
      </c>
      <c r="O74" s="12">
        <f t="shared" si="2"/>
        <v>1</v>
      </c>
      <c r="R74" s="17" t="s">
        <v>290</v>
      </c>
    </row>
    <row r="75">
      <c r="A75" s="8">
        <f>'2.3'!A:A</f>
        <v>46212.63548</v>
      </c>
      <c r="B75" s="2" t="str">
        <f>'2.3'!B:B</f>
        <v>bnco0953@signalschool.ac.th</v>
      </c>
      <c r="C75" s="2" t="str">
        <f>'2.3'!C:C</f>
        <v>พ.ต.ไมตรี บุญเหลื่อม</v>
      </c>
      <c r="D75" s="9">
        <v>1.0</v>
      </c>
      <c r="E75" s="10">
        <f>IFERROR(vlookup('2.3'!D:D,lookup!$A$2:$B$4,2,false),0)</f>
        <v>5</v>
      </c>
      <c r="F75" s="10">
        <f>IFERROR(vlookup('2.3'!E:E,lookup!$A$6:$B$8,2,false),0)</f>
        <v>5</v>
      </c>
      <c r="G75" s="10">
        <f>IFERROR(vlookup('2.3'!F:F,lookup!$A$10:$B$12,2,false),0)</f>
        <v>5</v>
      </c>
      <c r="H75" s="10">
        <f>IFERROR(vlookup('2.3'!G:G,lookup!$A$14:$B$16,2,false),0)</f>
        <v>5</v>
      </c>
      <c r="I75" s="10">
        <f>IFERROR(vlookup('2.3'!H:H,lookup!$A$18:$B$20,2,false),0)</f>
        <v>5</v>
      </c>
      <c r="J75" s="10">
        <f>IFERROR(vlookup('2.3'!I:I,lookup!$A$22:$B$24,2,false),0)</f>
        <v>5</v>
      </c>
      <c r="K75" s="10">
        <f>IFERROR(vlookup('2.3'!J:J,lookup!$A$26:$B$28,2,false),0)</f>
        <v>5</v>
      </c>
      <c r="M75" s="10">
        <v>74.0</v>
      </c>
      <c r="N75" s="11" t="str">
        <f t="shared" si="1"/>
        <v>bnco0974@signalschool.ac.th</v>
      </c>
      <c r="O75" s="12">
        <f t="shared" si="2"/>
        <v>1</v>
      </c>
      <c r="R75" s="17" t="s">
        <v>291</v>
      </c>
    </row>
    <row r="76">
      <c r="A76" s="8">
        <f>'2.3'!A:A</f>
        <v>46212.63703</v>
      </c>
      <c r="B76" s="2" t="str">
        <f>'2.3'!B:B</f>
        <v>bnco0917@signalschool.ac.th</v>
      </c>
      <c r="C76" s="2" t="str">
        <f>'2.3'!C:C</f>
        <v>พ.ต.ไม่ตรี บุญเหลือม</v>
      </c>
      <c r="D76" s="9">
        <v>1.0</v>
      </c>
      <c r="E76" s="10">
        <f>IFERROR(vlookup('2.3'!D:D,lookup!$A$2:$B$4,2,false),0)</f>
        <v>5</v>
      </c>
      <c r="F76" s="10">
        <f>IFERROR(vlookup('2.3'!E:E,lookup!$A$6:$B$8,2,false),0)</f>
        <v>5</v>
      </c>
      <c r="G76" s="10">
        <f>IFERROR(vlookup('2.3'!F:F,lookup!$A$10:$B$12,2,false),0)</f>
        <v>5</v>
      </c>
      <c r="H76" s="10">
        <f>IFERROR(vlookup('2.3'!G:G,lookup!$A$14:$B$16,2,false),0)</f>
        <v>5</v>
      </c>
      <c r="I76" s="10">
        <f>IFERROR(vlookup('2.3'!H:H,lookup!$A$18:$B$20,2,false),0)</f>
        <v>5</v>
      </c>
      <c r="J76" s="10">
        <f>IFERROR(vlookup('2.3'!I:I,lookup!$A$22:$B$24,2,false),0)</f>
        <v>5</v>
      </c>
      <c r="K76" s="10">
        <f>IFERROR(vlookup('2.3'!J:J,lookup!$A$26:$B$28,2,false),0)</f>
        <v>5</v>
      </c>
      <c r="M76" s="10">
        <v>75.0</v>
      </c>
      <c r="N76" s="11" t="str">
        <f t="shared" si="1"/>
        <v>bnco0975@signalschool.ac.th</v>
      </c>
      <c r="O76" s="12">
        <f t="shared" si="2"/>
        <v>1</v>
      </c>
      <c r="R76" s="17" t="s">
        <v>292</v>
      </c>
    </row>
    <row r="77">
      <c r="A77" s="8">
        <f>'2.3'!A:A</f>
        <v>46212.71274</v>
      </c>
      <c r="B77" s="2" t="str">
        <f>'2.3'!B:B</f>
        <v>bnco0954@signalschool.ac.th</v>
      </c>
      <c r="C77" s="2" t="str">
        <f>'2.3'!C:C</f>
        <v>พ.ต.ไมตรี บุญเหลื่อม</v>
      </c>
      <c r="D77" s="9">
        <v>1.0</v>
      </c>
      <c r="E77" s="10">
        <f>IFERROR(vlookup('2.3'!D:D,lookup!$A$2:$B$4,2,false),0)</f>
        <v>5</v>
      </c>
      <c r="F77" s="10">
        <f>IFERROR(vlookup('2.3'!E:E,lookup!$A$6:$B$8,2,false),0)</f>
        <v>5</v>
      </c>
      <c r="G77" s="10">
        <f>IFERROR(vlookup('2.3'!F:F,lookup!$A$10:$B$12,2,false),0)</f>
        <v>5</v>
      </c>
      <c r="H77" s="10">
        <f>IFERROR(vlookup('2.3'!G:G,lookup!$A$14:$B$16,2,false),0)</f>
        <v>5</v>
      </c>
      <c r="I77" s="10">
        <f>IFERROR(vlookup('2.3'!H:H,lookup!$A$18:$B$20,2,false),0)</f>
        <v>5</v>
      </c>
      <c r="J77" s="10">
        <f>IFERROR(vlookup('2.3'!I:I,lookup!$A$22:$B$24,2,false),0)</f>
        <v>5</v>
      </c>
      <c r="K77" s="10">
        <f>IFERROR(vlookup('2.3'!J:J,lookup!$A$26:$B$28,2,false),0)</f>
        <v>5</v>
      </c>
      <c r="M77" s="10">
        <v>76.0</v>
      </c>
      <c r="N77" s="11" t="str">
        <f t="shared" si="1"/>
        <v>bnco0976@signalschool.ac.th</v>
      </c>
      <c r="O77" s="12">
        <f t="shared" si="2"/>
        <v>1</v>
      </c>
      <c r="R77" s="17" t="s">
        <v>293</v>
      </c>
    </row>
    <row r="78">
      <c r="A78" s="8">
        <f>'2.3'!A:A</f>
        <v>46212.83736</v>
      </c>
      <c r="B78" s="2" t="str">
        <f>'2.3'!B:B</f>
        <v>bnco0907@signalschool.ac.th</v>
      </c>
      <c r="C78" s="2" t="str">
        <f>'2.3'!C:C</f>
        <v>พ.ต.ไมตรี บุญเหลื่อม</v>
      </c>
      <c r="D78" s="9">
        <v>1.0</v>
      </c>
      <c r="E78" s="10">
        <f>IFERROR(vlookup('2.3'!D:D,lookup!$A$2:$B$4,2,false),0)</f>
        <v>5</v>
      </c>
      <c r="F78" s="10">
        <f>IFERROR(vlookup('2.3'!E:E,lookup!$A$6:$B$8,2,false),0)</f>
        <v>5</v>
      </c>
      <c r="G78" s="10">
        <f>IFERROR(vlookup('2.3'!F:F,lookup!$A$10:$B$12,2,false),0)</f>
        <v>5</v>
      </c>
      <c r="H78" s="10">
        <f>IFERROR(vlookup('2.3'!G:G,lookup!$A$14:$B$16,2,false),0)</f>
        <v>5</v>
      </c>
      <c r="I78" s="10">
        <f>IFERROR(vlookup('2.3'!H:H,lookup!$A$18:$B$20,2,false),0)</f>
        <v>5</v>
      </c>
      <c r="J78" s="10">
        <f>IFERROR(vlookup('2.3'!I:I,lookup!$A$22:$B$24,2,false),0)</f>
        <v>5</v>
      </c>
      <c r="K78" s="10">
        <f>IFERROR(vlookup('2.3'!J:J,lookup!$A$26:$B$28,2,false),0)</f>
        <v>5</v>
      </c>
      <c r="M78" s="10">
        <v>77.0</v>
      </c>
      <c r="N78" s="11" t="str">
        <f t="shared" si="1"/>
        <v>bnco0977@signalschool.ac.th</v>
      </c>
      <c r="O78" s="12">
        <f t="shared" si="2"/>
        <v>1</v>
      </c>
      <c r="R78" s="17" t="s">
        <v>294</v>
      </c>
    </row>
    <row r="79">
      <c r="A79" s="8">
        <f>'2.3'!A:A</f>
        <v>46213.40131</v>
      </c>
      <c r="B79" s="2" t="str">
        <f>'2.3'!B:B</f>
        <v>bnco0956@signalschool.ac.th</v>
      </c>
      <c r="C79" s="2" t="str">
        <f>'2.3'!C:C</f>
        <v>พ.ต.ไมตรี บุญเหลื่อม</v>
      </c>
      <c r="D79" s="9">
        <v>1.0</v>
      </c>
      <c r="E79" s="10">
        <f>IFERROR(vlookup('2.3'!D:D,lookup!$A$2:$B$4,2,false),0)</f>
        <v>5</v>
      </c>
      <c r="F79" s="10">
        <f>IFERROR(vlookup('2.3'!E:E,lookup!$A$6:$B$8,2,false),0)</f>
        <v>5</v>
      </c>
      <c r="G79" s="10">
        <f>IFERROR(vlookup('2.3'!F:F,lookup!$A$10:$B$12,2,false),0)</f>
        <v>5</v>
      </c>
      <c r="H79" s="10">
        <f>IFERROR(vlookup('2.3'!G:G,lookup!$A$14:$B$16,2,false),0)</f>
        <v>5</v>
      </c>
      <c r="I79" s="10">
        <f>IFERROR(vlookup('2.3'!H:H,lookup!$A$18:$B$20,2,false),0)</f>
        <v>5</v>
      </c>
      <c r="J79" s="10">
        <f>IFERROR(vlookup('2.3'!I:I,lookup!$A$22:$B$24,2,false),0)</f>
        <v>5</v>
      </c>
      <c r="K79" s="10">
        <f>IFERROR(vlookup('2.3'!J:J,lookup!$A$26:$B$28,2,false),0)</f>
        <v>5</v>
      </c>
      <c r="M79" s="10">
        <v>78.0</v>
      </c>
      <c r="N79" s="11" t="str">
        <f t="shared" si="1"/>
        <v>bnco0978@signalschool.ac.th</v>
      </c>
      <c r="O79" s="12">
        <f t="shared" si="2"/>
        <v>1</v>
      </c>
      <c r="R79" s="17" t="s">
        <v>295</v>
      </c>
    </row>
    <row r="80">
      <c r="A80" s="8">
        <f>'2.3'!A:A</f>
        <v>46213.41466</v>
      </c>
      <c r="B80" s="2" t="str">
        <f>'2.3'!B:B</f>
        <v>bnco0931@signalschool.ac.th</v>
      </c>
      <c r="C80" s="2" t="str">
        <f>'2.3'!C:C</f>
        <v>พ.ต.ไมตรี บุญเหลื่อม</v>
      </c>
      <c r="D80" s="9">
        <v>1.0</v>
      </c>
      <c r="E80" s="10">
        <f>IFERROR(vlookup('2.3'!D:D,lookup!$A$2:$B$4,2,false),0)</f>
        <v>5</v>
      </c>
      <c r="F80" s="10">
        <f>IFERROR(vlookup('2.3'!E:E,lookup!$A$6:$B$8,2,false),0)</f>
        <v>5</v>
      </c>
      <c r="G80" s="10">
        <f>IFERROR(vlookup('2.3'!F:F,lookup!$A$10:$B$12,2,false),0)</f>
        <v>5</v>
      </c>
      <c r="H80" s="10">
        <f>IFERROR(vlookup('2.3'!G:G,lookup!$A$14:$B$16,2,false),0)</f>
        <v>5</v>
      </c>
      <c r="I80" s="10">
        <f>IFERROR(vlookup('2.3'!H:H,lookup!$A$18:$B$20,2,false),0)</f>
        <v>5</v>
      </c>
      <c r="J80" s="10">
        <f>IFERROR(vlookup('2.3'!I:I,lookup!$A$22:$B$24,2,false),0)</f>
        <v>5</v>
      </c>
      <c r="K80" s="10">
        <f>IFERROR(vlookup('2.3'!J:J,lookup!$A$26:$B$28,2,false),0)</f>
        <v>5</v>
      </c>
      <c r="M80" s="10">
        <v>79.0</v>
      </c>
      <c r="N80" s="11" t="str">
        <f t="shared" si="1"/>
        <v>bnco0979@signalschool.ac.th</v>
      </c>
      <c r="O80" s="12">
        <f t="shared" si="2"/>
        <v>1</v>
      </c>
      <c r="R80" s="17" t="s">
        <v>296</v>
      </c>
    </row>
    <row r="81">
      <c r="A81" s="8">
        <f>'2.3'!A:A</f>
        <v>46213.45975</v>
      </c>
      <c r="B81" s="2" t="str">
        <f>'2.3'!B:B</f>
        <v>bnco0975@signalschool.ac.th</v>
      </c>
      <c r="C81" s="2" t="str">
        <f>'2.3'!C:C</f>
        <v>พ.ต.ไมตรี บุญเหลื่อม</v>
      </c>
      <c r="D81" s="9">
        <v>1.0</v>
      </c>
      <c r="E81" s="10">
        <f>IFERROR(vlookup('2.3'!D:D,lookup!$A$2:$B$4,2,false),0)</f>
        <v>5</v>
      </c>
      <c r="F81" s="10">
        <f>IFERROR(vlookup('2.3'!E:E,lookup!$A$6:$B$8,2,false),0)</f>
        <v>5</v>
      </c>
      <c r="G81" s="10">
        <f>IFERROR(vlookup('2.3'!F:F,lookup!$A$10:$B$12,2,false),0)</f>
        <v>5</v>
      </c>
      <c r="H81" s="10">
        <f>IFERROR(vlookup('2.3'!G:G,lookup!$A$14:$B$16,2,false),0)</f>
        <v>5</v>
      </c>
      <c r="I81" s="10">
        <f>IFERROR(vlookup('2.3'!H:H,lookup!$A$18:$B$20,2,false),0)</f>
        <v>5</v>
      </c>
      <c r="J81" s="10">
        <f>IFERROR(vlookup('2.3'!I:I,lookup!$A$22:$B$24,2,false),0)</f>
        <v>5</v>
      </c>
      <c r="K81" s="10">
        <f>IFERROR(vlookup('2.3'!J:J,lookup!$A$26:$B$28,2,false),0)</f>
        <v>5</v>
      </c>
      <c r="M81" s="10">
        <v>80.0</v>
      </c>
      <c r="N81" s="11" t="str">
        <f t="shared" si="1"/>
        <v>bnco0980@signalschool.ac.th</v>
      </c>
      <c r="O81" s="12">
        <f t="shared" si="2"/>
        <v>1</v>
      </c>
      <c r="R81" s="17" t="s">
        <v>297</v>
      </c>
    </row>
    <row r="82">
      <c r="A82" s="8"/>
      <c r="B82" s="2"/>
      <c r="C82" s="2"/>
      <c r="E82" s="14">
        <f t="shared" ref="E82:K82" si="3">AVERAGE(E2:E81)</f>
        <v>4.975</v>
      </c>
      <c r="F82" s="14">
        <f t="shared" si="3"/>
        <v>4.975</v>
      </c>
      <c r="G82" s="14">
        <f t="shared" si="3"/>
        <v>4.975</v>
      </c>
      <c r="H82" s="14">
        <f t="shared" si="3"/>
        <v>4.95</v>
      </c>
      <c r="I82" s="14">
        <f t="shared" si="3"/>
        <v>4.975</v>
      </c>
      <c r="J82" s="14">
        <f t="shared" si="3"/>
        <v>4.975</v>
      </c>
      <c r="K82" s="14">
        <f t="shared" si="3"/>
        <v>4.95</v>
      </c>
      <c r="L82" s="15">
        <f>AVERAGE(E82:K82)</f>
        <v>4.967857143</v>
      </c>
      <c r="N82" s="2" t="s">
        <v>298</v>
      </c>
      <c r="O82" s="10">
        <f>SUM(O2:O81)</f>
        <v>80</v>
      </c>
    </row>
    <row r="83">
      <c r="A83" s="8"/>
      <c r="B83" s="2"/>
      <c r="C83" s="2"/>
      <c r="E83" s="10"/>
      <c r="F83" s="10"/>
      <c r="G83" s="10"/>
      <c r="H83" s="10"/>
      <c r="I83" s="10"/>
      <c r="J83" s="10"/>
      <c r="K83" s="10"/>
      <c r="N83" s="2" t="s">
        <v>299</v>
      </c>
      <c r="O83" s="10">
        <f>(O82*100)/80</f>
        <v>100</v>
      </c>
    </row>
    <row r="84">
      <c r="A84" s="8"/>
      <c r="B84" s="2"/>
      <c r="C84" s="2"/>
      <c r="E84" s="10"/>
      <c r="K84" s="10"/>
    </row>
    <row r="85">
      <c r="A85" s="8"/>
      <c r="B85" s="2"/>
      <c r="C85" s="2"/>
      <c r="E85" s="10"/>
    </row>
    <row r="86">
      <c r="A86" s="8"/>
      <c r="B86" s="2"/>
      <c r="C86" s="2"/>
      <c r="E86" s="10"/>
    </row>
    <row r="87">
      <c r="A87" s="8"/>
      <c r="B87" s="2"/>
      <c r="C87" s="2"/>
      <c r="E87" s="10"/>
    </row>
    <row r="88">
      <c r="A88" s="8"/>
      <c r="B88" s="2"/>
      <c r="C88" s="2"/>
      <c r="E88" s="10"/>
    </row>
    <row r="89">
      <c r="A89" s="8"/>
      <c r="B89" s="2"/>
      <c r="C89" s="2"/>
      <c r="E89" s="10"/>
    </row>
    <row r="90">
      <c r="A90" s="8"/>
      <c r="B90" s="2"/>
      <c r="C90" s="2"/>
      <c r="E90" s="10"/>
    </row>
    <row r="91">
      <c r="A91" s="8"/>
      <c r="B91" s="2"/>
      <c r="C91" s="2"/>
      <c r="E91" s="10"/>
    </row>
    <row r="92">
      <c r="A92" s="8"/>
      <c r="B92" s="2"/>
      <c r="C92" s="2"/>
      <c r="E92" s="10"/>
    </row>
    <row r="93">
      <c r="A93" s="8"/>
      <c r="B93" s="2"/>
      <c r="C93" s="2"/>
      <c r="E93" s="10"/>
    </row>
    <row r="94">
      <c r="A94" s="8"/>
      <c r="B94" s="2"/>
      <c r="C94" s="2"/>
      <c r="E94" s="10"/>
    </row>
    <row r="95">
      <c r="A95" s="8"/>
      <c r="B95" s="2"/>
      <c r="C95" s="2"/>
      <c r="E95" s="10"/>
    </row>
    <row r="96">
      <c r="A96" s="8"/>
      <c r="B96" s="2"/>
      <c r="C96" s="2"/>
      <c r="E96" s="10"/>
    </row>
    <row r="97">
      <c r="A97" s="8"/>
      <c r="B97" s="2"/>
      <c r="C97" s="2"/>
      <c r="E97" s="10"/>
    </row>
    <row r="98">
      <c r="A98" s="8"/>
      <c r="C98" s="2"/>
      <c r="E98" s="10"/>
    </row>
    <row r="99">
      <c r="A99" s="8"/>
      <c r="C99" s="2"/>
      <c r="E99" s="10"/>
    </row>
    <row r="100">
      <c r="A100" s="8"/>
      <c r="C100" s="2"/>
    </row>
    <row r="101">
      <c r="A101" s="8"/>
      <c r="C101" s="2"/>
    </row>
    <row r="102">
      <c r="A102" s="8"/>
      <c r="C102" s="2"/>
    </row>
    <row r="103">
      <c r="A103" s="8"/>
      <c r="C103" s="2"/>
    </row>
    <row r="104">
      <c r="A104" s="8"/>
      <c r="C104" s="2"/>
    </row>
    <row r="105">
      <c r="A105" s="8"/>
      <c r="C105" s="2"/>
    </row>
    <row r="106">
      <c r="A106" s="8"/>
      <c r="C106" s="2"/>
    </row>
    <row r="107">
      <c r="A107" s="8"/>
      <c r="C107" s="2"/>
    </row>
    <row r="108">
      <c r="A108" s="8"/>
      <c r="C108" s="2"/>
    </row>
    <row r="109">
      <c r="A109" s="8"/>
      <c r="C109" s="2"/>
    </row>
    <row r="110">
      <c r="A110" s="8"/>
      <c r="C110" s="2"/>
    </row>
    <row r="111">
      <c r="A111" s="8"/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</sheetData>
  <mergeCells count="1">
    <mergeCell ref="M1:O1"/>
  </mergeCell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7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4">
        <v>46181.525847199075</v>
      </c>
      <c r="B2" s="6" t="s">
        <v>11</v>
      </c>
      <c r="C2" s="6" t="s">
        <v>458</v>
      </c>
      <c r="D2" s="6" t="s">
        <v>15</v>
      </c>
      <c r="E2" s="6" t="s">
        <v>16</v>
      </c>
      <c r="F2" s="6" t="s">
        <v>17</v>
      </c>
      <c r="G2" s="6" t="s">
        <v>18</v>
      </c>
      <c r="H2" s="6" t="s">
        <v>19</v>
      </c>
      <c r="I2" s="6" t="s">
        <v>20</v>
      </c>
      <c r="J2" s="6" t="s">
        <v>21</v>
      </c>
    </row>
    <row r="3">
      <c r="A3" s="4">
        <v>46189.44201309027</v>
      </c>
      <c r="B3" s="6" t="s">
        <v>27</v>
      </c>
      <c r="C3" s="6" t="s">
        <v>459</v>
      </c>
      <c r="D3" s="6" t="s">
        <v>15</v>
      </c>
      <c r="E3" s="6" t="s">
        <v>16</v>
      </c>
      <c r="F3" s="6" t="s">
        <v>17</v>
      </c>
      <c r="G3" s="6" t="s">
        <v>18</v>
      </c>
      <c r="H3" s="6" t="s">
        <v>19</v>
      </c>
      <c r="I3" s="6" t="s">
        <v>20</v>
      </c>
      <c r="J3" s="6" t="s">
        <v>21</v>
      </c>
      <c r="K3" s="6" t="s">
        <v>29</v>
      </c>
    </row>
    <row r="4">
      <c r="A4" s="4">
        <v>46195.361576724536</v>
      </c>
      <c r="B4" s="6" t="s">
        <v>166</v>
      </c>
      <c r="C4" s="6" t="s">
        <v>460</v>
      </c>
      <c r="D4" s="6" t="s">
        <v>15</v>
      </c>
      <c r="E4" s="6" t="s">
        <v>16</v>
      </c>
      <c r="F4" s="6" t="s">
        <v>17</v>
      </c>
      <c r="G4" s="6" t="s">
        <v>18</v>
      </c>
      <c r="H4" s="6" t="s">
        <v>19</v>
      </c>
      <c r="I4" s="6" t="s">
        <v>20</v>
      </c>
      <c r="J4" s="6" t="s">
        <v>21</v>
      </c>
    </row>
    <row r="5">
      <c r="A5" s="4">
        <v>46204.36093013889</v>
      </c>
      <c r="B5" s="6" t="s">
        <v>30</v>
      </c>
      <c r="C5" s="6" t="s">
        <v>461</v>
      </c>
      <c r="D5" s="6" t="s">
        <v>15</v>
      </c>
      <c r="E5" s="6" t="s">
        <v>16</v>
      </c>
      <c r="F5" s="6" t="s">
        <v>17</v>
      </c>
      <c r="G5" s="6" t="s">
        <v>18</v>
      </c>
      <c r="H5" s="6" t="s">
        <v>19</v>
      </c>
      <c r="I5" s="6" t="s">
        <v>20</v>
      </c>
      <c r="J5" s="6" t="s">
        <v>21</v>
      </c>
      <c r="K5" s="6" t="s">
        <v>34</v>
      </c>
    </row>
    <row r="6">
      <c r="A6" s="4">
        <v>46204.462649837966</v>
      </c>
      <c r="B6" s="6" t="s">
        <v>35</v>
      </c>
      <c r="C6" s="6" t="s">
        <v>461</v>
      </c>
      <c r="D6" s="6" t="s">
        <v>15</v>
      </c>
      <c r="E6" s="6" t="s">
        <v>16</v>
      </c>
      <c r="F6" s="6" t="s">
        <v>17</v>
      </c>
      <c r="G6" s="6" t="s">
        <v>18</v>
      </c>
      <c r="H6" s="6" t="s">
        <v>19</v>
      </c>
      <c r="I6" s="6" t="s">
        <v>20</v>
      </c>
      <c r="J6" s="6" t="s">
        <v>21</v>
      </c>
    </row>
    <row r="7">
      <c r="A7" s="4">
        <v>46206.60141204861</v>
      </c>
      <c r="B7" s="6" t="s">
        <v>37</v>
      </c>
      <c r="C7" s="6" t="s">
        <v>459</v>
      </c>
      <c r="D7" s="6" t="s">
        <v>15</v>
      </c>
      <c r="E7" s="6" t="s">
        <v>16</v>
      </c>
      <c r="F7" s="6" t="s">
        <v>17</v>
      </c>
      <c r="G7" s="6" t="s">
        <v>18</v>
      </c>
      <c r="H7" s="6" t="s">
        <v>19</v>
      </c>
      <c r="I7" s="6" t="s">
        <v>20</v>
      </c>
      <c r="J7" s="6" t="s">
        <v>21</v>
      </c>
      <c r="K7" s="6" t="s">
        <v>219</v>
      </c>
    </row>
    <row r="8">
      <c r="A8" s="4">
        <v>46212.59066736111</v>
      </c>
      <c r="B8" s="6" t="s">
        <v>40</v>
      </c>
      <c r="C8" s="6" t="s">
        <v>459</v>
      </c>
      <c r="D8" s="6" t="s">
        <v>41</v>
      </c>
      <c r="E8" s="6" t="s">
        <v>33</v>
      </c>
      <c r="F8" s="6" t="s">
        <v>43</v>
      </c>
      <c r="G8" s="6" t="s">
        <v>44</v>
      </c>
      <c r="H8" s="6" t="s">
        <v>46</v>
      </c>
      <c r="I8" s="6" t="s">
        <v>47</v>
      </c>
      <c r="J8" s="6" t="s">
        <v>48</v>
      </c>
    </row>
    <row r="9">
      <c r="A9" s="4">
        <v>46212.620736296296</v>
      </c>
      <c r="B9" s="6" t="s">
        <v>49</v>
      </c>
      <c r="C9" s="6" t="s">
        <v>477</v>
      </c>
      <c r="D9" s="6" t="s">
        <v>15</v>
      </c>
      <c r="E9" s="6" t="s">
        <v>16</v>
      </c>
      <c r="F9" s="6" t="s">
        <v>17</v>
      </c>
      <c r="G9" s="6" t="s">
        <v>18</v>
      </c>
      <c r="H9" s="6" t="s">
        <v>19</v>
      </c>
      <c r="I9" s="6" t="s">
        <v>20</v>
      </c>
      <c r="J9" s="6" t="s">
        <v>21</v>
      </c>
    </row>
    <row r="10">
      <c r="A10" s="4">
        <v>46212.6212478588</v>
      </c>
      <c r="B10" s="6" t="s">
        <v>12</v>
      </c>
      <c r="C10" s="6" t="s">
        <v>459</v>
      </c>
      <c r="D10" s="6" t="s">
        <v>15</v>
      </c>
      <c r="E10" s="6" t="s">
        <v>16</v>
      </c>
      <c r="F10" s="6" t="s">
        <v>17</v>
      </c>
      <c r="G10" s="6" t="s">
        <v>18</v>
      </c>
      <c r="H10" s="6" t="s">
        <v>19</v>
      </c>
      <c r="I10" s="6" t="s">
        <v>20</v>
      </c>
      <c r="J10" s="6" t="s">
        <v>21</v>
      </c>
    </row>
    <row r="11">
      <c r="A11" s="4">
        <v>46212.621273067125</v>
      </c>
      <c r="B11" s="6" t="s">
        <v>79</v>
      </c>
      <c r="C11" s="6" t="s">
        <v>463</v>
      </c>
      <c r="D11" s="6" t="s">
        <v>15</v>
      </c>
      <c r="E11" s="6" t="s">
        <v>16</v>
      </c>
      <c r="F11" s="6" t="s">
        <v>17</v>
      </c>
      <c r="G11" s="6" t="s">
        <v>18</v>
      </c>
      <c r="H11" s="6" t="s">
        <v>19</v>
      </c>
      <c r="I11" s="6" t="s">
        <v>20</v>
      </c>
      <c r="J11" s="6" t="s">
        <v>21</v>
      </c>
    </row>
    <row r="12">
      <c r="A12" s="4">
        <v>46212.621965011575</v>
      </c>
      <c r="B12" s="6" t="s">
        <v>76</v>
      </c>
      <c r="C12" s="6" t="s">
        <v>464</v>
      </c>
      <c r="D12" s="6" t="s">
        <v>15</v>
      </c>
      <c r="E12" s="6" t="s">
        <v>16</v>
      </c>
      <c r="F12" s="6" t="s">
        <v>17</v>
      </c>
      <c r="G12" s="6" t="s">
        <v>18</v>
      </c>
      <c r="H12" s="6" t="s">
        <v>19</v>
      </c>
      <c r="I12" s="6" t="s">
        <v>20</v>
      </c>
      <c r="J12" s="6" t="s">
        <v>21</v>
      </c>
    </row>
    <row r="13">
      <c r="A13" s="4">
        <v>46212.62372162037</v>
      </c>
      <c r="B13" s="6" t="s">
        <v>31</v>
      </c>
      <c r="C13" s="6" t="s">
        <v>459</v>
      </c>
      <c r="D13" s="6" t="s">
        <v>15</v>
      </c>
      <c r="E13" s="6" t="s">
        <v>16</v>
      </c>
      <c r="F13" s="6" t="s">
        <v>17</v>
      </c>
      <c r="G13" s="6" t="s">
        <v>18</v>
      </c>
      <c r="H13" s="6" t="s">
        <v>19</v>
      </c>
      <c r="I13" s="6" t="s">
        <v>20</v>
      </c>
      <c r="J13" s="6" t="s">
        <v>21</v>
      </c>
    </row>
    <row r="14">
      <c r="A14" s="4">
        <v>46212.624132094905</v>
      </c>
      <c r="B14" s="6" t="s">
        <v>57</v>
      </c>
      <c r="C14" s="6" t="s">
        <v>459</v>
      </c>
      <c r="D14" s="6" t="s">
        <v>15</v>
      </c>
      <c r="E14" s="6" t="s">
        <v>16</v>
      </c>
      <c r="F14" s="6" t="s">
        <v>17</v>
      </c>
      <c r="G14" s="6" t="s">
        <v>18</v>
      </c>
      <c r="H14" s="6" t="s">
        <v>19</v>
      </c>
      <c r="I14" s="6" t="s">
        <v>20</v>
      </c>
      <c r="J14" s="6" t="s">
        <v>21</v>
      </c>
    </row>
    <row r="15">
      <c r="A15" s="4">
        <v>46212.62451972222</v>
      </c>
      <c r="B15" s="6" t="s">
        <v>106</v>
      </c>
      <c r="C15" s="6" t="s">
        <v>460</v>
      </c>
      <c r="D15" s="6" t="s">
        <v>15</v>
      </c>
      <c r="E15" s="6" t="s">
        <v>16</v>
      </c>
      <c r="F15" s="6" t="s">
        <v>17</v>
      </c>
      <c r="G15" s="6" t="s">
        <v>18</v>
      </c>
      <c r="H15" s="6" t="s">
        <v>19</v>
      </c>
      <c r="I15" s="6" t="s">
        <v>20</v>
      </c>
      <c r="J15" s="6" t="s">
        <v>21</v>
      </c>
    </row>
    <row r="16">
      <c r="A16" s="4">
        <v>46212.62456710648</v>
      </c>
      <c r="B16" s="6" t="s">
        <v>119</v>
      </c>
      <c r="C16" s="6" t="s">
        <v>459</v>
      </c>
      <c r="D16" s="6" t="s">
        <v>15</v>
      </c>
      <c r="E16" s="6" t="s">
        <v>16</v>
      </c>
      <c r="F16" s="6" t="s">
        <v>17</v>
      </c>
      <c r="G16" s="6" t="s">
        <v>18</v>
      </c>
      <c r="H16" s="6" t="s">
        <v>19</v>
      </c>
      <c r="I16" s="6" t="s">
        <v>20</v>
      </c>
      <c r="J16" s="6" t="s">
        <v>21</v>
      </c>
    </row>
    <row r="17">
      <c r="A17" s="4">
        <v>46212.62506831018</v>
      </c>
      <c r="B17" s="6" t="s">
        <v>67</v>
      </c>
      <c r="C17" s="6" t="s">
        <v>459</v>
      </c>
      <c r="D17" s="6" t="s">
        <v>15</v>
      </c>
      <c r="E17" s="6" t="s">
        <v>16</v>
      </c>
      <c r="F17" s="6" t="s">
        <v>17</v>
      </c>
      <c r="G17" s="6" t="s">
        <v>18</v>
      </c>
      <c r="H17" s="6" t="s">
        <v>19</v>
      </c>
      <c r="I17" s="6" t="s">
        <v>20</v>
      </c>
      <c r="J17" s="6" t="s">
        <v>21</v>
      </c>
    </row>
    <row r="18">
      <c r="A18" s="4">
        <v>46212.62522215278</v>
      </c>
      <c r="B18" s="6" t="s">
        <v>75</v>
      </c>
      <c r="C18" s="6" t="s">
        <v>463</v>
      </c>
      <c r="D18" s="6" t="s">
        <v>15</v>
      </c>
      <c r="E18" s="6" t="s">
        <v>16</v>
      </c>
      <c r="F18" s="6" t="s">
        <v>17</v>
      </c>
      <c r="G18" s="6" t="s">
        <v>18</v>
      </c>
      <c r="H18" s="6" t="s">
        <v>19</v>
      </c>
      <c r="I18" s="6" t="s">
        <v>20</v>
      </c>
      <c r="J18" s="6" t="s">
        <v>21</v>
      </c>
    </row>
    <row r="19">
      <c r="A19" s="4">
        <v>46212.62562115741</v>
      </c>
      <c r="B19" s="6" t="s">
        <v>110</v>
      </c>
      <c r="C19" s="6" t="s">
        <v>459</v>
      </c>
      <c r="D19" s="6" t="s">
        <v>15</v>
      </c>
      <c r="E19" s="6" t="s">
        <v>16</v>
      </c>
      <c r="F19" s="6" t="s">
        <v>17</v>
      </c>
      <c r="G19" s="6" t="s">
        <v>18</v>
      </c>
      <c r="H19" s="6" t="s">
        <v>19</v>
      </c>
      <c r="I19" s="6" t="s">
        <v>20</v>
      </c>
      <c r="J19" s="6" t="s">
        <v>21</v>
      </c>
    </row>
    <row r="20">
      <c r="A20" s="4">
        <v>46212.625766261575</v>
      </c>
      <c r="B20" s="6" t="s">
        <v>101</v>
      </c>
      <c r="C20" s="6" t="s">
        <v>459</v>
      </c>
      <c r="D20" s="6" t="s">
        <v>15</v>
      </c>
      <c r="E20" s="6" t="s">
        <v>16</v>
      </c>
      <c r="F20" s="6" t="s">
        <v>17</v>
      </c>
      <c r="G20" s="6" t="s">
        <v>18</v>
      </c>
      <c r="H20" s="6" t="s">
        <v>19</v>
      </c>
      <c r="I20" s="6" t="s">
        <v>20</v>
      </c>
      <c r="J20" s="6" t="s">
        <v>21</v>
      </c>
    </row>
    <row r="21">
      <c r="A21" s="4">
        <v>46212.625889629635</v>
      </c>
      <c r="B21" s="6" t="s">
        <v>53</v>
      </c>
      <c r="C21" s="6" t="s">
        <v>459</v>
      </c>
      <c r="D21" s="6" t="s">
        <v>15</v>
      </c>
      <c r="E21" s="6" t="s">
        <v>16</v>
      </c>
      <c r="F21" s="6" t="s">
        <v>17</v>
      </c>
      <c r="G21" s="6" t="s">
        <v>18</v>
      </c>
      <c r="H21" s="6" t="s">
        <v>19</v>
      </c>
      <c r="I21" s="6" t="s">
        <v>20</v>
      </c>
      <c r="J21" s="6" t="s">
        <v>21</v>
      </c>
    </row>
    <row r="22">
      <c r="A22" s="4">
        <v>46212.62596893519</v>
      </c>
      <c r="B22" s="6" t="s">
        <v>142</v>
      </c>
      <c r="C22" s="6" t="s">
        <v>460</v>
      </c>
      <c r="D22" s="6" t="s">
        <v>15</v>
      </c>
      <c r="E22" s="6" t="s">
        <v>16</v>
      </c>
      <c r="F22" s="6" t="s">
        <v>17</v>
      </c>
      <c r="G22" s="6" t="s">
        <v>18</v>
      </c>
      <c r="H22" s="6" t="s">
        <v>19</v>
      </c>
      <c r="I22" s="6" t="s">
        <v>20</v>
      </c>
      <c r="J22" s="6" t="s">
        <v>21</v>
      </c>
    </row>
    <row r="23">
      <c r="A23" s="4">
        <v>46212.62597533565</v>
      </c>
      <c r="B23" s="6" t="s">
        <v>125</v>
      </c>
      <c r="C23" s="6" t="s">
        <v>459</v>
      </c>
      <c r="D23" s="6" t="s">
        <v>15</v>
      </c>
      <c r="E23" s="6" t="s">
        <v>16</v>
      </c>
      <c r="F23" s="6" t="s">
        <v>17</v>
      </c>
      <c r="G23" s="6" t="s">
        <v>18</v>
      </c>
      <c r="H23" s="6" t="s">
        <v>19</v>
      </c>
      <c r="I23" s="6" t="s">
        <v>20</v>
      </c>
      <c r="J23" s="6" t="s">
        <v>21</v>
      </c>
    </row>
    <row r="24">
      <c r="A24" s="4">
        <v>46212.626123888884</v>
      </c>
      <c r="B24" s="6" t="s">
        <v>74</v>
      </c>
      <c r="C24" s="6" t="s">
        <v>459</v>
      </c>
      <c r="D24" s="6" t="s">
        <v>15</v>
      </c>
      <c r="E24" s="6" t="s">
        <v>16</v>
      </c>
      <c r="F24" s="6" t="s">
        <v>17</v>
      </c>
      <c r="G24" s="6" t="s">
        <v>18</v>
      </c>
      <c r="H24" s="6" t="s">
        <v>19</v>
      </c>
      <c r="I24" s="6" t="s">
        <v>20</v>
      </c>
      <c r="J24" s="6" t="s">
        <v>21</v>
      </c>
    </row>
    <row r="25">
      <c r="A25" s="4">
        <v>46212.62621987268</v>
      </c>
      <c r="B25" s="6" t="s">
        <v>63</v>
      </c>
      <c r="C25" s="6" t="s">
        <v>459</v>
      </c>
      <c r="D25" s="6" t="s">
        <v>15</v>
      </c>
      <c r="E25" s="6" t="s">
        <v>16</v>
      </c>
      <c r="F25" s="6" t="s">
        <v>17</v>
      </c>
      <c r="G25" s="6" t="s">
        <v>18</v>
      </c>
      <c r="H25" s="6" t="s">
        <v>19</v>
      </c>
      <c r="I25" s="6" t="s">
        <v>20</v>
      </c>
      <c r="J25" s="6" t="s">
        <v>21</v>
      </c>
    </row>
    <row r="26">
      <c r="A26" s="4">
        <v>46212.626532361115</v>
      </c>
      <c r="B26" s="6" t="s">
        <v>108</v>
      </c>
      <c r="C26" s="6" t="s">
        <v>459</v>
      </c>
      <c r="D26" s="6" t="s">
        <v>15</v>
      </c>
      <c r="E26" s="6" t="s">
        <v>16</v>
      </c>
      <c r="F26" s="6" t="s">
        <v>17</v>
      </c>
      <c r="G26" s="6" t="s">
        <v>18</v>
      </c>
      <c r="H26" s="6" t="s">
        <v>19</v>
      </c>
      <c r="I26" s="6" t="s">
        <v>20</v>
      </c>
      <c r="J26" s="6" t="s">
        <v>21</v>
      </c>
    </row>
    <row r="27">
      <c r="A27" s="4">
        <v>46212.62674221065</v>
      </c>
      <c r="B27" s="6" t="s">
        <v>25</v>
      </c>
      <c r="C27" s="6" t="s">
        <v>459</v>
      </c>
      <c r="D27" s="6" t="s">
        <v>15</v>
      </c>
      <c r="E27" s="6" t="s">
        <v>16</v>
      </c>
      <c r="F27" s="6" t="s">
        <v>17</v>
      </c>
      <c r="G27" s="6" t="s">
        <v>18</v>
      </c>
      <c r="H27" s="6" t="s">
        <v>19</v>
      </c>
      <c r="I27" s="6" t="s">
        <v>20</v>
      </c>
      <c r="J27" s="6" t="s">
        <v>21</v>
      </c>
    </row>
    <row r="28">
      <c r="A28" s="4">
        <v>46212.62674584491</v>
      </c>
      <c r="B28" s="6" t="s">
        <v>42</v>
      </c>
      <c r="C28" s="6" t="s">
        <v>459</v>
      </c>
      <c r="D28" s="6" t="s">
        <v>15</v>
      </c>
      <c r="E28" s="6" t="s">
        <v>16</v>
      </c>
      <c r="F28" s="6" t="s">
        <v>17</v>
      </c>
      <c r="G28" s="6" t="s">
        <v>18</v>
      </c>
      <c r="H28" s="6" t="s">
        <v>19</v>
      </c>
      <c r="I28" s="6" t="s">
        <v>20</v>
      </c>
      <c r="J28" s="6" t="s">
        <v>21</v>
      </c>
    </row>
    <row r="29">
      <c r="A29" s="4">
        <v>46212.626833159724</v>
      </c>
      <c r="B29" s="6" t="s">
        <v>93</v>
      </c>
      <c r="C29" s="6" t="s">
        <v>460</v>
      </c>
      <c r="D29" s="6" t="s">
        <v>15</v>
      </c>
      <c r="E29" s="6" t="s">
        <v>16</v>
      </c>
      <c r="F29" s="6" t="s">
        <v>17</v>
      </c>
      <c r="G29" s="6" t="s">
        <v>18</v>
      </c>
      <c r="H29" s="6" t="s">
        <v>19</v>
      </c>
      <c r="I29" s="6" t="s">
        <v>20</v>
      </c>
      <c r="J29" s="6" t="s">
        <v>21</v>
      </c>
    </row>
    <row r="30">
      <c r="A30" s="4">
        <v>46212.62683275463</v>
      </c>
      <c r="B30" s="6" t="s">
        <v>91</v>
      </c>
      <c r="C30" s="6" t="s">
        <v>459</v>
      </c>
      <c r="D30" s="6" t="s">
        <v>15</v>
      </c>
      <c r="E30" s="6" t="s">
        <v>16</v>
      </c>
      <c r="F30" s="6" t="s">
        <v>17</v>
      </c>
      <c r="G30" s="6" t="s">
        <v>18</v>
      </c>
      <c r="H30" s="6" t="s">
        <v>19</v>
      </c>
      <c r="I30" s="6" t="s">
        <v>20</v>
      </c>
      <c r="J30" s="6" t="s">
        <v>21</v>
      </c>
    </row>
    <row r="31">
      <c r="A31" s="4">
        <v>46212.62693481482</v>
      </c>
      <c r="B31" s="6" t="s">
        <v>54</v>
      </c>
      <c r="C31" s="6" t="s">
        <v>459</v>
      </c>
      <c r="D31" s="6" t="s">
        <v>15</v>
      </c>
      <c r="E31" s="6" t="s">
        <v>16</v>
      </c>
      <c r="F31" s="6" t="s">
        <v>17</v>
      </c>
      <c r="G31" s="6" t="s">
        <v>18</v>
      </c>
      <c r="H31" s="6" t="s">
        <v>19</v>
      </c>
      <c r="I31" s="6" t="s">
        <v>20</v>
      </c>
      <c r="J31" s="6" t="s">
        <v>21</v>
      </c>
    </row>
    <row r="32">
      <c r="A32" s="4">
        <v>46212.62693761574</v>
      </c>
      <c r="B32" s="6" t="s">
        <v>102</v>
      </c>
      <c r="C32" s="6" t="s">
        <v>459</v>
      </c>
      <c r="D32" s="6" t="s">
        <v>15</v>
      </c>
      <c r="E32" s="6" t="s">
        <v>16</v>
      </c>
      <c r="F32" s="6" t="s">
        <v>17</v>
      </c>
      <c r="G32" s="6" t="s">
        <v>18</v>
      </c>
      <c r="H32" s="6" t="s">
        <v>19</v>
      </c>
      <c r="I32" s="6" t="s">
        <v>20</v>
      </c>
      <c r="J32" s="6" t="s">
        <v>21</v>
      </c>
    </row>
    <row r="33">
      <c r="A33" s="4">
        <v>46212.62706699074</v>
      </c>
      <c r="B33" s="6" t="s">
        <v>144</v>
      </c>
      <c r="C33" s="6" t="s">
        <v>459</v>
      </c>
      <c r="D33" s="6" t="s">
        <v>15</v>
      </c>
      <c r="E33" s="6" t="s">
        <v>16</v>
      </c>
      <c r="F33" s="6" t="s">
        <v>17</v>
      </c>
      <c r="G33" s="6" t="s">
        <v>18</v>
      </c>
      <c r="H33" s="6" t="s">
        <v>19</v>
      </c>
      <c r="I33" s="6" t="s">
        <v>20</v>
      </c>
      <c r="J33" s="6" t="s">
        <v>21</v>
      </c>
    </row>
    <row r="34">
      <c r="A34" s="4">
        <v>46212.6270950926</v>
      </c>
      <c r="B34" s="6" t="s">
        <v>98</v>
      </c>
      <c r="C34" s="6" t="s">
        <v>459</v>
      </c>
      <c r="D34" s="6" t="s">
        <v>15</v>
      </c>
      <c r="E34" s="6" t="s">
        <v>16</v>
      </c>
      <c r="F34" s="6" t="s">
        <v>17</v>
      </c>
      <c r="G34" s="6" t="s">
        <v>18</v>
      </c>
      <c r="H34" s="6" t="s">
        <v>19</v>
      </c>
      <c r="I34" s="6" t="s">
        <v>20</v>
      </c>
      <c r="J34" s="6" t="s">
        <v>21</v>
      </c>
      <c r="K34" s="6" t="s">
        <v>34</v>
      </c>
    </row>
    <row r="35">
      <c r="A35" s="4">
        <v>46212.62721640046</v>
      </c>
      <c r="B35" s="6" t="s">
        <v>124</v>
      </c>
      <c r="C35" s="6" t="s">
        <v>459</v>
      </c>
      <c r="D35" s="6" t="s">
        <v>15</v>
      </c>
      <c r="E35" s="6" t="s">
        <v>16</v>
      </c>
      <c r="F35" s="6" t="s">
        <v>17</v>
      </c>
      <c r="G35" s="6" t="s">
        <v>18</v>
      </c>
      <c r="H35" s="6" t="s">
        <v>19</v>
      </c>
      <c r="I35" s="6" t="s">
        <v>20</v>
      </c>
      <c r="J35" s="6" t="s">
        <v>21</v>
      </c>
    </row>
    <row r="36">
      <c r="A36" s="4">
        <v>46212.6273228125</v>
      </c>
      <c r="B36" s="6" t="s">
        <v>134</v>
      </c>
      <c r="C36" s="6" t="s">
        <v>459</v>
      </c>
      <c r="D36" s="6" t="s">
        <v>15</v>
      </c>
      <c r="E36" s="6" t="s">
        <v>16</v>
      </c>
      <c r="F36" s="6" t="s">
        <v>17</v>
      </c>
      <c r="G36" s="6" t="s">
        <v>18</v>
      </c>
      <c r="H36" s="6" t="s">
        <v>19</v>
      </c>
      <c r="I36" s="6" t="s">
        <v>20</v>
      </c>
      <c r="J36" s="6" t="s">
        <v>21</v>
      </c>
    </row>
    <row r="37">
      <c r="A37" s="4">
        <v>46212.62738710648</v>
      </c>
      <c r="B37" s="6" t="s">
        <v>22</v>
      </c>
      <c r="C37" s="6" t="s">
        <v>459</v>
      </c>
      <c r="D37" s="6" t="s">
        <v>15</v>
      </c>
      <c r="E37" s="6" t="s">
        <v>16</v>
      </c>
      <c r="F37" s="6" t="s">
        <v>17</v>
      </c>
      <c r="G37" s="6" t="s">
        <v>18</v>
      </c>
      <c r="H37" s="6" t="s">
        <v>19</v>
      </c>
      <c r="I37" s="6" t="s">
        <v>20</v>
      </c>
      <c r="J37" s="6" t="s">
        <v>21</v>
      </c>
    </row>
    <row r="38">
      <c r="A38" s="4">
        <v>46212.62768431713</v>
      </c>
      <c r="B38" s="6" t="s">
        <v>138</v>
      </c>
      <c r="C38" s="6" t="s">
        <v>465</v>
      </c>
      <c r="D38" s="6" t="s">
        <v>15</v>
      </c>
      <c r="E38" s="6" t="s">
        <v>16</v>
      </c>
      <c r="F38" s="6" t="s">
        <v>17</v>
      </c>
      <c r="G38" s="6" t="s">
        <v>18</v>
      </c>
      <c r="H38" s="6" t="s">
        <v>19</v>
      </c>
      <c r="I38" s="6" t="s">
        <v>20</v>
      </c>
      <c r="J38" s="6" t="s">
        <v>21</v>
      </c>
    </row>
    <row r="39">
      <c r="A39" s="4">
        <v>46212.627776712965</v>
      </c>
      <c r="B39" s="6" t="s">
        <v>94</v>
      </c>
      <c r="C39" s="6" t="s">
        <v>459</v>
      </c>
      <c r="D39" s="6" t="s">
        <v>15</v>
      </c>
      <c r="E39" s="6" t="s">
        <v>16</v>
      </c>
      <c r="F39" s="6" t="s">
        <v>17</v>
      </c>
      <c r="G39" s="6" t="s">
        <v>18</v>
      </c>
      <c r="H39" s="6" t="s">
        <v>19</v>
      </c>
      <c r="I39" s="6" t="s">
        <v>20</v>
      </c>
      <c r="J39" s="6" t="s">
        <v>21</v>
      </c>
    </row>
    <row r="40">
      <c r="A40" s="4">
        <v>46212.62803420139</v>
      </c>
      <c r="B40" s="6" t="s">
        <v>100</v>
      </c>
      <c r="C40" s="6" t="s">
        <v>459</v>
      </c>
      <c r="D40" s="6" t="s">
        <v>15</v>
      </c>
      <c r="E40" s="6" t="s">
        <v>16</v>
      </c>
      <c r="F40" s="6" t="s">
        <v>17</v>
      </c>
      <c r="G40" s="6" t="s">
        <v>18</v>
      </c>
      <c r="H40" s="6" t="s">
        <v>19</v>
      </c>
      <c r="I40" s="6" t="s">
        <v>20</v>
      </c>
      <c r="J40" s="6" t="s">
        <v>21</v>
      </c>
    </row>
    <row r="41">
      <c r="A41" s="4">
        <v>46212.628130972225</v>
      </c>
      <c r="B41" s="6" t="s">
        <v>151</v>
      </c>
      <c r="C41" s="6" t="s">
        <v>459</v>
      </c>
      <c r="D41" s="6" t="s">
        <v>15</v>
      </c>
      <c r="E41" s="6" t="s">
        <v>16</v>
      </c>
      <c r="F41" s="6" t="s">
        <v>17</v>
      </c>
      <c r="G41" s="6" t="s">
        <v>18</v>
      </c>
      <c r="H41" s="6" t="s">
        <v>19</v>
      </c>
      <c r="I41" s="6" t="s">
        <v>20</v>
      </c>
      <c r="J41" s="6" t="s">
        <v>21</v>
      </c>
    </row>
    <row r="42">
      <c r="A42" s="4">
        <v>46212.628177673614</v>
      </c>
      <c r="B42" s="6" t="s">
        <v>59</v>
      </c>
      <c r="C42" s="6" t="s">
        <v>459</v>
      </c>
      <c r="D42" s="6" t="s">
        <v>15</v>
      </c>
      <c r="E42" s="6" t="s">
        <v>16</v>
      </c>
      <c r="F42" s="6" t="s">
        <v>17</v>
      </c>
      <c r="G42" s="6" t="s">
        <v>18</v>
      </c>
      <c r="H42" s="6" t="s">
        <v>19</v>
      </c>
      <c r="I42" s="6" t="s">
        <v>20</v>
      </c>
      <c r="J42" s="6" t="s">
        <v>21</v>
      </c>
    </row>
    <row r="43">
      <c r="A43" s="4">
        <v>46212.6282737037</v>
      </c>
      <c r="B43" s="6" t="s">
        <v>105</v>
      </c>
      <c r="C43" s="6" t="s">
        <v>459</v>
      </c>
      <c r="D43" s="6" t="s">
        <v>15</v>
      </c>
      <c r="E43" s="6" t="s">
        <v>16</v>
      </c>
      <c r="F43" s="6" t="s">
        <v>17</v>
      </c>
      <c r="G43" s="6" t="s">
        <v>18</v>
      </c>
      <c r="H43" s="6" t="s">
        <v>19</v>
      </c>
      <c r="I43" s="6" t="s">
        <v>20</v>
      </c>
      <c r="J43" s="6" t="s">
        <v>21</v>
      </c>
    </row>
    <row r="44">
      <c r="A44" s="4">
        <v>46212.628332962966</v>
      </c>
      <c r="B44" s="6" t="s">
        <v>123</v>
      </c>
      <c r="C44" s="6" t="s">
        <v>459</v>
      </c>
      <c r="D44" s="6" t="s">
        <v>15</v>
      </c>
      <c r="E44" s="6" t="s">
        <v>16</v>
      </c>
      <c r="F44" s="6" t="s">
        <v>17</v>
      </c>
      <c r="G44" s="6" t="s">
        <v>18</v>
      </c>
      <c r="H44" s="6" t="s">
        <v>19</v>
      </c>
      <c r="I44" s="6" t="s">
        <v>20</v>
      </c>
      <c r="J44" s="6" t="s">
        <v>21</v>
      </c>
    </row>
    <row r="45">
      <c r="A45" s="4">
        <v>46212.62839940972</v>
      </c>
      <c r="B45" s="6" t="s">
        <v>118</v>
      </c>
      <c r="C45" s="6" t="s">
        <v>459</v>
      </c>
      <c r="D45" s="6" t="s">
        <v>15</v>
      </c>
      <c r="E45" s="6" t="s">
        <v>16</v>
      </c>
      <c r="F45" s="6" t="s">
        <v>17</v>
      </c>
      <c r="G45" s="6" t="s">
        <v>18</v>
      </c>
      <c r="H45" s="6" t="s">
        <v>19</v>
      </c>
      <c r="I45" s="6" t="s">
        <v>20</v>
      </c>
      <c r="J45" s="6" t="s">
        <v>21</v>
      </c>
    </row>
    <row r="46">
      <c r="A46" s="4">
        <v>46212.62860394676</v>
      </c>
      <c r="B46" s="6" t="s">
        <v>161</v>
      </c>
      <c r="C46" s="6" t="s">
        <v>459</v>
      </c>
      <c r="D46" s="6" t="s">
        <v>15</v>
      </c>
      <c r="E46" s="6" t="s">
        <v>16</v>
      </c>
      <c r="F46" s="6" t="s">
        <v>17</v>
      </c>
      <c r="G46" s="6" t="s">
        <v>18</v>
      </c>
      <c r="H46" s="6" t="s">
        <v>19</v>
      </c>
      <c r="I46" s="6" t="s">
        <v>20</v>
      </c>
      <c r="J46" s="6" t="s">
        <v>21</v>
      </c>
    </row>
    <row r="47">
      <c r="A47" s="4">
        <v>46212.62862179398</v>
      </c>
      <c r="B47" s="6" t="s">
        <v>95</v>
      </c>
      <c r="C47" s="6" t="s">
        <v>459</v>
      </c>
      <c r="D47" s="6" t="s">
        <v>15</v>
      </c>
      <c r="E47" s="6" t="s">
        <v>16</v>
      </c>
      <c r="F47" s="6" t="s">
        <v>17</v>
      </c>
      <c r="G47" s="6" t="s">
        <v>18</v>
      </c>
      <c r="H47" s="6" t="s">
        <v>19</v>
      </c>
      <c r="I47" s="6" t="s">
        <v>20</v>
      </c>
      <c r="J47" s="6" t="s">
        <v>21</v>
      </c>
    </row>
    <row r="48">
      <c r="A48" s="4">
        <v>46212.62866785879</v>
      </c>
      <c r="B48" s="6" t="s">
        <v>82</v>
      </c>
      <c r="C48" s="6" t="s">
        <v>459</v>
      </c>
      <c r="D48" s="6" t="s">
        <v>15</v>
      </c>
      <c r="E48" s="6" t="s">
        <v>16</v>
      </c>
      <c r="F48" s="6" t="s">
        <v>17</v>
      </c>
      <c r="G48" s="6" t="s">
        <v>18</v>
      </c>
      <c r="H48" s="6" t="s">
        <v>19</v>
      </c>
      <c r="I48" s="6" t="s">
        <v>20</v>
      </c>
      <c r="J48" s="6" t="s">
        <v>21</v>
      </c>
    </row>
    <row r="49">
      <c r="A49" s="4">
        <v>46212.62872488426</v>
      </c>
      <c r="B49" s="6" t="s">
        <v>55</v>
      </c>
      <c r="C49" s="6" t="s">
        <v>459</v>
      </c>
      <c r="D49" s="6" t="s">
        <v>15</v>
      </c>
      <c r="E49" s="6" t="s">
        <v>16</v>
      </c>
      <c r="F49" s="6" t="s">
        <v>17</v>
      </c>
      <c r="G49" s="6" t="s">
        <v>18</v>
      </c>
      <c r="H49" s="6" t="s">
        <v>19</v>
      </c>
      <c r="I49" s="6" t="s">
        <v>20</v>
      </c>
      <c r="J49" s="6" t="s">
        <v>21</v>
      </c>
    </row>
    <row r="50">
      <c r="A50" s="4">
        <v>46212.62879606482</v>
      </c>
      <c r="B50" s="6" t="s">
        <v>88</v>
      </c>
      <c r="C50" s="6" t="s">
        <v>459</v>
      </c>
      <c r="D50" s="6" t="s">
        <v>15</v>
      </c>
      <c r="E50" s="6" t="s">
        <v>16</v>
      </c>
      <c r="F50" s="6" t="s">
        <v>17</v>
      </c>
      <c r="G50" s="6" t="s">
        <v>18</v>
      </c>
      <c r="H50" s="6" t="s">
        <v>19</v>
      </c>
      <c r="I50" s="6" t="s">
        <v>20</v>
      </c>
      <c r="J50" s="6" t="s">
        <v>21</v>
      </c>
    </row>
    <row r="51">
      <c r="A51" s="4">
        <v>46212.6288550926</v>
      </c>
      <c r="B51" s="6" t="s">
        <v>148</v>
      </c>
      <c r="C51" s="6" t="s">
        <v>459</v>
      </c>
      <c r="D51" s="6" t="s">
        <v>15</v>
      </c>
      <c r="E51" s="6" t="s">
        <v>16</v>
      </c>
      <c r="F51" s="6" t="s">
        <v>17</v>
      </c>
      <c r="G51" s="6" t="s">
        <v>18</v>
      </c>
      <c r="H51" s="6" t="s">
        <v>19</v>
      </c>
      <c r="I51" s="6" t="s">
        <v>20</v>
      </c>
      <c r="J51" s="6" t="s">
        <v>21</v>
      </c>
    </row>
    <row r="52">
      <c r="A52" s="4">
        <v>46212.62886765046</v>
      </c>
      <c r="B52" s="6" t="s">
        <v>104</v>
      </c>
      <c r="C52" s="6" t="s">
        <v>459</v>
      </c>
      <c r="D52" s="6" t="s">
        <v>15</v>
      </c>
      <c r="E52" s="6" t="s">
        <v>16</v>
      </c>
      <c r="F52" s="6" t="s">
        <v>17</v>
      </c>
      <c r="G52" s="6" t="s">
        <v>18</v>
      </c>
      <c r="H52" s="6" t="s">
        <v>19</v>
      </c>
      <c r="I52" s="6" t="s">
        <v>20</v>
      </c>
      <c r="J52" s="6" t="s">
        <v>21</v>
      </c>
    </row>
    <row r="53">
      <c r="A53" s="4">
        <v>46212.62894556713</v>
      </c>
      <c r="B53" s="6" t="s">
        <v>121</v>
      </c>
      <c r="C53" s="6" t="s">
        <v>467</v>
      </c>
      <c r="D53" s="6" t="s">
        <v>15</v>
      </c>
      <c r="E53" s="6" t="s">
        <v>16</v>
      </c>
      <c r="F53" s="6" t="s">
        <v>17</v>
      </c>
      <c r="G53" s="6" t="s">
        <v>18</v>
      </c>
      <c r="H53" s="6" t="s">
        <v>19</v>
      </c>
      <c r="I53" s="6" t="s">
        <v>20</v>
      </c>
      <c r="J53" s="6" t="s">
        <v>21</v>
      </c>
    </row>
    <row r="54">
      <c r="A54" s="4">
        <v>46212.62901746528</v>
      </c>
      <c r="B54" s="6" t="s">
        <v>62</v>
      </c>
      <c r="C54" s="6" t="s">
        <v>459</v>
      </c>
      <c r="D54" s="6" t="s">
        <v>15</v>
      </c>
      <c r="E54" s="6" t="s">
        <v>16</v>
      </c>
      <c r="F54" s="6" t="s">
        <v>17</v>
      </c>
      <c r="G54" s="6" t="s">
        <v>18</v>
      </c>
      <c r="H54" s="6" t="s">
        <v>19</v>
      </c>
      <c r="I54" s="6" t="s">
        <v>20</v>
      </c>
      <c r="J54" s="6" t="s">
        <v>21</v>
      </c>
    </row>
    <row r="55">
      <c r="A55" s="4">
        <v>46212.62919070602</v>
      </c>
      <c r="B55" s="6" t="s">
        <v>81</v>
      </c>
      <c r="C55" s="6" t="s">
        <v>459</v>
      </c>
      <c r="D55" s="6" t="s">
        <v>15</v>
      </c>
      <c r="E55" s="6" t="s">
        <v>16</v>
      </c>
      <c r="F55" s="6" t="s">
        <v>17</v>
      </c>
      <c r="G55" s="6" t="s">
        <v>18</v>
      </c>
      <c r="H55" s="6" t="s">
        <v>19</v>
      </c>
      <c r="I55" s="6" t="s">
        <v>20</v>
      </c>
      <c r="J55" s="6" t="s">
        <v>21</v>
      </c>
    </row>
    <row r="56">
      <c r="A56" s="4">
        <v>46212.629202870376</v>
      </c>
      <c r="B56" s="6" t="s">
        <v>71</v>
      </c>
      <c r="C56" s="6" t="s">
        <v>459</v>
      </c>
      <c r="D56" s="6" t="s">
        <v>15</v>
      </c>
      <c r="E56" s="6" t="s">
        <v>16</v>
      </c>
      <c r="F56" s="6" t="s">
        <v>17</v>
      </c>
      <c r="G56" s="6" t="s">
        <v>18</v>
      </c>
      <c r="H56" s="6" t="s">
        <v>19</v>
      </c>
      <c r="I56" s="6" t="s">
        <v>20</v>
      </c>
      <c r="J56" s="6" t="s">
        <v>21</v>
      </c>
    </row>
    <row r="57">
      <c r="A57" s="4">
        <v>46212.62931305556</v>
      </c>
      <c r="B57" s="6" t="s">
        <v>65</v>
      </c>
      <c r="C57" s="6" t="s">
        <v>459</v>
      </c>
      <c r="D57" s="6" t="s">
        <v>15</v>
      </c>
      <c r="E57" s="6" t="s">
        <v>16</v>
      </c>
      <c r="F57" s="6" t="s">
        <v>43</v>
      </c>
      <c r="G57" s="6" t="s">
        <v>18</v>
      </c>
      <c r="H57" s="6" t="s">
        <v>19</v>
      </c>
      <c r="I57" s="6" t="s">
        <v>20</v>
      </c>
      <c r="J57" s="6" t="s">
        <v>48</v>
      </c>
    </row>
    <row r="58">
      <c r="A58" s="4">
        <v>46212.62955936343</v>
      </c>
      <c r="B58" s="6" t="s">
        <v>61</v>
      </c>
      <c r="C58" s="6" t="s">
        <v>459</v>
      </c>
      <c r="D58" s="6" t="s">
        <v>15</v>
      </c>
      <c r="E58" s="6" t="s">
        <v>16</v>
      </c>
      <c r="F58" s="6" t="s">
        <v>17</v>
      </c>
      <c r="G58" s="6" t="s">
        <v>18</v>
      </c>
      <c r="H58" s="6" t="s">
        <v>19</v>
      </c>
      <c r="I58" s="6" t="s">
        <v>20</v>
      </c>
      <c r="J58" s="6" t="s">
        <v>21</v>
      </c>
    </row>
    <row r="59">
      <c r="A59" s="4">
        <v>46212.6295612963</v>
      </c>
      <c r="B59" s="6" t="s">
        <v>128</v>
      </c>
      <c r="C59" s="6" t="s">
        <v>459</v>
      </c>
      <c r="D59" s="6" t="s">
        <v>15</v>
      </c>
      <c r="E59" s="6" t="s">
        <v>16</v>
      </c>
      <c r="F59" s="6" t="s">
        <v>17</v>
      </c>
      <c r="G59" s="6" t="s">
        <v>18</v>
      </c>
      <c r="H59" s="6" t="s">
        <v>19</v>
      </c>
      <c r="I59" s="6" t="s">
        <v>20</v>
      </c>
      <c r="J59" s="6" t="s">
        <v>21</v>
      </c>
      <c r="K59" s="6" t="s">
        <v>29</v>
      </c>
    </row>
    <row r="60">
      <c r="A60" s="4">
        <v>46212.62956203704</v>
      </c>
      <c r="B60" s="6" t="s">
        <v>147</v>
      </c>
      <c r="C60" s="6" t="s">
        <v>459</v>
      </c>
      <c r="D60" s="6" t="s">
        <v>15</v>
      </c>
      <c r="E60" s="6" t="s">
        <v>16</v>
      </c>
      <c r="F60" s="6" t="s">
        <v>17</v>
      </c>
      <c r="G60" s="6" t="s">
        <v>18</v>
      </c>
      <c r="H60" s="6" t="s">
        <v>19</v>
      </c>
      <c r="I60" s="6" t="s">
        <v>20</v>
      </c>
      <c r="J60" s="6" t="s">
        <v>21</v>
      </c>
    </row>
    <row r="61">
      <c r="A61" s="4">
        <v>46212.62959439815</v>
      </c>
      <c r="B61" s="6" t="s">
        <v>137</v>
      </c>
      <c r="C61" s="6" t="s">
        <v>459</v>
      </c>
      <c r="D61" s="6" t="s">
        <v>15</v>
      </c>
      <c r="E61" s="6" t="s">
        <v>16</v>
      </c>
      <c r="F61" s="6" t="s">
        <v>17</v>
      </c>
      <c r="G61" s="6" t="s">
        <v>18</v>
      </c>
      <c r="H61" s="6" t="s">
        <v>19</v>
      </c>
      <c r="I61" s="6" t="s">
        <v>20</v>
      </c>
      <c r="J61" s="6" t="s">
        <v>21</v>
      </c>
    </row>
    <row r="62">
      <c r="A62" s="4">
        <v>46212.62970771991</v>
      </c>
      <c r="B62" s="6" t="s">
        <v>92</v>
      </c>
      <c r="C62" s="6" t="s">
        <v>459</v>
      </c>
      <c r="D62" s="6" t="s">
        <v>15</v>
      </c>
      <c r="E62" s="6" t="s">
        <v>16</v>
      </c>
      <c r="F62" s="6" t="s">
        <v>17</v>
      </c>
      <c r="G62" s="6" t="s">
        <v>18</v>
      </c>
      <c r="H62" s="6" t="s">
        <v>19</v>
      </c>
      <c r="I62" s="6" t="s">
        <v>20</v>
      </c>
      <c r="J62" s="6" t="s">
        <v>21</v>
      </c>
    </row>
    <row r="63">
      <c r="A63" s="4">
        <v>46212.629778981485</v>
      </c>
      <c r="B63" s="6" t="s">
        <v>158</v>
      </c>
      <c r="C63" s="6" t="s">
        <v>459</v>
      </c>
      <c r="D63" s="6" t="s">
        <v>15</v>
      </c>
      <c r="E63" s="6" t="s">
        <v>16</v>
      </c>
      <c r="F63" s="6" t="s">
        <v>17</v>
      </c>
      <c r="G63" s="6" t="s">
        <v>18</v>
      </c>
      <c r="H63" s="6" t="s">
        <v>19</v>
      </c>
      <c r="I63" s="6" t="s">
        <v>20</v>
      </c>
      <c r="J63" s="6" t="s">
        <v>21</v>
      </c>
    </row>
    <row r="64">
      <c r="A64" s="4">
        <v>46212.630340081014</v>
      </c>
      <c r="B64" s="6" t="s">
        <v>135</v>
      </c>
      <c r="C64" s="6" t="s">
        <v>459</v>
      </c>
      <c r="D64" s="6" t="s">
        <v>15</v>
      </c>
      <c r="E64" s="6" t="s">
        <v>16</v>
      </c>
      <c r="F64" s="6" t="s">
        <v>17</v>
      </c>
      <c r="G64" s="6" t="s">
        <v>18</v>
      </c>
      <c r="H64" s="6" t="s">
        <v>19</v>
      </c>
      <c r="I64" s="6" t="s">
        <v>20</v>
      </c>
      <c r="J64" s="6" t="s">
        <v>21</v>
      </c>
    </row>
    <row r="65">
      <c r="A65" s="4">
        <v>46212.6304312963</v>
      </c>
      <c r="B65" s="6" t="s">
        <v>73</v>
      </c>
      <c r="C65" s="6" t="s">
        <v>459</v>
      </c>
      <c r="D65" s="6" t="s">
        <v>15</v>
      </c>
      <c r="E65" s="6" t="s">
        <v>16</v>
      </c>
      <c r="F65" s="6" t="s">
        <v>17</v>
      </c>
      <c r="G65" s="6" t="s">
        <v>18</v>
      </c>
      <c r="H65" s="6" t="s">
        <v>19</v>
      </c>
      <c r="I65" s="6" t="s">
        <v>20</v>
      </c>
      <c r="J65" s="6" t="s">
        <v>21</v>
      </c>
    </row>
    <row r="66">
      <c r="A66" s="4">
        <v>46212.63068793982</v>
      </c>
      <c r="B66" s="6" t="s">
        <v>51</v>
      </c>
      <c r="C66" s="6" t="s">
        <v>459</v>
      </c>
      <c r="D66" s="6" t="s">
        <v>15</v>
      </c>
      <c r="E66" s="6" t="s">
        <v>16</v>
      </c>
      <c r="F66" s="6" t="s">
        <v>17</v>
      </c>
      <c r="G66" s="6" t="s">
        <v>18</v>
      </c>
      <c r="H66" s="6" t="s">
        <v>46</v>
      </c>
      <c r="I66" s="6" t="s">
        <v>20</v>
      </c>
      <c r="J66" s="6" t="s">
        <v>21</v>
      </c>
    </row>
    <row r="67">
      <c r="A67" s="4">
        <v>46212.630700486116</v>
      </c>
      <c r="B67" s="6" t="s">
        <v>114</v>
      </c>
      <c r="C67" s="6" t="s">
        <v>459</v>
      </c>
      <c r="D67" s="6" t="s">
        <v>15</v>
      </c>
      <c r="E67" s="6" t="s">
        <v>16</v>
      </c>
      <c r="F67" s="6" t="s">
        <v>17</v>
      </c>
      <c r="G67" s="6" t="s">
        <v>18</v>
      </c>
      <c r="H67" s="6" t="s">
        <v>19</v>
      </c>
      <c r="I67" s="6" t="s">
        <v>20</v>
      </c>
      <c r="J67" s="6" t="s">
        <v>21</v>
      </c>
    </row>
    <row r="68">
      <c r="A68" s="4">
        <v>46212.63111688657</v>
      </c>
      <c r="B68" s="6" t="s">
        <v>68</v>
      </c>
      <c r="C68" s="6" t="s">
        <v>459</v>
      </c>
      <c r="D68" s="6" t="s">
        <v>15</v>
      </c>
      <c r="E68" s="6" t="s">
        <v>16</v>
      </c>
      <c r="F68" s="6" t="s">
        <v>17</v>
      </c>
      <c r="G68" s="6" t="s">
        <v>18</v>
      </c>
      <c r="H68" s="6" t="s">
        <v>19</v>
      </c>
      <c r="I68" s="6" t="s">
        <v>20</v>
      </c>
      <c r="J68" s="6" t="s">
        <v>21</v>
      </c>
    </row>
    <row r="69">
      <c r="A69" s="4">
        <v>46212.63138386574</v>
      </c>
      <c r="B69" s="6" t="s">
        <v>133</v>
      </c>
      <c r="C69" s="6" t="s">
        <v>459</v>
      </c>
      <c r="D69" s="6" t="s">
        <v>15</v>
      </c>
      <c r="E69" s="6" t="s">
        <v>16</v>
      </c>
      <c r="F69" s="6" t="s">
        <v>17</v>
      </c>
      <c r="G69" s="6" t="s">
        <v>18</v>
      </c>
      <c r="H69" s="6" t="s">
        <v>19</v>
      </c>
      <c r="I69" s="6" t="s">
        <v>20</v>
      </c>
      <c r="J69" s="6" t="s">
        <v>21</v>
      </c>
    </row>
    <row r="70">
      <c r="A70" s="4">
        <v>46212.63181104166</v>
      </c>
      <c r="B70" s="6" t="s">
        <v>130</v>
      </c>
      <c r="C70" s="6" t="s">
        <v>478</v>
      </c>
      <c r="D70" s="6" t="s">
        <v>15</v>
      </c>
      <c r="E70" s="6" t="s">
        <v>16</v>
      </c>
      <c r="F70" s="6" t="s">
        <v>17</v>
      </c>
      <c r="G70" s="6" t="s">
        <v>18</v>
      </c>
      <c r="H70" s="6" t="s">
        <v>19</v>
      </c>
      <c r="I70" s="6" t="s">
        <v>20</v>
      </c>
      <c r="J70" s="6" t="s">
        <v>21</v>
      </c>
    </row>
    <row r="71">
      <c r="A71" s="4">
        <v>46212.63229342592</v>
      </c>
      <c r="B71" s="6" t="s">
        <v>126</v>
      </c>
      <c r="C71" s="6" t="s">
        <v>459</v>
      </c>
      <c r="D71" s="6" t="s">
        <v>15</v>
      </c>
      <c r="E71" s="6" t="s">
        <v>16</v>
      </c>
      <c r="F71" s="6" t="s">
        <v>17</v>
      </c>
      <c r="G71" s="6" t="s">
        <v>18</v>
      </c>
      <c r="H71" s="6" t="s">
        <v>19</v>
      </c>
      <c r="I71" s="6" t="s">
        <v>20</v>
      </c>
      <c r="J71" s="6" t="s">
        <v>21</v>
      </c>
    </row>
    <row r="72">
      <c r="A72" s="4">
        <v>46212.632472384255</v>
      </c>
      <c r="B72" s="6" t="s">
        <v>89</v>
      </c>
      <c r="C72" s="6" t="s">
        <v>459</v>
      </c>
      <c r="D72" s="6" t="s">
        <v>15</v>
      </c>
      <c r="E72" s="6" t="s">
        <v>16</v>
      </c>
      <c r="F72" s="6" t="s">
        <v>17</v>
      </c>
      <c r="G72" s="6" t="s">
        <v>18</v>
      </c>
      <c r="H72" s="6" t="s">
        <v>19</v>
      </c>
      <c r="I72" s="6" t="s">
        <v>20</v>
      </c>
      <c r="J72" s="6" t="s">
        <v>21</v>
      </c>
      <c r="K72" s="6" t="s">
        <v>29</v>
      </c>
    </row>
    <row r="73">
      <c r="A73" s="4">
        <v>46212.63394321759</v>
      </c>
      <c r="B73" s="6" t="s">
        <v>150</v>
      </c>
      <c r="C73" s="6" t="s">
        <v>459</v>
      </c>
      <c r="D73" s="6" t="s">
        <v>15</v>
      </c>
      <c r="E73" s="6" t="s">
        <v>16</v>
      </c>
      <c r="F73" s="6" t="s">
        <v>17</v>
      </c>
      <c r="G73" s="6" t="s">
        <v>18</v>
      </c>
      <c r="H73" s="6" t="s">
        <v>19</v>
      </c>
      <c r="I73" s="6" t="s">
        <v>20</v>
      </c>
      <c r="J73" s="6" t="s">
        <v>21</v>
      </c>
    </row>
    <row r="74">
      <c r="A74" s="4">
        <v>46212.63596971065</v>
      </c>
      <c r="B74" s="6" t="s">
        <v>113</v>
      </c>
      <c r="C74" s="6" t="s">
        <v>459</v>
      </c>
      <c r="D74" s="6" t="s">
        <v>15</v>
      </c>
      <c r="E74" s="6" t="s">
        <v>16</v>
      </c>
      <c r="F74" s="6" t="s">
        <v>17</v>
      </c>
      <c r="G74" s="6" t="s">
        <v>18</v>
      </c>
      <c r="H74" s="6" t="s">
        <v>19</v>
      </c>
      <c r="I74" s="6" t="s">
        <v>20</v>
      </c>
      <c r="J74" s="6" t="s">
        <v>21</v>
      </c>
    </row>
    <row r="75">
      <c r="A75" s="4">
        <v>46212.638083495374</v>
      </c>
      <c r="B75" s="6" t="s">
        <v>169</v>
      </c>
      <c r="C75" s="6" t="s">
        <v>463</v>
      </c>
      <c r="D75" s="6" t="s">
        <v>15</v>
      </c>
      <c r="E75" s="6" t="s">
        <v>16</v>
      </c>
      <c r="F75" s="6" t="s">
        <v>17</v>
      </c>
      <c r="G75" s="6" t="s">
        <v>18</v>
      </c>
      <c r="H75" s="6" t="s">
        <v>19</v>
      </c>
      <c r="I75" s="6" t="s">
        <v>20</v>
      </c>
      <c r="J75" s="6" t="s">
        <v>21</v>
      </c>
    </row>
    <row r="76">
      <c r="A76" s="4">
        <v>46212.64971795139</v>
      </c>
      <c r="B76" s="6" t="s">
        <v>162</v>
      </c>
      <c r="C76" s="6" t="s">
        <v>459</v>
      </c>
      <c r="D76" s="6" t="s">
        <v>15</v>
      </c>
      <c r="E76" s="6" t="s">
        <v>16</v>
      </c>
      <c r="F76" s="6" t="s">
        <v>17</v>
      </c>
      <c r="G76" s="6" t="s">
        <v>18</v>
      </c>
      <c r="H76" s="6" t="s">
        <v>19</v>
      </c>
      <c r="I76" s="6" t="s">
        <v>20</v>
      </c>
      <c r="J76" s="6" t="s">
        <v>21</v>
      </c>
    </row>
    <row r="77">
      <c r="A77" s="4">
        <v>46212.71318016204</v>
      </c>
      <c r="B77" s="6" t="s">
        <v>70</v>
      </c>
      <c r="C77" s="6" t="s">
        <v>459</v>
      </c>
      <c r="D77" s="6" t="s">
        <v>15</v>
      </c>
      <c r="E77" s="6" t="s">
        <v>16</v>
      </c>
      <c r="F77" s="6" t="s">
        <v>17</v>
      </c>
      <c r="G77" s="6" t="s">
        <v>18</v>
      </c>
      <c r="H77" s="6" t="s">
        <v>19</v>
      </c>
      <c r="I77" s="6" t="s">
        <v>20</v>
      </c>
      <c r="J77" s="6" t="s">
        <v>21</v>
      </c>
    </row>
    <row r="78">
      <c r="A78" s="4">
        <v>46212.83770509259</v>
      </c>
      <c r="B78" s="6" t="s">
        <v>155</v>
      </c>
      <c r="C78" s="6" t="s">
        <v>459</v>
      </c>
      <c r="D78" s="6" t="s">
        <v>15</v>
      </c>
      <c r="E78" s="6" t="s">
        <v>16</v>
      </c>
      <c r="F78" s="6" t="s">
        <v>17</v>
      </c>
      <c r="G78" s="6" t="s">
        <v>18</v>
      </c>
      <c r="H78" s="6" t="s">
        <v>19</v>
      </c>
      <c r="I78" s="6" t="s">
        <v>20</v>
      </c>
      <c r="J78" s="6" t="s">
        <v>21</v>
      </c>
    </row>
    <row r="79">
      <c r="A79" s="4">
        <v>46213.40168355324</v>
      </c>
      <c r="B79" s="6" t="s">
        <v>86</v>
      </c>
      <c r="C79" s="6" t="s">
        <v>459</v>
      </c>
      <c r="D79" s="6" t="s">
        <v>15</v>
      </c>
      <c r="E79" s="6" t="s">
        <v>16</v>
      </c>
      <c r="F79" s="6" t="s">
        <v>17</v>
      </c>
      <c r="G79" s="6" t="s">
        <v>18</v>
      </c>
      <c r="H79" s="6" t="s">
        <v>19</v>
      </c>
      <c r="I79" s="6" t="s">
        <v>20</v>
      </c>
      <c r="J79" s="6" t="s">
        <v>21</v>
      </c>
    </row>
    <row r="80">
      <c r="A80" s="4">
        <v>46213.41510524305</v>
      </c>
      <c r="B80" s="6" t="s">
        <v>171</v>
      </c>
      <c r="C80" s="6" t="s">
        <v>459</v>
      </c>
      <c r="D80" s="6" t="s">
        <v>15</v>
      </c>
      <c r="E80" s="6" t="s">
        <v>16</v>
      </c>
      <c r="F80" s="6" t="s">
        <v>17</v>
      </c>
      <c r="G80" s="6" t="s">
        <v>18</v>
      </c>
      <c r="H80" s="6" t="s">
        <v>19</v>
      </c>
      <c r="I80" s="6" t="s">
        <v>20</v>
      </c>
      <c r="J80" s="6" t="s">
        <v>21</v>
      </c>
    </row>
    <row r="81">
      <c r="A81" s="4">
        <v>46213.46024626157</v>
      </c>
      <c r="B81" s="6" t="s">
        <v>172</v>
      </c>
      <c r="C81" s="6" t="s">
        <v>459</v>
      </c>
      <c r="D81" s="6" t="s">
        <v>15</v>
      </c>
      <c r="E81" s="6" t="s">
        <v>16</v>
      </c>
      <c r="F81" s="6" t="s">
        <v>17</v>
      </c>
      <c r="G81" s="6" t="s">
        <v>18</v>
      </c>
      <c r="H81" s="6" t="s">
        <v>19</v>
      </c>
      <c r="I81" s="6" t="s">
        <v>20</v>
      </c>
      <c r="J81" s="6" t="s">
        <v>21</v>
      </c>
      <c r="K81" s="6" t="s">
        <v>115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4" max="4" width="2.13"/>
    <col customWidth="1" min="14" max="14" width="24.5"/>
  </cols>
  <sheetData>
    <row r="1">
      <c r="A1" s="2" t="s">
        <v>0</v>
      </c>
      <c r="B1" s="2" t="s">
        <v>1</v>
      </c>
      <c r="C1" s="3" t="s">
        <v>2</v>
      </c>
      <c r="D1" s="5"/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3" t="s">
        <v>9</v>
      </c>
      <c r="L1" s="2"/>
      <c r="M1" s="7" t="s">
        <v>24</v>
      </c>
    </row>
    <row r="2">
      <c r="A2" s="8">
        <f>'2.4'!A:A</f>
        <v>46181.52585</v>
      </c>
      <c r="B2" s="2" t="str">
        <f>'2.4'!B:B</f>
        <v>bnco0910@signalschool.ac.th</v>
      </c>
      <c r="C2" s="2" t="str">
        <f>'2.4'!C:C</f>
        <v>พ.ต. ไมตรี  บุญเหลื่อม</v>
      </c>
      <c r="D2" s="9">
        <v>1.0</v>
      </c>
      <c r="E2" s="10">
        <f>IFERROR(vlookup('2.4'!D:D,lookup!$A$2:$B$4,2,false),0)</f>
        <v>5</v>
      </c>
      <c r="F2" s="10">
        <f>IFERROR(vlookup('2.4'!E:E,lookup!$A$6:$B$8,2,false),0)</f>
        <v>5</v>
      </c>
      <c r="G2" s="10">
        <f>IFERROR(vlookup('2.4'!F:F,lookup!$A$10:$B$12,2,false),0)</f>
        <v>5</v>
      </c>
      <c r="H2" s="10">
        <f>IFERROR(vlookup('2.4'!G:G,lookup!$A$14:$B$16,2,false),0)</f>
        <v>5</v>
      </c>
      <c r="I2" s="10">
        <f>IFERROR(vlookup('2.4'!H:H,lookup!$A$18:$B$20,2,false),0)</f>
        <v>5</v>
      </c>
      <c r="J2" s="10">
        <f>IFERROR(vlookup('2.4'!I:I,lookup!$A$22:$B$24,2,false),0)</f>
        <v>5</v>
      </c>
      <c r="K2" s="10">
        <f>IFERROR(vlookup('2.4'!J:J,lookup!$A$26:$B$28,2,false),0)</f>
        <v>5</v>
      </c>
      <c r="L2" s="2"/>
      <c r="M2" s="10">
        <v>1.0</v>
      </c>
      <c r="N2" s="11" t="str">
        <f t="shared" ref="N2:N81" si="1">CONCAT(R2,"@signalschool.ac.th")</f>
        <v>bnco0901@signalschool.ac.th</v>
      </c>
      <c r="O2" s="12">
        <f t="shared" ref="O2:O81" si="2">IFERROR(VLOOKUP(N2,B$2:D$81,3,FALSE),0)</f>
        <v>1</v>
      </c>
      <c r="R2" s="17" t="s">
        <v>116</v>
      </c>
    </row>
    <row r="3">
      <c r="A3" s="8">
        <f>'2.4'!A:A</f>
        <v>46189.44201</v>
      </c>
      <c r="B3" s="2" t="str">
        <f>'2.4'!B:B</f>
        <v>bnco0940@signalschool.ac.th</v>
      </c>
      <c r="C3" s="2" t="str">
        <f>'2.4'!C:C</f>
        <v>พ.ต.ไมตรี บุญเหลื่อม</v>
      </c>
      <c r="D3" s="9">
        <v>1.0</v>
      </c>
      <c r="E3" s="10">
        <f>IFERROR(vlookup('2.4'!D:D,lookup!$A$2:$B$4,2,false),0)</f>
        <v>5</v>
      </c>
      <c r="F3" s="10">
        <f>IFERROR(vlookup('2.4'!E:E,lookup!$A$6:$B$8,2,false),0)</f>
        <v>5</v>
      </c>
      <c r="G3" s="10">
        <f>IFERROR(vlookup('2.4'!F:F,lookup!$A$10:$B$12,2,false),0)</f>
        <v>5</v>
      </c>
      <c r="H3" s="10">
        <f>IFERROR(vlookup('2.4'!G:G,lookup!$A$14:$B$16,2,false),0)</f>
        <v>5</v>
      </c>
      <c r="I3" s="10">
        <f>IFERROR(vlookup('2.4'!H:H,lookup!$A$18:$B$20,2,false),0)</f>
        <v>5</v>
      </c>
      <c r="J3" s="10">
        <f>IFERROR(vlookup('2.4'!I:I,lookup!$A$22:$B$24,2,false),0)</f>
        <v>5</v>
      </c>
      <c r="K3" s="10">
        <f>IFERROR(vlookup('2.4'!J:J,lookup!$A$26:$B$28,2,false),0)</f>
        <v>5</v>
      </c>
      <c r="L3" s="2"/>
      <c r="M3" s="10">
        <v>2.0</v>
      </c>
      <c r="N3" s="11" t="str">
        <f t="shared" si="1"/>
        <v>bnco0902@signalschool.ac.th</v>
      </c>
      <c r="O3" s="12">
        <f t="shared" si="2"/>
        <v>1</v>
      </c>
      <c r="R3" s="17" t="s">
        <v>157</v>
      </c>
    </row>
    <row r="4">
      <c r="A4" s="8">
        <f>'2.4'!A:A</f>
        <v>46195.36158</v>
      </c>
      <c r="B4" s="2" t="str">
        <f>'2.4'!B:B</f>
        <v>bnco0980@signalschool.ac.th</v>
      </c>
      <c r="C4" s="2" t="str">
        <f>'2.4'!C:C</f>
        <v>พ.ต.ไมตรี  บุญเหลื่อม</v>
      </c>
      <c r="D4" s="9">
        <v>1.0</v>
      </c>
      <c r="E4" s="10">
        <f>IFERROR(vlookup('2.4'!D:D,lookup!$A$2:$B$4,2,false),0)</f>
        <v>5</v>
      </c>
      <c r="F4" s="10">
        <f>IFERROR(vlookup('2.4'!E:E,lookup!$A$6:$B$8,2,false),0)</f>
        <v>5</v>
      </c>
      <c r="G4" s="10">
        <f>IFERROR(vlookup('2.4'!F:F,lookup!$A$10:$B$12,2,false),0)</f>
        <v>5</v>
      </c>
      <c r="H4" s="10">
        <f>IFERROR(vlookup('2.4'!G:G,lookup!$A$14:$B$16,2,false),0)</f>
        <v>5</v>
      </c>
      <c r="I4" s="10">
        <f>IFERROR(vlookup('2.4'!H:H,lookup!$A$18:$B$20,2,false),0)</f>
        <v>5</v>
      </c>
      <c r="J4" s="10">
        <f>IFERROR(vlookup('2.4'!I:I,lookup!$A$22:$B$24,2,false),0)</f>
        <v>5</v>
      </c>
      <c r="K4" s="10">
        <f>IFERROR(vlookup('2.4'!J:J,lookup!$A$26:$B$28,2,false),0)</f>
        <v>5</v>
      </c>
      <c r="L4" s="2"/>
      <c r="M4" s="10">
        <v>3.0</v>
      </c>
      <c r="N4" s="11" t="str">
        <f t="shared" si="1"/>
        <v>bnco0903@signalschool.ac.th</v>
      </c>
      <c r="O4" s="12">
        <f t="shared" si="2"/>
        <v>1</v>
      </c>
      <c r="R4" s="17" t="s">
        <v>182</v>
      </c>
    </row>
    <row r="5">
      <c r="A5" s="8">
        <f>'2.4'!A:A</f>
        <v>46204.36093</v>
      </c>
      <c r="B5" s="2" t="str">
        <f>'2.4'!B:B</f>
        <v>bnco0950@signalschool.ac.th</v>
      </c>
      <c r="C5" s="2" t="str">
        <f>'2.4'!C:C</f>
        <v>พ.ต.ไมตรี บุญเหลี่ยม</v>
      </c>
      <c r="D5" s="9">
        <v>1.0</v>
      </c>
      <c r="E5" s="10">
        <f>IFERROR(vlookup('2.4'!D:D,lookup!$A$2:$B$4,2,false),0)</f>
        <v>5</v>
      </c>
      <c r="F5" s="10">
        <f>IFERROR(vlookup('2.4'!E:E,lookup!$A$6:$B$8,2,false),0)</f>
        <v>5</v>
      </c>
      <c r="G5" s="10">
        <f>IFERROR(vlookup('2.4'!F:F,lookup!$A$10:$B$12,2,false),0)</f>
        <v>5</v>
      </c>
      <c r="H5" s="10">
        <f>IFERROR(vlookup('2.4'!G:G,lookup!$A$14:$B$16,2,false),0)</f>
        <v>5</v>
      </c>
      <c r="I5" s="10">
        <f>IFERROR(vlookup('2.4'!H:H,lookup!$A$18:$B$20,2,false),0)</f>
        <v>5</v>
      </c>
      <c r="J5" s="10">
        <f>IFERROR(vlookup('2.4'!I:I,lookup!$A$22:$B$24,2,false),0)</f>
        <v>5</v>
      </c>
      <c r="K5" s="10">
        <f>IFERROR(vlookup('2.4'!J:J,lookup!$A$26:$B$28,2,false),0)</f>
        <v>5</v>
      </c>
      <c r="L5" s="2"/>
      <c r="M5" s="10">
        <v>4.0</v>
      </c>
      <c r="N5" s="11" t="str">
        <f t="shared" si="1"/>
        <v>bnco0904@signalschool.ac.th</v>
      </c>
      <c r="O5" s="12">
        <f t="shared" si="2"/>
        <v>1</v>
      </c>
      <c r="R5" s="17" t="s">
        <v>193</v>
      </c>
    </row>
    <row r="6">
      <c r="A6" s="8">
        <f>'2.4'!A:A</f>
        <v>46204.46265</v>
      </c>
      <c r="B6" s="2" t="str">
        <f>'2.4'!B:B</f>
        <v>bnco0951@signalschool.ac.th</v>
      </c>
      <c r="C6" s="2" t="str">
        <f>'2.4'!C:C</f>
        <v>พ.ต.ไมตรี บุญเหลี่ยม</v>
      </c>
      <c r="D6" s="9">
        <v>1.0</v>
      </c>
      <c r="E6" s="10">
        <f>IFERROR(vlookup('2.4'!D:D,lookup!$A$2:$B$4,2,false),0)</f>
        <v>5</v>
      </c>
      <c r="F6" s="10">
        <f>IFERROR(vlookup('2.4'!E:E,lookup!$A$6:$B$8,2,false),0)</f>
        <v>5</v>
      </c>
      <c r="G6" s="10">
        <f>IFERROR(vlookup('2.4'!F:F,lookup!$A$10:$B$12,2,false),0)</f>
        <v>5</v>
      </c>
      <c r="H6" s="10">
        <f>IFERROR(vlookup('2.4'!G:G,lookup!$A$14:$B$16,2,false),0)</f>
        <v>5</v>
      </c>
      <c r="I6" s="10">
        <f>IFERROR(vlookup('2.4'!H:H,lookup!$A$18:$B$20,2,false),0)</f>
        <v>5</v>
      </c>
      <c r="J6" s="10">
        <f>IFERROR(vlookup('2.4'!I:I,lookup!$A$22:$B$24,2,false),0)</f>
        <v>5</v>
      </c>
      <c r="K6" s="10">
        <f>IFERROR(vlookup('2.4'!J:J,lookup!$A$26:$B$28,2,false),0)</f>
        <v>5</v>
      </c>
      <c r="L6" s="2"/>
      <c r="M6" s="10">
        <v>5.0</v>
      </c>
      <c r="N6" s="11" t="str">
        <f t="shared" si="1"/>
        <v>bnco0905@signalschool.ac.th</v>
      </c>
      <c r="O6" s="12">
        <f t="shared" si="2"/>
        <v>1</v>
      </c>
      <c r="R6" s="17" t="s">
        <v>197</v>
      </c>
    </row>
    <row r="7">
      <c r="A7" s="8">
        <f>'2.4'!A:A</f>
        <v>46206.60141</v>
      </c>
      <c r="B7" s="2" t="str">
        <f>'2.4'!B:B</f>
        <v>bnco0920@signalschool.ac.th</v>
      </c>
      <c r="C7" s="2" t="str">
        <f>'2.4'!C:C</f>
        <v>พ.ต.ไมตรี บุญเหลื่อม</v>
      </c>
      <c r="D7" s="9">
        <v>1.0</v>
      </c>
      <c r="E7" s="10">
        <f>IFERROR(vlookup('2.4'!D:D,lookup!$A$2:$B$4,2,false),0)</f>
        <v>5</v>
      </c>
      <c r="F7" s="10">
        <f>IFERROR(vlookup('2.4'!E:E,lookup!$A$6:$B$8,2,false),0)</f>
        <v>5</v>
      </c>
      <c r="G7" s="10">
        <f>IFERROR(vlookup('2.4'!F:F,lookup!$A$10:$B$12,2,false),0)</f>
        <v>5</v>
      </c>
      <c r="H7" s="10">
        <f>IFERROR(vlookup('2.4'!G:G,lookup!$A$14:$B$16,2,false),0)</f>
        <v>5</v>
      </c>
      <c r="I7" s="10">
        <f>IFERROR(vlookup('2.4'!H:H,lookup!$A$18:$B$20,2,false),0)</f>
        <v>5</v>
      </c>
      <c r="J7" s="10">
        <f>IFERROR(vlookup('2.4'!I:I,lookup!$A$22:$B$24,2,false),0)</f>
        <v>5</v>
      </c>
      <c r="K7" s="10">
        <f>IFERROR(vlookup('2.4'!J:J,lookup!$A$26:$B$28,2,false),0)</f>
        <v>5</v>
      </c>
      <c r="L7" s="2"/>
      <c r="M7" s="10">
        <v>6.0</v>
      </c>
      <c r="N7" s="11" t="str">
        <f t="shared" si="1"/>
        <v>bnco0906@signalschool.ac.th</v>
      </c>
      <c r="O7" s="12">
        <f t="shared" si="2"/>
        <v>1</v>
      </c>
      <c r="R7" s="17" t="s">
        <v>203</v>
      </c>
    </row>
    <row r="8">
      <c r="A8" s="8">
        <f>'2.4'!A:A</f>
        <v>46212.59067</v>
      </c>
      <c r="B8" s="2" t="str">
        <f>'2.4'!B:B</f>
        <v>bnco0906@signalschool.ac.th</v>
      </c>
      <c r="C8" s="2" t="str">
        <f>'2.4'!C:C</f>
        <v>พ.ต.ไมตรี บุญเหลื่อม</v>
      </c>
      <c r="D8" s="9">
        <v>1.0</v>
      </c>
      <c r="E8" s="10">
        <f>IFERROR(vlookup('2.4'!D:D,lookup!$A$2:$B$4,2,false),0)</f>
        <v>3</v>
      </c>
      <c r="F8" s="10">
        <f>IFERROR(vlookup('2.4'!E:E,lookup!$A$6:$B$8,2,false),0)</f>
        <v>3</v>
      </c>
      <c r="G8" s="10">
        <f>IFERROR(vlookup('2.4'!F:F,lookup!$A$10:$B$12,2,false),0)</f>
        <v>3</v>
      </c>
      <c r="H8" s="10">
        <f>IFERROR(vlookup('2.4'!G:G,lookup!$A$14:$B$16,2,false),0)</f>
        <v>3</v>
      </c>
      <c r="I8" s="10">
        <f>IFERROR(vlookup('2.4'!H:H,lookup!$A$18:$B$20,2,false),0)</f>
        <v>3</v>
      </c>
      <c r="J8" s="10">
        <f>IFERROR(vlookup('2.4'!I:I,lookup!$A$22:$B$24,2,false),0)</f>
        <v>3</v>
      </c>
      <c r="K8" s="10">
        <f>IFERROR(vlookup('2.4'!J:J,lookup!$A$26:$B$28,2,false),0)</f>
        <v>3</v>
      </c>
      <c r="L8" s="2"/>
      <c r="M8" s="10">
        <v>7.0</v>
      </c>
      <c r="N8" s="11" t="str">
        <f t="shared" si="1"/>
        <v>bnco0907@signalschool.ac.th</v>
      </c>
      <c r="O8" s="12">
        <f t="shared" si="2"/>
        <v>1</v>
      </c>
      <c r="R8" s="17" t="s">
        <v>206</v>
      </c>
    </row>
    <row r="9">
      <c r="A9" s="8">
        <f>'2.4'!A:A</f>
        <v>46212.62074</v>
      </c>
      <c r="B9" s="2" t="str">
        <f>'2.4'!B:B</f>
        <v>bnco0955@signalschool.ac.th</v>
      </c>
      <c r="C9" s="2" t="str">
        <f>'2.4'!C:C</f>
        <v>อาจารย์ประจำวิชาแผนที่เข็มทิศ</v>
      </c>
      <c r="D9" s="9">
        <v>1.0</v>
      </c>
      <c r="E9" s="10">
        <f>IFERROR(vlookup('2.4'!D:D,lookup!$A$2:$B$4,2,false),0)</f>
        <v>5</v>
      </c>
      <c r="F9" s="10">
        <f>IFERROR(vlookup('2.4'!E:E,lookup!$A$6:$B$8,2,false),0)</f>
        <v>5</v>
      </c>
      <c r="G9" s="10">
        <f>IFERROR(vlookup('2.4'!F:F,lookup!$A$10:$B$12,2,false),0)</f>
        <v>5</v>
      </c>
      <c r="H9" s="10">
        <f>IFERROR(vlookup('2.4'!G:G,lookup!$A$14:$B$16,2,false),0)</f>
        <v>5</v>
      </c>
      <c r="I9" s="10">
        <f>IFERROR(vlookup('2.4'!H:H,lookup!$A$18:$B$20,2,false),0)</f>
        <v>5</v>
      </c>
      <c r="J9" s="10">
        <f>IFERROR(vlookup('2.4'!I:I,lookup!$A$22:$B$24,2,false),0)</f>
        <v>5</v>
      </c>
      <c r="K9" s="10">
        <f>IFERROR(vlookup('2.4'!J:J,lookup!$A$26:$B$28,2,false),0)</f>
        <v>5</v>
      </c>
      <c r="L9" s="2"/>
      <c r="M9" s="10">
        <v>8.0</v>
      </c>
      <c r="N9" s="11" t="str">
        <f t="shared" si="1"/>
        <v>bnco0908@signalschool.ac.th</v>
      </c>
      <c r="O9" s="12">
        <f t="shared" si="2"/>
        <v>1</v>
      </c>
      <c r="R9" s="17" t="s">
        <v>211</v>
      </c>
    </row>
    <row r="10">
      <c r="A10" s="8">
        <f>'2.4'!A:A</f>
        <v>46212.62125</v>
      </c>
      <c r="B10" s="2" t="str">
        <f>'2.4'!B:B</f>
        <v>bnco0958@signalschool.ac.th</v>
      </c>
      <c r="C10" s="2" t="str">
        <f>'2.4'!C:C</f>
        <v>พ.ต.ไมตรี บุญเหลื่อม</v>
      </c>
      <c r="D10" s="9">
        <v>1.0</v>
      </c>
      <c r="E10" s="10">
        <f>IFERROR(vlookup('2.4'!D:D,lookup!$A$2:$B$4,2,false),0)</f>
        <v>5</v>
      </c>
      <c r="F10" s="10">
        <f>IFERROR(vlookup('2.4'!E:E,lookup!$A$6:$B$8,2,false),0)</f>
        <v>5</v>
      </c>
      <c r="G10" s="10">
        <f>IFERROR(vlookup('2.4'!F:F,lookup!$A$10:$B$12,2,false),0)</f>
        <v>5</v>
      </c>
      <c r="H10" s="10">
        <f>IFERROR(vlookup('2.4'!G:G,lookup!$A$14:$B$16,2,false),0)</f>
        <v>5</v>
      </c>
      <c r="I10" s="10">
        <f>IFERROR(vlookup('2.4'!H:H,lookup!$A$18:$B$20,2,false),0)</f>
        <v>5</v>
      </c>
      <c r="J10" s="10">
        <f>IFERROR(vlookup('2.4'!I:I,lookup!$A$22:$B$24,2,false),0)</f>
        <v>5</v>
      </c>
      <c r="K10" s="10">
        <f>IFERROR(vlookup('2.4'!J:J,lookup!$A$26:$B$28,2,false),0)</f>
        <v>5</v>
      </c>
      <c r="L10" s="2"/>
      <c r="M10" s="10">
        <v>9.0</v>
      </c>
      <c r="N10" s="11" t="str">
        <f t="shared" si="1"/>
        <v>bnco0909@signalschool.ac.th</v>
      </c>
      <c r="O10" s="12">
        <f t="shared" si="2"/>
        <v>1</v>
      </c>
      <c r="R10" s="17" t="s">
        <v>212</v>
      </c>
    </row>
    <row r="11">
      <c r="A11" s="8">
        <f>'2.4'!A:A</f>
        <v>46212.62127</v>
      </c>
      <c r="B11" s="2" t="str">
        <f>'2.4'!B:B</f>
        <v>bnco0932@signalschool.ac.th</v>
      </c>
      <c r="C11" s="2" t="str">
        <f>'2.4'!C:C</f>
        <v>พ.ต.ไมตรี บุญเหลือม</v>
      </c>
      <c r="D11" s="9">
        <v>1.0</v>
      </c>
      <c r="E11" s="10">
        <f>IFERROR(vlookup('2.4'!D:D,lookup!$A$2:$B$4,2,false),0)</f>
        <v>5</v>
      </c>
      <c r="F11" s="10">
        <f>IFERROR(vlookup('2.4'!E:E,lookup!$A$6:$B$8,2,false),0)</f>
        <v>5</v>
      </c>
      <c r="G11" s="10">
        <f>IFERROR(vlookup('2.4'!F:F,lookup!$A$10:$B$12,2,false),0)</f>
        <v>5</v>
      </c>
      <c r="H11" s="10">
        <f>IFERROR(vlookup('2.4'!G:G,lookup!$A$14:$B$16,2,false),0)</f>
        <v>5</v>
      </c>
      <c r="I11" s="10">
        <f>IFERROR(vlookup('2.4'!H:H,lookup!$A$18:$B$20,2,false),0)</f>
        <v>5</v>
      </c>
      <c r="J11" s="10">
        <f>IFERROR(vlookup('2.4'!I:I,lookup!$A$22:$B$24,2,false),0)</f>
        <v>5</v>
      </c>
      <c r="K11" s="10">
        <f>IFERROR(vlookup('2.4'!J:J,lookup!$A$26:$B$28,2,false),0)</f>
        <v>5</v>
      </c>
      <c r="L11" s="2"/>
      <c r="M11" s="10">
        <v>10.0</v>
      </c>
      <c r="N11" s="11" t="str">
        <f t="shared" si="1"/>
        <v>bnco0910@signalschool.ac.th</v>
      </c>
      <c r="O11" s="12">
        <f t="shared" si="2"/>
        <v>1</v>
      </c>
      <c r="R11" s="17" t="s">
        <v>213</v>
      </c>
    </row>
    <row r="12">
      <c r="A12" s="8">
        <f>'2.4'!A:A</f>
        <v>46212.62197</v>
      </c>
      <c r="B12" s="2" t="str">
        <f>'2.4'!B:B</f>
        <v>bnco0962@signalschool.ac.th</v>
      </c>
      <c r="C12" s="2" t="str">
        <f>'2.4'!C:C</f>
        <v>พ.ต.ไมตรี   บุญเหลื่อม</v>
      </c>
      <c r="D12" s="9">
        <v>1.0</v>
      </c>
      <c r="E12" s="10">
        <f>IFERROR(vlookup('2.4'!D:D,lookup!$A$2:$B$4,2,false),0)</f>
        <v>5</v>
      </c>
      <c r="F12" s="10">
        <f>IFERROR(vlookup('2.4'!E:E,lookup!$A$6:$B$8,2,false),0)</f>
        <v>5</v>
      </c>
      <c r="G12" s="10">
        <f>IFERROR(vlookup('2.4'!F:F,lookup!$A$10:$B$12,2,false),0)</f>
        <v>5</v>
      </c>
      <c r="H12" s="10">
        <f>IFERROR(vlookup('2.4'!G:G,lookup!$A$14:$B$16,2,false),0)</f>
        <v>5</v>
      </c>
      <c r="I12" s="10">
        <f>IFERROR(vlookup('2.4'!H:H,lookup!$A$18:$B$20,2,false),0)</f>
        <v>5</v>
      </c>
      <c r="J12" s="10">
        <f>IFERROR(vlookup('2.4'!I:I,lookup!$A$22:$B$24,2,false),0)</f>
        <v>5</v>
      </c>
      <c r="K12" s="10">
        <f>IFERROR(vlookup('2.4'!J:J,lookup!$A$26:$B$28,2,false),0)</f>
        <v>5</v>
      </c>
      <c r="L12" s="2"/>
      <c r="M12" s="10">
        <v>11.0</v>
      </c>
      <c r="N12" s="11" t="str">
        <f t="shared" si="1"/>
        <v>bnco0911@signalschool.ac.th</v>
      </c>
      <c r="O12" s="12">
        <f t="shared" si="2"/>
        <v>1</v>
      </c>
      <c r="R12" s="17" t="s">
        <v>214</v>
      </c>
    </row>
    <row r="13">
      <c r="A13" s="8">
        <f>'2.4'!A:A</f>
        <v>46212.62372</v>
      </c>
      <c r="B13" s="2" t="str">
        <f>'2.4'!B:B</f>
        <v>bnco0971@signalschool.ac.th</v>
      </c>
      <c r="C13" s="2" t="str">
        <f>'2.4'!C:C</f>
        <v>พ.ต.ไมตรี บุญเหลื่อม</v>
      </c>
      <c r="D13" s="9">
        <v>1.0</v>
      </c>
      <c r="E13" s="10">
        <f>IFERROR(vlookup('2.4'!D:D,lookup!$A$2:$B$4,2,false),0)</f>
        <v>5</v>
      </c>
      <c r="F13" s="10">
        <f>IFERROR(vlookup('2.4'!E:E,lookup!$A$6:$B$8,2,false),0)</f>
        <v>5</v>
      </c>
      <c r="G13" s="10">
        <f>IFERROR(vlookup('2.4'!F:F,lookup!$A$10:$B$12,2,false),0)</f>
        <v>5</v>
      </c>
      <c r="H13" s="10">
        <f>IFERROR(vlookup('2.4'!G:G,lookup!$A$14:$B$16,2,false),0)</f>
        <v>5</v>
      </c>
      <c r="I13" s="10">
        <f>IFERROR(vlookup('2.4'!H:H,lookup!$A$18:$B$20,2,false),0)</f>
        <v>5</v>
      </c>
      <c r="J13" s="10">
        <f>IFERROR(vlookup('2.4'!I:I,lookup!$A$22:$B$24,2,false),0)</f>
        <v>5</v>
      </c>
      <c r="K13" s="10">
        <f>IFERROR(vlookup('2.4'!J:J,lookup!$A$26:$B$28,2,false),0)</f>
        <v>5</v>
      </c>
      <c r="L13" s="2"/>
      <c r="M13" s="10">
        <v>12.0</v>
      </c>
      <c r="N13" s="11" t="str">
        <f t="shared" si="1"/>
        <v>bnco0912@signalschool.ac.th</v>
      </c>
      <c r="O13" s="12">
        <f t="shared" si="2"/>
        <v>1</v>
      </c>
      <c r="R13" s="17" t="s">
        <v>222</v>
      </c>
    </row>
    <row r="14">
      <c r="A14" s="8">
        <f>'2.4'!A:A</f>
        <v>46212.62413</v>
      </c>
      <c r="B14" s="2" t="str">
        <f>'2.4'!B:B</f>
        <v>bnco0924@signalschool.ac.th</v>
      </c>
      <c r="C14" s="2" t="str">
        <f>'2.4'!C:C</f>
        <v>พ.ต.ไมตรี บุญเหลื่อม</v>
      </c>
      <c r="D14" s="9">
        <v>1.0</v>
      </c>
      <c r="E14" s="10">
        <f>IFERROR(vlookup('2.4'!D:D,lookup!$A$2:$B$4,2,false),0)</f>
        <v>5</v>
      </c>
      <c r="F14" s="10">
        <f>IFERROR(vlookup('2.4'!E:E,lookup!$A$6:$B$8,2,false),0)</f>
        <v>5</v>
      </c>
      <c r="G14" s="10">
        <f>IFERROR(vlookup('2.4'!F:F,lookup!$A$10:$B$12,2,false),0)</f>
        <v>5</v>
      </c>
      <c r="H14" s="10">
        <f>IFERROR(vlookup('2.4'!G:G,lookup!$A$14:$B$16,2,false),0)</f>
        <v>5</v>
      </c>
      <c r="I14" s="10">
        <f>IFERROR(vlookup('2.4'!H:H,lookup!$A$18:$B$20,2,false),0)</f>
        <v>5</v>
      </c>
      <c r="J14" s="10">
        <f>IFERROR(vlookup('2.4'!I:I,lookup!$A$22:$B$24,2,false),0)</f>
        <v>5</v>
      </c>
      <c r="K14" s="10">
        <f>IFERROR(vlookup('2.4'!J:J,lookup!$A$26:$B$28,2,false),0)</f>
        <v>5</v>
      </c>
      <c r="L14" s="2"/>
      <c r="M14" s="10">
        <v>13.0</v>
      </c>
      <c r="N14" s="11" t="str">
        <f t="shared" si="1"/>
        <v>bnco0913@signalschool.ac.th</v>
      </c>
      <c r="O14" s="12">
        <f t="shared" si="2"/>
        <v>1</v>
      </c>
      <c r="R14" s="17" t="s">
        <v>227</v>
      </c>
    </row>
    <row r="15">
      <c r="A15" s="8">
        <f>'2.4'!A:A</f>
        <v>46212.62452</v>
      </c>
      <c r="B15" s="2" t="str">
        <f>'2.4'!B:B</f>
        <v>bnco0972@signalschool.ac.th</v>
      </c>
      <c r="C15" s="2" t="str">
        <f>'2.4'!C:C</f>
        <v>พ.ต.ไมตรี  บุญเหลื่อม</v>
      </c>
      <c r="D15" s="9">
        <v>1.0</v>
      </c>
      <c r="E15" s="10">
        <f>IFERROR(vlookup('2.4'!D:D,lookup!$A$2:$B$4,2,false),0)</f>
        <v>5</v>
      </c>
      <c r="F15" s="10">
        <f>IFERROR(vlookup('2.4'!E:E,lookup!$A$6:$B$8,2,false),0)</f>
        <v>5</v>
      </c>
      <c r="G15" s="10">
        <f>IFERROR(vlookup('2.4'!F:F,lookup!$A$10:$B$12,2,false),0)</f>
        <v>5</v>
      </c>
      <c r="H15" s="10">
        <f>IFERROR(vlookup('2.4'!G:G,lookup!$A$14:$B$16,2,false),0)</f>
        <v>5</v>
      </c>
      <c r="I15" s="10">
        <f>IFERROR(vlookup('2.4'!H:H,lookup!$A$18:$B$20,2,false),0)</f>
        <v>5</v>
      </c>
      <c r="J15" s="10">
        <f>IFERROR(vlookup('2.4'!I:I,lookup!$A$22:$B$24,2,false),0)</f>
        <v>5</v>
      </c>
      <c r="K15" s="10">
        <f>IFERROR(vlookup('2.4'!J:J,lookup!$A$26:$B$28,2,false),0)</f>
        <v>5</v>
      </c>
      <c r="L15" s="2"/>
      <c r="M15" s="10">
        <v>14.0</v>
      </c>
      <c r="N15" s="11" t="str">
        <f t="shared" si="1"/>
        <v>bnco0914@signalschool.ac.th</v>
      </c>
      <c r="O15" s="12">
        <f t="shared" si="2"/>
        <v>1</v>
      </c>
      <c r="R15" s="17" t="s">
        <v>230</v>
      </c>
    </row>
    <row r="16">
      <c r="A16" s="8">
        <f>'2.4'!A:A</f>
        <v>46212.62457</v>
      </c>
      <c r="B16" s="2" t="str">
        <f>'2.4'!B:B</f>
        <v>bnco0928@signalschool.ac.th</v>
      </c>
      <c r="C16" s="2" t="str">
        <f>'2.4'!C:C</f>
        <v>พ.ต.ไมตรี บุญเหลื่อม</v>
      </c>
      <c r="D16" s="9">
        <v>1.0</v>
      </c>
      <c r="E16" s="10">
        <f>IFERROR(vlookup('2.4'!D:D,lookup!$A$2:$B$4,2,false),0)</f>
        <v>5</v>
      </c>
      <c r="F16" s="10">
        <f>IFERROR(vlookup('2.4'!E:E,lookup!$A$6:$B$8,2,false),0)</f>
        <v>5</v>
      </c>
      <c r="G16" s="10">
        <f>IFERROR(vlookup('2.4'!F:F,lookup!$A$10:$B$12,2,false),0)</f>
        <v>5</v>
      </c>
      <c r="H16" s="10">
        <f>IFERROR(vlookup('2.4'!G:G,lookup!$A$14:$B$16,2,false),0)</f>
        <v>5</v>
      </c>
      <c r="I16" s="10">
        <f>IFERROR(vlookup('2.4'!H:H,lookup!$A$18:$B$20,2,false),0)</f>
        <v>5</v>
      </c>
      <c r="J16" s="10">
        <f>IFERROR(vlookup('2.4'!I:I,lookup!$A$22:$B$24,2,false),0)</f>
        <v>5</v>
      </c>
      <c r="K16" s="10">
        <f>IFERROR(vlookup('2.4'!J:J,lookup!$A$26:$B$28,2,false),0)</f>
        <v>5</v>
      </c>
      <c r="L16" s="2"/>
      <c r="M16" s="10">
        <v>15.0</v>
      </c>
      <c r="N16" s="11" t="str">
        <f t="shared" si="1"/>
        <v>bnco0915@signalschool.ac.th</v>
      </c>
      <c r="O16" s="12">
        <f t="shared" si="2"/>
        <v>1</v>
      </c>
      <c r="R16" s="17" t="s">
        <v>232</v>
      </c>
    </row>
    <row r="17">
      <c r="A17" s="8">
        <f>'2.4'!A:A</f>
        <v>46212.62507</v>
      </c>
      <c r="B17" s="2" t="str">
        <f>'2.4'!B:B</f>
        <v>bnco0935@signalschool.ac.th</v>
      </c>
      <c r="C17" s="2" t="str">
        <f>'2.4'!C:C</f>
        <v>พ.ต.ไมตรี บุญเหลื่อม</v>
      </c>
      <c r="D17" s="9">
        <v>1.0</v>
      </c>
      <c r="E17" s="10">
        <f>IFERROR(vlookup('2.4'!D:D,lookup!$A$2:$B$4,2,false),0)</f>
        <v>5</v>
      </c>
      <c r="F17" s="10">
        <f>IFERROR(vlookup('2.4'!E:E,lookup!$A$6:$B$8,2,false),0)</f>
        <v>5</v>
      </c>
      <c r="G17" s="10">
        <f>IFERROR(vlookup('2.4'!F:F,lookup!$A$10:$B$12,2,false),0)</f>
        <v>5</v>
      </c>
      <c r="H17" s="10">
        <f>IFERROR(vlookup('2.4'!G:G,lookup!$A$14:$B$16,2,false),0)</f>
        <v>5</v>
      </c>
      <c r="I17" s="10">
        <f>IFERROR(vlookup('2.4'!H:H,lookup!$A$18:$B$20,2,false),0)</f>
        <v>5</v>
      </c>
      <c r="J17" s="10">
        <f>IFERROR(vlookup('2.4'!I:I,lookup!$A$22:$B$24,2,false),0)</f>
        <v>5</v>
      </c>
      <c r="K17" s="10">
        <f>IFERROR(vlookup('2.4'!J:J,lookup!$A$26:$B$28,2,false),0)</f>
        <v>5</v>
      </c>
      <c r="L17" s="2"/>
      <c r="M17" s="10">
        <v>16.0</v>
      </c>
      <c r="N17" s="11" t="str">
        <f t="shared" si="1"/>
        <v>bnco0916@signalschool.ac.th</v>
      </c>
      <c r="O17" s="12">
        <f t="shared" si="2"/>
        <v>1</v>
      </c>
      <c r="R17" s="17" t="s">
        <v>233</v>
      </c>
    </row>
    <row r="18">
      <c r="A18" s="8">
        <f>'2.4'!A:A</f>
        <v>46212.62522</v>
      </c>
      <c r="B18" s="2" t="str">
        <f>'2.4'!B:B</f>
        <v>bnco0923@signalschool.ac.th</v>
      </c>
      <c r="C18" s="2" t="str">
        <f>'2.4'!C:C</f>
        <v>พ.ต.ไมตรี บุญเหลือม</v>
      </c>
      <c r="D18" s="9">
        <v>1.0</v>
      </c>
      <c r="E18" s="10">
        <f>IFERROR(vlookup('2.4'!D:D,lookup!$A$2:$B$4,2,false),0)</f>
        <v>5</v>
      </c>
      <c r="F18" s="10">
        <f>IFERROR(vlookup('2.4'!E:E,lookup!$A$6:$B$8,2,false),0)</f>
        <v>5</v>
      </c>
      <c r="G18" s="10">
        <f>IFERROR(vlookup('2.4'!F:F,lookup!$A$10:$B$12,2,false),0)</f>
        <v>5</v>
      </c>
      <c r="H18" s="10">
        <f>IFERROR(vlookup('2.4'!G:G,lookup!$A$14:$B$16,2,false),0)</f>
        <v>5</v>
      </c>
      <c r="I18" s="10">
        <f>IFERROR(vlookup('2.4'!H:H,lookup!$A$18:$B$20,2,false),0)</f>
        <v>5</v>
      </c>
      <c r="J18" s="10">
        <f>IFERROR(vlookup('2.4'!I:I,lookup!$A$22:$B$24,2,false),0)</f>
        <v>5</v>
      </c>
      <c r="K18" s="10">
        <f>IFERROR(vlookup('2.4'!J:J,lookup!$A$26:$B$28,2,false),0)</f>
        <v>5</v>
      </c>
      <c r="L18" s="2"/>
      <c r="M18" s="10">
        <v>17.0</v>
      </c>
      <c r="N18" s="11" t="str">
        <f t="shared" si="1"/>
        <v>bnco0917@signalschool.ac.th</v>
      </c>
      <c r="O18" s="12">
        <f t="shared" si="2"/>
        <v>1</v>
      </c>
      <c r="R18" s="17" t="s">
        <v>234</v>
      </c>
    </row>
    <row r="19">
      <c r="A19" s="8">
        <f>'2.4'!A:A</f>
        <v>46212.62562</v>
      </c>
      <c r="B19" s="2" t="str">
        <f>'2.4'!B:B</f>
        <v>bnco0918@signalschool.ac.th</v>
      </c>
      <c r="C19" s="2" t="str">
        <f>'2.4'!C:C</f>
        <v>พ.ต.ไมตรี บุญเหลื่อม</v>
      </c>
      <c r="D19" s="9">
        <v>1.0</v>
      </c>
      <c r="E19" s="10">
        <f>IFERROR(vlookup('2.4'!D:D,lookup!$A$2:$B$4,2,false),0)</f>
        <v>5</v>
      </c>
      <c r="F19" s="10">
        <f>IFERROR(vlookup('2.4'!E:E,lookup!$A$6:$B$8,2,false),0)</f>
        <v>5</v>
      </c>
      <c r="G19" s="10">
        <f>IFERROR(vlookup('2.4'!F:F,lookup!$A$10:$B$12,2,false),0)</f>
        <v>5</v>
      </c>
      <c r="H19" s="10">
        <f>IFERROR(vlookup('2.4'!G:G,lookup!$A$14:$B$16,2,false),0)</f>
        <v>5</v>
      </c>
      <c r="I19" s="10">
        <f>IFERROR(vlookup('2.4'!H:H,lookup!$A$18:$B$20,2,false),0)</f>
        <v>5</v>
      </c>
      <c r="J19" s="10">
        <f>IFERROR(vlookup('2.4'!I:I,lookup!$A$22:$B$24,2,false),0)</f>
        <v>5</v>
      </c>
      <c r="K19" s="10">
        <f>IFERROR(vlookup('2.4'!J:J,lookup!$A$26:$B$28,2,false),0)</f>
        <v>5</v>
      </c>
      <c r="L19" s="2"/>
      <c r="M19" s="10">
        <v>18.0</v>
      </c>
      <c r="N19" s="11" t="str">
        <f t="shared" si="1"/>
        <v>bnco0918@signalschool.ac.th</v>
      </c>
      <c r="O19" s="12">
        <f t="shared" si="2"/>
        <v>1</v>
      </c>
      <c r="R19" s="17" t="s">
        <v>235</v>
      </c>
    </row>
    <row r="20">
      <c r="A20" s="8">
        <f>'2.4'!A:A</f>
        <v>46212.62577</v>
      </c>
      <c r="B20" s="2" t="str">
        <f>'2.4'!B:B</f>
        <v>bnco0977@signalschool.ac.th</v>
      </c>
      <c r="C20" s="2" t="str">
        <f>'2.4'!C:C</f>
        <v>พ.ต.ไมตรี บุญเหลื่อม</v>
      </c>
      <c r="D20" s="9">
        <v>1.0</v>
      </c>
      <c r="E20" s="10">
        <f>IFERROR(vlookup('2.4'!D:D,lookup!$A$2:$B$4,2,false),0)</f>
        <v>5</v>
      </c>
      <c r="F20" s="10">
        <f>IFERROR(vlookup('2.4'!E:E,lookup!$A$6:$B$8,2,false),0)</f>
        <v>5</v>
      </c>
      <c r="G20" s="10">
        <f>IFERROR(vlookup('2.4'!F:F,lookup!$A$10:$B$12,2,false),0)</f>
        <v>5</v>
      </c>
      <c r="H20" s="10">
        <f>IFERROR(vlookup('2.4'!G:G,lookup!$A$14:$B$16,2,false),0)</f>
        <v>5</v>
      </c>
      <c r="I20" s="10">
        <f>IFERROR(vlookup('2.4'!H:H,lookup!$A$18:$B$20,2,false),0)</f>
        <v>5</v>
      </c>
      <c r="J20" s="10">
        <f>IFERROR(vlookup('2.4'!I:I,lookup!$A$22:$B$24,2,false),0)</f>
        <v>5</v>
      </c>
      <c r="K20" s="10">
        <f>IFERROR(vlookup('2.4'!J:J,lookup!$A$26:$B$28,2,false),0)</f>
        <v>5</v>
      </c>
      <c r="L20" s="2"/>
      <c r="M20" s="10">
        <v>19.0</v>
      </c>
      <c r="N20" s="11" t="str">
        <f t="shared" si="1"/>
        <v>bnco0919@signalschool.ac.th</v>
      </c>
      <c r="O20" s="12">
        <f t="shared" si="2"/>
        <v>1</v>
      </c>
      <c r="R20" s="17" t="s">
        <v>236</v>
      </c>
    </row>
    <row r="21">
      <c r="A21" s="8">
        <f>'2.4'!A:A</f>
        <v>46212.62589</v>
      </c>
      <c r="B21" s="2" t="str">
        <f>'2.4'!B:B</f>
        <v>bnco0943@signalschool.ac.th</v>
      </c>
      <c r="C21" s="2" t="str">
        <f>'2.4'!C:C</f>
        <v>พ.ต.ไมตรี บุญเหลื่อม</v>
      </c>
      <c r="D21" s="9">
        <v>1.0</v>
      </c>
      <c r="E21" s="10">
        <f>IFERROR(vlookup('2.4'!D:D,lookup!$A$2:$B$4,2,false),0)</f>
        <v>5</v>
      </c>
      <c r="F21" s="10">
        <f>IFERROR(vlookup('2.4'!E:E,lookup!$A$6:$B$8,2,false),0)</f>
        <v>5</v>
      </c>
      <c r="G21" s="10">
        <f>IFERROR(vlookup('2.4'!F:F,lookup!$A$10:$B$12,2,false),0)</f>
        <v>5</v>
      </c>
      <c r="H21" s="10">
        <f>IFERROR(vlookup('2.4'!G:G,lookup!$A$14:$B$16,2,false),0)</f>
        <v>5</v>
      </c>
      <c r="I21" s="10">
        <f>IFERROR(vlookup('2.4'!H:H,lookup!$A$18:$B$20,2,false),0)</f>
        <v>5</v>
      </c>
      <c r="J21" s="10">
        <f>IFERROR(vlookup('2.4'!I:I,lookup!$A$22:$B$24,2,false),0)</f>
        <v>5</v>
      </c>
      <c r="K21" s="10">
        <f>IFERROR(vlookup('2.4'!J:J,lookup!$A$26:$B$28,2,false),0)</f>
        <v>5</v>
      </c>
      <c r="L21" s="2"/>
      <c r="M21" s="10">
        <v>20.0</v>
      </c>
      <c r="N21" s="11" t="str">
        <f t="shared" si="1"/>
        <v>bnco0920@signalschool.ac.th</v>
      </c>
      <c r="O21" s="12">
        <f t="shared" si="2"/>
        <v>1</v>
      </c>
      <c r="R21" s="17" t="s">
        <v>237</v>
      </c>
    </row>
    <row r="22">
      <c r="A22" s="8">
        <f>'2.4'!A:A</f>
        <v>46212.62597</v>
      </c>
      <c r="B22" s="2" t="str">
        <f>'2.4'!B:B</f>
        <v>bnco0942@signalschool.ac.th</v>
      </c>
      <c r="C22" s="2" t="str">
        <f>'2.4'!C:C</f>
        <v>พ.ต.ไมตรี  บุญเหลื่อม</v>
      </c>
      <c r="D22" s="9">
        <v>1.0</v>
      </c>
      <c r="E22" s="10">
        <f>IFERROR(vlookup('2.4'!D:D,lookup!$A$2:$B$4,2,false),0)</f>
        <v>5</v>
      </c>
      <c r="F22" s="10">
        <f>IFERROR(vlookup('2.4'!E:E,lookup!$A$6:$B$8,2,false),0)</f>
        <v>5</v>
      </c>
      <c r="G22" s="10">
        <f>IFERROR(vlookup('2.4'!F:F,lookup!$A$10:$B$12,2,false),0)</f>
        <v>5</v>
      </c>
      <c r="H22" s="10">
        <f>IFERROR(vlookup('2.4'!G:G,lookup!$A$14:$B$16,2,false),0)</f>
        <v>5</v>
      </c>
      <c r="I22" s="10">
        <f>IFERROR(vlookup('2.4'!H:H,lookup!$A$18:$B$20,2,false),0)</f>
        <v>5</v>
      </c>
      <c r="J22" s="10">
        <f>IFERROR(vlookup('2.4'!I:I,lookup!$A$22:$B$24,2,false),0)</f>
        <v>5</v>
      </c>
      <c r="K22" s="10">
        <f>IFERROR(vlookup('2.4'!J:J,lookup!$A$26:$B$28,2,false),0)</f>
        <v>5</v>
      </c>
      <c r="L22" s="2"/>
      <c r="M22" s="10">
        <v>21.0</v>
      </c>
      <c r="N22" s="11" t="str">
        <f t="shared" si="1"/>
        <v>bnco0921@signalschool.ac.th</v>
      </c>
      <c r="O22" s="12">
        <f t="shared" si="2"/>
        <v>1</v>
      </c>
      <c r="R22" s="17" t="s">
        <v>238</v>
      </c>
    </row>
    <row r="23">
      <c r="A23" s="8">
        <f>'2.4'!A:A</f>
        <v>46212.62598</v>
      </c>
      <c r="B23" s="2" t="str">
        <f>'2.4'!B:B</f>
        <v>bnco0930@signalschool.ac.th</v>
      </c>
      <c r="C23" s="2" t="str">
        <f>'2.4'!C:C</f>
        <v>พ.ต.ไมตรี บุญเหลื่อม</v>
      </c>
      <c r="D23" s="9">
        <v>1.0</v>
      </c>
      <c r="E23" s="10">
        <f>IFERROR(vlookup('2.4'!D:D,lookup!$A$2:$B$4,2,false),0)</f>
        <v>5</v>
      </c>
      <c r="F23" s="10">
        <f>IFERROR(vlookup('2.4'!E:E,lookup!$A$6:$B$8,2,false),0)</f>
        <v>5</v>
      </c>
      <c r="G23" s="10">
        <f>IFERROR(vlookup('2.4'!F:F,lookup!$A$10:$B$12,2,false),0)</f>
        <v>5</v>
      </c>
      <c r="H23" s="10">
        <f>IFERROR(vlookup('2.4'!G:G,lookup!$A$14:$B$16,2,false),0)</f>
        <v>5</v>
      </c>
      <c r="I23" s="10">
        <f>IFERROR(vlookup('2.4'!H:H,lookup!$A$18:$B$20,2,false),0)</f>
        <v>5</v>
      </c>
      <c r="J23" s="10">
        <f>IFERROR(vlookup('2.4'!I:I,lookup!$A$22:$B$24,2,false),0)</f>
        <v>5</v>
      </c>
      <c r="K23" s="10">
        <f>IFERROR(vlookup('2.4'!J:J,lookup!$A$26:$B$28,2,false),0)</f>
        <v>5</v>
      </c>
      <c r="L23" s="2"/>
      <c r="M23" s="10">
        <v>22.0</v>
      </c>
      <c r="N23" s="11" t="str">
        <f t="shared" si="1"/>
        <v>bnco0922@signalschool.ac.th</v>
      </c>
      <c r="O23" s="12">
        <f t="shared" si="2"/>
        <v>1</v>
      </c>
      <c r="R23" s="17" t="s">
        <v>239</v>
      </c>
    </row>
    <row r="24">
      <c r="A24" s="8">
        <f>'2.4'!A:A</f>
        <v>46212.62612</v>
      </c>
      <c r="B24" s="2" t="str">
        <f>'2.4'!B:B</f>
        <v>bnco0903@signalschool.ac.th</v>
      </c>
      <c r="C24" s="2" t="str">
        <f>'2.4'!C:C</f>
        <v>พ.ต.ไมตรี บุญเหลื่อม</v>
      </c>
      <c r="D24" s="9">
        <v>1.0</v>
      </c>
      <c r="E24" s="10">
        <f>IFERROR(vlookup('2.4'!D:D,lookup!$A$2:$B$4,2,false),0)</f>
        <v>5</v>
      </c>
      <c r="F24" s="10">
        <f>IFERROR(vlookup('2.4'!E:E,lookup!$A$6:$B$8,2,false),0)</f>
        <v>5</v>
      </c>
      <c r="G24" s="10">
        <f>IFERROR(vlookup('2.4'!F:F,lookup!$A$10:$B$12,2,false),0)</f>
        <v>5</v>
      </c>
      <c r="H24" s="10">
        <f>IFERROR(vlookup('2.4'!G:G,lookup!$A$14:$B$16,2,false),0)</f>
        <v>5</v>
      </c>
      <c r="I24" s="10">
        <f>IFERROR(vlookup('2.4'!H:H,lookup!$A$18:$B$20,2,false),0)</f>
        <v>5</v>
      </c>
      <c r="J24" s="10">
        <f>IFERROR(vlookup('2.4'!I:I,lookup!$A$22:$B$24,2,false),0)</f>
        <v>5</v>
      </c>
      <c r="K24" s="10">
        <f>IFERROR(vlookup('2.4'!J:J,lookup!$A$26:$B$28,2,false),0)</f>
        <v>5</v>
      </c>
      <c r="L24" s="2"/>
      <c r="M24" s="10">
        <v>23.0</v>
      </c>
      <c r="N24" s="11" t="str">
        <f t="shared" si="1"/>
        <v>bnco0923@signalschool.ac.th</v>
      </c>
      <c r="O24" s="12">
        <f t="shared" si="2"/>
        <v>1</v>
      </c>
      <c r="R24" s="17" t="s">
        <v>240</v>
      </c>
    </row>
    <row r="25">
      <c r="A25" s="8">
        <f>'2.4'!A:A</f>
        <v>46212.62622</v>
      </c>
      <c r="B25" s="2" t="str">
        <f>'2.4'!B:B</f>
        <v>bnco0925@signalschool.ac.th</v>
      </c>
      <c r="C25" s="2" t="str">
        <f>'2.4'!C:C</f>
        <v>พ.ต.ไมตรี บุญเหลื่อม</v>
      </c>
      <c r="D25" s="9">
        <v>1.0</v>
      </c>
      <c r="E25" s="10">
        <f>IFERROR(vlookup('2.4'!D:D,lookup!$A$2:$B$4,2,false),0)</f>
        <v>5</v>
      </c>
      <c r="F25" s="10">
        <f>IFERROR(vlookup('2.4'!E:E,lookup!$A$6:$B$8,2,false),0)</f>
        <v>5</v>
      </c>
      <c r="G25" s="10">
        <f>IFERROR(vlookup('2.4'!F:F,lookup!$A$10:$B$12,2,false),0)</f>
        <v>5</v>
      </c>
      <c r="H25" s="10">
        <f>IFERROR(vlookup('2.4'!G:G,lookup!$A$14:$B$16,2,false),0)</f>
        <v>5</v>
      </c>
      <c r="I25" s="10">
        <f>IFERROR(vlookup('2.4'!H:H,lookup!$A$18:$B$20,2,false),0)</f>
        <v>5</v>
      </c>
      <c r="J25" s="10">
        <f>IFERROR(vlookup('2.4'!I:I,lookup!$A$22:$B$24,2,false),0)</f>
        <v>5</v>
      </c>
      <c r="K25" s="10">
        <f>IFERROR(vlookup('2.4'!J:J,lookup!$A$26:$B$28,2,false),0)</f>
        <v>5</v>
      </c>
      <c r="L25" s="2"/>
      <c r="M25" s="10">
        <v>24.0</v>
      </c>
      <c r="N25" s="11" t="str">
        <f t="shared" si="1"/>
        <v>bnco0924@signalschool.ac.th</v>
      </c>
      <c r="O25" s="12">
        <f t="shared" si="2"/>
        <v>1</v>
      </c>
      <c r="R25" s="17" t="s">
        <v>241</v>
      </c>
    </row>
    <row r="26">
      <c r="A26" s="8">
        <f>'2.4'!A:A</f>
        <v>46212.62653</v>
      </c>
      <c r="B26" s="2" t="str">
        <f>'2.4'!B:B</f>
        <v>bnco0926@signalschool.ac.th</v>
      </c>
      <c r="C26" s="2" t="str">
        <f>'2.4'!C:C</f>
        <v>พ.ต.ไมตรี บุญเหลื่อม</v>
      </c>
      <c r="D26" s="9">
        <v>1.0</v>
      </c>
      <c r="E26" s="10">
        <f>IFERROR(vlookup('2.4'!D:D,lookup!$A$2:$B$4,2,false),0)</f>
        <v>5</v>
      </c>
      <c r="F26" s="10">
        <f>IFERROR(vlookup('2.4'!E:E,lookup!$A$6:$B$8,2,false),0)</f>
        <v>5</v>
      </c>
      <c r="G26" s="10">
        <f>IFERROR(vlookup('2.4'!F:F,lookup!$A$10:$B$12,2,false),0)</f>
        <v>5</v>
      </c>
      <c r="H26" s="10">
        <f>IFERROR(vlookup('2.4'!G:G,lookup!$A$14:$B$16,2,false),0)</f>
        <v>5</v>
      </c>
      <c r="I26" s="10">
        <f>IFERROR(vlookup('2.4'!H:H,lookup!$A$18:$B$20,2,false),0)</f>
        <v>5</v>
      </c>
      <c r="J26" s="10">
        <f>IFERROR(vlookup('2.4'!I:I,lookup!$A$22:$B$24,2,false),0)</f>
        <v>5</v>
      </c>
      <c r="K26" s="10">
        <f>IFERROR(vlookup('2.4'!J:J,lookup!$A$26:$B$28,2,false),0)</f>
        <v>5</v>
      </c>
      <c r="L26" s="2"/>
      <c r="M26" s="10">
        <v>25.0</v>
      </c>
      <c r="N26" s="11" t="str">
        <f t="shared" si="1"/>
        <v>bnco0925@signalschool.ac.th</v>
      </c>
      <c r="O26" s="12">
        <f t="shared" si="2"/>
        <v>1</v>
      </c>
      <c r="R26" s="17" t="s">
        <v>242</v>
      </c>
    </row>
    <row r="27">
      <c r="A27" s="8">
        <f>'2.4'!A:A</f>
        <v>46212.62674</v>
      </c>
      <c r="B27" s="2" t="str">
        <f>'2.4'!B:B</f>
        <v>bnco0934@signalschool.ac.th</v>
      </c>
      <c r="C27" s="2" t="str">
        <f>'2.4'!C:C</f>
        <v>พ.ต.ไมตรี บุญเหลื่อม</v>
      </c>
      <c r="D27" s="9">
        <v>1.0</v>
      </c>
      <c r="E27" s="10">
        <f>IFERROR(vlookup('2.4'!D:D,lookup!$A$2:$B$4,2,false),0)</f>
        <v>5</v>
      </c>
      <c r="F27" s="10">
        <f>IFERROR(vlookup('2.4'!E:E,lookup!$A$6:$B$8,2,false),0)</f>
        <v>5</v>
      </c>
      <c r="G27" s="10">
        <f>IFERROR(vlookup('2.4'!F:F,lookup!$A$10:$B$12,2,false),0)</f>
        <v>5</v>
      </c>
      <c r="H27" s="10">
        <f>IFERROR(vlookup('2.4'!G:G,lookup!$A$14:$B$16,2,false),0)</f>
        <v>5</v>
      </c>
      <c r="I27" s="10">
        <f>IFERROR(vlookup('2.4'!H:H,lookup!$A$18:$B$20,2,false),0)</f>
        <v>5</v>
      </c>
      <c r="J27" s="10">
        <f>IFERROR(vlookup('2.4'!I:I,lookup!$A$22:$B$24,2,false),0)</f>
        <v>5</v>
      </c>
      <c r="K27" s="10">
        <f>IFERROR(vlookup('2.4'!J:J,lookup!$A$26:$B$28,2,false),0)</f>
        <v>5</v>
      </c>
      <c r="L27" s="2"/>
      <c r="M27" s="10">
        <v>26.0</v>
      </c>
      <c r="N27" s="11" t="str">
        <f t="shared" si="1"/>
        <v>bnco0926@signalschool.ac.th</v>
      </c>
      <c r="O27" s="12">
        <f t="shared" si="2"/>
        <v>1</v>
      </c>
      <c r="R27" s="17" t="s">
        <v>243</v>
      </c>
    </row>
    <row r="28">
      <c r="A28" s="8">
        <f>'2.4'!A:A</f>
        <v>46212.62675</v>
      </c>
      <c r="B28" s="2" t="str">
        <f>'2.4'!B:B</f>
        <v>bnco0967@signalschool.ac.th</v>
      </c>
      <c r="C28" s="2" t="str">
        <f>'2.4'!C:C</f>
        <v>พ.ต.ไมตรี บุญเหลื่อม</v>
      </c>
      <c r="D28" s="9">
        <v>1.0</v>
      </c>
      <c r="E28" s="10">
        <f>IFERROR(vlookup('2.4'!D:D,lookup!$A$2:$B$4,2,false),0)</f>
        <v>5</v>
      </c>
      <c r="F28" s="10">
        <f>IFERROR(vlookup('2.4'!E:E,lookup!$A$6:$B$8,2,false),0)</f>
        <v>5</v>
      </c>
      <c r="G28" s="10">
        <f>IFERROR(vlookup('2.4'!F:F,lookup!$A$10:$B$12,2,false),0)</f>
        <v>5</v>
      </c>
      <c r="H28" s="10">
        <f>IFERROR(vlookup('2.4'!G:G,lookup!$A$14:$B$16,2,false),0)</f>
        <v>5</v>
      </c>
      <c r="I28" s="10">
        <f>IFERROR(vlookup('2.4'!H:H,lookup!$A$18:$B$20,2,false),0)</f>
        <v>5</v>
      </c>
      <c r="J28" s="10">
        <f>IFERROR(vlookup('2.4'!I:I,lookup!$A$22:$B$24,2,false),0)</f>
        <v>5</v>
      </c>
      <c r="K28" s="10">
        <f>IFERROR(vlookup('2.4'!J:J,lookup!$A$26:$B$28,2,false),0)</f>
        <v>5</v>
      </c>
      <c r="L28" s="2"/>
      <c r="M28" s="10">
        <v>27.0</v>
      </c>
      <c r="N28" s="11" t="str">
        <f t="shared" si="1"/>
        <v>bnco0927@signalschool.ac.th</v>
      </c>
      <c r="O28" s="12">
        <f t="shared" si="2"/>
        <v>1</v>
      </c>
      <c r="R28" s="17" t="s">
        <v>244</v>
      </c>
    </row>
    <row r="29">
      <c r="A29" s="8">
        <f>'2.4'!A:A</f>
        <v>46212.62683</v>
      </c>
      <c r="B29" s="2" t="str">
        <f>'2.4'!B:B</f>
        <v>bnco0904@signalschool.ac.th</v>
      </c>
      <c r="C29" s="2" t="str">
        <f>'2.4'!C:C</f>
        <v>พ.ต.ไมตรี  บุญเหลื่อม</v>
      </c>
      <c r="D29" s="9">
        <v>1.0</v>
      </c>
      <c r="E29" s="10">
        <f>IFERROR(vlookup('2.4'!D:D,lookup!$A$2:$B$4,2,false),0)</f>
        <v>5</v>
      </c>
      <c r="F29" s="10">
        <f>IFERROR(vlookup('2.4'!E:E,lookup!$A$6:$B$8,2,false),0)</f>
        <v>5</v>
      </c>
      <c r="G29" s="10">
        <f>IFERROR(vlookup('2.4'!F:F,lookup!$A$10:$B$12,2,false),0)</f>
        <v>5</v>
      </c>
      <c r="H29" s="10">
        <f>IFERROR(vlookup('2.4'!G:G,lookup!$A$14:$B$16,2,false),0)</f>
        <v>5</v>
      </c>
      <c r="I29" s="10">
        <f>IFERROR(vlookup('2.4'!H:H,lookup!$A$18:$B$20,2,false),0)</f>
        <v>5</v>
      </c>
      <c r="J29" s="10">
        <f>IFERROR(vlookup('2.4'!I:I,lookup!$A$22:$B$24,2,false),0)</f>
        <v>5</v>
      </c>
      <c r="K29" s="10">
        <f>IFERROR(vlookup('2.4'!J:J,lookup!$A$26:$B$28,2,false),0)</f>
        <v>5</v>
      </c>
      <c r="L29" s="2"/>
      <c r="M29" s="10">
        <v>28.0</v>
      </c>
      <c r="N29" s="11" t="str">
        <f t="shared" si="1"/>
        <v>bnco0928@signalschool.ac.th</v>
      </c>
      <c r="O29" s="12">
        <f t="shared" si="2"/>
        <v>1</v>
      </c>
      <c r="R29" s="17" t="s">
        <v>245</v>
      </c>
    </row>
    <row r="30">
      <c r="A30" s="8">
        <f>'2.4'!A:A</f>
        <v>46212.62683</v>
      </c>
      <c r="B30" s="2" t="str">
        <f>'2.4'!B:B</f>
        <v>bnco0949@signalschool.ac.th</v>
      </c>
      <c r="C30" s="2" t="str">
        <f>'2.4'!C:C</f>
        <v>พ.ต.ไมตรี บุญเหลื่อม</v>
      </c>
      <c r="D30" s="9">
        <v>1.0</v>
      </c>
      <c r="E30" s="10">
        <f>IFERROR(vlookup('2.4'!D:D,lookup!$A$2:$B$4,2,false),0)</f>
        <v>5</v>
      </c>
      <c r="F30" s="10">
        <f>IFERROR(vlookup('2.4'!E:E,lookup!$A$6:$B$8,2,false),0)</f>
        <v>5</v>
      </c>
      <c r="G30" s="10">
        <f>IFERROR(vlookup('2.4'!F:F,lookup!$A$10:$B$12,2,false),0)</f>
        <v>5</v>
      </c>
      <c r="H30" s="10">
        <f>IFERROR(vlookup('2.4'!G:G,lookup!$A$14:$B$16,2,false),0)</f>
        <v>5</v>
      </c>
      <c r="I30" s="10">
        <f>IFERROR(vlookup('2.4'!H:H,lookup!$A$18:$B$20,2,false),0)</f>
        <v>5</v>
      </c>
      <c r="J30" s="10">
        <f>IFERROR(vlookup('2.4'!I:I,lookup!$A$22:$B$24,2,false),0)</f>
        <v>5</v>
      </c>
      <c r="K30" s="10">
        <f>IFERROR(vlookup('2.4'!J:J,lookup!$A$26:$B$28,2,false),0)</f>
        <v>5</v>
      </c>
      <c r="L30" s="2"/>
      <c r="M30" s="10">
        <v>29.0</v>
      </c>
      <c r="N30" s="11" t="str">
        <f t="shared" si="1"/>
        <v>bnco0929@signalschool.ac.th</v>
      </c>
      <c r="O30" s="12">
        <f t="shared" si="2"/>
        <v>1</v>
      </c>
      <c r="R30" s="17" t="s">
        <v>246</v>
      </c>
    </row>
    <row r="31">
      <c r="A31" s="8">
        <f>'2.4'!A:A</f>
        <v>46212.62693</v>
      </c>
      <c r="B31" s="2" t="str">
        <f>'2.4'!B:B</f>
        <v>bnco0919@signalschool.ac.th</v>
      </c>
      <c r="C31" s="2" t="str">
        <f>'2.4'!C:C</f>
        <v>พ.ต.ไมตรี บุญเหลื่อม</v>
      </c>
      <c r="D31" s="9">
        <v>1.0</v>
      </c>
      <c r="E31" s="10">
        <f>IFERROR(vlookup('2.4'!D:D,lookup!$A$2:$B$4,2,false),0)</f>
        <v>5</v>
      </c>
      <c r="F31" s="10">
        <f>IFERROR(vlookup('2.4'!E:E,lookup!$A$6:$B$8,2,false),0)</f>
        <v>5</v>
      </c>
      <c r="G31" s="10">
        <f>IFERROR(vlookup('2.4'!F:F,lookup!$A$10:$B$12,2,false),0)</f>
        <v>5</v>
      </c>
      <c r="H31" s="10">
        <f>IFERROR(vlookup('2.4'!G:G,lookup!$A$14:$B$16,2,false),0)</f>
        <v>5</v>
      </c>
      <c r="I31" s="10">
        <f>IFERROR(vlookup('2.4'!H:H,lookup!$A$18:$B$20,2,false),0)</f>
        <v>5</v>
      </c>
      <c r="J31" s="10">
        <f>IFERROR(vlookup('2.4'!I:I,lookup!$A$22:$B$24,2,false),0)</f>
        <v>5</v>
      </c>
      <c r="K31" s="10">
        <f>IFERROR(vlookup('2.4'!J:J,lookup!$A$26:$B$28,2,false),0)</f>
        <v>5</v>
      </c>
      <c r="L31" s="2"/>
      <c r="M31" s="10">
        <v>30.0</v>
      </c>
      <c r="N31" s="11" t="str">
        <f t="shared" si="1"/>
        <v>bnco0930@signalschool.ac.th</v>
      </c>
      <c r="O31" s="12">
        <f t="shared" si="2"/>
        <v>1</v>
      </c>
      <c r="R31" s="17" t="s">
        <v>247</v>
      </c>
    </row>
    <row r="32">
      <c r="A32" s="8">
        <f>'2.4'!A:A</f>
        <v>46212.62694</v>
      </c>
      <c r="B32" s="2" t="str">
        <f>'2.4'!B:B</f>
        <v>bnco0914@signalschool.ac.th</v>
      </c>
      <c r="C32" s="2" t="str">
        <f>'2.4'!C:C</f>
        <v>พ.ต.ไมตรี บุญเหลื่อม</v>
      </c>
      <c r="D32" s="9">
        <v>1.0</v>
      </c>
      <c r="E32" s="10">
        <f>IFERROR(vlookup('2.4'!D:D,lookup!$A$2:$B$4,2,false),0)</f>
        <v>5</v>
      </c>
      <c r="F32" s="10">
        <f>IFERROR(vlookup('2.4'!E:E,lookup!$A$6:$B$8,2,false),0)</f>
        <v>5</v>
      </c>
      <c r="G32" s="10">
        <f>IFERROR(vlookup('2.4'!F:F,lookup!$A$10:$B$12,2,false),0)</f>
        <v>5</v>
      </c>
      <c r="H32" s="10">
        <f>IFERROR(vlookup('2.4'!G:G,lookup!$A$14:$B$16,2,false),0)</f>
        <v>5</v>
      </c>
      <c r="I32" s="10">
        <f>IFERROR(vlookup('2.4'!H:H,lookup!$A$18:$B$20,2,false),0)</f>
        <v>5</v>
      </c>
      <c r="J32" s="10">
        <f>IFERROR(vlookup('2.4'!I:I,lookup!$A$22:$B$24,2,false),0)</f>
        <v>5</v>
      </c>
      <c r="K32" s="10">
        <f>IFERROR(vlookup('2.4'!J:J,lookup!$A$26:$B$28,2,false),0)</f>
        <v>5</v>
      </c>
      <c r="L32" s="2"/>
      <c r="M32" s="10">
        <v>31.0</v>
      </c>
      <c r="N32" s="11" t="str">
        <f t="shared" si="1"/>
        <v>bnco0931@signalschool.ac.th</v>
      </c>
      <c r="O32" s="12">
        <f t="shared" si="2"/>
        <v>1</v>
      </c>
      <c r="R32" s="17" t="s">
        <v>248</v>
      </c>
    </row>
    <row r="33">
      <c r="A33" s="8">
        <f>'2.4'!A:A</f>
        <v>46212.62707</v>
      </c>
      <c r="B33" s="2" t="str">
        <f>'2.4'!B:B</f>
        <v>bnco0913@signalschool.ac.th</v>
      </c>
      <c r="C33" s="2" t="str">
        <f>'2.4'!C:C</f>
        <v>พ.ต.ไมตรี บุญเหลื่อม</v>
      </c>
      <c r="D33" s="9">
        <v>1.0</v>
      </c>
      <c r="E33" s="10">
        <f>IFERROR(vlookup('2.4'!D:D,lookup!$A$2:$B$4,2,false),0)</f>
        <v>5</v>
      </c>
      <c r="F33" s="10">
        <f>IFERROR(vlookup('2.4'!E:E,lookup!$A$6:$B$8,2,false),0)</f>
        <v>5</v>
      </c>
      <c r="G33" s="10">
        <f>IFERROR(vlookup('2.4'!F:F,lookup!$A$10:$B$12,2,false),0)</f>
        <v>5</v>
      </c>
      <c r="H33" s="10">
        <f>IFERROR(vlookup('2.4'!G:G,lookup!$A$14:$B$16,2,false),0)</f>
        <v>5</v>
      </c>
      <c r="I33" s="10">
        <f>IFERROR(vlookup('2.4'!H:H,lookup!$A$18:$B$20,2,false),0)</f>
        <v>5</v>
      </c>
      <c r="J33" s="10">
        <f>IFERROR(vlookup('2.4'!I:I,lookup!$A$22:$B$24,2,false),0)</f>
        <v>5</v>
      </c>
      <c r="K33" s="10">
        <f>IFERROR(vlookup('2.4'!J:J,lookup!$A$26:$B$28,2,false),0)</f>
        <v>5</v>
      </c>
      <c r="L33" s="2"/>
      <c r="M33" s="10">
        <v>32.0</v>
      </c>
      <c r="N33" s="11" t="str">
        <f t="shared" si="1"/>
        <v>bnco0932@signalschool.ac.th</v>
      </c>
      <c r="O33" s="12">
        <f t="shared" si="2"/>
        <v>1</v>
      </c>
      <c r="R33" s="17" t="s">
        <v>249</v>
      </c>
    </row>
    <row r="34">
      <c r="A34" s="8">
        <f>'2.4'!A:A</f>
        <v>46212.6271</v>
      </c>
      <c r="B34" s="2" t="str">
        <f>'2.4'!B:B</f>
        <v>bnco0948@signalschool.ac.th</v>
      </c>
      <c r="C34" s="2" t="str">
        <f>'2.4'!C:C</f>
        <v>พ.ต.ไมตรี บุญเหลื่อม</v>
      </c>
      <c r="D34" s="9">
        <v>1.0</v>
      </c>
      <c r="E34" s="10">
        <f>IFERROR(vlookup('2.4'!D:D,lookup!$A$2:$B$4,2,false),0)</f>
        <v>5</v>
      </c>
      <c r="F34" s="10">
        <f>IFERROR(vlookup('2.4'!E:E,lookup!$A$6:$B$8,2,false),0)</f>
        <v>5</v>
      </c>
      <c r="G34" s="10">
        <f>IFERROR(vlookup('2.4'!F:F,lookup!$A$10:$B$12,2,false),0)</f>
        <v>5</v>
      </c>
      <c r="H34" s="10">
        <f>IFERROR(vlookup('2.4'!G:G,lookup!$A$14:$B$16,2,false),0)</f>
        <v>5</v>
      </c>
      <c r="I34" s="10">
        <f>IFERROR(vlookup('2.4'!H:H,lookup!$A$18:$B$20,2,false),0)</f>
        <v>5</v>
      </c>
      <c r="J34" s="10">
        <f>IFERROR(vlookup('2.4'!I:I,lookup!$A$22:$B$24,2,false),0)</f>
        <v>5</v>
      </c>
      <c r="K34" s="10">
        <f>IFERROR(vlookup('2.4'!J:J,lookup!$A$26:$B$28,2,false),0)</f>
        <v>5</v>
      </c>
      <c r="L34" s="2"/>
      <c r="M34" s="10">
        <v>33.0</v>
      </c>
      <c r="N34" s="11" t="str">
        <f t="shared" si="1"/>
        <v>bnco0933@signalschool.ac.th</v>
      </c>
      <c r="O34" s="12">
        <f t="shared" si="2"/>
        <v>1</v>
      </c>
      <c r="R34" s="17" t="s">
        <v>250</v>
      </c>
    </row>
    <row r="35">
      <c r="A35" s="8">
        <f>'2.4'!A:A</f>
        <v>46212.62722</v>
      </c>
      <c r="B35" s="2" t="str">
        <f>'2.4'!B:B</f>
        <v>bnco0908@signalschool.ac.th</v>
      </c>
      <c r="C35" s="2" t="str">
        <f>'2.4'!C:C</f>
        <v>พ.ต.ไมตรี บุญเหลื่อม</v>
      </c>
      <c r="D35" s="9">
        <v>1.0</v>
      </c>
      <c r="E35" s="10">
        <f>IFERROR(vlookup('2.4'!D:D,lookup!$A$2:$B$4,2,false),0)</f>
        <v>5</v>
      </c>
      <c r="F35" s="10">
        <f>IFERROR(vlookup('2.4'!E:E,lookup!$A$6:$B$8,2,false),0)</f>
        <v>5</v>
      </c>
      <c r="G35" s="10">
        <f>IFERROR(vlookup('2.4'!F:F,lookup!$A$10:$B$12,2,false),0)</f>
        <v>5</v>
      </c>
      <c r="H35" s="10">
        <f>IFERROR(vlookup('2.4'!G:G,lookup!$A$14:$B$16,2,false),0)</f>
        <v>5</v>
      </c>
      <c r="I35" s="10">
        <f>IFERROR(vlookup('2.4'!H:H,lookup!$A$18:$B$20,2,false),0)</f>
        <v>5</v>
      </c>
      <c r="J35" s="10">
        <f>IFERROR(vlookup('2.4'!I:I,lookup!$A$22:$B$24,2,false),0)</f>
        <v>5</v>
      </c>
      <c r="K35" s="10">
        <f>IFERROR(vlookup('2.4'!J:J,lookup!$A$26:$B$28,2,false),0)</f>
        <v>5</v>
      </c>
      <c r="L35" s="2"/>
      <c r="M35" s="10">
        <v>34.0</v>
      </c>
      <c r="N35" s="11" t="str">
        <f t="shared" si="1"/>
        <v>bnco0934@signalschool.ac.th</v>
      </c>
      <c r="O35" s="12">
        <f t="shared" si="2"/>
        <v>1</v>
      </c>
      <c r="R35" s="17" t="s">
        <v>251</v>
      </c>
    </row>
    <row r="36">
      <c r="A36" s="8">
        <f>'2.4'!A:A</f>
        <v>46212.62732</v>
      </c>
      <c r="B36" s="2" t="str">
        <f>'2.4'!B:B</f>
        <v>bnco0927@signalschool.ac.th</v>
      </c>
      <c r="C36" s="2" t="str">
        <f>'2.4'!C:C</f>
        <v>พ.ต.ไมตรี บุญเหลื่อม</v>
      </c>
      <c r="D36" s="9">
        <v>1.0</v>
      </c>
      <c r="E36" s="10">
        <f>IFERROR(vlookup('2.4'!D:D,lookup!$A$2:$B$4,2,false),0)</f>
        <v>5</v>
      </c>
      <c r="F36" s="10">
        <f>IFERROR(vlookup('2.4'!E:E,lookup!$A$6:$B$8,2,false),0)</f>
        <v>5</v>
      </c>
      <c r="G36" s="10">
        <f>IFERROR(vlookup('2.4'!F:F,lookup!$A$10:$B$12,2,false),0)</f>
        <v>5</v>
      </c>
      <c r="H36" s="10">
        <f>IFERROR(vlookup('2.4'!G:G,lookup!$A$14:$B$16,2,false),0)</f>
        <v>5</v>
      </c>
      <c r="I36" s="10">
        <f>IFERROR(vlookup('2.4'!H:H,lookup!$A$18:$B$20,2,false),0)</f>
        <v>5</v>
      </c>
      <c r="J36" s="10">
        <f>IFERROR(vlookup('2.4'!I:I,lookup!$A$22:$B$24,2,false),0)</f>
        <v>5</v>
      </c>
      <c r="K36" s="10">
        <f>IFERROR(vlookup('2.4'!J:J,lookup!$A$26:$B$28,2,false),0)</f>
        <v>5</v>
      </c>
      <c r="L36" s="2"/>
      <c r="M36" s="10">
        <v>35.0</v>
      </c>
      <c r="N36" s="11" t="str">
        <f t="shared" si="1"/>
        <v>bnco0935@signalschool.ac.th</v>
      </c>
      <c r="O36" s="12">
        <f t="shared" si="2"/>
        <v>1</v>
      </c>
      <c r="R36" s="17" t="s">
        <v>252</v>
      </c>
    </row>
    <row r="37">
      <c r="A37" s="8">
        <f>'2.4'!A:A</f>
        <v>46212.62739</v>
      </c>
      <c r="B37" s="2" t="str">
        <f>'2.4'!B:B</f>
        <v>bnco0936@signalschool.ac.th</v>
      </c>
      <c r="C37" s="2" t="str">
        <f>'2.4'!C:C</f>
        <v>พ.ต.ไมตรี บุญเหลื่อม</v>
      </c>
      <c r="D37" s="9">
        <v>1.0</v>
      </c>
      <c r="E37" s="10">
        <f>IFERROR(vlookup('2.4'!D:D,lookup!$A$2:$B$4,2,false),0)</f>
        <v>5</v>
      </c>
      <c r="F37" s="10">
        <f>IFERROR(vlookup('2.4'!E:E,lookup!$A$6:$B$8,2,false),0)</f>
        <v>5</v>
      </c>
      <c r="G37" s="10">
        <f>IFERROR(vlookup('2.4'!F:F,lookup!$A$10:$B$12,2,false),0)</f>
        <v>5</v>
      </c>
      <c r="H37" s="10">
        <f>IFERROR(vlookup('2.4'!G:G,lookup!$A$14:$B$16,2,false),0)</f>
        <v>5</v>
      </c>
      <c r="I37" s="10">
        <f>IFERROR(vlookup('2.4'!H:H,lookup!$A$18:$B$20,2,false),0)</f>
        <v>5</v>
      </c>
      <c r="J37" s="10">
        <f>IFERROR(vlookup('2.4'!I:I,lookup!$A$22:$B$24,2,false),0)</f>
        <v>5</v>
      </c>
      <c r="K37" s="10">
        <f>IFERROR(vlookup('2.4'!J:J,lookup!$A$26:$B$28,2,false),0)</f>
        <v>5</v>
      </c>
      <c r="L37" s="2"/>
      <c r="M37" s="10">
        <v>36.0</v>
      </c>
      <c r="N37" s="11" t="str">
        <f t="shared" si="1"/>
        <v>bnco0936@signalschool.ac.th</v>
      </c>
      <c r="O37" s="12">
        <f t="shared" si="2"/>
        <v>1</v>
      </c>
      <c r="R37" s="17" t="s">
        <v>253</v>
      </c>
    </row>
    <row r="38">
      <c r="A38" s="8">
        <f>'2.4'!A:A</f>
        <v>46212.62768</v>
      </c>
      <c r="B38" s="2" t="str">
        <f>'2.4'!B:B</f>
        <v>bnco0909@signalschool.ac.th</v>
      </c>
      <c r="C38" s="2" t="str">
        <f>'2.4'!C:C</f>
        <v>พ.ต. ไมตรี บุญเหลือม</v>
      </c>
      <c r="D38" s="9">
        <v>1.0</v>
      </c>
      <c r="E38" s="10">
        <f>IFERROR(vlookup('2.4'!D:D,lookup!$A$2:$B$4,2,false),0)</f>
        <v>5</v>
      </c>
      <c r="F38" s="10">
        <f>IFERROR(vlookup('2.4'!E:E,lookup!$A$6:$B$8,2,false),0)</f>
        <v>5</v>
      </c>
      <c r="G38" s="10">
        <f>IFERROR(vlookup('2.4'!F:F,lookup!$A$10:$B$12,2,false),0)</f>
        <v>5</v>
      </c>
      <c r="H38" s="10">
        <f>IFERROR(vlookup('2.4'!G:G,lookup!$A$14:$B$16,2,false),0)</f>
        <v>5</v>
      </c>
      <c r="I38" s="10">
        <f>IFERROR(vlookup('2.4'!H:H,lookup!$A$18:$B$20,2,false),0)</f>
        <v>5</v>
      </c>
      <c r="J38" s="10">
        <f>IFERROR(vlookup('2.4'!I:I,lookup!$A$22:$B$24,2,false),0)</f>
        <v>5</v>
      </c>
      <c r="K38" s="10">
        <f>IFERROR(vlookup('2.4'!J:J,lookup!$A$26:$B$28,2,false),0)</f>
        <v>5</v>
      </c>
      <c r="L38" s="2"/>
      <c r="M38" s="10">
        <v>37.0</v>
      </c>
      <c r="N38" s="11" t="str">
        <f t="shared" si="1"/>
        <v>bnco0937@signalschool.ac.th</v>
      </c>
      <c r="O38" s="12">
        <f t="shared" si="2"/>
        <v>1</v>
      </c>
      <c r="R38" s="17" t="s">
        <v>254</v>
      </c>
    </row>
    <row r="39">
      <c r="A39" s="8">
        <f>'2.4'!A:A</f>
        <v>46212.62778</v>
      </c>
      <c r="B39" s="2" t="str">
        <f>'2.4'!B:B</f>
        <v>bnco0978@signalschool.ac.th</v>
      </c>
      <c r="C39" s="2" t="str">
        <f>'2.4'!C:C</f>
        <v>พ.ต.ไมตรี บุญเหลื่อม</v>
      </c>
      <c r="D39" s="9">
        <v>1.0</v>
      </c>
      <c r="E39" s="10">
        <f>IFERROR(vlookup('2.4'!D:D,lookup!$A$2:$B$4,2,false),0)</f>
        <v>5</v>
      </c>
      <c r="F39" s="10">
        <f>IFERROR(vlookup('2.4'!E:E,lookup!$A$6:$B$8,2,false),0)</f>
        <v>5</v>
      </c>
      <c r="G39" s="10">
        <f>IFERROR(vlookup('2.4'!F:F,lookup!$A$10:$B$12,2,false),0)</f>
        <v>5</v>
      </c>
      <c r="H39" s="10">
        <f>IFERROR(vlookup('2.4'!G:G,lookup!$A$14:$B$16,2,false),0)</f>
        <v>5</v>
      </c>
      <c r="I39" s="10">
        <f>IFERROR(vlookup('2.4'!H:H,lookup!$A$18:$B$20,2,false),0)</f>
        <v>5</v>
      </c>
      <c r="J39" s="10">
        <f>IFERROR(vlookup('2.4'!I:I,lookup!$A$22:$B$24,2,false),0)</f>
        <v>5</v>
      </c>
      <c r="K39" s="10">
        <f>IFERROR(vlookup('2.4'!J:J,lookup!$A$26:$B$28,2,false),0)</f>
        <v>5</v>
      </c>
      <c r="L39" s="2"/>
      <c r="M39" s="10">
        <v>38.0</v>
      </c>
      <c r="N39" s="11" t="str">
        <f t="shared" si="1"/>
        <v>bnco0938@signalschool.ac.th</v>
      </c>
      <c r="O39" s="12">
        <f t="shared" si="2"/>
        <v>1</v>
      </c>
      <c r="R39" s="17" t="s">
        <v>255</v>
      </c>
    </row>
    <row r="40">
      <c r="A40" s="8">
        <f>'2.4'!A:A</f>
        <v>46212.62803</v>
      </c>
      <c r="B40" s="2" t="str">
        <f>'2.4'!B:B</f>
        <v>bnco0916@signalschool.ac.th</v>
      </c>
      <c r="C40" s="2" t="str">
        <f>'2.4'!C:C</f>
        <v>พ.ต.ไมตรี บุญเหลื่อม</v>
      </c>
      <c r="D40" s="9">
        <v>1.0</v>
      </c>
      <c r="E40" s="10">
        <f>IFERROR(vlookup('2.4'!D:D,lookup!$A$2:$B$4,2,false),0)</f>
        <v>5</v>
      </c>
      <c r="F40" s="10">
        <f>IFERROR(vlookup('2.4'!E:E,lookup!$A$6:$B$8,2,false),0)</f>
        <v>5</v>
      </c>
      <c r="G40" s="10">
        <f>IFERROR(vlookup('2.4'!F:F,lookup!$A$10:$B$12,2,false),0)</f>
        <v>5</v>
      </c>
      <c r="H40" s="10">
        <f>IFERROR(vlookup('2.4'!G:G,lookup!$A$14:$B$16,2,false),0)</f>
        <v>5</v>
      </c>
      <c r="I40" s="10">
        <f>IFERROR(vlookup('2.4'!H:H,lookup!$A$18:$B$20,2,false),0)</f>
        <v>5</v>
      </c>
      <c r="J40" s="10">
        <f>IFERROR(vlookup('2.4'!I:I,lookup!$A$22:$B$24,2,false),0)</f>
        <v>5</v>
      </c>
      <c r="K40" s="10">
        <f>IFERROR(vlookup('2.4'!J:J,lookup!$A$26:$B$28,2,false),0)</f>
        <v>5</v>
      </c>
      <c r="L40" s="2"/>
      <c r="M40" s="10">
        <v>39.0</v>
      </c>
      <c r="N40" s="11" t="str">
        <f t="shared" si="1"/>
        <v>bnco0939@signalschool.ac.th</v>
      </c>
      <c r="O40" s="12">
        <f t="shared" si="2"/>
        <v>1</v>
      </c>
      <c r="R40" s="17" t="s">
        <v>256</v>
      </c>
    </row>
    <row r="41">
      <c r="A41" s="8">
        <f>'2.4'!A:A</f>
        <v>46212.62813</v>
      </c>
      <c r="B41" s="2" t="str">
        <f>'2.4'!B:B</f>
        <v>bnco0979@signalschool.ac.th</v>
      </c>
      <c r="C41" s="2" t="str">
        <f>'2.4'!C:C</f>
        <v>พ.ต.ไมตรี บุญเหลื่อม</v>
      </c>
      <c r="D41" s="9">
        <v>1.0</v>
      </c>
      <c r="E41" s="10">
        <f>IFERROR(vlookup('2.4'!D:D,lookup!$A$2:$B$4,2,false),0)</f>
        <v>5</v>
      </c>
      <c r="F41" s="10">
        <f>IFERROR(vlookup('2.4'!E:E,lookup!$A$6:$B$8,2,false),0)</f>
        <v>5</v>
      </c>
      <c r="G41" s="10">
        <f>IFERROR(vlookup('2.4'!F:F,lookup!$A$10:$B$12,2,false),0)</f>
        <v>5</v>
      </c>
      <c r="H41" s="10">
        <f>IFERROR(vlookup('2.4'!G:G,lookup!$A$14:$B$16,2,false),0)</f>
        <v>5</v>
      </c>
      <c r="I41" s="10">
        <f>IFERROR(vlookup('2.4'!H:H,lookup!$A$18:$B$20,2,false),0)</f>
        <v>5</v>
      </c>
      <c r="J41" s="10">
        <f>IFERROR(vlookup('2.4'!I:I,lookup!$A$22:$B$24,2,false),0)</f>
        <v>5</v>
      </c>
      <c r="K41" s="10">
        <f>IFERROR(vlookup('2.4'!J:J,lookup!$A$26:$B$28,2,false),0)</f>
        <v>5</v>
      </c>
      <c r="L41" s="2"/>
      <c r="M41" s="10">
        <v>40.0</v>
      </c>
      <c r="N41" s="11" t="str">
        <f t="shared" si="1"/>
        <v>bnco0940@signalschool.ac.th</v>
      </c>
      <c r="O41" s="12">
        <f t="shared" si="2"/>
        <v>1</v>
      </c>
      <c r="R41" s="17" t="s">
        <v>257</v>
      </c>
    </row>
    <row r="42">
      <c r="A42" s="8">
        <f>'2.4'!A:A</f>
        <v>46212.62818</v>
      </c>
      <c r="B42" s="2" t="str">
        <f>'2.4'!B:B</f>
        <v>bnco0970@signalschool.ac.th</v>
      </c>
      <c r="C42" s="2" t="str">
        <f>'2.4'!C:C</f>
        <v>พ.ต.ไมตรี บุญเหลื่อม</v>
      </c>
      <c r="D42" s="9">
        <v>1.0</v>
      </c>
      <c r="E42" s="10">
        <f>IFERROR(vlookup('2.4'!D:D,lookup!$A$2:$B$4,2,false),0)</f>
        <v>5</v>
      </c>
      <c r="F42" s="10">
        <f>IFERROR(vlookup('2.4'!E:E,lookup!$A$6:$B$8,2,false),0)</f>
        <v>5</v>
      </c>
      <c r="G42" s="10">
        <f>IFERROR(vlookup('2.4'!F:F,lookup!$A$10:$B$12,2,false),0)</f>
        <v>5</v>
      </c>
      <c r="H42" s="10">
        <f>IFERROR(vlookup('2.4'!G:G,lookup!$A$14:$B$16,2,false),0)</f>
        <v>5</v>
      </c>
      <c r="I42" s="10">
        <f>IFERROR(vlookup('2.4'!H:H,lookup!$A$18:$B$20,2,false),0)</f>
        <v>5</v>
      </c>
      <c r="J42" s="10">
        <f>IFERROR(vlookup('2.4'!I:I,lookup!$A$22:$B$24,2,false),0)</f>
        <v>5</v>
      </c>
      <c r="K42" s="10">
        <f>IFERROR(vlookup('2.4'!J:J,lookup!$A$26:$B$28,2,false),0)</f>
        <v>5</v>
      </c>
      <c r="L42" s="2"/>
      <c r="M42" s="10">
        <v>41.0</v>
      </c>
      <c r="N42" s="11" t="str">
        <f t="shared" si="1"/>
        <v>bnco0941@signalschool.ac.th</v>
      </c>
      <c r="O42" s="12">
        <f t="shared" si="2"/>
        <v>1</v>
      </c>
      <c r="R42" s="17" t="s">
        <v>258</v>
      </c>
    </row>
    <row r="43">
      <c r="A43" s="8">
        <f>'2.4'!A:A</f>
        <v>46212.62827</v>
      </c>
      <c r="B43" s="2" t="str">
        <f>'2.4'!B:B</f>
        <v>bnco0968@signalschool.ac.th</v>
      </c>
      <c r="C43" s="2" t="str">
        <f>'2.4'!C:C</f>
        <v>พ.ต.ไมตรี บุญเหลื่อม</v>
      </c>
      <c r="D43" s="9">
        <v>1.0</v>
      </c>
      <c r="E43" s="10">
        <f>IFERROR(vlookup('2.4'!D:D,lookup!$A$2:$B$4,2,false),0)</f>
        <v>5</v>
      </c>
      <c r="F43" s="10">
        <f>IFERROR(vlookup('2.4'!E:E,lookup!$A$6:$B$8,2,false),0)</f>
        <v>5</v>
      </c>
      <c r="G43" s="10">
        <f>IFERROR(vlookup('2.4'!F:F,lookup!$A$10:$B$12,2,false),0)</f>
        <v>5</v>
      </c>
      <c r="H43" s="10">
        <f>IFERROR(vlookup('2.4'!G:G,lookup!$A$14:$B$16,2,false),0)</f>
        <v>5</v>
      </c>
      <c r="I43" s="10">
        <f>IFERROR(vlookup('2.4'!H:H,lookup!$A$18:$B$20,2,false),0)</f>
        <v>5</v>
      </c>
      <c r="J43" s="10">
        <f>IFERROR(vlookup('2.4'!I:I,lookup!$A$22:$B$24,2,false),0)</f>
        <v>5</v>
      </c>
      <c r="K43" s="10">
        <f>IFERROR(vlookup('2.4'!J:J,lookup!$A$26:$B$28,2,false),0)</f>
        <v>5</v>
      </c>
      <c r="L43" s="2"/>
      <c r="M43" s="10">
        <v>42.0</v>
      </c>
      <c r="N43" s="11" t="str">
        <f t="shared" si="1"/>
        <v>bnco0942@signalschool.ac.th</v>
      </c>
      <c r="O43" s="12">
        <f t="shared" si="2"/>
        <v>1</v>
      </c>
      <c r="R43" s="17" t="s">
        <v>259</v>
      </c>
    </row>
    <row r="44">
      <c r="A44" s="8">
        <f>'2.4'!A:A</f>
        <v>46212.62833</v>
      </c>
      <c r="B44" s="2" t="str">
        <f>'2.4'!B:B</f>
        <v>bnco0964@signalschool.ac.th</v>
      </c>
      <c r="C44" s="2" t="str">
        <f>'2.4'!C:C</f>
        <v>พ.ต.ไมตรี บุญเหลื่อม</v>
      </c>
      <c r="D44" s="9">
        <v>1.0</v>
      </c>
      <c r="E44" s="10">
        <f>IFERROR(vlookup('2.4'!D:D,lookup!$A$2:$B$4,2,false),0)</f>
        <v>5</v>
      </c>
      <c r="F44" s="10">
        <f>IFERROR(vlookup('2.4'!E:E,lookup!$A$6:$B$8,2,false),0)</f>
        <v>5</v>
      </c>
      <c r="G44" s="10">
        <f>IFERROR(vlookup('2.4'!F:F,lookup!$A$10:$B$12,2,false),0)</f>
        <v>5</v>
      </c>
      <c r="H44" s="10">
        <f>IFERROR(vlookup('2.4'!G:G,lookup!$A$14:$B$16,2,false),0)</f>
        <v>5</v>
      </c>
      <c r="I44" s="10">
        <f>IFERROR(vlookup('2.4'!H:H,lookup!$A$18:$B$20,2,false),0)</f>
        <v>5</v>
      </c>
      <c r="J44" s="10">
        <f>IFERROR(vlookup('2.4'!I:I,lookup!$A$22:$B$24,2,false),0)</f>
        <v>5</v>
      </c>
      <c r="K44" s="10">
        <f>IFERROR(vlookup('2.4'!J:J,lookup!$A$26:$B$28,2,false),0)</f>
        <v>5</v>
      </c>
      <c r="L44" s="2"/>
      <c r="M44" s="10">
        <v>43.0</v>
      </c>
      <c r="N44" s="11" t="str">
        <f t="shared" si="1"/>
        <v>bnco0943@signalschool.ac.th</v>
      </c>
      <c r="O44" s="12">
        <f t="shared" si="2"/>
        <v>1</v>
      </c>
      <c r="R44" s="17" t="s">
        <v>260</v>
      </c>
    </row>
    <row r="45">
      <c r="A45" s="8">
        <f>'2.4'!A:A</f>
        <v>46212.6284</v>
      </c>
      <c r="B45" s="2" t="str">
        <f>'2.4'!B:B</f>
        <v>bnco0921@signalschool.ac.th</v>
      </c>
      <c r="C45" s="2" t="str">
        <f>'2.4'!C:C</f>
        <v>พ.ต.ไมตรี บุญเหลื่อม</v>
      </c>
      <c r="D45" s="9">
        <v>1.0</v>
      </c>
      <c r="E45" s="10">
        <f>IFERROR(vlookup('2.4'!D:D,lookup!$A$2:$B$4,2,false),0)</f>
        <v>5</v>
      </c>
      <c r="F45" s="10">
        <f>IFERROR(vlookup('2.4'!E:E,lookup!$A$6:$B$8,2,false),0)</f>
        <v>5</v>
      </c>
      <c r="G45" s="10">
        <f>IFERROR(vlookup('2.4'!F:F,lookup!$A$10:$B$12,2,false),0)</f>
        <v>5</v>
      </c>
      <c r="H45" s="10">
        <f>IFERROR(vlookup('2.4'!G:G,lookup!$A$14:$B$16,2,false),0)</f>
        <v>5</v>
      </c>
      <c r="I45" s="10">
        <f>IFERROR(vlookup('2.4'!H:H,lookup!$A$18:$B$20,2,false),0)</f>
        <v>5</v>
      </c>
      <c r="J45" s="10">
        <f>IFERROR(vlookup('2.4'!I:I,lookup!$A$22:$B$24,2,false),0)</f>
        <v>5</v>
      </c>
      <c r="K45" s="10">
        <f>IFERROR(vlookup('2.4'!J:J,lookup!$A$26:$B$28,2,false),0)</f>
        <v>5</v>
      </c>
      <c r="L45" s="2"/>
      <c r="M45" s="10">
        <v>44.0</v>
      </c>
      <c r="N45" s="11" t="str">
        <f t="shared" si="1"/>
        <v>bnco0944@signalschool.ac.th</v>
      </c>
      <c r="O45" s="12">
        <f t="shared" si="2"/>
        <v>1</v>
      </c>
      <c r="R45" s="17" t="s">
        <v>261</v>
      </c>
    </row>
    <row r="46">
      <c r="A46" s="8">
        <f>'2.4'!A:A</f>
        <v>46212.6286</v>
      </c>
      <c r="B46" s="2" t="str">
        <f>'2.4'!B:B</f>
        <v>bnco0929@signalschool.ac.th</v>
      </c>
      <c r="C46" s="2" t="str">
        <f>'2.4'!C:C</f>
        <v>พ.ต.ไมตรี บุญเหลื่อม</v>
      </c>
      <c r="D46" s="9">
        <v>1.0</v>
      </c>
      <c r="E46" s="10">
        <f>IFERROR(vlookup('2.4'!D:D,lookup!$A$2:$B$4,2,false),0)</f>
        <v>5</v>
      </c>
      <c r="F46" s="10">
        <f>IFERROR(vlookup('2.4'!E:E,lookup!$A$6:$B$8,2,false),0)</f>
        <v>5</v>
      </c>
      <c r="G46" s="10">
        <f>IFERROR(vlookup('2.4'!F:F,lookup!$A$10:$B$12,2,false),0)</f>
        <v>5</v>
      </c>
      <c r="H46" s="10">
        <f>IFERROR(vlookup('2.4'!G:G,lookup!$A$14:$B$16,2,false),0)</f>
        <v>5</v>
      </c>
      <c r="I46" s="10">
        <f>IFERROR(vlookup('2.4'!H:H,lookup!$A$18:$B$20,2,false),0)</f>
        <v>5</v>
      </c>
      <c r="J46" s="10">
        <f>IFERROR(vlookup('2.4'!I:I,lookup!$A$22:$B$24,2,false),0)</f>
        <v>5</v>
      </c>
      <c r="K46" s="10">
        <f>IFERROR(vlookup('2.4'!J:J,lookup!$A$26:$B$28,2,false),0)</f>
        <v>5</v>
      </c>
      <c r="L46" s="2"/>
      <c r="M46" s="10">
        <v>45.0</v>
      </c>
      <c r="N46" s="11" t="str">
        <f t="shared" si="1"/>
        <v>bnco0945@signalschool.ac.th</v>
      </c>
      <c r="O46" s="12">
        <f t="shared" si="2"/>
        <v>1</v>
      </c>
      <c r="R46" s="17" t="s">
        <v>262</v>
      </c>
    </row>
    <row r="47">
      <c r="A47" s="8">
        <f>'2.4'!A:A</f>
        <v>46212.62862</v>
      </c>
      <c r="B47" s="2" t="str">
        <f>'2.4'!B:B</f>
        <v>bnco0965@signalschool.ac.th</v>
      </c>
      <c r="C47" s="2" t="str">
        <f>'2.4'!C:C</f>
        <v>พ.ต.ไมตรี บุญเหลื่อม</v>
      </c>
      <c r="D47" s="9">
        <v>1.0</v>
      </c>
      <c r="E47" s="10">
        <f>IFERROR(vlookup('2.4'!D:D,lookup!$A$2:$B$4,2,false),0)</f>
        <v>5</v>
      </c>
      <c r="F47" s="10">
        <f>IFERROR(vlookup('2.4'!E:E,lookup!$A$6:$B$8,2,false),0)</f>
        <v>5</v>
      </c>
      <c r="G47" s="10">
        <f>IFERROR(vlookup('2.4'!F:F,lookup!$A$10:$B$12,2,false),0)</f>
        <v>5</v>
      </c>
      <c r="H47" s="10">
        <f>IFERROR(vlookup('2.4'!G:G,lookup!$A$14:$B$16,2,false),0)</f>
        <v>5</v>
      </c>
      <c r="I47" s="10">
        <f>IFERROR(vlookup('2.4'!H:H,lookup!$A$18:$B$20,2,false),0)</f>
        <v>5</v>
      </c>
      <c r="J47" s="10">
        <f>IFERROR(vlookup('2.4'!I:I,lookup!$A$22:$B$24,2,false),0)</f>
        <v>5</v>
      </c>
      <c r="K47" s="10">
        <f>IFERROR(vlookup('2.4'!J:J,lookup!$A$26:$B$28,2,false),0)</f>
        <v>5</v>
      </c>
      <c r="L47" s="2"/>
      <c r="M47" s="10">
        <v>46.0</v>
      </c>
      <c r="N47" s="11" t="str">
        <f t="shared" si="1"/>
        <v>bnco0946@signalschool.ac.th</v>
      </c>
      <c r="O47" s="12">
        <f t="shared" si="2"/>
        <v>1</v>
      </c>
      <c r="R47" s="17" t="s">
        <v>263</v>
      </c>
    </row>
    <row r="48">
      <c r="A48" s="8">
        <f>'2.4'!A:A</f>
        <v>46212.62867</v>
      </c>
      <c r="B48" s="2" t="str">
        <f>'2.4'!B:B</f>
        <v>bnco0941@signalschool.ac.th</v>
      </c>
      <c r="C48" s="2" t="str">
        <f>'2.4'!C:C</f>
        <v>พ.ต.ไมตรี บุญเหลื่อม</v>
      </c>
      <c r="D48" s="9">
        <v>1.0</v>
      </c>
      <c r="E48" s="10">
        <f>IFERROR(vlookup('2.4'!D:D,lookup!$A$2:$B$4,2,false),0)</f>
        <v>5</v>
      </c>
      <c r="F48" s="10">
        <f>IFERROR(vlookup('2.4'!E:E,lookup!$A$6:$B$8,2,false),0)</f>
        <v>5</v>
      </c>
      <c r="G48" s="10">
        <f>IFERROR(vlookup('2.4'!F:F,lookup!$A$10:$B$12,2,false),0)</f>
        <v>5</v>
      </c>
      <c r="H48" s="10">
        <f>IFERROR(vlookup('2.4'!G:G,lookup!$A$14:$B$16,2,false),0)</f>
        <v>5</v>
      </c>
      <c r="I48" s="10">
        <f>IFERROR(vlookup('2.4'!H:H,lookup!$A$18:$B$20,2,false),0)</f>
        <v>5</v>
      </c>
      <c r="J48" s="10">
        <f>IFERROR(vlookup('2.4'!I:I,lookup!$A$22:$B$24,2,false),0)</f>
        <v>5</v>
      </c>
      <c r="K48" s="10">
        <f>IFERROR(vlookup('2.4'!J:J,lookup!$A$26:$B$28,2,false),0)</f>
        <v>5</v>
      </c>
      <c r="L48" s="2"/>
      <c r="M48" s="10">
        <v>47.0</v>
      </c>
      <c r="N48" s="11" t="str">
        <f t="shared" si="1"/>
        <v>bnco0947@signalschool.ac.th</v>
      </c>
      <c r="O48" s="12">
        <f t="shared" si="2"/>
        <v>1</v>
      </c>
      <c r="R48" s="17" t="s">
        <v>264</v>
      </c>
    </row>
    <row r="49">
      <c r="A49" s="8">
        <f>'2.4'!A:A</f>
        <v>46212.62872</v>
      </c>
      <c r="B49" s="2" t="str">
        <f>'2.4'!B:B</f>
        <v>bnco0937@signalschool.ac.th</v>
      </c>
      <c r="C49" s="2" t="str">
        <f>'2.4'!C:C</f>
        <v>พ.ต.ไมตรี บุญเหลื่อม</v>
      </c>
      <c r="D49" s="9">
        <v>1.0</v>
      </c>
      <c r="E49" s="10">
        <f>IFERROR(vlookup('2.4'!D:D,lookup!$A$2:$B$4,2,false),0)</f>
        <v>5</v>
      </c>
      <c r="F49" s="10">
        <f>IFERROR(vlookup('2.4'!E:E,lookup!$A$6:$B$8,2,false),0)</f>
        <v>5</v>
      </c>
      <c r="G49" s="10">
        <f>IFERROR(vlookup('2.4'!F:F,lookup!$A$10:$B$12,2,false),0)</f>
        <v>5</v>
      </c>
      <c r="H49" s="10">
        <f>IFERROR(vlookup('2.4'!G:G,lookup!$A$14:$B$16,2,false),0)</f>
        <v>5</v>
      </c>
      <c r="I49" s="10">
        <f>IFERROR(vlookup('2.4'!H:H,lookup!$A$18:$B$20,2,false),0)</f>
        <v>5</v>
      </c>
      <c r="J49" s="10">
        <f>IFERROR(vlookup('2.4'!I:I,lookup!$A$22:$B$24,2,false),0)</f>
        <v>5</v>
      </c>
      <c r="K49" s="10">
        <f>IFERROR(vlookup('2.4'!J:J,lookup!$A$26:$B$28,2,false),0)</f>
        <v>5</v>
      </c>
      <c r="L49" s="2"/>
      <c r="M49" s="10">
        <v>48.0</v>
      </c>
      <c r="N49" s="11" t="str">
        <f t="shared" si="1"/>
        <v>bnco0948@signalschool.ac.th</v>
      </c>
      <c r="O49" s="12">
        <f t="shared" si="2"/>
        <v>1</v>
      </c>
      <c r="R49" s="17" t="s">
        <v>265</v>
      </c>
    </row>
    <row r="50">
      <c r="A50" s="8">
        <f>'2.4'!A:A</f>
        <v>46212.6288</v>
      </c>
      <c r="B50" s="2" t="str">
        <f>'2.4'!B:B</f>
        <v>bnco0963@signalschool.ac.th</v>
      </c>
      <c r="C50" s="2" t="str">
        <f>'2.4'!C:C</f>
        <v>พ.ต.ไมตรี บุญเหลื่อม</v>
      </c>
      <c r="D50" s="9">
        <v>1.0</v>
      </c>
      <c r="E50" s="10">
        <f>IFERROR(vlookup('2.4'!D:D,lookup!$A$2:$B$4,2,false),0)</f>
        <v>5</v>
      </c>
      <c r="F50" s="10">
        <f>IFERROR(vlookup('2.4'!E:E,lookup!$A$6:$B$8,2,false),0)</f>
        <v>5</v>
      </c>
      <c r="G50" s="10">
        <f>IFERROR(vlookup('2.4'!F:F,lookup!$A$10:$B$12,2,false),0)</f>
        <v>5</v>
      </c>
      <c r="H50" s="10">
        <f>IFERROR(vlookup('2.4'!G:G,lookup!$A$14:$B$16,2,false),0)</f>
        <v>5</v>
      </c>
      <c r="I50" s="10">
        <f>IFERROR(vlookup('2.4'!H:H,lookup!$A$18:$B$20,2,false),0)</f>
        <v>5</v>
      </c>
      <c r="J50" s="10">
        <f>IFERROR(vlookup('2.4'!I:I,lookup!$A$22:$B$24,2,false),0)</f>
        <v>5</v>
      </c>
      <c r="K50" s="10">
        <f>IFERROR(vlookup('2.4'!J:J,lookup!$A$26:$B$28,2,false),0)</f>
        <v>5</v>
      </c>
      <c r="L50" s="2"/>
      <c r="M50" s="10">
        <v>49.0</v>
      </c>
      <c r="N50" s="11" t="str">
        <f t="shared" si="1"/>
        <v>bnco0949@signalschool.ac.th</v>
      </c>
      <c r="O50" s="12">
        <f t="shared" si="2"/>
        <v>1</v>
      </c>
      <c r="R50" s="17" t="s">
        <v>266</v>
      </c>
    </row>
    <row r="51">
      <c r="A51" s="8">
        <f>'2.4'!A:A</f>
        <v>46212.62886</v>
      </c>
      <c r="B51" s="2" t="str">
        <f>'2.4'!B:B</f>
        <v>bnco0912@signalschool.ac.th</v>
      </c>
      <c r="C51" s="2" t="str">
        <f>'2.4'!C:C</f>
        <v>พ.ต.ไมตรี บุญเหลื่อม</v>
      </c>
      <c r="D51" s="9">
        <v>1.0</v>
      </c>
      <c r="E51" s="10">
        <f>IFERROR(vlookup('2.4'!D:D,lookup!$A$2:$B$4,2,false),0)</f>
        <v>5</v>
      </c>
      <c r="F51" s="10">
        <f>IFERROR(vlookup('2.4'!E:E,lookup!$A$6:$B$8,2,false),0)</f>
        <v>5</v>
      </c>
      <c r="G51" s="10">
        <f>IFERROR(vlookup('2.4'!F:F,lookup!$A$10:$B$12,2,false),0)</f>
        <v>5</v>
      </c>
      <c r="H51" s="10">
        <f>IFERROR(vlookup('2.4'!G:G,lookup!$A$14:$B$16,2,false),0)</f>
        <v>5</v>
      </c>
      <c r="I51" s="10">
        <f>IFERROR(vlookup('2.4'!H:H,lookup!$A$18:$B$20,2,false),0)</f>
        <v>5</v>
      </c>
      <c r="J51" s="10">
        <f>IFERROR(vlookup('2.4'!I:I,lookup!$A$22:$B$24,2,false),0)</f>
        <v>5</v>
      </c>
      <c r="K51" s="10">
        <f>IFERROR(vlookup('2.4'!J:J,lookup!$A$26:$B$28,2,false),0)</f>
        <v>5</v>
      </c>
      <c r="L51" s="2"/>
      <c r="M51" s="10">
        <v>50.0</v>
      </c>
      <c r="N51" s="11" t="str">
        <f t="shared" si="1"/>
        <v>bnco0950@signalschool.ac.th</v>
      </c>
      <c r="O51" s="12">
        <f t="shared" si="2"/>
        <v>1</v>
      </c>
      <c r="R51" s="17" t="s">
        <v>267</v>
      </c>
    </row>
    <row r="52">
      <c r="A52" s="8">
        <f>'2.4'!A:A</f>
        <v>46212.62887</v>
      </c>
      <c r="B52" s="2" t="str">
        <f>'2.4'!B:B</f>
        <v>bnco0960@signalschool.ac.th</v>
      </c>
      <c r="C52" s="2" t="str">
        <f>'2.4'!C:C</f>
        <v>พ.ต.ไมตรี บุญเหลื่อม</v>
      </c>
      <c r="D52" s="9">
        <v>1.0</v>
      </c>
      <c r="E52" s="10">
        <f>IFERROR(vlookup('2.4'!D:D,lookup!$A$2:$B$4,2,false),0)</f>
        <v>5</v>
      </c>
      <c r="F52" s="10">
        <f>IFERROR(vlookup('2.4'!E:E,lookup!$A$6:$B$8,2,false),0)</f>
        <v>5</v>
      </c>
      <c r="G52" s="10">
        <f>IFERROR(vlookup('2.4'!F:F,lookup!$A$10:$B$12,2,false),0)</f>
        <v>5</v>
      </c>
      <c r="H52" s="10">
        <f>IFERROR(vlookup('2.4'!G:G,lookup!$A$14:$B$16,2,false),0)</f>
        <v>5</v>
      </c>
      <c r="I52" s="10">
        <f>IFERROR(vlookup('2.4'!H:H,lookup!$A$18:$B$20,2,false),0)</f>
        <v>5</v>
      </c>
      <c r="J52" s="10">
        <f>IFERROR(vlookup('2.4'!I:I,lookup!$A$22:$B$24,2,false),0)</f>
        <v>5</v>
      </c>
      <c r="K52" s="10">
        <f>IFERROR(vlookup('2.4'!J:J,lookup!$A$26:$B$28,2,false),0)</f>
        <v>5</v>
      </c>
      <c r="L52" s="2"/>
      <c r="M52" s="10">
        <v>51.0</v>
      </c>
      <c r="N52" s="11" t="str">
        <f t="shared" si="1"/>
        <v>bnco0951@signalschool.ac.th</v>
      </c>
      <c r="O52" s="12">
        <f t="shared" si="2"/>
        <v>1</v>
      </c>
      <c r="R52" s="17" t="s">
        <v>268</v>
      </c>
    </row>
    <row r="53">
      <c r="A53" s="8">
        <f>'2.4'!A:A</f>
        <v>46212.62895</v>
      </c>
      <c r="B53" s="2" t="str">
        <f>'2.4'!B:B</f>
        <v>bnco0915@signalschool.ac.th</v>
      </c>
      <c r="C53" s="2" t="str">
        <f>'2.4'!C:C</f>
        <v>พ.ต.ไมตรี​ บุญเหลี่ยม</v>
      </c>
      <c r="D53" s="9">
        <v>1.0</v>
      </c>
      <c r="E53" s="10">
        <f>IFERROR(vlookup('2.4'!D:D,lookup!$A$2:$B$4,2,false),0)</f>
        <v>5</v>
      </c>
      <c r="F53" s="10">
        <f>IFERROR(vlookup('2.4'!E:E,lookup!$A$6:$B$8,2,false),0)</f>
        <v>5</v>
      </c>
      <c r="G53" s="10">
        <f>IFERROR(vlookup('2.4'!F:F,lookup!$A$10:$B$12,2,false),0)</f>
        <v>5</v>
      </c>
      <c r="H53" s="10">
        <f>IFERROR(vlookup('2.4'!G:G,lookup!$A$14:$B$16,2,false),0)</f>
        <v>5</v>
      </c>
      <c r="I53" s="10">
        <f>IFERROR(vlookup('2.4'!H:H,lookup!$A$18:$B$20,2,false),0)</f>
        <v>5</v>
      </c>
      <c r="J53" s="10">
        <f>IFERROR(vlookup('2.4'!I:I,lookup!$A$22:$B$24,2,false),0)</f>
        <v>5</v>
      </c>
      <c r="K53" s="10">
        <f>IFERROR(vlookup('2.4'!J:J,lookup!$A$26:$B$28,2,false),0)</f>
        <v>5</v>
      </c>
      <c r="L53" s="2"/>
      <c r="M53" s="10">
        <v>52.0</v>
      </c>
      <c r="N53" s="11" t="str">
        <f t="shared" si="1"/>
        <v>bnco0952@signalschool.ac.th</v>
      </c>
      <c r="O53" s="12">
        <f t="shared" si="2"/>
        <v>1</v>
      </c>
      <c r="R53" s="17" t="s">
        <v>269</v>
      </c>
    </row>
    <row r="54">
      <c r="A54" s="8">
        <f>'2.4'!A:A</f>
        <v>46212.62902</v>
      </c>
      <c r="B54" s="2" t="str">
        <f>'2.4'!B:B</f>
        <v>bnco0973@signalschool.ac.th</v>
      </c>
      <c r="C54" s="2" t="str">
        <f>'2.4'!C:C</f>
        <v>พ.ต.ไมตรี บุญเหลื่อม</v>
      </c>
      <c r="D54" s="9">
        <v>1.0</v>
      </c>
      <c r="E54" s="10">
        <f>IFERROR(vlookup('2.4'!D:D,lookup!$A$2:$B$4,2,false),0)</f>
        <v>5</v>
      </c>
      <c r="F54" s="10">
        <f>IFERROR(vlookup('2.4'!E:E,lookup!$A$6:$B$8,2,false),0)</f>
        <v>5</v>
      </c>
      <c r="G54" s="10">
        <f>IFERROR(vlookup('2.4'!F:F,lookup!$A$10:$B$12,2,false),0)</f>
        <v>5</v>
      </c>
      <c r="H54" s="10">
        <f>IFERROR(vlookup('2.4'!G:G,lookup!$A$14:$B$16,2,false),0)</f>
        <v>5</v>
      </c>
      <c r="I54" s="10">
        <f>IFERROR(vlookup('2.4'!H:H,lookup!$A$18:$B$20,2,false),0)</f>
        <v>5</v>
      </c>
      <c r="J54" s="10">
        <f>IFERROR(vlookup('2.4'!I:I,lookup!$A$22:$B$24,2,false),0)</f>
        <v>5</v>
      </c>
      <c r="K54" s="10">
        <f>IFERROR(vlookup('2.4'!J:J,lookup!$A$26:$B$28,2,false),0)</f>
        <v>5</v>
      </c>
      <c r="L54" s="2"/>
      <c r="M54" s="10">
        <v>53.0</v>
      </c>
      <c r="N54" s="11" t="str">
        <f t="shared" si="1"/>
        <v>bnco0953@signalschool.ac.th</v>
      </c>
      <c r="O54" s="12">
        <f t="shared" si="2"/>
        <v>1</v>
      </c>
      <c r="R54" s="17" t="s">
        <v>270</v>
      </c>
    </row>
    <row r="55">
      <c r="A55" s="8">
        <f>'2.4'!A:A</f>
        <v>46212.62919</v>
      </c>
      <c r="B55" s="2" t="str">
        <f>'2.4'!B:B</f>
        <v>bnco0901@signalschool.ac.th</v>
      </c>
      <c r="C55" s="2" t="str">
        <f>'2.4'!C:C</f>
        <v>พ.ต.ไมตรี บุญเหลื่อม</v>
      </c>
      <c r="D55" s="9">
        <v>1.0</v>
      </c>
      <c r="E55" s="10">
        <f>IFERROR(vlookup('2.4'!D:D,lookup!$A$2:$B$4,2,false),0)</f>
        <v>5</v>
      </c>
      <c r="F55" s="10">
        <f>IFERROR(vlookup('2.4'!E:E,lookup!$A$6:$B$8,2,false),0)</f>
        <v>5</v>
      </c>
      <c r="G55" s="10">
        <f>IFERROR(vlookup('2.4'!F:F,lookup!$A$10:$B$12,2,false),0)</f>
        <v>5</v>
      </c>
      <c r="H55" s="10">
        <f>IFERROR(vlookup('2.4'!G:G,lookup!$A$14:$B$16,2,false),0)</f>
        <v>5</v>
      </c>
      <c r="I55" s="10">
        <f>IFERROR(vlookup('2.4'!H:H,lookup!$A$18:$B$20,2,false),0)</f>
        <v>5</v>
      </c>
      <c r="J55" s="10">
        <f>IFERROR(vlookup('2.4'!I:I,lookup!$A$22:$B$24,2,false),0)</f>
        <v>5</v>
      </c>
      <c r="K55" s="10">
        <f>IFERROR(vlookup('2.4'!J:J,lookup!$A$26:$B$28,2,false),0)</f>
        <v>5</v>
      </c>
      <c r="L55" s="2"/>
      <c r="M55" s="10">
        <v>54.0</v>
      </c>
      <c r="N55" s="11" t="str">
        <f t="shared" si="1"/>
        <v>bnco0954@signalschool.ac.th</v>
      </c>
      <c r="O55" s="12">
        <f t="shared" si="2"/>
        <v>1</v>
      </c>
      <c r="R55" s="17" t="s">
        <v>271</v>
      </c>
    </row>
    <row r="56">
      <c r="A56" s="8">
        <f>'2.4'!A:A</f>
        <v>46212.6292</v>
      </c>
      <c r="B56" s="2" t="str">
        <f>'2.4'!B:B</f>
        <v>bnco0933@signalschool.ac.th</v>
      </c>
      <c r="C56" s="2" t="str">
        <f>'2.4'!C:C</f>
        <v>พ.ต.ไมตรี บุญเหลื่อม</v>
      </c>
      <c r="D56" s="9">
        <v>1.0</v>
      </c>
      <c r="E56" s="10">
        <f>IFERROR(vlookup('2.4'!D:D,lookup!$A$2:$B$4,2,false),0)</f>
        <v>5</v>
      </c>
      <c r="F56" s="10">
        <f>IFERROR(vlookup('2.4'!E:E,lookup!$A$6:$B$8,2,false),0)</f>
        <v>5</v>
      </c>
      <c r="G56" s="10">
        <f>IFERROR(vlookup('2.4'!F:F,lookup!$A$10:$B$12,2,false),0)</f>
        <v>5</v>
      </c>
      <c r="H56" s="10">
        <f>IFERROR(vlookup('2.4'!G:G,lookup!$A$14:$B$16,2,false),0)</f>
        <v>5</v>
      </c>
      <c r="I56" s="10">
        <f>IFERROR(vlookup('2.4'!H:H,lookup!$A$18:$B$20,2,false),0)</f>
        <v>5</v>
      </c>
      <c r="J56" s="10">
        <f>IFERROR(vlookup('2.4'!I:I,lookup!$A$22:$B$24,2,false),0)</f>
        <v>5</v>
      </c>
      <c r="K56" s="10">
        <f>IFERROR(vlookup('2.4'!J:J,lookup!$A$26:$B$28,2,false),0)</f>
        <v>5</v>
      </c>
      <c r="L56" s="13"/>
      <c r="M56" s="10">
        <v>55.0</v>
      </c>
      <c r="N56" s="11" t="str">
        <f t="shared" si="1"/>
        <v>bnco0955@signalschool.ac.th</v>
      </c>
      <c r="O56" s="12">
        <f t="shared" si="2"/>
        <v>1</v>
      </c>
      <c r="R56" s="17" t="s">
        <v>272</v>
      </c>
    </row>
    <row r="57">
      <c r="A57" s="8">
        <f>'2.4'!A:A</f>
        <v>46212.62931</v>
      </c>
      <c r="B57" s="2" t="str">
        <f>'2.4'!B:B</f>
        <v>bnco0938@signalschool.ac.th</v>
      </c>
      <c r="C57" s="2" t="str">
        <f>'2.4'!C:C</f>
        <v>พ.ต.ไมตรี บุญเหลื่อม</v>
      </c>
      <c r="D57" s="9">
        <v>1.0</v>
      </c>
      <c r="E57" s="10">
        <f>IFERROR(vlookup('2.4'!D:D,lookup!$A$2:$B$4,2,false),0)</f>
        <v>5</v>
      </c>
      <c r="F57" s="10">
        <f>IFERROR(vlookup('2.4'!E:E,lookup!$A$6:$B$8,2,false),0)</f>
        <v>5</v>
      </c>
      <c r="G57" s="10">
        <f>IFERROR(vlookup('2.4'!F:F,lookup!$A$10:$B$12,2,false),0)</f>
        <v>3</v>
      </c>
      <c r="H57" s="10">
        <f>IFERROR(vlookup('2.4'!G:G,lookup!$A$14:$B$16,2,false),0)</f>
        <v>5</v>
      </c>
      <c r="I57" s="10">
        <f>IFERROR(vlookup('2.4'!H:H,lookup!$A$18:$B$20,2,false),0)</f>
        <v>5</v>
      </c>
      <c r="J57" s="10">
        <f>IFERROR(vlookup('2.4'!I:I,lookup!$A$22:$B$24,2,false),0)</f>
        <v>5</v>
      </c>
      <c r="K57" s="10">
        <f>IFERROR(vlookup('2.4'!J:J,lookup!$A$26:$B$28,2,false),0)</f>
        <v>3</v>
      </c>
      <c r="L57" s="13"/>
      <c r="M57" s="10">
        <v>56.0</v>
      </c>
      <c r="N57" s="11" t="str">
        <f t="shared" si="1"/>
        <v>bnco0956@signalschool.ac.th</v>
      </c>
      <c r="O57" s="12">
        <f t="shared" si="2"/>
        <v>1</v>
      </c>
      <c r="R57" s="17" t="s">
        <v>273</v>
      </c>
    </row>
    <row r="58">
      <c r="A58" s="8">
        <f>'2.4'!A:A</f>
        <v>46212.62956</v>
      </c>
      <c r="B58" s="2" t="str">
        <f>'2.4'!B:B</f>
        <v>bnco0939@signalschool.ac.th</v>
      </c>
      <c r="C58" s="2" t="str">
        <f>'2.4'!C:C</f>
        <v>พ.ต.ไมตรี บุญเหลื่อม</v>
      </c>
      <c r="D58" s="9">
        <v>1.0</v>
      </c>
      <c r="E58" s="10">
        <f>IFERROR(vlookup('2.4'!D:D,lookup!$A$2:$B$4,2,false),0)</f>
        <v>5</v>
      </c>
      <c r="F58" s="10">
        <f>IFERROR(vlookup('2.4'!E:E,lookup!$A$6:$B$8,2,false),0)</f>
        <v>5</v>
      </c>
      <c r="G58" s="10">
        <f>IFERROR(vlookup('2.4'!F:F,lookup!$A$10:$B$12,2,false),0)</f>
        <v>5</v>
      </c>
      <c r="H58" s="10">
        <f>IFERROR(vlookup('2.4'!G:G,lookup!$A$14:$B$16,2,false),0)</f>
        <v>5</v>
      </c>
      <c r="I58" s="10">
        <f>IFERROR(vlookup('2.4'!H:H,lookup!$A$18:$B$20,2,false),0)</f>
        <v>5</v>
      </c>
      <c r="J58" s="10">
        <f>IFERROR(vlookup('2.4'!I:I,lookup!$A$22:$B$24,2,false),0)</f>
        <v>5</v>
      </c>
      <c r="K58" s="10">
        <f>IFERROR(vlookup('2.4'!J:J,lookup!$A$26:$B$28,2,false),0)</f>
        <v>5</v>
      </c>
      <c r="L58" s="13"/>
      <c r="M58" s="10">
        <v>57.0</v>
      </c>
      <c r="N58" s="11" t="str">
        <f t="shared" si="1"/>
        <v>bnco0957@signalschool.ac.th</v>
      </c>
      <c r="O58" s="12">
        <f t="shared" si="2"/>
        <v>1</v>
      </c>
      <c r="R58" s="17" t="s">
        <v>274</v>
      </c>
    </row>
    <row r="59">
      <c r="A59" s="8">
        <f>'2.4'!A:A</f>
        <v>46212.62956</v>
      </c>
      <c r="B59" s="2" t="str">
        <f>'2.4'!B:B</f>
        <v>bnco0957@signalschool.ac.th</v>
      </c>
      <c r="C59" s="2" t="str">
        <f>'2.4'!C:C</f>
        <v>พ.ต.ไมตรี บุญเหลื่อม</v>
      </c>
      <c r="D59" s="9">
        <v>1.0</v>
      </c>
      <c r="E59" s="10">
        <f>IFERROR(vlookup('2.4'!D:D,lookup!$A$2:$B$4,2,false),0)</f>
        <v>5</v>
      </c>
      <c r="F59" s="10">
        <f>IFERROR(vlookup('2.4'!E:E,lookup!$A$6:$B$8,2,false),0)</f>
        <v>5</v>
      </c>
      <c r="G59" s="10">
        <f>IFERROR(vlookup('2.4'!F:F,lookup!$A$10:$B$12,2,false),0)</f>
        <v>5</v>
      </c>
      <c r="H59" s="10">
        <f>IFERROR(vlookup('2.4'!G:G,lookup!$A$14:$B$16,2,false),0)</f>
        <v>5</v>
      </c>
      <c r="I59" s="10">
        <f>IFERROR(vlookup('2.4'!H:H,lookup!$A$18:$B$20,2,false),0)</f>
        <v>5</v>
      </c>
      <c r="J59" s="10">
        <f>IFERROR(vlookup('2.4'!I:I,lookup!$A$22:$B$24,2,false),0)</f>
        <v>5</v>
      </c>
      <c r="K59" s="10">
        <f>IFERROR(vlookup('2.4'!J:J,lookup!$A$26:$B$28,2,false),0)</f>
        <v>5</v>
      </c>
      <c r="L59" s="14"/>
      <c r="M59" s="10">
        <v>58.0</v>
      </c>
      <c r="N59" s="11" t="str">
        <f t="shared" si="1"/>
        <v>bnco0958@signalschool.ac.th</v>
      </c>
      <c r="O59" s="12">
        <f t="shared" si="2"/>
        <v>1</v>
      </c>
      <c r="R59" s="17" t="s">
        <v>275</v>
      </c>
    </row>
    <row r="60">
      <c r="A60" s="8">
        <f>'2.4'!A:A</f>
        <v>46212.62956</v>
      </c>
      <c r="B60" s="2" t="str">
        <f>'2.4'!B:B</f>
        <v>bnco0902@signalschool.ac.th</v>
      </c>
      <c r="C60" s="2" t="str">
        <f>'2.4'!C:C</f>
        <v>พ.ต.ไมตรี บุญเหลื่อม</v>
      </c>
      <c r="D60" s="9">
        <v>1.0</v>
      </c>
      <c r="E60" s="10">
        <f>IFERROR(vlookup('2.4'!D:D,lookup!$A$2:$B$4,2,false),0)</f>
        <v>5</v>
      </c>
      <c r="F60" s="10">
        <f>IFERROR(vlookup('2.4'!E:E,lookup!$A$6:$B$8,2,false),0)</f>
        <v>5</v>
      </c>
      <c r="G60" s="10">
        <f>IFERROR(vlookup('2.4'!F:F,lookup!$A$10:$B$12,2,false),0)</f>
        <v>5</v>
      </c>
      <c r="H60" s="10">
        <f>IFERROR(vlookup('2.4'!G:G,lookup!$A$14:$B$16,2,false),0)</f>
        <v>5</v>
      </c>
      <c r="I60" s="10">
        <f>IFERROR(vlookup('2.4'!H:H,lookup!$A$18:$B$20,2,false),0)</f>
        <v>5</v>
      </c>
      <c r="J60" s="10">
        <f>IFERROR(vlookup('2.4'!I:I,lookup!$A$22:$B$24,2,false),0)</f>
        <v>5</v>
      </c>
      <c r="K60" s="10">
        <f>IFERROR(vlookup('2.4'!J:J,lookup!$A$26:$B$28,2,false),0)</f>
        <v>5</v>
      </c>
      <c r="L60" s="10"/>
      <c r="M60" s="10">
        <v>59.0</v>
      </c>
      <c r="N60" s="11" t="str">
        <f t="shared" si="1"/>
        <v>bnco0959@signalschool.ac.th</v>
      </c>
      <c r="O60" s="12">
        <f t="shared" si="2"/>
        <v>1</v>
      </c>
      <c r="R60" s="17" t="s">
        <v>276</v>
      </c>
    </row>
    <row r="61">
      <c r="A61" s="8">
        <f>'2.4'!A:A</f>
        <v>46212.62959</v>
      </c>
      <c r="B61" s="2" t="str">
        <f>'2.4'!B:B</f>
        <v>bnco0945@signalschool.ac.th</v>
      </c>
      <c r="C61" s="2" t="str">
        <f>'2.4'!C:C</f>
        <v>พ.ต.ไมตรี บุญเหลื่อม</v>
      </c>
      <c r="D61" s="9">
        <v>1.0</v>
      </c>
      <c r="E61" s="10">
        <f>IFERROR(vlookup('2.4'!D:D,lookup!$A$2:$B$4,2,false),0)</f>
        <v>5</v>
      </c>
      <c r="F61" s="10">
        <f>IFERROR(vlookup('2.4'!E:E,lookup!$A$6:$B$8,2,false),0)</f>
        <v>5</v>
      </c>
      <c r="G61" s="10">
        <f>IFERROR(vlookup('2.4'!F:F,lookup!$A$10:$B$12,2,false),0)</f>
        <v>5</v>
      </c>
      <c r="H61" s="10">
        <f>IFERROR(vlookup('2.4'!G:G,lookup!$A$14:$B$16,2,false),0)</f>
        <v>5</v>
      </c>
      <c r="I61" s="10">
        <f>IFERROR(vlookup('2.4'!H:H,lookup!$A$18:$B$20,2,false),0)</f>
        <v>5</v>
      </c>
      <c r="J61" s="10">
        <f>IFERROR(vlookup('2.4'!I:I,lookup!$A$22:$B$24,2,false),0)</f>
        <v>5</v>
      </c>
      <c r="K61" s="10">
        <f>IFERROR(vlookup('2.4'!J:J,lookup!$A$26:$B$28,2,false),0)</f>
        <v>5</v>
      </c>
      <c r="M61" s="10">
        <v>60.0</v>
      </c>
      <c r="N61" s="11" t="str">
        <f t="shared" si="1"/>
        <v>bnco0960@signalschool.ac.th</v>
      </c>
      <c r="O61" s="12">
        <f t="shared" si="2"/>
        <v>1</v>
      </c>
      <c r="R61" s="17" t="s">
        <v>277</v>
      </c>
    </row>
    <row r="62">
      <c r="A62" s="8">
        <f>'2.4'!A:A</f>
        <v>46212.62971</v>
      </c>
      <c r="B62" s="2" t="str">
        <f>'2.4'!B:B</f>
        <v>bnco0911@signalschool.ac.th</v>
      </c>
      <c r="C62" s="2" t="str">
        <f>'2.4'!C:C</f>
        <v>พ.ต.ไมตรี บุญเหลื่อม</v>
      </c>
      <c r="D62" s="9">
        <v>1.0</v>
      </c>
      <c r="E62" s="10">
        <f>IFERROR(vlookup('2.4'!D:D,lookup!$A$2:$B$4,2,false),0)</f>
        <v>5</v>
      </c>
      <c r="F62" s="10">
        <f>IFERROR(vlookup('2.4'!E:E,lookup!$A$6:$B$8,2,false),0)</f>
        <v>5</v>
      </c>
      <c r="G62" s="10">
        <f>IFERROR(vlookup('2.4'!F:F,lookup!$A$10:$B$12,2,false),0)</f>
        <v>5</v>
      </c>
      <c r="H62" s="10">
        <f>IFERROR(vlookup('2.4'!G:G,lookup!$A$14:$B$16,2,false),0)</f>
        <v>5</v>
      </c>
      <c r="I62" s="10">
        <f>IFERROR(vlookup('2.4'!H:H,lookup!$A$18:$B$20,2,false),0)</f>
        <v>5</v>
      </c>
      <c r="J62" s="10">
        <f>IFERROR(vlookup('2.4'!I:I,lookup!$A$22:$B$24,2,false),0)</f>
        <v>5</v>
      </c>
      <c r="K62" s="10">
        <f>IFERROR(vlookup('2.4'!J:J,lookup!$A$26:$B$28,2,false),0)</f>
        <v>5</v>
      </c>
      <c r="M62" s="10">
        <v>61.0</v>
      </c>
      <c r="N62" s="11" t="str">
        <f t="shared" si="1"/>
        <v>bnco0961@signalschool.ac.th</v>
      </c>
      <c r="O62" s="12">
        <f t="shared" si="2"/>
        <v>1</v>
      </c>
      <c r="R62" s="17" t="s">
        <v>278</v>
      </c>
    </row>
    <row r="63">
      <c r="A63" s="8">
        <f>'2.4'!A:A</f>
        <v>46212.62978</v>
      </c>
      <c r="B63" s="2" t="str">
        <f>'2.4'!B:B</f>
        <v>bnco0947@signalschool.ac.th</v>
      </c>
      <c r="C63" s="2" t="str">
        <f>'2.4'!C:C</f>
        <v>พ.ต.ไมตรี บุญเหลื่อม</v>
      </c>
      <c r="D63" s="9">
        <v>1.0</v>
      </c>
      <c r="E63" s="10">
        <f>IFERROR(vlookup('2.4'!D:D,lookup!$A$2:$B$4,2,false),0)</f>
        <v>5</v>
      </c>
      <c r="F63" s="10">
        <f>IFERROR(vlookup('2.4'!E:E,lookup!$A$6:$B$8,2,false),0)</f>
        <v>5</v>
      </c>
      <c r="G63" s="10">
        <f>IFERROR(vlookup('2.4'!F:F,lookup!$A$10:$B$12,2,false),0)</f>
        <v>5</v>
      </c>
      <c r="H63" s="10">
        <f>IFERROR(vlookup('2.4'!G:G,lookup!$A$14:$B$16,2,false),0)</f>
        <v>5</v>
      </c>
      <c r="I63" s="10">
        <f>IFERROR(vlookup('2.4'!H:H,lookup!$A$18:$B$20,2,false),0)</f>
        <v>5</v>
      </c>
      <c r="J63" s="10">
        <f>IFERROR(vlookup('2.4'!I:I,lookup!$A$22:$B$24,2,false),0)</f>
        <v>5</v>
      </c>
      <c r="K63" s="10">
        <f>IFERROR(vlookup('2.4'!J:J,lookup!$A$26:$B$28,2,false),0)</f>
        <v>5</v>
      </c>
      <c r="M63" s="10">
        <v>62.0</v>
      </c>
      <c r="N63" s="11" t="str">
        <f t="shared" si="1"/>
        <v>bnco0962@signalschool.ac.th</v>
      </c>
      <c r="O63" s="12">
        <f t="shared" si="2"/>
        <v>1</v>
      </c>
      <c r="R63" s="17" t="s">
        <v>279</v>
      </c>
    </row>
    <row r="64">
      <c r="A64" s="8">
        <f>'2.4'!A:A</f>
        <v>46212.63034</v>
      </c>
      <c r="B64" s="2" t="str">
        <f>'2.4'!B:B</f>
        <v>bnco0969@signalschool.ac.th</v>
      </c>
      <c r="C64" s="2" t="str">
        <f>'2.4'!C:C</f>
        <v>พ.ต.ไมตรี บุญเหลื่อม</v>
      </c>
      <c r="D64" s="9">
        <v>1.0</v>
      </c>
      <c r="E64" s="10">
        <f>IFERROR(vlookup('2.4'!D:D,lookup!$A$2:$B$4,2,false),0)</f>
        <v>5</v>
      </c>
      <c r="F64" s="10">
        <f>IFERROR(vlookup('2.4'!E:E,lookup!$A$6:$B$8,2,false),0)</f>
        <v>5</v>
      </c>
      <c r="G64" s="10">
        <f>IFERROR(vlookup('2.4'!F:F,lookup!$A$10:$B$12,2,false),0)</f>
        <v>5</v>
      </c>
      <c r="H64" s="10">
        <f>IFERROR(vlookup('2.4'!G:G,lookup!$A$14:$B$16,2,false),0)</f>
        <v>5</v>
      </c>
      <c r="I64" s="10">
        <f>IFERROR(vlookup('2.4'!H:H,lookup!$A$18:$B$20,2,false),0)</f>
        <v>5</v>
      </c>
      <c r="J64" s="10">
        <f>IFERROR(vlookup('2.4'!I:I,lookup!$A$22:$B$24,2,false),0)</f>
        <v>5</v>
      </c>
      <c r="K64" s="10">
        <f>IFERROR(vlookup('2.4'!J:J,lookup!$A$26:$B$28,2,false),0)</f>
        <v>5</v>
      </c>
      <c r="M64" s="10">
        <v>63.0</v>
      </c>
      <c r="N64" s="11" t="str">
        <f t="shared" si="1"/>
        <v>bnco0963@signalschool.ac.th</v>
      </c>
      <c r="O64" s="12">
        <f t="shared" si="2"/>
        <v>1</v>
      </c>
      <c r="R64" s="17" t="s">
        <v>280</v>
      </c>
    </row>
    <row r="65">
      <c r="A65" s="8">
        <f>'2.4'!A:A</f>
        <v>46212.63043</v>
      </c>
      <c r="B65" s="2" t="str">
        <f>'2.4'!B:B</f>
        <v>bnco0952@signalschool.ac.th</v>
      </c>
      <c r="C65" s="2" t="str">
        <f>'2.4'!C:C</f>
        <v>พ.ต.ไมตรี บุญเหลื่อม</v>
      </c>
      <c r="D65" s="9">
        <v>1.0</v>
      </c>
      <c r="E65" s="10">
        <f>IFERROR(vlookup('2.4'!D:D,lookup!$A$2:$B$4,2,false),0)</f>
        <v>5</v>
      </c>
      <c r="F65" s="10">
        <f>IFERROR(vlookup('2.4'!E:E,lookup!$A$6:$B$8,2,false),0)</f>
        <v>5</v>
      </c>
      <c r="G65" s="10">
        <f>IFERROR(vlookup('2.4'!F:F,lookup!$A$10:$B$12,2,false),0)</f>
        <v>5</v>
      </c>
      <c r="H65" s="10">
        <f>IFERROR(vlookup('2.4'!G:G,lookup!$A$14:$B$16,2,false),0)</f>
        <v>5</v>
      </c>
      <c r="I65" s="10">
        <f>IFERROR(vlookup('2.4'!H:H,lookup!$A$18:$B$20,2,false),0)</f>
        <v>5</v>
      </c>
      <c r="J65" s="10">
        <f>IFERROR(vlookup('2.4'!I:I,lookup!$A$22:$B$24,2,false),0)</f>
        <v>5</v>
      </c>
      <c r="K65" s="10">
        <f>IFERROR(vlookup('2.4'!J:J,lookup!$A$26:$B$28,2,false),0)</f>
        <v>5</v>
      </c>
      <c r="M65" s="10">
        <v>64.0</v>
      </c>
      <c r="N65" s="11" t="str">
        <f t="shared" si="1"/>
        <v>bnco0964@signalschool.ac.th</v>
      </c>
      <c r="O65" s="12">
        <f t="shared" si="2"/>
        <v>1</v>
      </c>
      <c r="R65" s="17" t="s">
        <v>281</v>
      </c>
    </row>
    <row r="66">
      <c r="A66" s="8">
        <f>'2.4'!A:A</f>
        <v>46212.63069</v>
      </c>
      <c r="B66" s="2" t="str">
        <f>'2.4'!B:B</f>
        <v>bnco0974@signalschool.ac.th</v>
      </c>
      <c r="C66" s="2" t="str">
        <f>'2.4'!C:C</f>
        <v>พ.ต.ไมตรี บุญเหลื่อม</v>
      </c>
      <c r="D66" s="9">
        <v>1.0</v>
      </c>
      <c r="E66" s="10">
        <f>IFERROR(vlookup('2.4'!D:D,lookup!$A$2:$B$4,2,false),0)</f>
        <v>5</v>
      </c>
      <c r="F66" s="10">
        <f>IFERROR(vlookup('2.4'!E:E,lookup!$A$6:$B$8,2,false),0)</f>
        <v>5</v>
      </c>
      <c r="G66" s="10">
        <f>IFERROR(vlookup('2.4'!F:F,lookup!$A$10:$B$12,2,false),0)</f>
        <v>5</v>
      </c>
      <c r="H66" s="10">
        <f>IFERROR(vlookup('2.4'!G:G,lookup!$A$14:$B$16,2,false),0)</f>
        <v>5</v>
      </c>
      <c r="I66" s="10">
        <f>IFERROR(vlookup('2.4'!H:H,lookup!$A$18:$B$20,2,false),0)</f>
        <v>3</v>
      </c>
      <c r="J66" s="10">
        <f>IFERROR(vlookup('2.4'!I:I,lookup!$A$22:$B$24,2,false),0)</f>
        <v>5</v>
      </c>
      <c r="K66" s="10">
        <f>IFERROR(vlookup('2.4'!J:J,lookup!$A$26:$B$28,2,false),0)</f>
        <v>5</v>
      </c>
      <c r="M66" s="10">
        <v>65.0</v>
      </c>
      <c r="N66" s="11" t="str">
        <f t="shared" si="1"/>
        <v>bnco0965@signalschool.ac.th</v>
      </c>
      <c r="O66" s="12">
        <f t="shared" si="2"/>
        <v>1</v>
      </c>
      <c r="R66" s="17" t="s">
        <v>282</v>
      </c>
    </row>
    <row r="67">
      <c r="A67" s="8">
        <f>'2.4'!A:A</f>
        <v>46212.6307</v>
      </c>
      <c r="B67" s="2" t="str">
        <f>'2.4'!B:B</f>
        <v>bnco0959@signalschool.ac.th</v>
      </c>
      <c r="C67" s="2" t="str">
        <f>'2.4'!C:C</f>
        <v>พ.ต.ไมตรี บุญเหลื่อม</v>
      </c>
      <c r="D67" s="9">
        <v>1.0</v>
      </c>
      <c r="E67" s="10">
        <f>IFERROR(vlookup('2.4'!D:D,lookup!$A$2:$B$4,2,false),0)</f>
        <v>5</v>
      </c>
      <c r="F67" s="10">
        <f>IFERROR(vlookup('2.4'!E:E,lookup!$A$6:$B$8,2,false),0)</f>
        <v>5</v>
      </c>
      <c r="G67" s="10">
        <f>IFERROR(vlookup('2.4'!F:F,lookup!$A$10:$B$12,2,false),0)</f>
        <v>5</v>
      </c>
      <c r="H67" s="10">
        <f>IFERROR(vlookup('2.4'!G:G,lookup!$A$14:$B$16,2,false),0)</f>
        <v>5</v>
      </c>
      <c r="I67" s="10">
        <f>IFERROR(vlookup('2.4'!H:H,lookup!$A$18:$B$20,2,false),0)</f>
        <v>5</v>
      </c>
      <c r="J67" s="10">
        <f>IFERROR(vlookup('2.4'!I:I,lookup!$A$22:$B$24,2,false),0)</f>
        <v>5</v>
      </c>
      <c r="K67" s="10">
        <f>IFERROR(vlookup('2.4'!J:J,lookup!$A$26:$B$28,2,false),0)</f>
        <v>5</v>
      </c>
      <c r="M67" s="10">
        <v>66.0</v>
      </c>
      <c r="N67" s="11" t="str">
        <f t="shared" si="1"/>
        <v>bnco0966@signalschool.ac.th</v>
      </c>
      <c r="O67" s="12">
        <f t="shared" si="2"/>
        <v>1</v>
      </c>
      <c r="R67" s="17" t="s">
        <v>283</v>
      </c>
    </row>
    <row r="68">
      <c r="A68" s="8">
        <f>'2.4'!A:A</f>
        <v>46212.63112</v>
      </c>
      <c r="B68" s="2" t="str">
        <f>'2.4'!B:B</f>
        <v>bnco0905@signalschool.ac.th</v>
      </c>
      <c r="C68" s="2" t="str">
        <f>'2.4'!C:C</f>
        <v>พ.ต.ไมตรี บุญเหลื่อม</v>
      </c>
      <c r="D68" s="9">
        <v>1.0</v>
      </c>
      <c r="E68" s="10">
        <f>IFERROR(vlookup('2.4'!D:D,lookup!$A$2:$B$4,2,false),0)</f>
        <v>5</v>
      </c>
      <c r="F68" s="10">
        <f>IFERROR(vlookup('2.4'!E:E,lookup!$A$6:$B$8,2,false),0)</f>
        <v>5</v>
      </c>
      <c r="G68" s="10">
        <f>IFERROR(vlookup('2.4'!F:F,lookup!$A$10:$B$12,2,false),0)</f>
        <v>5</v>
      </c>
      <c r="H68" s="10">
        <f>IFERROR(vlookup('2.4'!G:G,lookup!$A$14:$B$16,2,false),0)</f>
        <v>5</v>
      </c>
      <c r="I68" s="10">
        <f>IFERROR(vlookup('2.4'!H:H,lookup!$A$18:$B$20,2,false),0)</f>
        <v>5</v>
      </c>
      <c r="J68" s="10">
        <f>IFERROR(vlookup('2.4'!I:I,lookup!$A$22:$B$24,2,false),0)</f>
        <v>5</v>
      </c>
      <c r="K68" s="10">
        <f>IFERROR(vlookup('2.4'!J:J,lookup!$A$26:$B$28,2,false),0)</f>
        <v>5</v>
      </c>
      <c r="M68" s="10">
        <v>67.0</v>
      </c>
      <c r="N68" s="11" t="str">
        <f t="shared" si="1"/>
        <v>bnco0967@signalschool.ac.th</v>
      </c>
      <c r="O68" s="12">
        <f t="shared" si="2"/>
        <v>1</v>
      </c>
      <c r="R68" s="17" t="s">
        <v>284</v>
      </c>
    </row>
    <row r="69">
      <c r="A69" s="8">
        <f>'2.4'!A:A</f>
        <v>46212.63138</v>
      </c>
      <c r="B69" s="2" t="str">
        <f>'2.4'!B:B</f>
        <v>bnco0944@signalschool.ac.th</v>
      </c>
      <c r="C69" s="2" t="str">
        <f>'2.4'!C:C</f>
        <v>พ.ต.ไมตรี บุญเหลื่อม</v>
      </c>
      <c r="D69" s="9">
        <v>1.0</v>
      </c>
      <c r="E69" s="10">
        <f>IFERROR(vlookup('2.4'!D:D,lookup!$A$2:$B$4,2,false),0)</f>
        <v>5</v>
      </c>
      <c r="F69" s="10">
        <f>IFERROR(vlookup('2.4'!E:E,lookup!$A$6:$B$8,2,false),0)</f>
        <v>5</v>
      </c>
      <c r="G69" s="10">
        <f>IFERROR(vlookup('2.4'!F:F,lookup!$A$10:$B$12,2,false),0)</f>
        <v>5</v>
      </c>
      <c r="H69" s="10">
        <f>IFERROR(vlookup('2.4'!G:G,lookup!$A$14:$B$16,2,false),0)</f>
        <v>5</v>
      </c>
      <c r="I69" s="10">
        <f>IFERROR(vlookup('2.4'!H:H,lookup!$A$18:$B$20,2,false),0)</f>
        <v>5</v>
      </c>
      <c r="J69" s="10">
        <f>IFERROR(vlookup('2.4'!I:I,lookup!$A$22:$B$24,2,false),0)</f>
        <v>5</v>
      </c>
      <c r="K69" s="10">
        <f>IFERROR(vlookup('2.4'!J:J,lookup!$A$26:$B$28,2,false),0)</f>
        <v>5</v>
      </c>
      <c r="M69" s="10">
        <v>68.0</v>
      </c>
      <c r="N69" s="11" t="str">
        <f t="shared" si="1"/>
        <v>bnco0968@signalschool.ac.th</v>
      </c>
      <c r="O69" s="12">
        <f t="shared" si="2"/>
        <v>1</v>
      </c>
      <c r="R69" s="17" t="s">
        <v>285</v>
      </c>
    </row>
    <row r="70">
      <c r="A70" s="8">
        <f>'2.4'!A:A</f>
        <v>46212.63181</v>
      </c>
      <c r="B70" s="2" t="str">
        <f>'2.4'!B:B</f>
        <v>bnco0976@signalschool.ac.th</v>
      </c>
      <c r="C70" s="2" t="str">
        <f>'2.4'!C:C</f>
        <v>พ.ตไมตรี บุญเหลื่อม</v>
      </c>
      <c r="D70" s="9">
        <v>1.0</v>
      </c>
      <c r="E70" s="10">
        <f>IFERROR(vlookup('2.4'!D:D,lookup!$A$2:$B$4,2,false),0)</f>
        <v>5</v>
      </c>
      <c r="F70" s="10">
        <f>IFERROR(vlookup('2.4'!E:E,lookup!$A$6:$B$8,2,false),0)</f>
        <v>5</v>
      </c>
      <c r="G70" s="10">
        <f>IFERROR(vlookup('2.4'!F:F,lookup!$A$10:$B$12,2,false),0)</f>
        <v>5</v>
      </c>
      <c r="H70" s="10">
        <f>IFERROR(vlookup('2.4'!G:G,lookup!$A$14:$B$16,2,false),0)</f>
        <v>5</v>
      </c>
      <c r="I70" s="10">
        <f>IFERROR(vlookup('2.4'!H:H,lookup!$A$18:$B$20,2,false),0)</f>
        <v>5</v>
      </c>
      <c r="J70" s="10">
        <f>IFERROR(vlookup('2.4'!I:I,lookup!$A$22:$B$24,2,false),0)</f>
        <v>5</v>
      </c>
      <c r="K70" s="10">
        <f>IFERROR(vlookup('2.4'!J:J,lookup!$A$26:$B$28,2,false),0)</f>
        <v>5</v>
      </c>
      <c r="M70" s="10">
        <v>69.0</v>
      </c>
      <c r="N70" s="11" t="str">
        <f t="shared" si="1"/>
        <v>bnco0969@signalschool.ac.th</v>
      </c>
      <c r="O70" s="12">
        <f t="shared" si="2"/>
        <v>1</v>
      </c>
      <c r="R70" s="17" t="s">
        <v>286</v>
      </c>
    </row>
    <row r="71">
      <c r="A71" s="8">
        <f>'2.4'!A:A</f>
        <v>46212.63229</v>
      </c>
      <c r="B71" s="2" t="str">
        <f>'2.4'!B:B</f>
        <v>bnco0966@signalschool.ac.th</v>
      </c>
      <c r="C71" s="2" t="str">
        <f>'2.4'!C:C</f>
        <v>พ.ต.ไมตรี บุญเหลื่อม</v>
      </c>
      <c r="D71" s="9">
        <v>1.0</v>
      </c>
      <c r="E71" s="10">
        <f>IFERROR(vlookup('2.4'!D:D,lookup!$A$2:$B$4,2,false),0)</f>
        <v>5</v>
      </c>
      <c r="F71" s="10">
        <f>IFERROR(vlookup('2.4'!E:E,lookup!$A$6:$B$8,2,false),0)</f>
        <v>5</v>
      </c>
      <c r="G71" s="10">
        <f>IFERROR(vlookup('2.4'!F:F,lookup!$A$10:$B$12,2,false),0)</f>
        <v>5</v>
      </c>
      <c r="H71" s="10">
        <f>IFERROR(vlookup('2.4'!G:G,lookup!$A$14:$B$16,2,false),0)</f>
        <v>5</v>
      </c>
      <c r="I71" s="10">
        <f>IFERROR(vlookup('2.4'!H:H,lookup!$A$18:$B$20,2,false),0)</f>
        <v>5</v>
      </c>
      <c r="J71" s="10">
        <f>IFERROR(vlookup('2.4'!I:I,lookup!$A$22:$B$24,2,false),0)</f>
        <v>5</v>
      </c>
      <c r="K71" s="10">
        <f>IFERROR(vlookup('2.4'!J:J,lookup!$A$26:$B$28,2,false),0)</f>
        <v>5</v>
      </c>
      <c r="M71" s="10">
        <v>70.0</v>
      </c>
      <c r="N71" s="11" t="str">
        <f t="shared" si="1"/>
        <v>bnco0970@signalschool.ac.th</v>
      </c>
      <c r="O71" s="12">
        <f t="shared" si="2"/>
        <v>1</v>
      </c>
      <c r="R71" s="17" t="s">
        <v>287</v>
      </c>
    </row>
    <row r="72">
      <c r="A72" s="8">
        <f>'2.4'!A:A</f>
        <v>46212.63247</v>
      </c>
      <c r="B72" s="2" t="str">
        <f>'2.4'!B:B</f>
        <v>bnco0922@signalschool.ac.th</v>
      </c>
      <c r="C72" s="2" t="str">
        <f>'2.4'!C:C</f>
        <v>พ.ต.ไมตรี บุญเหลื่อม</v>
      </c>
      <c r="D72" s="9">
        <v>1.0</v>
      </c>
      <c r="E72" s="10">
        <f>IFERROR(vlookup('2.4'!D:D,lookup!$A$2:$B$4,2,false),0)</f>
        <v>5</v>
      </c>
      <c r="F72" s="10">
        <f>IFERROR(vlookup('2.4'!E:E,lookup!$A$6:$B$8,2,false),0)</f>
        <v>5</v>
      </c>
      <c r="G72" s="10">
        <f>IFERROR(vlookup('2.4'!F:F,lookup!$A$10:$B$12,2,false),0)</f>
        <v>5</v>
      </c>
      <c r="H72" s="10">
        <f>IFERROR(vlookup('2.4'!G:G,lookup!$A$14:$B$16,2,false),0)</f>
        <v>5</v>
      </c>
      <c r="I72" s="10">
        <f>IFERROR(vlookup('2.4'!H:H,lookup!$A$18:$B$20,2,false),0)</f>
        <v>5</v>
      </c>
      <c r="J72" s="10">
        <f>IFERROR(vlookup('2.4'!I:I,lookup!$A$22:$B$24,2,false),0)</f>
        <v>5</v>
      </c>
      <c r="K72" s="10">
        <f>IFERROR(vlookup('2.4'!J:J,lookup!$A$26:$B$28,2,false),0)</f>
        <v>5</v>
      </c>
      <c r="M72" s="10">
        <v>71.0</v>
      </c>
      <c r="N72" s="11" t="str">
        <f t="shared" si="1"/>
        <v>bnco0971@signalschool.ac.th</v>
      </c>
      <c r="O72" s="12">
        <f t="shared" si="2"/>
        <v>1</v>
      </c>
      <c r="R72" s="17" t="s">
        <v>288</v>
      </c>
    </row>
    <row r="73">
      <c r="A73" s="8">
        <f>'2.4'!A:A</f>
        <v>46212.63394</v>
      </c>
      <c r="B73" s="2" t="str">
        <f>'2.4'!B:B</f>
        <v>bnco0946@signalschool.ac.th</v>
      </c>
      <c r="C73" s="2" t="str">
        <f>'2.4'!C:C</f>
        <v>พ.ต.ไมตรี บุญเหลื่อม</v>
      </c>
      <c r="D73" s="9">
        <v>1.0</v>
      </c>
      <c r="E73" s="10">
        <f>IFERROR(vlookup('2.4'!D:D,lookup!$A$2:$B$4,2,false),0)</f>
        <v>5</v>
      </c>
      <c r="F73" s="10">
        <f>IFERROR(vlookup('2.4'!E:E,lookup!$A$6:$B$8,2,false),0)</f>
        <v>5</v>
      </c>
      <c r="G73" s="10">
        <f>IFERROR(vlookup('2.4'!F:F,lookup!$A$10:$B$12,2,false),0)</f>
        <v>5</v>
      </c>
      <c r="H73" s="10">
        <f>IFERROR(vlookup('2.4'!G:G,lookup!$A$14:$B$16,2,false),0)</f>
        <v>5</v>
      </c>
      <c r="I73" s="10">
        <f>IFERROR(vlookup('2.4'!H:H,lookup!$A$18:$B$20,2,false),0)</f>
        <v>5</v>
      </c>
      <c r="J73" s="10">
        <f>IFERROR(vlookup('2.4'!I:I,lookup!$A$22:$B$24,2,false),0)</f>
        <v>5</v>
      </c>
      <c r="K73" s="10">
        <f>IFERROR(vlookup('2.4'!J:J,lookup!$A$26:$B$28,2,false),0)</f>
        <v>5</v>
      </c>
      <c r="M73" s="10">
        <v>72.0</v>
      </c>
      <c r="N73" s="11" t="str">
        <f t="shared" si="1"/>
        <v>bnco0972@signalschool.ac.th</v>
      </c>
      <c r="O73" s="12">
        <f t="shared" si="2"/>
        <v>1</v>
      </c>
      <c r="R73" s="17" t="s">
        <v>289</v>
      </c>
    </row>
    <row r="74">
      <c r="A74" s="8">
        <f>'2.4'!A:A</f>
        <v>46212.63597</v>
      </c>
      <c r="B74" s="2" t="str">
        <f>'2.4'!B:B</f>
        <v>bnco0953@signalschool.ac.th</v>
      </c>
      <c r="C74" s="2" t="str">
        <f>'2.4'!C:C</f>
        <v>พ.ต.ไมตรี บุญเหลื่อม</v>
      </c>
      <c r="D74" s="9">
        <v>1.0</v>
      </c>
      <c r="E74" s="10">
        <f>IFERROR(vlookup('2.4'!D:D,lookup!$A$2:$B$4,2,false),0)</f>
        <v>5</v>
      </c>
      <c r="F74" s="10">
        <f>IFERROR(vlookup('2.4'!E:E,lookup!$A$6:$B$8,2,false),0)</f>
        <v>5</v>
      </c>
      <c r="G74" s="10">
        <f>IFERROR(vlookup('2.4'!F:F,lookup!$A$10:$B$12,2,false),0)</f>
        <v>5</v>
      </c>
      <c r="H74" s="10">
        <f>IFERROR(vlookup('2.4'!G:G,lookup!$A$14:$B$16,2,false),0)</f>
        <v>5</v>
      </c>
      <c r="I74" s="10">
        <f>IFERROR(vlookup('2.4'!H:H,lookup!$A$18:$B$20,2,false),0)</f>
        <v>5</v>
      </c>
      <c r="J74" s="10">
        <f>IFERROR(vlookup('2.4'!I:I,lookup!$A$22:$B$24,2,false),0)</f>
        <v>5</v>
      </c>
      <c r="K74" s="10">
        <f>IFERROR(vlookup('2.4'!J:J,lookup!$A$26:$B$28,2,false),0)</f>
        <v>5</v>
      </c>
      <c r="M74" s="10">
        <v>73.0</v>
      </c>
      <c r="N74" s="11" t="str">
        <f t="shared" si="1"/>
        <v>bnco0973@signalschool.ac.th</v>
      </c>
      <c r="O74" s="12">
        <f t="shared" si="2"/>
        <v>1</v>
      </c>
      <c r="R74" s="17" t="s">
        <v>290</v>
      </c>
    </row>
    <row r="75">
      <c r="A75" s="8">
        <f>'2.4'!A:A</f>
        <v>46212.63808</v>
      </c>
      <c r="B75" s="2" t="str">
        <f>'2.4'!B:B</f>
        <v>bnco0917@signalschool.ac.th</v>
      </c>
      <c r="C75" s="2" t="str">
        <f>'2.4'!C:C</f>
        <v>พ.ต.ไมตรี บุญเหลือม</v>
      </c>
      <c r="D75" s="9">
        <v>1.0</v>
      </c>
      <c r="E75" s="10">
        <f>IFERROR(vlookup('2.4'!D:D,lookup!$A$2:$B$4,2,false),0)</f>
        <v>5</v>
      </c>
      <c r="F75" s="10">
        <f>IFERROR(vlookup('2.4'!E:E,lookup!$A$6:$B$8,2,false),0)</f>
        <v>5</v>
      </c>
      <c r="G75" s="10">
        <f>IFERROR(vlookup('2.4'!F:F,lookup!$A$10:$B$12,2,false),0)</f>
        <v>5</v>
      </c>
      <c r="H75" s="10">
        <f>IFERROR(vlookup('2.4'!G:G,lookup!$A$14:$B$16,2,false),0)</f>
        <v>5</v>
      </c>
      <c r="I75" s="10">
        <f>IFERROR(vlookup('2.4'!H:H,lookup!$A$18:$B$20,2,false),0)</f>
        <v>5</v>
      </c>
      <c r="J75" s="10">
        <f>IFERROR(vlookup('2.4'!I:I,lookup!$A$22:$B$24,2,false),0)</f>
        <v>5</v>
      </c>
      <c r="K75" s="10">
        <f>IFERROR(vlookup('2.4'!J:J,lookup!$A$26:$B$28,2,false),0)</f>
        <v>5</v>
      </c>
      <c r="M75" s="10">
        <v>74.0</v>
      </c>
      <c r="N75" s="11" t="str">
        <f t="shared" si="1"/>
        <v>bnco0974@signalschool.ac.th</v>
      </c>
      <c r="O75" s="12">
        <f t="shared" si="2"/>
        <v>1</v>
      </c>
      <c r="R75" s="17" t="s">
        <v>291</v>
      </c>
    </row>
    <row r="76">
      <c r="A76" s="8">
        <f>'2.4'!A:A</f>
        <v>46212.64972</v>
      </c>
      <c r="B76" s="2" t="str">
        <f>'2.4'!B:B</f>
        <v>bnco0961@signalschool.ac.th</v>
      </c>
      <c r="C76" s="2" t="str">
        <f>'2.4'!C:C</f>
        <v>พ.ต.ไมตรี บุญเหลื่อม</v>
      </c>
      <c r="D76" s="9">
        <v>1.0</v>
      </c>
      <c r="E76" s="10">
        <f>IFERROR(vlookup('2.4'!D:D,lookup!$A$2:$B$4,2,false),0)</f>
        <v>5</v>
      </c>
      <c r="F76" s="10">
        <f>IFERROR(vlookup('2.4'!E:E,lookup!$A$6:$B$8,2,false),0)</f>
        <v>5</v>
      </c>
      <c r="G76" s="10">
        <f>IFERROR(vlookup('2.4'!F:F,lookup!$A$10:$B$12,2,false),0)</f>
        <v>5</v>
      </c>
      <c r="H76" s="10">
        <f>IFERROR(vlookup('2.4'!G:G,lookup!$A$14:$B$16,2,false),0)</f>
        <v>5</v>
      </c>
      <c r="I76" s="10">
        <f>IFERROR(vlookup('2.4'!H:H,lookup!$A$18:$B$20,2,false),0)</f>
        <v>5</v>
      </c>
      <c r="J76" s="10">
        <f>IFERROR(vlookup('2.4'!I:I,lookup!$A$22:$B$24,2,false),0)</f>
        <v>5</v>
      </c>
      <c r="K76" s="10">
        <f>IFERROR(vlookup('2.4'!J:J,lookup!$A$26:$B$28,2,false),0)</f>
        <v>5</v>
      </c>
      <c r="M76" s="10">
        <v>75.0</v>
      </c>
      <c r="N76" s="11" t="str">
        <f t="shared" si="1"/>
        <v>bnco0975@signalschool.ac.th</v>
      </c>
      <c r="O76" s="12">
        <f t="shared" si="2"/>
        <v>1</v>
      </c>
      <c r="R76" s="17" t="s">
        <v>292</v>
      </c>
    </row>
    <row r="77">
      <c r="A77" s="8">
        <f>'2.4'!A:A</f>
        <v>46212.71318</v>
      </c>
      <c r="B77" s="2" t="str">
        <f>'2.4'!B:B</f>
        <v>bnco0954@signalschool.ac.th</v>
      </c>
      <c r="C77" s="2" t="str">
        <f>'2.4'!C:C</f>
        <v>พ.ต.ไมตรี บุญเหลื่อม</v>
      </c>
      <c r="D77" s="9">
        <v>1.0</v>
      </c>
      <c r="E77" s="10">
        <f>IFERROR(vlookup('2.4'!D:D,lookup!$A$2:$B$4,2,false),0)</f>
        <v>5</v>
      </c>
      <c r="F77" s="10">
        <f>IFERROR(vlookup('2.4'!E:E,lookup!$A$6:$B$8,2,false),0)</f>
        <v>5</v>
      </c>
      <c r="G77" s="10">
        <f>IFERROR(vlookup('2.4'!F:F,lookup!$A$10:$B$12,2,false),0)</f>
        <v>5</v>
      </c>
      <c r="H77" s="10">
        <f>IFERROR(vlookup('2.4'!G:G,lookup!$A$14:$B$16,2,false),0)</f>
        <v>5</v>
      </c>
      <c r="I77" s="10">
        <f>IFERROR(vlookup('2.4'!H:H,lookup!$A$18:$B$20,2,false),0)</f>
        <v>5</v>
      </c>
      <c r="J77" s="10">
        <f>IFERROR(vlookup('2.4'!I:I,lookup!$A$22:$B$24,2,false),0)</f>
        <v>5</v>
      </c>
      <c r="K77" s="10">
        <f>IFERROR(vlookup('2.4'!J:J,lookup!$A$26:$B$28,2,false),0)</f>
        <v>5</v>
      </c>
      <c r="M77" s="10">
        <v>76.0</v>
      </c>
      <c r="N77" s="11" t="str">
        <f t="shared" si="1"/>
        <v>bnco0976@signalschool.ac.th</v>
      </c>
      <c r="O77" s="12">
        <f t="shared" si="2"/>
        <v>1</v>
      </c>
      <c r="R77" s="17" t="s">
        <v>293</v>
      </c>
    </row>
    <row r="78">
      <c r="A78" s="8">
        <f>'2.4'!A:A</f>
        <v>46212.83771</v>
      </c>
      <c r="B78" s="2" t="str">
        <f>'2.4'!B:B</f>
        <v>bnco0907@signalschool.ac.th</v>
      </c>
      <c r="C78" s="2" t="str">
        <f>'2.4'!C:C</f>
        <v>พ.ต.ไมตรี บุญเหลื่อม</v>
      </c>
      <c r="D78" s="9">
        <v>1.0</v>
      </c>
      <c r="E78" s="10">
        <f>IFERROR(vlookup('2.4'!D:D,lookup!$A$2:$B$4,2,false),0)</f>
        <v>5</v>
      </c>
      <c r="F78" s="10">
        <f>IFERROR(vlookup('2.4'!E:E,lookup!$A$6:$B$8,2,false),0)</f>
        <v>5</v>
      </c>
      <c r="G78" s="10">
        <f>IFERROR(vlookup('2.4'!F:F,lookup!$A$10:$B$12,2,false),0)</f>
        <v>5</v>
      </c>
      <c r="H78" s="10">
        <f>IFERROR(vlookup('2.4'!G:G,lookup!$A$14:$B$16,2,false),0)</f>
        <v>5</v>
      </c>
      <c r="I78" s="10">
        <f>IFERROR(vlookup('2.4'!H:H,lookup!$A$18:$B$20,2,false),0)</f>
        <v>5</v>
      </c>
      <c r="J78" s="10">
        <f>IFERROR(vlookup('2.4'!I:I,lookup!$A$22:$B$24,2,false),0)</f>
        <v>5</v>
      </c>
      <c r="K78" s="10">
        <f>IFERROR(vlookup('2.4'!J:J,lookup!$A$26:$B$28,2,false),0)</f>
        <v>5</v>
      </c>
      <c r="M78" s="10">
        <v>77.0</v>
      </c>
      <c r="N78" s="11" t="str">
        <f t="shared" si="1"/>
        <v>bnco0977@signalschool.ac.th</v>
      </c>
      <c r="O78" s="12">
        <f t="shared" si="2"/>
        <v>1</v>
      </c>
      <c r="R78" s="17" t="s">
        <v>294</v>
      </c>
    </row>
    <row r="79">
      <c r="A79" s="8">
        <f>'2.4'!A:A</f>
        <v>46213.40168</v>
      </c>
      <c r="B79" s="2" t="str">
        <f>'2.4'!B:B</f>
        <v>bnco0956@signalschool.ac.th</v>
      </c>
      <c r="C79" s="2" t="str">
        <f>'2.4'!C:C</f>
        <v>พ.ต.ไมตรี บุญเหลื่อม</v>
      </c>
      <c r="D79" s="9">
        <v>1.0</v>
      </c>
      <c r="E79" s="10">
        <f>IFERROR(vlookup('2.4'!D:D,lookup!$A$2:$B$4,2,false),0)</f>
        <v>5</v>
      </c>
      <c r="F79" s="10">
        <f>IFERROR(vlookup('2.4'!E:E,lookup!$A$6:$B$8,2,false),0)</f>
        <v>5</v>
      </c>
      <c r="G79" s="10">
        <f>IFERROR(vlookup('2.4'!F:F,lookup!$A$10:$B$12,2,false),0)</f>
        <v>5</v>
      </c>
      <c r="H79" s="10">
        <f>IFERROR(vlookup('2.4'!G:G,lookup!$A$14:$B$16,2,false),0)</f>
        <v>5</v>
      </c>
      <c r="I79" s="10">
        <f>IFERROR(vlookup('2.4'!H:H,lookup!$A$18:$B$20,2,false),0)</f>
        <v>5</v>
      </c>
      <c r="J79" s="10">
        <f>IFERROR(vlookup('2.4'!I:I,lookup!$A$22:$B$24,2,false),0)</f>
        <v>5</v>
      </c>
      <c r="K79" s="10">
        <f>IFERROR(vlookup('2.4'!J:J,lookup!$A$26:$B$28,2,false),0)</f>
        <v>5</v>
      </c>
      <c r="M79" s="10">
        <v>78.0</v>
      </c>
      <c r="N79" s="11" t="str">
        <f t="shared" si="1"/>
        <v>bnco0978@signalschool.ac.th</v>
      </c>
      <c r="O79" s="12">
        <f t="shared" si="2"/>
        <v>1</v>
      </c>
      <c r="R79" s="17" t="s">
        <v>295</v>
      </c>
    </row>
    <row r="80">
      <c r="A80" s="8">
        <f>'2.4'!A:A</f>
        <v>46213.41511</v>
      </c>
      <c r="B80" s="2" t="str">
        <f>'2.4'!B:B</f>
        <v>bnco0931@signalschool.ac.th</v>
      </c>
      <c r="C80" s="2" t="str">
        <f>'2.4'!C:C</f>
        <v>พ.ต.ไมตรี บุญเหลื่อม</v>
      </c>
      <c r="D80" s="9">
        <v>1.0</v>
      </c>
      <c r="E80" s="10">
        <f>IFERROR(vlookup('2.4'!D:D,lookup!$A$2:$B$4,2,false),0)</f>
        <v>5</v>
      </c>
      <c r="F80" s="10">
        <f>IFERROR(vlookup('2.4'!E:E,lookup!$A$6:$B$8,2,false),0)</f>
        <v>5</v>
      </c>
      <c r="G80" s="10">
        <f>IFERROR(vlookup('2.4'!F:F,lookup!$A$10:$B$12,2,false),0)</f>
        <v>5</v>
      </c>
      <c r="H80" s="10">
        <f>IFERROR(vlookup('2.4'!G:G,lookup!$A$14:$B$16,2,false),0)</f>
        <v>5</v>
      </c>
      <c r="I80" s="10">
        <f>IFERROR(vlookup('2.4'!H:H,lookup!$A$18:$B$20,2,false),0)</f>
        <v>5</v>
      </c>
      <c r="J80" s="10">
        <f>IFERROR(vlookup('2.4'!I:I,lookup!$A$22:$B$24,2,false),0)</f>
        <v>5</v>
      </c>
      <c r="K80" s="10">
        <f>IFERROR(vlookup('2.4'!J:J,lookup!$A$26:$B$28,2,false),0)</f>
        <v>5</v>
      </c>
      <c r="M80" s="10">
        <v>79.0</v>
      </c>
      <c r="N80" s="11" t="str">
        <f t="shared" si="1"/>
        <v>bnco0979@signalschool.ac.th</v>
      </c>
      <c r="O80" s="12">
        <f t="shared" si="2"/>
        <v>1</v>
      </c>
      <c r="R80" s="17" t="s">
        <v>296</v>
      </c>
    </row>
    <row r="81">
      <c r="A81" s="8">
        <f>'2.4'!A:A</f>
        <v>46213.46025</v>
      </c>
      <c r="B81" s="2" t="str">
        <f>'2.4'!B:B</f>
        <v>bnco0975@signalschool.ac.th</v>
      </c>
      <c r="C81" s="2" t="str">
        <f>'2.4'!C:C</f>
        <v>พ.ต.ไมตรี บุญเหลื่อม</v>
      </c>
      <c r="D81" s="9">
        <v>1.0</v>
      </c>
      <c r="E81" s="10">
        <f>IFERROR(vlookup('2.4'!D:D,lookup!$A$2:$B$4,2,false),0)</f>
        <v>5</v>
      </c>
      <c r="F81" s="10">
        <f>IFERROR(vlookup('2.4'!E:E,lookup!$A$6:$B$8,2,false),0)</f>
        <v>5</v>
      </c>
      <c r="G81" s="10">
        <f>IFERROR(vlookup('2.4'!F:F,lookup!$A$10:$B$12,2,false),0)</f>
        <v>5</v>
      </c>
      <c r="H81" s="10">
        <f>IFERROR(vlookup('2.4'!G:G,lookup!$A$14:$B$16,2,false),0)</f>
        <v>5</v>
      </c>
      <c r="I81" s="10">
        <f>IFERROR(vlookup('2.4'!H:H,lookup!$A$18:$B$20,2,false),0)</f>
        <v>5</v>
      </c>
      <c r="J81" s="10">
        <f>IFERROR(vlookup('2.4'!I:I,lookup!$A$22:$B$24,2,false),0)</f>
        <v>5</v>
      </c>
      <c r="K81" s="10">
        <f>IFERROR(vlookup('2.4'!J:J,lookup!$A$26:$B$28,2,false),0)</f>
        <v>5</v>
      </c>
      <c r="M81" s="10">
        <v>80.0</v>
      </c>
      <c r="N81" s="11" t="str">
        <f t="shared" si="1"/>
        <v>bnco0980@signalschool.ac.th</v>
      </c>
      <c r="O81" s="12">
        <f t="shared" si="2"/>
        <v>1</v>
      </c>
      <c r="R81" s="17" t="s">
        <v>297</v>
      </c>
    </row>
    <row r="82">
      <c r="A82" s="8"/>
      <c r="B82" s="2"/>
      <c r="C82" s="2"/>
      <c r="E82" s="14">
        <f t="shared" ref="E82:K82" si="3">AVERAGE(E2:E81)</f>
        <v>4.975</v>
      </c>
      <c r="F82" s="14">
        <f t="shared" si="3"/>
        <v>4.975</v>
      </c>
      <c r="G82" s="14">
        <f t="shared" si="3"/>
        <v>4.95</v>
      </c>
      <c r="H82" s="14">
        <f t="shared" si="3"/>
        <v>4.975</v>
      </c>
      <c r="I82" s="14">
        <f t="shared" si="3"/>
        <v>4.95</v>
      </c>
      <c r="J82" s="14">
        <f t="shared" si="3"/>
        <v>4.975</v>
      </c>
      <c r="K82" s="14">
        <f t="shared" si="3"/>
        <v>4.95</v>
      </c>
      <c r="L82" s="15">
        <f>AVERAGE(E82:K82)</f>
        <v>4.964285714</v>
      </c>
      <c r="N82" s="2" t="s">
        <v>298</v>
      </c>
      <c r="O82" s="10">
        <f>SUM(O2:O81)</f>
        <v>80</v>
      </c>
    </row>
    <row r="83">
      <c r="A83" s="8"/>
      <c r="B83" s="2"/>
      <c r="C83" s="2"/>
      <c r="E83" s="10"/>
      <c r="F83" s="10"/>
      <c r="G83" s="10"/>
      <c r="H83" s="10"/>
      <c r="I83" s="10"/>
      <c r="J83" s="10"/>
      <c r="K83" s="10"/>
      <c r="N83" s="2" t="s">
        <v>299</v>
      </c>
      <c r="O83" s="10">
        <f>(O82*100)/80</f>
        <v>100</v>
      </c>
    </row>
    <row r="84">
      <c r="A84" s="8"/>
      <c r="B84" s="2"/>
      <c r="C84" s="2"/>
      <c r="E84" s="10"/>
      <c r="K84" s="10"/>
    </row>
    <row r="85">
      <c r="A85" s="8"/>
      <c r="B85" s="2"/>
      <c r="C85" s="2"/>
      <c r="E85" s="10"/>
    </row>
    <row r="86">
      <c r="A86" s="8"/>
      <c r="B86" s="2"/>
      <c r="C86" s="2"/>
      <c r="E86" s="10"/>
    </row>
    <row r="87">
      <c r="A87" s="8"/>
      <c r="B87" s="2"/>
      <c r="C87" s="2"/>
      <c r="E87" s="10"/>
    </row>
    <row r="88">
      <c r="A88" s="8"/>
      <c r="B88" s="2"/>
      <c r="C88" s="2"/>
      <c r="E88" s="10"/>
    </row>
    <row r="89">
      <c r="A89" s="8"/>
      <c r="B89" s="2"/>
      <c r="C89" s="2"/>
      <c r="E89" s="10"/>
    </row>
    <row r="90">
      <c r="A90" s="8"/>
      <c r="B90" s="2"/>
      <c r="C90" s="2"/>
      <c r="E90" s="10"/>
    </row>
    <row r="91">
      <c r="A91" s="8"/>
      <c r="B91" s="2"/>
      <c r="C91" s="2"/>
      <c r="E91" s="10"/>
    </row>
    <row r="92">
      <c r="A92" s="8"/>
      <c r="B92" s="2"/>
      <c r="C92" s="2"/>
      <c r="E92" s="10"/>
    </row>
    <row r="93">
      <c r="A93" s="8"/>
      <c r="B93" s="2"/>
      <c r="C93" s="2"/>
      <c r="E93" s="10"/>
    </row>
    <row r="94">
      <c r="A94" s="8"/>
      <c r="B94" s="2"/>
      <c r="C94" s="2"/>
      <c r="E94" s="10"/>
    </row>
    <row r="95">
      <c r="A95" s="8"/>
      <c r="B95" s="2"/>
      <c r="C95" s="2"/>
      <c r="E95" s="10"/>
    </row>
    <row r="96">
      <c r="A96" s="8"/>
      <c r="B96" s="2"/>
      <c r="C96" s="2"/>
      <c r="E96" s="10"/>
    </row>
    <row r="97">
      <c r="A97" s="8"/>
      <c r="B97" s="2"/>
      <c r="C97" s="2"/>
      <c r="E97" s="10"/>
    </row>
    <row r="98">
      <c r="A98" s="8"/>
      <c r="C98" s="2"/>
      <c r="E98" s="10"/>
    </row>
    <row r="99">
      <c r="A99" s="8"/>
      <c r="C99" s="2"/>
      <c r="E99" s="10"/>
    </row>
    <row r="100">
      <c r="A100" s="8"/>
      <c r="C100" s="2"/>
    </row>
    <row r="101">
      <c r="A101" s="8"/>
      <c r="C101" s="2"/>
    </row>
    <row r="102">
      <c r="A102" s="8"/>
      <c r="C102" s="2"/>
    </row>
    <row r="103">
      <c r="A103" s="8"/>
      <c r="C103" s="2"/>
    </row>
    <row r="104">
      <c r="A104" s="8"/>
      <c r="C104" s="2"/>
    </row>
    <row r="105">
      <c r="A105" s="8"/>
      <c r="C105" s="2"/>
    </row>
    <row r="106">
      <c r="A106" s="8"/>
      <c r="C106" s="2"/>
    </row>
    <row r="107">
      <c r="A107" s="8"/>
      <c r="C107" s="2"/>
    </row>
    <row r="108">
      <c r="A108" s="8"/>
      <c r="C108" s="2"/>
    </row>
    <row r="109">
      <c r="A109" s="8"/>
      <c r="C109" s="2"/>
    </row>
    <row r="110">
      <c r="A110" s="8"/>
      <c r="C110" s="2"/>
    </row>
    <row r="111">
      <c r="A111" s="8"/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</sheetData>
  <mergeCells count="1">
    <mergeCell ref="M1:O1"/>
  </mergeCell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7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4">
        <v>46181.52626287037</v>
      </c>
      <c r="B2" s="6" t="s">
        <v>11</v>
      </c>
      <c r="C2" s="6" t="s">
        <v>458</v>
      </c>
      <c r="D2" s="6" t="s">
        <v>15</v>
      </c>
      <c r="E2" s="6" t="s">
        <v>16</v>
      </c>
      <c r="F2" s="6" t="s">
        <v>17</v>
      </c>
      <c r="G2" s="6" t="s">
        <v>18</v>
      </c>
      <c r="H2" s="6" t="s">
        <v>19</v>
      </c>
      <c r="I2" s="6" t="s">
        <v>20</v>
      </c>
      <c r="J2" s="6" t="s">
        <v>21</v>
      </c>
    </row>
    <row r="3">
      <c r="A3" s="4">
        <v>46189.44417366898</v>
      </c>
      <c r="B3" s="6" t="s">
        <v>27</v>
      </c>
      <c r="C3" s="6" t="s">
        <v>459</v>
      </c>
      <c r="D3" s="6" t="s">
        <v>15</v>
      </c>
      <c r="E3" s="6" t="s">
        <v>16</v>
      </c>
      <c r="F3" s="6" t="s">
        <v>17</v>
      </c>
      <c r="G3" s="6" t="s">
        <v>18</v>
      </c>
      <c r="H3" s="6" t="s">
        <v>19</v>
      </c>
      <c r="I3" s="6" t="s">
        <v>20</v>
      </c>
      <c r="J3" s="6" t="s">
        <v>21</v>
      </c>
      <c r="K3" s="6" t="s">
        <v>29</v>
      </c>
    </row>
    <row r="4">
      <c r="A4" s="4">
        <v>46195.362147719905</v>
      </c>
      <c r="B4" s="6" t="s">
        <v>166</v>
      </c>
      <c r="C4" s="6" t="s">
        <v>459</v>
      </c>
      <c r="D4" s="6" t="s">
        <v>15</v>
      </c>
      <c r="E4" s="6" t="s">
        <v>16</v>
      </c>
      <c r="F4" s="6" t="s">
        <v>17</v>
      </c>
      <c r="G4" s="6" t="s">
        <v>18</v>
      </c>
      <c r="H4" s="6" t="s">
        <v>19</v>
      </c>
      <c r="I4" s="6" t="s">
        <v>20</v>
      </c>
      <c r="J4" s="6" t="s">
        <v>21</v>
      </c>
    </row>
    <row r="5">
      <c r="A5" s="4">
        <v>46204.36308251157</v>
      </c>
      <c r="B5" s="6" t="s">
        <v>30</v>
      </c>
      <c r="C5" s="6" t="s">
        <v>461</v>
      </c>
      <c r="D5" s="6" t="s">
        <v>15</v>
      </c>
      <c r="E5" s="6" t="s">
        <v>16</v>
      </c>
      <c r="F5" s="6" t="s">
        <v>17</v>
      </c>
      <c r="G5" s="6" t="s">
        <v>18</v>
      </c>
      <c r="H5" s="6" t="s">
        <v>19</v>
      </c>
      <c r="I5" s="6" t="s">
        <v>20</v>
      </c>
      <c r="J5" s="6" t="s">
        <v>21</v>
      </c>
      <c r="K5" s="6" t="s">
        <v>34</v>
      </c>
    </row>
    <row r="6">
      <c r="A6" s="4">
        <v>46204.46216119213</v>
      </c>
      <c r="B6" s="6" t="s">
        <v>35</v>
      </c>
      <c r="C6" s="6" t="s">
        <v>461</v>
      </c>
      <c r="D6" s="6" t="s">
        <v>15</v>
      </c>
      <c r="E6" s="6" t="s">
        <v>16</v>
      </c>
      <c r="F6" s="6" t="s">
        <v>17</v>
      </c>
      <c r="G6" s="6" t="s">
        <v>18</v>
      </c>
      <c r="H6" s="6" t="s">
        <v>19</v>
      </c>
      <c r="I6" s="6" t="s">
        <v>20</v>
      </c>
      <c r="J6" s="6" t="s">
        <v>21</v>
      </c>
    </row>
    <row r="7">
      <c r="A7" s="4">
        <v>46206.60183144676</v>
      </c>
      <c r="B7" s="6" t="s">
        <v>37</v>
      </c>
      <c r="C7" s="6" t="s">
        <v>459</v>
      </c>
      <c r="D7" s="6" t="s">
        <v>15</v>
      </c>
      <c r="E7" s="6" t="s">
        <v>16</v>
      </c>
      <c r="F7" s="6" t="s">
        <v>17</v>
      </c>
      <c r="G7" s="6" t="s">
        <v>18</v>
      </c>
      <c r="H7" s="6" t="s">
        <v>19</v>
      </c>
      <c r="I7" s="6" t="s">
        <v>20</v>
      </c>
      <c r="J7" s="6" t="s">
        <v>21</v>
      </c>
      <c r="K7" s="6" t="s">
        <v>219</v>
      </c>
    </row>
    <row r="8">
      <c r="A8" s="4">
        <v>46212.591625636574</v>
      </c>
      <c r="B8" s="6" t="s">
        <v>40</v>
      </c>
      <c r="C8" s="6" t="s">
        <v>459</v>
      </c>
      <c r="D8" s="6" t="s">
        <v>41</v>
      </c>
      <c r="E8" s="6" t="s">
        <v>33</v>
      </c>
      <c r="F8" s="6" t="s">
        <v>43</v>
      </c>
      <c r="G8" s="6" t="s">
        <v>44</v>
      </c>
      <c r="H8" s="6" t="s">
        <v>46</v>
      </c>
      <c r="I8" s="6" t="s">
        <v>47</v>
      </c>
      <c r="J8" s="6" t="s">
        <v>48</v>
      </c>
    </row>
    <row r="9">
      <c r="A9" s="4">
        <v>46212.621183564814</v>
      </c>
      <c r="B9" s="6" t="s">
        <v>49</v>
      </c>
      <c r="C9" s="6" t="s">
        <v>479</v>
      </c>
      <c r="D9" s="6" t="s">
        <v>15</v>
      </c>
      <c r="E9" s="6" t="s">
        <v>16</v>
      </c>
      <c r="F9" s="6" t="s">
        <v>17</v>
      </c>
      <c r="G9" s="6" t="s">
        <v>18</v>
      </c>
      <c r="H9" s="6" t="s">
        <v>19</v>
      </c>
      <c r="I9" s="6" t="s">
        <v>20</v>
      </c>
      <c r="J9" s="6" t="s">
        <v>21</v>
      </c>
    </row>
    <row r="10">
      <c r="A10" s="4">
        <v>46212.62157591435</v>
      </c>
      <c r="B10" s="6" t="s">
        <v>79</v>
      </c>
      <c r="C10" s="6" t="s">
        <v>463</v>
      </c>
      <c r="D10" s="6" t="s">
        <v>15</v>
      </c>
      <c r="E10" s="6" t="s">
        <v>16</v>
      </c>
      <c r="F10" s="6" t="s">
        <v>17</v>
      </c>
      <c r="G10" s="6" t="s">
        <v>18</v>
      </c>
      <c r="H10" s="6" t="s">
        <v>19</v>
      </c>
      <c r="I10" s="6" t="s">
        <v>20</v>
      </c>
      <c r="J10" s="6" t="s">
        <v>21</v>
      </c>
    </row>
    <row r="11">
      <c r="A11" s="4">
        <v>46212.62163368055</v>
      </c>
      <c r="B11" s="6" t="s">
        <v>12</v>
      </c>
      <c r="C11" s="6" t="s">
        <v>459</v>
      </c>
      <c r="D11" s="6" t="s">
        <v>15</v>
      </c>
      <c r="E11" s="6" t="s">
        <v>16</v>
      </c>
      <c r="F11" s="6" t="s">
        <v>17</v>
      </c>
      <c r="G11" s="6" t="s">
        <v>18</v>
      </c>
      <c r="H11" s="6" t="s">
        <v>19</v>
      </c>
      <c r="I11" s="6" t="s">
        <v>20</v>
      </c>
      <c r="J11" s="6" t="s">
        <v>21</v>
      </c>
    </row>
    <row r="12">
      <c r="A12" s="4">
        <v>46212.622252546294</v>
      </c>
      <c r="B12" s="6" t="s">
        <v>76</v>
      </c>
      <c r="C12" s="6" t="s">
        <v>464</v>
      </c>
      <c r="D12" s="6" t="s">
        <v>15</v>
      </c>
      <c r="E12" s="6" t="s">
        <v>16</v>
      </c>
      <c r="F12" s="6" t="s">
        <v>17</v>
      </c>
      <c r="G12" s="6" t="s">
        <v>18</v>
      </c>
      <c r="H12" s="6" t="s">
        <v>19</v>
      </c>
      <c r="I12" s="6" t="s">
        <v>20</v>
      </c>
      <c r="J12" s="6" t="s">
        <v>21</v>
      </c>
    </row>
    <row r="13">
      <c r="A13" s="4">
        <v>46212.62397747685</v>
      </c>
      <c r="B13" s="6" t="s">
        <v>31</v>
      </c>
      <c r="C13" s="6" t="s">
        <v>459</v>
      </c>
      <c r="D13" s="6" t="s">
        <v>15</v>
      </c>
      <c r="E13" s="6" t="s">
        <v>16</v>
      </c>
      <c r="F13" s="6" t="s">
        <v>17</v>
      </c>
      <c r="G13" s="6" t="s">
        <v>18</v>
      </c>
      <c r="H13" s="6" t="s">
        <v>19</v>
      </c>
      <c r="I13" s="6" t="s">
        <v>20</v>
      </c>
      <c r="J13" s="6" t="s">
        <v>21</v>
      </c>
    </row>
    <row r="14">
      <c r="A14" s="4">
        <v>46212.62462162037</v>
      </c>
      <c r="B14" s="6" t="s">
        <v>57</v>
      </c>
      <c r="C14" s="6" t="s">
        <v>459</v>
      </c>
      <c r="D14" s="6" t="s">
        <v>15</v>
      </c>
      <c r="E14" s="6" t="s">
        <v>16</v>
      </c>
      <c r="F14" s="6" t="s">
        <v>17</v>
      </c>
      <c r="G14" s="6" t="s">
        <v>18</v>
      </c>
      <c r="H14" s="6" t="s">
        <v>19</v>
      </c>
      <c r="I14" s="6" t="s">
        <v>20</v>
      </c>
      <c r="J14" s="6" t="s">
        <v>21</v>
      </c>
    </row>
    <row r="15">
      <c r="A15" s="4">
        <v>46212.6248862963</v>
      </c>
      <c r="B15" s="6" t="s">
        <v>119</v>
      </c>
      <c r="C15" s="6" t="s">
        <v>459</v>
      </c>
      <c r="D15" s="6" t="s">
        <v>15</v>
      </c>
      <c r="E15" s="6" t="s">
        <v>16</v>
      </c>
      <c r="F15" s="6" t="s">
        <v>17</v>
      </c>
      <c r="G15" s="6" t="s">
        <v>18</v>
      </c>
      <c r="H15" s="6" t="s">
        <v>19</v>
      </c>
      <c r="I15" s="6" t="s">
        <v>20</v>
      </c>
      <c r="J15" s="6" t="s">
        <v>21</v>
      </c>
    </row>
    <row r="16">
      <c r="A16" s="4">
        <v>46212.62492947916</v>
      </c>
      <c r="B16" s="6" t="s">
        <v>106</v>
      </c>
      <c r="C16" s="6" t="s">
        <v>460</v>
      </c>
      <c r="D16" s="6" t="s">
        <v>15</v>
      </c>
      <c r="E16" s="6" t="s">
        <v>16</v>
      </c>
      <c r="F16" s="6" t="s">
        <v>17</v>
      </c>
      <c r="G16" s="6" t="s">
        <v>18</v>
      </c>
      <c r="H16" s="6" t="s">
        <v>19</v>
      </c>
      <c r="I16" s="6" t="s">
        <v>20</v>
      </c>
      <c r="J16" s="6" t="s">
        <v>21</v>
      </c>
    </row>
    <row r="17">
      <c r="A17" s="4">
        <v>46212.62559633102</v>
      </c>
      <c r="B17" s="6" t="s">
        <v>75</v>
      </c>
      <c r="C17" s="6" t="s">
        <v>463</v>
      </c>
      <c r="D17" s="6" t="s">
        <v>15</v>
      </c>
      <c r="E17" s="6" t="s">
        <v>16</v>
      </c>
      <c r="F17" s="6" t="s">
        <v>17</v>
      </c>
      <c r="G17" s="6" t="s">
        <v>18</v>
      </c>
      <c r="H17" s="6" t="s">
        <v>19</v>
      </c>
      <c r="I17" s="6" t="s">
        <v>20</v>
      </c>
      <c r="J17" s="6" t="s">
        <v>21</v>
      </c>
    </row>
    <row r="18">
      <c r="A18" s="4">
        <v>46212.62568429398</v>
      </c>
      <c r="B18" s="6" t="s">
        <v>67</v>
      </c>
      <c r="C18" s="6" t="s">
        <v>459</v>
      </c>
      <c r="D18" s="6" t="s">
        <v>15</v>
      </c>
      <c r="E18" s="6" t="s">
        <v>16</v>
      </c>
      <c r="F18" s="6" t="s">
        <v>17</v>
      </c>
      <c r="G18" s="6" t="s">
        <v>18</v>
      </c>
      <c r="H18" s="6" t="s">
        <v>19</v>
      </c>
      <c r="I18" s="6" t="s">
        <v>20</v>
      </c>
      <c r="J18" s="6" t="s">
        <v>21</v>
      </c>
    </row>
    <row r="19">
      <c r="A19" s="4">
        <v>46212.62597518519</v>
      </c>
      <c r="B19" s="6" t="s">
        <v>110</v>
      </c>
      <c r="C19" s="6" t="s">
        <v>459</v>
      </c>
      <c r="D19" s="6" t="s">
        <v>15</v>
      </c>
      <c r="E19" s="6" t="s">
        <v>16</v>
      </c>
      <c r="F19" s="6" t="s">
        <v>17</v>
      </c>
      <c r="G19" s="6" t="s">
        <v>18</v>
      </c>
      <c r="H19" s="6" t="s">
        <v>19</v>
      </c>
      <c r="I19" s="6" t="s">
        <v>20</v>
      </c>
      <c r="J19" s="6" t="s">
        <v>21</v>
      </c>
    </row>
    <row r="20">
      <c r="A20" s="4">
        <v>46212.626189884264</v>
      </c>
      <c r="B20" s="6" t="s">
        <v>101</v>
      </c>
      <c r="C20" s="6" t="s">
        <v>459</v>
      </c>
      <c r="D20" s="6" t="s">
        <v>15</v>
      </c>
      <c r="E20" s="6" t="s">
        <v>16</v>
      </c>
      <c r="F20" s="6" t="s">
        <v>17</v>
      </c>
      <c r="G20" s="6" t="s">
        <v>18</v>
      </c>
      <c r="H20" s="6" t="s">
        <v>19</v>
      </c>
      <c r="I20" s="6" t="s">
        <v>20</v>
      </c>
      <c r="J20" s="6" t="s">
        <v>21</v>
      </c>
    </row>
    <row r="21">
      <c r="A21" s="4">
        <v>46212.62621613426</v>
      </c>
      <c r="B21" s="6" t="s">
        <v>53</v>
      </c>
      <c r="C21" s="6" t="s">
        <v>459</v>
      </c>
      <c r="D21" s="6" t="s">
        <v>15</v>
      </c>
      <c r="E21" s="6" t="s">
        <v>16</v>
      </c>
      <c r="F21" s="6" t="s">
        <v>17</v>
      </c>
      <c r="G21" s="6" t="s">
        <v>18</v>
      </c>
      <c r="H21" s="6" t="s">
        <v>19</v>
      </c>
      <c r="I21" s="6" t="s">
        <v>20</v>
      </c>
      <c r="J21" s="6" t="s">
        <v>21</v>
      </c>
    </row>
    <row r="22">
      <c r="A22" s="4">
        <v>46212.6263090625</v>
      </c>
      <c r="B22" s="6" t="s">
        <v>142</v>
      </c>
      <c r="C22" s="6" t="s">
        <v>460</v>
      </c>
      <c r="D22" s="6" t="s">
        <v>15</v>
      </c>
      <c r="E22" s="6" t="s">
        <v>16</v>
      </c>
      <c r="F22" s="6" t="s">
        <v>17</v>
      </c>
      <c r="G22" s="6" t="s">
        <v>18</v>
      </c>
      <c r="H22" s="6" t="s">
        <v>19</v>
      </c>
      <c r="I22" s="6" t="s">
        <v>20</v>
      </c>
      <c r="J22" s="6" t="s">
        <v>21</v>
      </c>
    </row>
    <row r="23">
      <c r="A23" s="4">
        <v>46212.62635582176</v>
      </c>
      <c r="B23" s="6" t="s">
        <v>125</v>
      </c>
      <c r="C23" s="6" t="s">
        <v>459</v>
      </c>
      <c r="D23" s="6" t="s">
        <v>15</v>
      </c>
      <c r="E23" s="6" t="s">
        <v>16</v>
      </c>
      <c r="F23" s="6" t="s">
        <v>17</v>
      </c>
      <c r="G23" s="6" t="s">
        <v>18</v>
      </c>
      <c r="H23" s="6" t="s">
        <v>19</v>
      </c>
      <c r="I23" s="6" t="s">
        <v>20</v>
      </c>
      <c r="J23" s="6" t="s">
        <v>21</v>
      </c>
    </row>
    <row r="24">
      <c r="A24" s="4">
        <v>46212.62659053241</v>
      </c>
      <c r="B24" s="6" t="s">
        <v>63</v>
      </c>
      <c r="C24" s="6" t="s">
        <v>459</v>
      </c>
      <c r="D24" s="6" t="s">
        <v>15</v>
      </c>
      <c r="E24" s="6" t="s">
        <v>16</v>
      </c>
      <c r="F24" s="6" t="s">
        <v>17</v>
      </c>
      <c r="G24" s="6" t="s">
        <v>18</v>
      </c>
      <c r="H24" s="6" t="s">
        <v>19</v>
      </c>
      <c r="I24" s="6" t="s">
        <v>20</v>
      </c>
      <c r="J24" s="6" t="s">
        <v>21</v>
      </c>
    </row>
    <row r="25">
      <c r="A25" s="4">
        <v>46212.62678518519</v>
      </c>
      <c r="B25" s="6" t="s">
        <v>74</v>
      </c>
      <c r="C25" s="6" t="s">
        <v>459</v>
      </c>
      <c r="D25" s="6" t="s">
        <v>15</v>
      </c>
      <c r="E25" s="6" t="s">
        <v>16</v>
      </c>
      <c r="F25" s="6" t="s">
        <v>17</v>
      </c>
      <c r="G25" s="6" t="s">
        <v>18</v>
      </c>
      <c r="H25" s="6" t="s">
        <v>19</v>
      </c>
      <c r="I25" s="6" t="s">
        <v>20</v>
      </c>
      <c r="J25" s="6" t="s">
        <v>21</v>
      </c>
    </row>
    <row r="26">
      <c r="A26" s="4">
        <v>46212.62691535879</v>
      </c>
      <c r="B26" s="6" t="s">
        <v>108</v>
      </c>
      <c r="C26" s="6" t="s">
        <v>459</v>
      </c>
      <c r="D26" s="6" t="s">
        <v>15</v>
      </c>
      <c r="E26" s="6" t="s">
        <v>16</v>
      </c>
      <c r="F26" s="6" t="s">
        <v>17</v>
      </c>
      <c r="G26" s="6" t="s">
        <v>18</v>
      </c>
      <c r="H26" s="6" t="s">
        <v>19</v>
      </c>
      <c r="I26" s="6" t="s">
        <v>20</v>
      </c>
      <c r="J26" s="6" t="s">
        <v>21</v>
      </c>
    </row>
    <row r="27">
      <c r="A27" s="4">
        <v>46212.626982222224</v>
      </c>
      <c r="B27" s="6" t="s">
        <v>42</v>
      </c>
      <c r="C27" s="6" t="s">
        <v>459</v>
      </c>
      <c r="D27" s="6" t="s">
        <v>15</v>
      </c>
      <c r="E27" s="6" t="s">
        <v>16</v>
      </c>
      <c r="F27" s="6" t="s">
        <v>17</v>
      </c>
      <c r="G27" s="6" t="s">
        <v>18</v>
      </c>
      <c r="H27" s="6" t="s">
        <v>19</v>
      </c>
      <c r="I27" s="6" t="s">
        <v>20</v>
      </c>
      <c r="J27" s="6" t="s">
        <v>21</v>
      </c>
    </row>
    <row r="28">
      <c r="A28" s="4">
        <v>46212.62717332176</v>
      </c>
      <c r="B28" s="6" t="s">
        <v>54</v>
      </c>
      <c r="C28" s="6" t="s">
        <v>459</v>
      </c>
      <c r="D28" s="6" t="s">
        <v>15</v>
      </c>
      <c r="E28" s="6" t="s">
        <v>16</v>
      </c>
      <c r="F28" s="6" t="s">
        <v>17</v>
      </c>
      <c r="G28" s="6" t="s">
        <v>18</v>
      </c>
      <c r="H28" s="6" t="s">
        <v>19</v>
      </c>
      <c r="I28" s="6" t="s">
        <v>20</v>
      </c>
      <c r="J28" s="6" t="s">
        <v>21</v>
      </c>
    </row>
    <row r="29">
      <c r="A29" s="4">
        <v>46212.627198622686</v>
      </c>
      <c r="B29" s="6" t="s">
        <v>93</v>
      </c>
      <c r="C29" s="6" t="s">
        <v>460</v>
      </c>
      <c r="D29" s="6" t="s">
        <v>15</v>
      </c>
      <c r="E29" s="6" t="s">
        <v>16</v>
      </c>
      <c r="F29" s="6" t="s">
        <v>17</v>
      </c>
      <c r="G29" s="6" t="s">
        <v>18</v>
      </c>
      <c r="H29" s="6" t="s">
        <v>19</v>
      </c>
      <c r="I29" s="6" t="s">
        <v>20</v>
      </c>
      <c r="J29" s="6" t="s">
        <v>21</v>
      </c>
    </row>
    <row r="30">
      <c r="A30" s="4">
        <v>46212.62730371528</v>
      </c>
      <c r="B30" s="6" t="s">
        <v>25</v>
      </c>
      <c r="C30" s="6" t="s">
        <v>459</v>
      </c>
      <c r="D30" s="6" t="s">
        <v>15</v>
      </c>
      <c r="E30" s="6" t="s">
        <v>16</v>
      </c>
      <c r="F30" s="6" t="s">
        <v>17</v>
      </c>
      <c r="G30" s="6" t="s">
        <v>18</v>
      </c>
      <c r="H30" s="6" t="s">
        <v>19</v>
      </c>
      <c r="I30" s="6" t="s">
        <v>20</v>
      </c>
      <c r="J30" s="6" t="s">
        <v>21</v>
      </c>
    </row>
    <row r="31">
      <c r="A31" s="4">
        <v>46212.62734284722</v>
      </c>
      <c r="B31" s="6" t="s">
        <v>102</v>
      </c>
      <c r="C31" s="6" t="s">
        <v>459</v>
      </c>
      <c r="D31" s="6" t="s">
        <v>15</v>
      </c>
      <c r="E31" s="6" t="s">
        <v>16</v>
      </c>
      <c r="F31" s="6" t="s">
        <v>17</v>
      </c>
      <c r="G31" s="6" t="s">
        <v>18</v>
      </c>
      <c r="H31" s="6" t="s">
        <v>19</v>
      </c>
      <c r="I31" s="6" t="s">
        <v>20</v>
      </c>
      <c r="J31" s="6" t="s">
        <v>21</v>
      </c>
    </row>
    <row r="32">
      <c r="A32" s="4">
        <v>46212.62739386574</v>
      </c>
      <c r="B32" s="6" t="s">
        <v>144</v>
      </c>
      <c r="C32" s="6" t="s">
        <v>459</v>
      </c>
      <c r="D32" s="6" t="s">
        <v>15</v>
      </c>
      <c r="E32" s="6" t="s">
        <v>16</v>
      </c>
      <c r="F32" s="6" t="s">
        <v>17</v>
      </c>
      <c r="G32" s="6" t="s">
        <v>18</v>
      </c>
      <c r="H32" s="6" t="s">
        <v>19</v>
      </c>
      <c r="I32" s="6" t="s">
        <v>20</v>
      </c>
      <c r="J32" s="6" t="s">
        <v>21</v>
      </c>
    </row>
    <row r="33">
      <c r="A33" s="4">
        <v>46212.62748859954</v>
      </c>
      <c r="B33" s="6" t="s">
        <v>91</v>
      </c>
      <c r="C33" s="6" t="s">
        <v>459</v>
      </c>
      <c r="D33" s="6" t="s">
        <v>15</v>
      </c>
      <c r="E33" s="6" t="s">
        <v>16</v>
      </c>
      <c r="F33" s="6" t="s">
        <v>17</v>
      </c>
      <c r="G33" s="6" t="s">
        <v>18</v>
      </c>
      <c r="H33" s="6" t="s">
        <v>19</v>
      </c>
      <c r="I33" s="6" t="s">
        <v>20</v>
      </c>
      <c r="J33" s="6" t="s">
        <v>21</v>
      </c>
    </row>
    <row r="34">
      <c r="A34" s="4">
        <v>46212.62752013889</v>
      </c>
      <c r="B34" s="6" t="s">
        <v>124</v>
      </c>
      <c r="C34" s="6" t="s">
        <v>459</v>
      </c>
      <c r="D34" s="6" t="s">
        <v>15</v>
      </c>
      <c r="E34" s="6" t="s">
        <v>16</v>
      </c>
      <c r="F34" s="6" t="s">
        <v>17</v>
      </c>
      <c r="G34" s="6" t="s">
        <v>18</v>
      </c>
      <c r="H34" s="6" t="s">
        <v>19</v>
      </c>
      <c r="I34" s="6" t="s">
        <v>20</v>
      </c>
      <c r="J34" s="6" t="s">
        <v>21</v>
      </c>
    </row>
    <row r="35">
      <c r="A35" s="4">
        <v>46212.62754297454</v>
      </c>
      <c r="B35" s="6" t="s">
        <v>98</v>
      </c>
      <c r="C35" s="6" t="s">
        <v>459</v>
      </c>
      <c r="D35" s="6" t="s">
        <v>15</v>
      </c>
      <c r="E35" s="6" t="s">
        <v>16</v>
      </c>
      <c r="F35" s="6" t="s">
        <v>17</v>
      </c>
      <c r="G35" s="6" t="s">
        <v>18</v>
      </c>
      <c r="H35" s="6" t="s">
        <v>19</v>
      </c>
      <c r="I35" s="6" t="s">
        <v>20</v>
      </c>
      <c r="J35" s="6" t="s">
        <v>21</v>
      </c>
      <c r="K35" s="6" t="s">
        <v>34</v>
      </c>
    </row>
    <row r="36">
      <c r="A36" s="4">
        <v>46212.62769913195</v>
      </c>
      <c r="B36" s="6" t="s">
        <v>22</v>
      </c>
      <c r="C36" s="6" t="s">
        <v>459</v>
      </c>
      <c r="D36" s="6" t="s">
        <v>15</v>
      </c>
      <c r="E36" s="6" t="s">
        <v>16</v>
      </c>
      <c r="F36" s="6" t="s">
        <v>17</v>
      </c>
      <c r="G36" s="6" t="s">
        <v>18</v>
      </c>
      <c r="H36" s="6" t="s">
        <v>19</v>
      </c>
      <c r="I36" s="6" t="s">
        <v>20</v>
      </c>
      <c r="J36" s="6" t="s">
        <v>21</v>
      </c>
    </row>
    <row r="37">
      <c r="A37" s="4">
        <v>46212.628098194444</v>
      </c>
      <c r="B37" s="6" t="s">
        <v>94</v>
      </c>
      <c r="C37" s="6" t="s">
        <v>459</v>
      </c>
      <c r="D37" s="6" t="s">
        <v>15</v>
      </c>
      <c r="E37" s="6" t="s">
        <v>16</v>
      </c>
      <c r="F37" s="6" t="s">
        <v>17</v>
      </c>
      <c r="G37" s="6" t="s">
        <v>18</v>
      </c>
      <c r="H37" s="6" t="s">
        <v>19</v>
      </c>
      <c r="I37" s="6" t="s">
        <v>20</v>
      </c>
      <c r="J37" s="6" t="s">
        <v>21</v>
      </c>
    </row>
    <row r="38">
      <c r="A38" s="4">
        <v>46212.62823751157</v>
      </c>
      <c r="B38" s="6" t="s">
        <v>134</v>
      </c>
      <c r="C38" s="6" t="s">
        <v>459</v>
      </c>
      <c r="D38" s="6" t="s">
        <v>15</v>
      </c>
      <c r="E38" s="6" t="s">
        <v>16</v>
      </c>
      <c r="F38" s="6" t="s">
        <v>17</v>
      </c>
      <c r="G38" s="6" t="s">
        <v>18</v>
      </c>
      <c r="H38" s="6" t="s">
        <v>19</v>
      </c>
      <c r="I38" s="6" t="s">
        <v>20</v>
      </c>
      <c r="J38" s="6" t="s">
        <v>21</v>
      </c>
    </row>
    <row r="39">
      <c r="A39" s="4">
        <v>46212.62823938657</v>
      </c>
      <c r="B39" s="6" t="s">
        <v>138</v>
      </c>
      <c r="C39" s="6" t="s">
        <v>465</v>
      </c>
      <c r="D39" s="6" t="s">
        <v>15</v>
      </c>
      <c r="E39" s="6" t="s">
        <v>16</v>
      </c>
      <c r="F39" s="6" t="s">
        <v>17</v>
      </c>
      <c r="G39" s="6" t="s">
        <v>18</v>
      </c>
      <c r="H39" s="6" t="s">
        <v>19</v>
      </c>
      <c r="I39" s="6" t="s">
        <v>20</v>
      </c>
      <c r="J39" s="6" t="s">
        <v>21</v>
      </c>
    </row>
    <row r="40">
      <c r="A40" s="4">
        <v>46212.628343564815</v>
      </c>
      <c r="B40" s="6" t="s">
        <v>100</v>
      </c>
      <c r="C40" s="6" t="s">
        <v>459</v>
      </c>
      <c r="D40" s="6" t="s">
        <v>15</v>
      </c>
      <c r="E40" s="6" t="s">
        <v>16</v>
      </c>
      <c r="F40" s="6" t="s">
        <v>17</v>
      </c>
      <c r="G40" s="6" t="s">
        <v>18</v>
      </c>
      <c r="H40" s="6" t="s">
        <v>19</v>
      </c>
      <c r="I40" s="6" t="s">
        <v>20</v>
      </c>
      <c r="J40" s="6" t="s">
        <v>21</v>
      </c>
    </row>
    <row r="41">
      <c r="A41" s="4">
        <v>46212.62866891204</v>
      </c>
      <c r="B41" s="6" t="s">
        <v>105</v>
      </c>
      <c r="C41" s="6" t="s">
        <v>459</v>
      </c>
      <c r="D41" s="6" t="s">
        <v>15</v>
      </c>
      <c r="E41" s="6" t="s">
        <v>16</v>
      </c>
      <c r="F41" s="6" t="s">
        <v>17</v>
      </c>
      <c r="G41" s="6" t="s">
        <v>18</v>
      </c>
      <c r="H41" s="6" t="s">
        <v>19</v>
      </c>
      <c r="I41" s="6" t="s">
        <v>20</v>
      </c>
      <c r="J41" s="6" t="s">
        <v>21</v>
      </c>
    </row>
    <row r="42">
      <c r="A42" s="4">
        <v>46212.628693101855</v>
      </c>
      <c r="B42" s="6" t="s">
        <v>123</v>
      </c>
      <c r="C42" s="6" t="s">
        <v>459</v>
      </c>
      <c r="D42" s="6" t="s">
        <v>15</v>
      </c>
      <c r="E42" s="6" t="s">
        <v>16</v>
      </c>
      <c r="F42" s="6" t="s">
        <v>17</v>
      </c>
      <c r="G42" s="6" t="s">
        <v>18</v>
      </c>
      <c r="H42" s="6" t="s">
        <v>19</v>
      </c>
      <c r="I42" s="6" t="s">
        <v>20</v>
      </c>
      <c r="J42" s="6" t="s">
        <v>21</v>
      </c>
    </row>
    <row r="43">
      <c r="A43" s="4">
        <v>46212.62870864583</v>
      </c>
      <c r="B43" s="6" t="s">
        <v>151</v>
      </c>
      <c r="C43" s="6" t="s">
        <v>459</v>
      </c>
      <c r="D43" s="6" t="s">
        <v>15</v>
      </c>
      <c r="E43" s="6" t="s">
        <v>16</v>
      </c>
      <c r="F43" s="6" t="s">
        <v>17</v>
      </c>
      <c r="G43" s="6" t="s">
        <v>18</v>
      </c>
      <c r="H43" s="6" t="s">
        <v>19</v>
      </c>
      <c r="I43" s="6" t="s">
        <v>20</v>
      </c>
      <c r="J43" s="6" t="s">
        <v>21</v>
      </c>
    </row>
    <row r="44">
      <c r="A44" s="4">
        <v>46212.62879619213</v>
      </c>
      <c r="B44" s="6" t="s">
        <v>118</v>
      </c>
      <c r="C44" s="6" t="s">
        <v>459</v>
      </c>
      <c r="D44" s="6" t="s">
        <v>15</v>
      </c>
      <c r="E44" s="6" t="s">
        <v>16</v>
      </c>
      <c r="F44" s="6" t="s">
        <v>17</v>
      </c>
      <c r="G44" s="6" t="s">
        <v>18</v>
      </c>
      <c r="H44" s="6" t="s">
        <v>19</v>
      </c>
      <c r="I44" s="6" t="s">
        <v>20</v>
      </c>
      <c r="J44" s="6" t="s">
        <v>21</v>
      </c>
    </row>
    <row r="45">
      <c r="A45" s="4">
        <v>46212.628903680554</v>
      </c>
      <c r="B45" s="6" t="s">
        <v>82</v>
      </c>
      <c r="C45" s="6" t="s">
        <v>459</v>
      </c>
      <c r="D45" s="6" t="s">
        <v>15</v>
      </c>
      <c r="E45" s="6" t="s">
        <v>16</v>
      </c>
      <c r="F45" s="6" t="s">
        <v>17</v>
      </c>
      <c r="G45" s="6" t="s">
        <v>18</v>
      </c>
      <c r="H45" s="6" t="s">
        <v>19</v>
      </c>
      <c r="I45" s="6" t="s">
        <v>20</v>
      </c>
      <c r="J45" s="6" t="s">
        <v>21</v>
      </c>
    </row>
    <row r="46">
      <c r="A46" s="4">
        <v>46212.628962256946</v>
      </c>
      <c r="B46" s="6" t="s">
        <v>95</v>
      </c>
      <c r="C46" s="6" t="s">
        <v>459</v>
      </c>
      <c r="D46" s="6" t="s">
        <v>15</v>
      </c>
      <c r="E46" s="6" t="s">
        <v>16</v>
      </c>
      <c r="F46" s="6" t="s">
        <v>17</v>
      </c>
      <c r="G46" s="6" t="s">
        <v>18</v>
      </c>
      <c r="H46" s="6" t="s">
        <v>19</v>
      </c>
      <c r="I46" s="6" t="s">
        <v>20</v>
      </c>
      <c r="J46" s="6" t="s">
        <v>21</v>
      </c>
    </row>
    <row r="47">
      <c r="A47" s="4">
        <v>46212.62908802083</v>
      </c>
      <c r="B47" s="6" t="s">
        <v>55</v>
      </c>
      <c r="C47" s="6" t="s">
        <v>459</v>
      </c>
      <c r="D47" s="6" t="s">
        <v>15</v>
      </c>
      <c r="E47" s="6" t="s">
        <v>16</v>
      </c>
      <c r="F47" s="6" t="s">
        <v>17</v>
      </c>
      <c r="G47" s="6" t="s">
        <v>18</v>
      </c>
      <c r="H47" s="6" t="s">
        <v>19</v>
      </c>
      <c r="I47" s="6" t="s">
        <v>20</v>
      </c>
      <c r="J47" s="6" t="s">
        <v>21</v>
      </c>
    </row>
    <row r="48">
      <c r="A48" s="4">
        <v>46212.62912627315</v>
      </c>
      <c r="B48" s="6" t="s">
        <v>104</v>
      </c>
      <c r="C48" s="6" t="s">
        <v>459</v>
      </c>
      <c r="D48" s="6" t="s">
        <v>15</v>
      </c>
      <c r="E48" s="6" t="s">
        <v>16</v>
      </c>
      <c r="F48" s="6" t="s">
        <v>17</v>
      </c>
      <c r="G48" s="6" t="s">
        <v>18</v>
      </c>
      <c r="H48" s="6" t="s">
        <v>19</v>
      </c>
      <c r="I48" s="6" t="s">
        <v>20</v>
      </c>
      <c r="J48" s="6" t="s">
        <v>21</v>
      </c>
    </row>
    <row r="49">
      <c r="A49" s="4">
        <v>46212.629150821755</v>
      </c>
      <c r="B49" s="6" t="s">
        <v>121</v>
      </c>
      <c r="C49" s="6" t="s">
        <v>467</v>
      </c>
      <c r="D49" s="6" t="s">
        <v>15</v>
      </c>
      <c r="E49" s="6" t="s">
        <v>16</v>
      </c>
      <c r="F49" s="6" t="s">
        <v>17</v>
      </c>
      <c r="G49" s="6" t="s">
        <v>18</v>
      </c>
      <c r="H49" s="6" t="s">
        <v>19</v>
      </c>
      <c r="I49" s="6" t="s">
        <v>20</v>
      </c>
      <c r="J49" s="6" t="s">
        <v>21</v>
      </c>
    </row>
    <row r="50">
      <c r="A50" s="4">
        <v>46212.629169733795</v>
      </c>
      <c r="B50" s="6" t="s">
        <v>161</v>
      </c>
      <c r="C50" s="6" t="s">
        <v>459</v>
      </c>
      <c r="D50" s="6" t="s">
        <v>15</v>
      </c>
      <c r="E50" s="6" t="s">
        <v>16</v>
      </c>
      <c r="F50" s="6" t="s">
        <v>17</v>
      </c>
      <c r="G50" s="6" t="s">
        <v>18</v>
      </c>
      <c r="H50" s="6" t="s">
        <v>19</v>
      </c>
      <c r="I50" s="6" t="s">
        <v>20</v>
      </c>
      <c r="J50" s="6" t="s">
        <v>21</v>
      </c>
    </row>
    <row r="51">
      <c r="A51" s="4">
        <v>46212.62922120371</v>
      </c>
      <c r="B51" s="6" t="s">
        <v>88</v>
      </c>
      <c r="C51" s="6" t="s">
        <v>459</v>
      </c>
      <c r="D51" s="6" t="s">
        <v>15</v>
      </c>
      <c r="E51" s="6" t="s">
        <v>16</v>
      </c>
      <c r="F51" s="6" t="s">
        <v>17</v>
      </c>
      <c r="G51" s="6" t="s">
        <v>18</v>
      </c>
      <c r="H51" s="6" t="s">
        <v>19</v>
      </c>
      <c r="I51" s="6" t="s">
        <v>20</v>
      </c>
      <c r="J51" s="6" t="s">
        <v>21</v>
      </c>
    </row>
    <row r="52">
      <c r="A52" s="4">
        <v>46212.62922877315</v>
      </c>
      <c r="B52" s="6" t="s">
        <v>148</v>
      </c>
      <c r="C52" s="6" t="s">
        <v>459</v>
      </c>
      <c r="D52" s="6" t="s">
        <v>15</v>
      </c>
      <c r="E52" s="6" t="s">
        <v>16</v>
      </c>
      <c r="F52" s="6" t="s">
        <v>17</v>
      </c>
      <c r="G52" s="6" t="s">
        <v>18</v>
      </c>
      <c r="H52" s="6" t="s">
        <v>19</v>
      </c>
      <c r="I52" s="6" t="s">
        <v>20</v>
      </c>
      <c r="J52" s="6" t="s">
        <v>21</v>
      </c>
    </row>
    <row r="53">
      <c r="A53" s="4">
        <v>46212.62952282408</v>
      </c>
      <c r="B53" s="6" t="s">
        <v>71</v>
      </c>
      <c r="C53" s="6" t="s">
        <v>459</v>
      </c>
      <c r="D53" s="6" t="s">
        <v>15</v>
      </c>
      <c r="E53" s="6" t="s">
        <v>16</v>
      </c>
      <c r="F53" s="6" t="s">
        <v>17</v>
      </c>
      <c r="G53" s="6" t="s">
        <v>18</v>
      </c>
      <c r="H53" s="6" t="s">
        <v>19</v>
      </c>
      <c r="I53" s="6" t="s">
        <v>20</v>
      </c>
      <c r="J53" s="6" t="s">
        <v>21</v>
      </c>
    </row>
    <row r="54">
      <c r="A54" s="4">
        <v>46212.62965436342</v>
      </c>
      <c r="B54" s="6" t="s">
        <v>81</v>
      </c>
      <c r="C54" s="6" t="s">
        <v>459</v>
      </c>
      <c r="D54" s="6" t="s">
        <v>15</v>
      </c>
      <c r="E54" s="6" t="s">
        <v>16</v>
      </c>
      <c r="F54" s="6" t="s">
        <v>17</v>
      </c>
      <c r="G54" s="6" t="s">
        <v>18</v>
      </c>
      <c r="H54" s="6" t="s">
        <v>19</v>
      </c>
      <c r="I54" s="6" t="s">
        <v>20</v>
      </c>
      <c r="J54" s="6" t="s">
        <v>21</v>
      </c>
    </row>
    <row r="55">
      <c r="A55" s="4">
        <v>46212.62981237269</v>
      </c>
      <c r="B55" s="6" t="s">
        <v>65</v>
      </c>
      <c r="C55" s="6" t="s">
        <v>459</v>
      </c>
      <c r="D55" s="6" t="s">
        <v>15</v>
      </c>
      <c r="E55" s="6" t="s">
        <v>16</v>
      </c>
      <c r="F55" s="6" t="s">
        <v>17</v>
      </c>
      <c r="G55" s="6" t="s">
        <v>18</v>
      </c>
      <c r="H55" s="6" t="s">
        <v>19</v>
      </c>
      <c r="I55" s="6" t="s">
        <v>20</v>
      </c>
      <c r="J55" s="6" t="s">
        <v>21</v>
      </c>
    </row>
    <row r="56">
      <c r="A56" s="4">
        <v>46212.6299943287</v>
      </c>
      <c r="B56" s="6" t="s">
        <v>61</v>
      </c>
      <c r="C56" s="6" t="s">
        <v>459</v>
      </c>
      <c r="D56" s="6" t="s">
        <v>15</v>
      </c>
      <c r="E56" s="6" t="s">
        <v>16</v>
      </c>
      <c r="F56" s="6" t="s">
        <v>17</v>
      </c>
      <c r="G56" s="6" t="s">
        <v>18</v>
      </c>
      <c r="H56" s="6" t="s">
        <v>19</v>
      </c>
      <c r="I56" s="6" t="s">
        <v>20</v>
      </c>
      <c r="J56" s="6" t="s">
        <v>21</v>
      </c>
    </row>
    <row r="57">
      <c r="A57" s="4">
        <v>46212.63000314815</v>
      </c>
      <c r="B57" s="6" t="s">
        <v>128</v>
      </c>
      <c r="C57" s="6" t="s">
        <v>459</v>
      </c>
      <c r="D57" s="6" t="s">
        <v>15</v>
      </c>
      <c r="E57" s="6" t="s">
        <v>16</v>
      </c>
      <c r="F57" s="6" t="s">
        <v>17</v>
      </c>
      <c r="G57" s="6" t="s">
        <v>18</v>
      </c>
      <c r="H57" s="6" t="s">
        <v>19</v>
      </c>
      <c r="I57" s="6" t="s">
        <v>20</v>
      </c>
      <c r="J57" s="6" t="s">
        <v>21</v>
      </c>
      <c r="K57" s="6" t="s">
        <v>29</v>
      </c>
    </row>
    <row r="58">
      <c r="A58" s="4">
        <v>46212.63001934028</v>
      </c>
      <c r="B58" s="6" t="s">
        <v>92</v>
      </c>
      <c r="C58" s="6" t="s">
        <v>459</v>
      </c>
      <c r="D58" s="6" t="s">
        <v>15</v>
      </c>
      <c r="E58" s="6" t="s">
        <v>16</v>
      </c>
      <c r="F58" s="6" t="s">
        <v>17</v>
      </c>
      <c r="G58" s="6" t="s">
        <v>18</v>
      </c>
      <c r="H58" s="6" t="s">
        <v>19</v>
      </c>
      <c r="I58" s="6" t="s">
        <v>20</v>
      </c>
      <c r="J58" s="6" t="s">
        <v>21</v>
      </c>
    </row>
    <row r="59">
      <c r="A59" s="4">
        <v>46212.6301265625</v>
      </c>
      <c r="B59" s="6" t="s">
        <v>158</v>
      </c>
      <c r="C59" s="6" t="s">
        <v>459</v>
      </c>
      <c r="D59" s="6" t="s">
        <v>15</v>
      </c>
      <c r="E59" s="6" t="s">
        <v>16</v>
      </c>
      <c r="F59" s="6" t="s">
        <v>17</v>
      </c>
      <c r="G59" s="6" t="s">
        <v>18</v>
      </c>
      <c r="H59" s="6" t="s">
        <v>19</v>
      </c>
      <c r="I59" s="6" t="s">
        <v>20</v>
      </c>
      <c r="J59" s="6" t="s">
        <v>21</v>
      </c>
    </row>
    <row r="60">
      <c r="A60" s="4">
        <v>46212.63105571759</v>
      </c>
      <c r="B60" s="6" t="s">
        <v>73</v>
      </c>
      <c r="C60" s="6" t="s">
        <v>459</v>
      </c>
      <c r="D60" s="6" t="s">
        <v>15</v>
      </c>
      <c r="E60" s="6" t="s">
        <v>16</v>
      </c>
      <c r="F60" s="6" t="s">
        <v>17</v>
      </c>
      <c r="G60" s="6" t="s">
        <v>18</v>
      </c>
      <c r="H60" s="6" t="s">
        <v>19</v>
      </c>
      <c r="I60" s="6" t="s">
        <v>20</v>
      </c>
      <c r="J60" s="6" t="s">
        <v>21</v>
      </c>
    </row>
    <row r="61">
      <c r="A61" s="4">
        <v>46212.631286504635</v>
      </c>
      <c r="B61" s="6" t="s">
        <v>51</v>
      </c>
      <c r="C61" s="6" t="s">
        <v>459</v>
      </c>
      <c r="D61" s="6" t="s">
        <v>41</v>
      </c>
      <c r="E61" s="6" t="s">
        <v>16</v>
      </c>
      <c r="F61" s="6" t="s">
        <v>17</v>
      </c>
      <c r="G61" s="6" t="s">
        <v>18</v>
      </c>
      <c r="H61" s="6" t="s">
        <v>46</v>
      </c>
      <c r="I61" s="6" t="s">
        <v>47</v>
      </c>
      <c r="J61" s="6" t="s">
        <v>48</v>
      </c>
    </row>
    <row r="62">
      <c r="A62" s="4">
        <v>46212.63132104167</v>
      </c>
      <c r="B62" s="6" t="s">
        <v>114</v>
      </c>
      <c r="C62" s="6" t="s">
        <v>459</v>
      </c>
      <c r="D62" s="6" t="s">
        <v>15</v>
      </c>
      <c r="E62" s="6" t="s">
        <v>16</v>
      </c>
      <c r="F62" s="6" t="s">
        <v>17</v>
      </c>
      <c r="G62" s="6" t="s">
        <v>18</v>
      </c>
      <c r="H62" s="6" t="s">
        <v>19</v>
      </c>
      <c r="I62" s="6" t="s">
        <v>20</v>
      </c>
      <c r="J62" s="6" t="s">
        <v>21</v>
      </c>
    </row>
    <row r="63">
      <c r="A63" s="4">
        <v>46212.631427546294</v>
      </c>
      <c r="B63" s="6" t="s">
        <v>162</v>
      </c>
      <c r="C63" s="6" t="s">
        <v>473</v>
      </c>
      <c r="D63" s="6" t="s">
        <v>15</v>
      </c>
      <c r="E63" s="6" t="s">
        <v>16</v>
      </c>
      <c r="F63" s="6" t="s">
        <v>17</v>
      </c>
      <c r="G63" s="6" t="s">
        <v>18</v>
      </c>
      <c r="H63" s="6" t="s">
        <v>19</v>
      </c>
      <c r="I63" s="6" t="s">
        <v>20</v>
      </c>
      <c r="J63" s="6" t="s">
        <v>21</v>
      </c>
    </row>
    <row r="64">
      <c r="A64" s="4">
        <v>46212.63149208333</v>
      </c>
      <c r="B64" s="6" t="s">
        <v>68</v>
      </c>
      <c r="C64" s="6" t="s">
        <v>459</v>
      </c>
      <c r="D64" s="6" t="s">
        <v>15</v>
      </c>
      <c r="E64" s="6" t="s">
        <v>16</v>
      </c>
      <c r="F64" s="6" t="s">
        <v>17</v>
      </c>
      <c r="G64" s="6" t="s">
        <v>18</v>
      </c>
      <c r="H64" s="6" t="s">
        <v>19</v>
      </c>
      <c r="I64" s="6" t="s">
        <v>20</v>
      </c>
      <c r="J64" s="6" t="s">
        <v>21</v>
      </c>
    </row>
    <row r="65">
      <c r="A65" s="4">
        <v>46212.63188700231</v>
      </c>
      <c r="B65" s="6" t="s">
        <v>135</v>
      </c>
      <c r="C65" s="6" t="s">
        <v>460</v>
      </c>
      <c r="D65" s="6" t="s">
        <v>15</v>
      </c>
      <c r="E65" s="6" t="s">
        <v>16</v>
      </c>
      <c r="F65" s="6" t="s">
        <v>17</v>
      </c>
      <c r="G65" s="6" t="s">
        <v>18</v>
      </c>
      <c r="H65" s="6" t="s">
        <v>19</v>
      </c>
      <c r="I65" s="6" t="s">
        <v>20</v>
      </c>
      <c r="J65" s="6" t="s">
        <v>21</v>
      </c>
    </row>
    <row r="66">
      <c r="A66" s="4">
        <v>46212.63240292824</v>
      </c>
      <c r="B66" s="6" t="s">
        <v>130</v>
      </c>
      <c r="C66" s="6" t="s">
        <v>460</v>
      </c>
      <c r="D66" s="6" t="s">
        <v>15</v>
      </c>
      <c r="E66" s="6" t="s">
        <v>16</v>
      </c>
      <c r="F66" s="6" t="s">
        <v>17</v>
      </c>
      <c r="G66" s="6" t="s">
        <v>18</v>
      </c>
      <c r="H66" s="6" t="s">
        <v>19</v>
      </c>
      <c r="I66" s="6" t="s">
        <v>20</v>
      </c>
      <c r="J66" s="6" t="s">
        <v>21</v>
      </c>
    </row>
    <row r="67">
      <c r="A67" s="4">
        <v>46212.6324508449</v>
      </c>
      <c r="B67" s="6" t="s">
        <v>133</v>
      </c>
      <c r="C67" s="6" t="s">
        <v>480</v>
      </c>
      <c r="D67" s="6" t="s">
        <v>15</v>
      </c>
      <c r="E67" s="6" t="s">
        <v>16</v>
      </c>
      <c r="F67" s="6" t="s">
        <v>17</v>
      </c>
      <c r="G67" s="6" t="s">
        <v>18</v>
      </c>
      <c r="H67" s="6" t="s">
        <v>19</v>
      </c>
      <c r="I67" s="6" t="s">
        <v>20</v>
      </c>
      <c r="J67" s="6" t="s">
        <v>21</v>
      </c>
    </row>
    <row r="68">
      <c r="A68" s="4">
        <v>46212.632561782404</v>
      </c>
      <c r="B68" s="6" t="s">
        <v>137</v>
      </c>
      <c r="C68" s="6" t="s">
        <v>459</v>
      </c>
      <c r="D68" s="6" t="s">
        <v>15</v>
      </c>
      <c r="E68" s="6" t="s">
        <v>16</v>
      </c>
      <c r="F68" s="6" t="s">
        <v>17</v>
      </c>
      <c r="G68" s="6" t="s">
        <v>18</v>
      </c>
      <c r="H68" s="6" t="s">
        <v>19</v>
      </c>
      <c r="I68" s="6" t="s">
        <v>20</v>
      </c>
      <c r="J68" s="6" t="s">
        <v>21</v>
      </c>
    </row>
    <row r="69">
      <c r="A69" s="4">
        <v>46212.6328512037</v>
      </c>
      <c r="B69" s="6" t="s">
        <v>89</v>
      </c>
      <c r="C69" s="6" t="s">
        <v>459</v>
      </c>
      <c r="D69" s="6" t="s">
        <v>15</v>
      </c>
      <c r="E69" s="6" t="s">
        <v>16</v>
      </c>
      <c r="F69" s="6" t="s">
        <v>17</v>
      </c>
      <c r="G69" s="6" t="s">
        <v>18</v>
      </c>
      <c r="H69" s="6" t="s">
        <v>19</v>
      </c>
      <c r="I69" s="6" t="s">
        <v>20</v>
      </c>
      <c r="J69" s="6" t="s">
        <v>21</v>
      </c>
      <c r="K69" s="6" t="s">
        <v>29</v>
      </c>
    </row>
    <row r="70">
      <c r="A70" s="4">
        <v>46212.63353141204</v>
      </c>
      <c r="B70" s="6" t="s">
        <v>113</v>
      </c>
      <c r="C70" s="6" t="s">
        <v>459</v>
      </c>
      <c r="D70" s="6" t="s">
        <v>15</v>
      </c>
      <c r="E70" s="6" t="s">
        <v>16</v>
      </c>
      <c r="F70" s="6" t="s">
        <v>17</v>
      </c>
      <c r="G70" s="6" t="s">
        <v>18</v>
      </c>
      <c r="H70" s="6" t="s">
        <v>19</v>
      </c>
      <c r="I70" s="6" t="s">
        <v>20</v>
      </c>
      <c r="J70" s="6" t="s">
        <v>21</v>
      </c>
    </row>
    <row r="71">
      <c r="A71" s="4">
        <v>46212.633768263884</v>
      </c>
      <c r="B71" s="6" t="s">
        <v>126</v>
      </c>
      <c r="C71" s="6" t="s">
        <v>459</v>
      </c>
      <c r="D71" s="6" t="s">
        <v>15</v>
      </c>
      <c r="E71" s="6" t="s">
        <v>16</v>
      </c>
      <c r="F71" s="6" t="s">
        <v>17</v>
      </c>
      <c r="G71" s="6" t="s">
        <v>18</v>
      </c>
      <c r="H71" s="6" t="s">
        <v>19</v>
      </c>
      <c r="I71" s="6" t="s">
        <v>20</v>
      </c>
      <c r="J71" s="6" t="s">
        <v>21</v>
      </c>
    </row>
    <row r="72">
      <c r="A72" s="4">
        <v>46212.63419599537</v>
      </c>
      <c r="B72" s="6" t="s">
        <v>150</v>
      </c>
      <c r="C72" s="6" t="s">
        <v>459</v>
      </c>
      <c r="D72" s="6" t="s">
        <v>15</v>
      </c>
      <c r="E72" s="6" t="s">
        <v>16</v>
      </c>
      <c r="F72" s="6" t="s">
        <v>17</v>
      </c>
      <c r="G72" s="6" t="s">
        <v>18</v>
      </c>
      <c r="H72" s="6" t="s">
        <v>19</v>
      </c>
      <c r="I72" s="6" t="s">
        <v>20</v>
      </c>
      <c r="J72" s="6" t="s">
        <v>21</v>
      </c>
    </row>
    <row r="73">
      <c r="A73" s="4">
        <v>46212.63882796296</v>
      </c>
      <c r="B73" s="6" t="s">
        <v>169</v>
      </c>
      <c r="C73" s="6" t="s">
        <v>463</v>
      </c>
      <c r="D73" s="6" t="s">
        <v>15</v>
      </c>
      <c r="E73" s="6" t="s">
        <v>16</v>
      </c>
      <c r="F73" s="6" t="s">
        <v>17</v>
      </c>
      <c r="G73" s="6" t="s">
        <v>18</v>
      </c>
      <c r="H73" s="6" t="s">
        <v>19</v>
      </c>
      <c r="I73" s="6" t="s">
        <v>20</v>
      </c>
      <c r="J73" s="6" t="s">
        <v>21</v>
      </c>
    </row>
    <row r="74">
      <c r="A74" s="4">
        <v>46212.71358166667</v>
      </c>
      <c r="B74" s="6" t="s">
        <v>70</v>
      </c>
      <c r="C74" s="6" t="s">
        <v>459</v>
      </c>
      <c r="D74" s="6" t="s">
        <v>15</v>
      </c>
      <c r="E74" s="6" t="s">
        <v>16</v>
      </c>
      <c r="F74" s="6" t="s">
        <v>17</v>
      </c>
      <c r="G74" s="6" t="s">
        <v>18</v>
      </c>
      <c r="H74" s="6" t="s">
        <v>19</v>
      </c>
      <c r="I74" s="6" t="s">
        <v>20</v>
      </c>
      <c r="J74" s="6" t="s">
        <v>21</v>
      </c>
    </row>
    <row r="75">
      <c r="A75" s="4">
        <v>46212.83801894676</v>
      </c>
      <c r="B75" s="6" t="s">
        <v>155</v>
      </c>
      <c r="C75" s="6" t="s">
        <v>459</v>
      </c>
      <c r="D75" s="6" t="s">
        <v>15</v>
      </c>
      <c r="E75" s="6" t="s">
        <v>16</v>
      </c>
      <c r="F75" s="6" t="s">
        <v>17</v>
      </c>
      <c r="G75" s="6" t="s">
        <v>18</v>
      </c>
      <c r="H75" s="6" t="s">
        <v>19</v>
      </c>
      <c r="I75" s="6" t="s">
        <v>20</v>
      </c>
      <c r="J75" s="6" t="s">
        <v>21</v>
      </c>
    </row>
    <row r="76">
      <c r="A76" s="4">
        <v>46213.39788739583</v>
      </c>
      <c r="B76" s="6" t="s">
        <v>62</v>
      </c>
      <c r="C76" s="6" t="s">
        <v>459</v>
      </c>
      <c r="D76" s="6" t="s">
        <v>15</v>
      </c>
      <c r="E76" s="6" t="s">
        <v>16</v>
      </c>
      <c r="F76" s="6" t="s">
        <v>17</v>
      </c>
      <c r="G76" s="6" t="s">
        <v>18</v>
      </c>
      <c r="H76" s="6" t="s">
        <v>19</v>
      </c>
      <c r="I76" s="6" t="s">
        <v>20</v>
      </c>
      <c r="J76" s="6" t="s">
        <v>21</v>
      </c>
    </row>
    <row r="77">
      <c r="A77" s="4">
        <v>46213.40016601852</v>
      </c>
      <c r="B77" s="6" t="s">
        <v>147</v>
      </c>
      <c r="C77" s="6" t="s">
        <v>459</v>
      </c>
      <c r="D77" s="6" t="s">
        <v>15</v>
      </c>
      <c r="E77" s="6" t="s">
        <v>16</v>
      </c>
      <c r="F77" s="6" t="s">
        <v>17</v>
      </c>
      <c r="G77" s="6" t="s">
        <v>18</v>
      </c>
      <c r="H77" s="6" t="s">
        <v>19</v>
      </c>
      <c r="I77" s="6" t="s">
        <v>20</v>
      </c>
      <c r="J77" s="6" t="s">
        <v>21</v>
      </c>
    </row>
    <row r="78">
      <c r="A78" s="4">
        <v>46213.40189847222</v>
      </c>
      <c r="B78" s="6" t="s">
        <v>86</v>
      </c>
      <c r="C78" s="6" t="s">
        <v>459</v>
      </c>
      <c r="D78" s="6" t="s">
        <v>15</v>
      </c>
      <c r="E78" s="6" t="s">
        <v>16</v>
      </c>
      <c r="F78" s="6" t="s">
        <v>17</v>
      </c>
      <c r="G78" s="6" t="s">
        <v>18</v>
      </c>
      <c r="H78" s="6" t="s">
        <v>19</v>
      </c>
      <c r="I78" s="6" t="s">
        <v>20</v>
      </c>
      <c r="J78" s="6" t="s">
        <v>21</v>
      </c>
    </row>
    <row r="79">
      <c r="A79" s="4">
        <v>46213.415797152775</v>
      </c>
      <c r="B79" s="6" t="s">
        <v>171</v>
      </c>
      <c r="C79" s="6" t="s">
        <v>459</v>
      </c>
      <c r="D79" s="6" t="s">
        <v>15</v>
      </c>
      <c r="E79" s="6" t="s">
        <v>16</v>
      </c>
      <c r="F79" s="6" t="s">
        <v>17</v>
      </c>
      <c r="G79" s="6" t="s">
        <v>18</v>
      </c>
      <c r="H79" s="6" t="s">
        <v>19</v>
      </c>
      <c r="I79" s="6" t="s">
        <v>20</v>
      </c>
      <c r="J79" s="6" t="s">
        <v>21</v>
      </c>
    </row>
    <row r="80">
      <c r="A80" s="4">
        <v>46213.45733262731</v>
      </c>
      <c r="B80" s="6" t="s">
        <v>59</v>
      </c>
      <c r="C80" s="6" t="s">
        <v>461</v>
      </c>
      <c r="D80" s="6" t="s">
        <v>15</v>
      </c>
      <c r="E80" s="6" t="s">
        <v>16</v>
      </c>
      <c r="F80" s="6" t="s">
        <v>17</v>
      </c>
      <c r="G80" s="6" t="s">
        <v>18</v>
      </c>
      <c r="H80" s="6" t="s">
        <v>19</v>
      </c>
      <c r="I80" s="6" t="s">
        <v>20</v>
      </c>
      <c r="J80" s="6" t="s">
        <v>21</v>
      </c>
    </row>
    <row r="81">
      <c r="A81" s="4">
        <v>46213.46057928241</v>
      </c>
      <c r="B81" s="6" t="s">
        <v>172</v>
      </c>
      <c r="C81" s="6" t="s">
        <v>459</v>
      </c>
      <c r="D81" s="6" t="s">
        <v>15</v>
      </c>
      <c r="E81" s="6" t="s">
        <v>16</v>
      </c>
      <c r="F81" s="6" t="s">
        <v>17</v>
      </c>
      <c r="G81" s="6" t="s">
        <v>18</v>
      </c>
      <c r="H81" s="6" t="s">
        <v>19</v>
      </c>
      <c r="I81" s="6" t="s">
        <v>20</v>
      </c>
      <c r="J81" s="6" t="s">
        <v>21</v>
      </c>
      <c r="K81" s="6" t="s">
        <v>115</v>
      </c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4" max="4" width="2.13"/>
    <col customWidth="1" min="14" max="14" width="24.5"/>
  </cols>
  <sheetData>
    <row r="1">
      <c r="A1" s="2" t="s">
        <v>0</v>
      </c>
      <c r="B1" s="2" t="s">
        <v>1</v>
      </c>
      <c r="C1" s="3" t="s">
        <v>2</v>
      </c>
      <c r="D1" s="5"/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3" t="s">
        <v>9</v>
      </c>
      <c r="L1" s="2"/>
      <c r="M1" s="7" t="s">
        <v>24</v>
      </c>
    </row>
    <row r="2">
      <c r="A2" s="8">
        <f>'3.1'!A:A</f>
        <v>46181.52626</v>
      </c>
      <c r="B2" s="2" t="str">
        <f>'3.1'!B:B</f>
        <v>bnco0910@signalschool.ac.th</v>
      </c>
      <c r="C2" s="2" t="str">
        <f>'3.1'!C:C</f>
        <v>พ.ต. ไมตรี  บุญเหลื่อม</v>
      </c>
      <c r="D2" s="9">
        <v>1.0</v>
      </c>
      <c r="E2" s="10">
        <f>IFERROR(vlookup('3.1'!D:D,lookup!$A$2:$B$4,2,false),0)</f>
        <v>5</v>
      </c>
      <c r="F2" s="10">
        <f>IFERROR(vlookup('3.1'!E:E,lookup!$A$6:$B$8,2,false),0)</f>
        <v>5</v>
      </c>
      <c r="G2" s="10">
        <f>IFERROR(vlookup('3.1'!F:F,lookup!$A$10:$B$12,2,false),0)</f>
        <v>5</v>
      </c>
      <c r="H2" s="10">
        <f>IFERROR(vlookup('3.1'!G:G,lookup!$A$14:$B$16,2,false),0)</f>
        <v>5</v>
      </c>
      <c r="I2" s="10">
        <f>IFERROR(vlookup('3.1'!H:H,lookup!$A$18:$B$20,2,false),0)</f>
        <v>5</v>
      </c>
      <c r="J2" s="10">
        <f>IFERROR(vlookup('3.1'!I:I,lookup!$A$22:$B$24,2,false),0)</f>
        <v>5</v>
      </c>
      <c r="K2" s="10">
        <f>IFERROR(vlookup('3.1'!J:J,lookup!$A$26:$B$28,2,false),0)</f>
        <v>5</v>
      </c>
      <c r="L2" s="2"/>
      <c r="M2" s="10">
        <v>1.0</v>
      </c>
      <c r="N2" s="11" t="str">
        <f t="shared" ref="N2:N81" si="1">CONCAT(R2,"@signalschool.ac.th")</f>
        <v>bnco0901@signalschool.ac.th</v>
      </c>
      <c r="O2" s="12">
        <f t="shared" ref="O2:O81" si="2">IFERROR(VLOOKUP(N2,B$2:D$81,3,FALSE),0)</f>
        <v>1</v>
      </c>
      <c r="R2" s="17" t="s">
        <v>116</v>
      </c>
    </row>
    <row r="3">
      <c r="A3" s="8">
        <f>'3.1'!A:A</f>
        <v>46189.44417</v>
      </c>
      <c r="B3" s="2" t="str">
        <f>'3.1'!B:B</f>
        <v>bnco0940@signalschool.ac.th</v>
      </c>
      <c r="C3" s="2" t="str">
        <f>'3.1'!C:C</f>
        <v>พ.ต.ไมตรี บุญเหลื่อม</v>
      </c>
      <c r="D3" s="9">
        <v>1.0</v>
      </c>
      <c r="E3" s="10">
        <f>IFERROR(vlookup('3.1'!D:D,lookup!$A$2:$B$4,2,false),0)</f>
        <v>5</v>
      </c>
      <c r="F3" s="10">
        <f>IFERROR(vlookup('3.1'!E:E,lookup!$A$6:$B$8,2,false),0)</f>
        <v>5</v>
      </c>
      <c r="G3" s="10">
        <f>IFERROR(vlookup('3.1'!F:F,lookup!$A$10:$B$12,2,false),0)</f>
        <v>5</v>
      </c>
      <c r="H3" s="10">
        <f>IFERROR(vlookup('3.1'!G:G,lookup!$A$14:$B$16,2,false),0)</f>
        <v>5</v>
      </c>
      <c r="I3" s="10">
        <f>IFERROR(vlookup('3.1'!H:H,lookup!$A$18:$B$20,2,false),0)</f>
        <v>5</v>
      </c>
      <c r="J3" s="10">
        <f>IFERROR(vlookup('3.1'!I:I,lookup!$A$22:$B$24,2,false),0)</f>
        <v>5</v>
      </c>
      <c r="K3" s="10">
        <f>IFERROR(vlookup('3.1'!J:J,lookup!$A$26:$B$28,2,false),0)</f>
        <v>5</v>
      </c>
      <c r="L3" s="2"/>
      <c r="M3" s="10">
        <v>2.0</v>
      </c>
      <c r="N3" s="11" t="str">
        <f t="shared" si="1"/>
        <v>bnco0902@signalschool.ac.th</v>
      </c>
      <c r="O3" s="12">
        <f t="shared" si="2"/>
        <v>1</v>
      </c>
      <c r="R3" s="17" t="s">
        <v>157</v>
      </c>
    </row>
    <row r="4">
      <c r="A4" s="8">
        <f>'3.1'!A:A</f>
        <v>46195.36215</v>
      </c>
      <c r="B4" s="2" t="str">
        <f>'3.1'!B:B</f>
        <v>bnco0980@signalschool.ac.th</v>
      </c>
      <c r="C4" s="2" t="str">
        <f>'3.1'!C:C</f>
        <v>พ.ต.ไมตรี บุญเหลื่อม</v>
      </c>
      <c r="D4" s="9">
        <v>1.0</v>
      </c>
      <c r="E4" s="10">
        <f>IFERROR(vlookup('3.1'!D:D,lookup!$A$2:$B$4,2,false),0)</f>
        <v>5</v>
      </c>
      <c r="F4" s="10">
        <f>IFERROR(vlookup('3.1'!E:E,lookup!$A$6:$B$8,2,false),0)</f>
        <v>5</v>
      </c>
      <c r="G4" s="10">
        <f>IFERROR(vlookup('3.1'!F:F,lookup!$A$10:$B$12,2,false),0)</f>
        <v>5</v>
      </c>
      <c r="H4" s="10">
        <f>IFERROR(vlookup('3.1'!G:G,lookup!$A$14:$B$16,2,false),0)</f>
        <v>5</v>
      </c>
      <c r="I4" s="10">
        <f>IFERROR(vlookup('3.1'!H:H,lookup!$A$18:$B$20,2,false),0)</f>
        <v>5</v>
      </c>
      <c r="J4" s="10">
        <f>IFERROR(vlookup('3.1'!I:I,lookup!$A$22:$B$24,2,false),0)</f>
        <v>5</v>
      </c>
      <c r="K4" s="10">
        <f>IFERROR(vlookup('3.1'!J:J,lookup!$A$26:$B$28,2,false),0)</f>
        <v>5</v>
      </c>
      <c r="L4" s="2"/>
      <c r="M4" s="10">
        <v>3.0</v>
      </c>
      <c r="N4" s="11" t="str">
        <f t="shared" si="1"/>
        <v>bnco0903@signalschool.ac.th</v>
      </c>
      <c r="O4" s="12">
        <f t="shared" si="2"/>
        <v>1</v>
      </c>
      <c r="R4" s="17" t="s">
        <v>182</v>
      </c>
    </row>
    <row r="5">
      <c r="A5" s="8">
        <f>'3.1'!A:A</f>
        <v>46204.36308</v>
      </c>
      <c r="B5" s="2" t="str">
        <f>'3.1'!B:B</f>
        <v>bnco0950@signalschool.ac.th</v>
      </c>
      <c r="C5" s="2" t="str">
        <f>'3.1'!C:C</f>
        <v>พ.ต.ไมตรี บุญเหลี่ยม</v>
      </c>
      <c r="D5" s="9">
        <v>1.0</v>
      </c>
      <c r="E5" s="10">
        <f>IFERROR(vlookup('3.1'!D:D,lookup!$A$2:$B$4,2,false),0)</f>
        <v>5</v>
      </c>
      <c r="F5" s="10">
        <f>IFERROR(vlookup('3.1'!E:E,lookup!$A$6:$B$8,2,false),0)</f>
        <v>5</v>
      </c>
      <c r="G5" s="10">
        <f>IFERROR(vlookup('3.1'!F:F,lookup!$A$10:$B$12,2,false),0)</f>
        <v>5</v>
      </c>
      <c r="H5" s="10">
        <f>IFERROR(vlookup('3.1'!G:G,lookup!$A$14:$B$16,2,false),0)</f>
        <v>5</v>
      </c>
      <c r="I5" s="10">
        <f>IFERROR(vlookup('3.1'!H:H,lookup!$A$18:$B$20,2,false),0)</f>
        <v>5</v>
      </c>
      <c r="J5" s="10">
        <f>IFERROR(vlookup('3.1'!I:I,lookup!$A$22:$B$24,2,false),0)</f>
        <v>5</v>
      </c>
      <c r="K5" s="10">
        <f>IFERROR(vlookup('3.1'!J:J,lookup!$A$26:$B$28,2,false),0)</f>
        <v>5</v>
      </c>
      <c r="L5" s="2"/>
      <c r="M5" s="10">
        <v>4.0</v>
      </c>
      <c r="N5" s="11" t="str">
        <f t="shared" si="1"/>
        <v>bnco0904@signalschool.ac.th</v>
      </c>
      <c r="O5" s="12">
        <f t="shared" si="2"/>
        <v>1</v>
      </c>
      <c r="R5" s="17" t="s">
        <v>193</v>
      </c>
    </row>
    <row r="6">
      <c r="A6" s="8">
        <f>'3.1'!A:A</f>
        <v>46204.46216</v>
      </c>
      <c r="B6" s="2" t="str">
        <f>'3.1'!B:B</f>
        <v>bnco0951@signalschool.ac.th</v>
      </c>
      <c r="C6" s="2" t="str">
        <f>'3.1'!C:C</f>
        <v>พ.ต.ไมตรี บุญเหลี่ยม</v>
      </c>
      <c r="D6" s="9">
        <v>1.0</v>
      </c>
      <c r="E6" s="10">
        <f>IFERROR(vlookup('3.1'!D:D,lookup!$A$2:$B$4,2,false),0)</f>
        <v>5</v>
      </c>
      <c r="F6" s="10">
        <f>IFERROR(vlookup('3.1'!E:E,lookup!$A$6:$B$8,2,false),0)</f>
        <v>5</v>
      </c>
      <c r="G6" s="10">
        <f>IFERROR(vlookup('3.1'!F:F,lookup!$A$10:$B$12,2,false),0)</f>
        <v>5</v>
      </c>
      <c r="H6" s="10">
        <f>IFERROR(vlookup('3.1'!G:G,lookup!$A$14:$B$16,2,false),0)</f>
        <v>5</v>
      </c>
      <c r="I6" s="10">
        <f>IFERROR(vlookup('3.1'!H:H,lookup!$A$18:$B$20,2,false),0)</f>
        <v>5</v>
      </c>
      <c r="J6" s="10">
        <f>IFERROR(vlookup('3.1'!I:I,lookup!$A$22:$B$24,2,false),0)</f>
        <v>5</v>
      </c>
      <c r="K6" s="10">
        <f>IFERROR(vlookup('3.1'!J:J,lookup!$A$26:$B$28,2,false),0)</f>
        <v>5</v>
      </c>
      <c r="L6" s="2"/>
      <c r="M6" s="10">
        <v>5.0</v>
      </c>
      <c r="N6" s="11" t="str">
        <f t="shared" si="1"/>
        <v>bnco0905@signalschool.ac.th</v>
      </c>
      <c r="O6" s="12">
        <f t="shared" si="2"/>
        <v>1</v>
      </c>
      <c r="R6" s="17" t="s">
        <v>197</v>
      </c>
    </row>
    <row r="7">
      <c r="A7" s="8">
        <f>'3.1'!A:A</f>
        <v>46206.60183</v>
      </c>
      <c r="B7" s="2" t="str">
        <f>'3.1'!B:B</f>
        <v>bnco0920@signalschool.ac.th</v>
      </c>
      <c r="C7" s="2" t="str">
        <f>'3.1'!C:C</f>
        <v>พ.ต.ไมตรี บุญเหลื่อม</v>
      </c>
      <c r="D7" s="9">
        <v>1.0</v>
      </c>
      <c r="E7" s="10">
        <f>IFERROR(vlookup('3.1'!D:D,lookup!$A$2:$B$4,2,false),0)</f>
        <v>5</v>
      </c>
      <c r="F7" s="10">
        <f>IFERROR(vlookup('3.1'!E:E,lookup!$A$6:$B$8,2,false),0)</f>
        <v>5</v>
      </c>
      <c r="G7" s="10">
        <f>IFERROR(vlookup('3.1'!F:F,lookup!$A$10:$B$12,2,false),0)</f>
        <v>5</v>
      </c>
      <c r="H7" s="10">
        <f>IFERROR(vlookup('3.1'!G:G,lookup!$A$14:$B$16,2,false),0)</f>
        <v>5</v>
      </c>
      <c r="I7" s="10">
        <f>IFERROR(vlookup('3.1'!H:H,lookup!$A$18:$B$20,2,false),0)</f>
        <v>5</v>
      </c>
      <c r="J7" s="10">
        <f>IFERROR(vlookup('3.1'!I:I,lookup!$A$22:$B$24,2,false),0)</f>
        <v>5</v>
      </c>
      <c r="K7" s="10">
        <f>IFERROR(vlookup('3.1'!J:J,lookup!$A$26:$B$28,2,false),0)</f>
        <v>5</v>
      </c>
      <c r="L7" s="2"/>
      <c r="M7" s="10">
        <v>6.0</v>
      </c>
      <c r="N7" s="11" t="str">
        <f t="shared" si="1"/>
        <v>bnco0906@signalschool.ac.th</v>
      </c>
      <c r="O7" s="12">
        <f t="shared" si="2"/>
        <v>1</v>
      </c>
      <c r="R7" s="17" t="s">
        <v>203</v>
      </c>
    </row>
    <row r="8">
      <c r="A8" s="8">
        <f>'3.1'!A:A</f>
        <v>46212.59163</v>
      </c>
      <c r="B8" s="2" t="str">
        <f>'3.1'!B:B</f>
        <v>bnco0906@signalschool.ac.th</v>
      </c>
      <c r="C8" s="2" t="str">
        <f>'3.1'!C:C</f>
        <v>พ.ต.ไมตรี บุญเหลื่อม</v>
      </c>
      <c r="D8" s="9">
        <v>1.0</v>
      </c>
      <c r="E8" s="10">
        <f>IFERROR(vlookup('3.1'!D:D,lookup!$A$2:$B$4,2,false),0)</f>
        <v>3</v>
      </c>
      <c r="F8" s="10">
        <f>IFERROR(vlookup('3.1'!E:E,lookup!$A$6:$B$8,2,false),0)</f>
        <v>3</v>
      </c>
      <c r="G8" s="10">
        <f>IFERROR(vlookup('3.1'!F:F,lookup!$A$10:$B$12,2,false),0)</f>
        <v>3</v>
      </c>
      <c r="H8" s="10">
        <f>IFERROR(vlookup('3.1'!G:G,lookup!$A$14:$B$16,2,false),0)</f>
        <v>3</v>
      </c>
      <c r="I8" s="10">
        <f>IFERROR(vlookup('3.1'!H:H,lookup!$A$18:$B$20,2,false),0)</f>
        <v>3</v>
      </c>
      <c r="J8" s="10">
        <f>IFERROR(vlookup('3.1'!I:I,lookup!$A$22:$B$24,2,false),0)</f>
        <v>3</v>
      </c>
      <c r="K8" s="10">
        <f>IFERROR(vlookup('3.1'!J:J,lookup!$A$26:$B$28,2,false),0)</f>
        <v>3</v>
      </c>
      <c r="L8" s="2"/>
      <c r="M8" s="10">
        <v>7.0</v>
      </c>
      <c r="N8" s="11" t="str">
        <f t="shared" si="1"/>
        <v>bnco0907@signalschool.ac.th</v>
      </c>
      <c r="O8" s="12">
        <f t="shared" si="2"/>
        <v>1</v>
      </c>
      <c r="R8" s="17" t="s">
        <v>206</v>
      </c>
    </row>
    <row r="9">
      <c r="A9" s="8">
        <f>'3.1'!A:A</f>
        <v>46212.62118</v>
      </c>
      <c r="B9" s="2" t="str">
        <f>'3.1'!B:B</f>
        <v>bnco0955@signalschool.ac.th</v>
      </c>
      <c r="C9" s="2" t="str">
        <f>'3.1'!C:C</f>
        <v>อาจารย์ประจำวิชาผู้นำหน่วย</v>
      </c>
      <c r="D9" s="9">
        <v>1.0</v>
      </c>
      <c r="E9" s="10">
        <f>IFERROR(vlookup('3.1'!D:D,lookup!$A$2:$B$4,2,false),0)</f>
        <v>5</v>
      </c>
      <c r="F9" s="10">
        <f>IFERROR(vlookup('3.1'!E:E,lookup!$A$6:$B$8,2,false),0)</f>
        <v>5</v>
      </c>
      <c r="G9" s="10">
        <f>IFERROR(vlookup('3.1'!F:F,lookup!$A$10:$B$12,2,false),0)</f>
        <v>5</v>
      </c>
      <c r="H9" s="10">
        <f>IFERROR(vlookup('3.1'!G:G,lookup!$A$14:$B$16,2,false),0)</f>
        <v>5</v>
      </c>
      <c r="I9" s="10">
        <f>IFERROR(vlookup('3.1'!H:H,lookup!$A$18:$B$20,2,false),0)</f>
        <v>5</v>
      </c>
      <c r="J9" s="10">
        <f>IFERROR(vlookup('3.1'!I:I,lookup!$A$22:$B$24,2,false),0)</f>
        <v>5</v>
      </c>
      <c r="K9" s="10">
        <f>IFERROR(vlookup('3.1'!J:J,lookup!$A$26:$B$28,2,false),0)</f>
        <v>5</v>
      </c>
      <c r="L9" s="2"/>
      <c r="M9" s="10">
        <v>8.0</v>
      </c>
      <c r="N9" s="11" t="str">
        <f t="shared" si="1"/>
        <v>bnco0908@signalschool.ac.th</v>
      </c>
      <c r="O9" s="12">
        <f t="shared" si="2"/>
        <v>1</v>
      </c>
      <c r="R9" s="17" t="s">
        <v>211</v>
      </c>
    </row>
    <row r="10">
      <c r="A10" s="8">
        <f>'3.1'!A:A</f>
        <v>46212.62158</v>
      </c>
      <c r="B10" s="2" t="str">
        <f>'3.1'!B:B</f>
        <v>bnco0932@signalschool.ac.th</v>
      </c>
      <c r="C10" s="2" t="str">
        <f>'3.1'!C:C</f>
        <v>พ.ต.ไมตรี บุญเหลือม</v>
      </c>
      <c r="D10" s="9">
        <v>1.0</v>
      </c>
      <c r="E10" s="10">
        <f>IFERROR(vlookup('3.1'!D:D,lookup!$A$2:$B$4,2,false),0)</f>
        <v>5</v>
      </c>
      <c r="F10" s="10">
        <f>IFERROR(vlookup('3.1'!E:E,lookup!$A$6:$B$8,2,false),0)</f>
        <v>5</v>
      </c>
      <c r="G10" s="10">
        <f>IFERROR(vlookup('3.1'!F:F,lookup!$A$10:$B$12,2,false),0)</f>
        <v>5</v>
      </c>
      <c r="H10" s="10">
        <f>IFERROR(vlookup('3.1'!G:G,lookup!$A$14:$B$16,2,false),0)</f>
        <v>5</v>
      </c>
      <c r="I10" s="10">
        <f>IFERROR(vlookup('3.1'!H:H,lookup!$A$18:$B$20,2,false),0)</f>
        <v>5</v>
      </c>
      <c r="J10" s="10">
        <f>IFERROR(vlookup('3.1'!I:I,lookup!$A$22:$B$24,2,false),0)</f>
        <v>5</v>
      </c>
      <c r="K10" s="10">
        <f>IFERROR(vlookup('3.1'!J:J,lookup!$A$26:$B$28,2,false),0)</f>
        <v>5</v>
      </c>
      <c r="L10" s="2"/>
      <c r="M10" s="10">
        <v>9.0</v>
      </c>
      <c r="N10" s="11" t="str">
        <f t="shared" si="1"/>
        <v>bnco0909@signalschool.ac.th</v>
      </c>
      <c r="O10" s="12">
        <f t="shared" si="2"/>
        <v>1</v>
      </c>
      <c r="R10" s="17" t="s">
        <v>212</v>
      </c>
    </row>
    <row r="11">
      <c r="A11" s="8">
        <f>'3.1'!A:A</f>
        <v>46212.62163</v>
      </c>
      <c r="B11" s="2" t="str">
        <f>'3.1'!B:B</f>
        <v>bnco0958@signalschool.ac.th</v>
      </c>
      <c r="C11" s="2" t="str">
        <f>'3.1'!C:C</f>
        <v>พ.ต.ไมตรี บุญเหลื่อม</v>
      </c>
      <c r="D11" s="9">
        <v>1.0</v>
      </c>
      <c r="E11" s="10">
        <f>IFERROR(vlookup('3.1'!D:D,lookup!$A$2:$B$4,2,false),0)</f>
        <v>5</v>
      </c>
      <c r="F11" s="10">
        <f>IFERROR(vlookup('3.1'!E:E,lookup!$A$6:$B$8,2,false),0)</f>
        <v>5</v>
      </c>
      <c r="G11" s="10">
        <f>IFERROR(vlookup('3.1'!F:F,lookup!$A$10:$B$12,2,false),0)</f>
        <v>5</v>
      </c>
      <c r="H11" s="10">
        <f>IFERROR(vlookup('3.1'!G:G,lookup!$A$14:$B$16,2,false),0)</f>
        <v>5</v>
      </c>
      <c r="I11" s="10">
        <f>IFERROR(vlookup('3.1'!H:H,lookup!$A$18:$B$20,2,false),0)</f>
        <v>5</v>
      </c>
      <c r="J11" s="10">
        <f>IFERROR(vlookup('3.1'!I:I,lookup!$A$22:$B$24,2,false),0)</f>
        <v>5</v>
      </c>
      <c r="K11" s="10">
        <f>IFERROR(vlookup('3.1'!J:J,lookup!$A$26:$B$28,2,false),0)</f>
        <v>5</v>
      </c>
      <c r="L11" s="2"/>
      <c r="M11" s="10">
        <v>10.0</v>
      </c>
      <c r="N11" s="11" t="str">
        <f t="shared" si="1"/>
        <v>bnco0910@signalschool.ac.th</v>
      </c>
      <c r="O11" s="12">
        <f t="shared" si="2"/>
        <v>1</v>
      </c>
      <c r="R11" s="17" t="s">
        <v>213</v>
      </c>
    </row>
    <row r="12">
      <c r="A12" s="8">
        <f>'3.1'!A:A</f>
        <v>46212.62225</v>
      </c>
      <c r="B12" s="2" t="str">
        <f>'3.1'!B:B</f>
        <v>bnco0962@signalschool.ac.th</v>
      </c>
      <c r="C12" s="2" t="str">
        <f>'3.1'!C:C</f>
        <v>พ.ต.ไมตรี   บุญเหลื่อม</v>
      </c>
      <c r="D12" s="9">
        <v>1.0</v>
      </c>
      <c r="E12" s="10">
        <f>IFERROR(vlookup('3.1'!D:D,lookup!$A$2:$B$4,2,false),0)</f>
        <v>5</v>
      </c>
      <c r="F12" s="10">
        <f>IFERROR(vlookup('3.1'!E:E,lookup!$A$6:$B$8,2,false),0)</f>
        <v>5</v>
      </c>
      <c r="G12" s="10">
        <f>IFERROR(vlookup('3.1'!F:F,lookup!$A$10:$B$12,2,false),0)</f>
        <v>5</v>
      </c>
      <c r="H12" s="10">
        <f>IFERROR(vlookup('3.1'!G:G,lookup!$A$14:$B$16,2,false),0)</f>
        <v>5</v>
      </c>
      <c r="I12" s="10">
        <f>IFERROR(vlookup('3.1'!H:H,lookup!$A$18:$B$20,2,false),0)</f>
        <v>5</v>
      </c>
      <c r="J12" s="10">
        <f>IFERROR(vlookup('3.1'!I:I,lookup!$A$22:$B$24,2,false),0)</f>
        <v>5</v>
      </c>
      <c r="K12" s="10">
        <f>IFERROR(vlookup('3.1'!J:J,lookup!$A$26:$B$28,2,false),0)</f>
        <v>5</v>
      </c>
      <c r="L12" s="2"/>
      <c r="M12" s="10">
        <v>11.0</v>
      </c>
      <c r="N12" s="11" t="str">
        <f t="shared" si="1"/>
        <v>bnco0911@signalschool.ac.th</v>
      </c>
      <c r="O12" s="12">
        <f t="shared" si="2"/>
        <v>1</v>
      </c>
      <c r="R12" s="17" t="s">
        <v>214</v>
      </c>
    </row>
    <row r="13">
      <c r="A13" s="8">
        <f>'3.1'!A:A</f>
        <v>46212.62398</v>
      </c>
      <c r="B13" s="2" t="str">
        <f>'3.1'!B:B</f>
        <v>bnco0971@signalschool.ac.th</v>
      </c>
      <c r="C13" s="2" t="str">
        <f>'3.1'!C:C</f>
        <v>พ.ต.ไมตรี บุญเหลื่อม</v>
      </c>
      <c r="D13" s="9">
        <v>1.0</v>
      </c>
      <c r="E13" s="10">
        <f>IFERROR(vlookup('3.1'!D:D,lookup!$A$2:$B$4,2,false),0)</f>
        <v>5</v>
      </c>
      <c r="F13" s="10">
        <f>IFERROR(vlookup('3.1'!E:E,lookup!$A$6:$B$8,2,false),0)</f>
        <v>5</v>
      </c>
      <c r="G13" s="10">
        <f>IFERROR(vlookup('3.1'!F:F,lookup!$A$10:$B$12,2,false),0)</f>
        <v>5</v>
      </c>
      <c r="H13" s="10">
        <f>IFERROR(vlookup('3.1'!G:G,lookup!$A$14:$B$16,2,false),0)</f>
        <v>5</v>
      </c>
      <c r="I13" s="10">
        <f>IFERROR(vlookup('3.1'!H:H,lookup!$A$18:$B$20,2,false),0)</f>
        <v>5</v>
      </c>
      <c r="J13" s="10">
        <f>IFERROR(vlookup('3.1'!I:I,lookup!$A$22:$B$24,2,false),0)</f>
        <v>5</v>
      </c>
      <c r="K13" s="10">
        <f>IFERROR(vlookup('3.1'!J:J,lookup!$A$26:$B$28,2,false),0)</f>
        <v>5</v>
      </c>
      <c r="L13" s="2"/>
      <c r="M13" s="10">
        <v>12.0</v>
      </c>
      <c r="N13" s="11" t="str">
        <f t="shared" si="1"/>
        <v>bnco0912@signalschool.ac.th</v>
      </c>
      <c r="O13" s="12">
        <f t="shared" si="2"/>
        <v>1</v>
      </c>
      <c r="R13" s="17" t="s">
        <v>222</v>
      </c>
    </row>
    <row r="14">
      <c r="A14" s="8">
        <f>'3.1'!A:A</f>
        <v>46212.62462</v>
      </c>
      <c r="B14" s="2" t="str">
        <f>'3.1'!B:B</f>
        <v>bnco0924@signalschool.ac.th</v>
      </c>
      <c r="C14" s="2" t="str">
        <f>'3.1'!C:C</f>
        <v>พ.ต.ไมตรี บุญเหลื่อม</v>
      </c>
      <c r="D14" s="9">
        <v>1.0</v>
      </c>
      <c r="E14" s="10">
        <f>IFERROR(vlookup('3.1'!D:D,lookup!$A$2:$B$4,2,false),0)</f>
        <v>5</v>
      </c>
      <c r="F14" s="10">
        <f>IFERROR(vlookup('3.1'!E:E,lookup!$A$6:$B$8,2,false),0)</f>
        <v>5</v>
      </c>
      <c r="G14" s="10">
        <f>IFERROR(vlookup('3.1'!F:F,lookup!$A$10:$B$12,2,false),0)</f>
        <v>5</v>
      </c>
      <c r="H14" s="10">
        <f>IFERROR(vlookup('3.1'!G:G,lookup!$A$14:$B$16,2,false),0)</f>
        <v>5</v>
      </c>
      <c r="I14" s="10">
        <f>IFERROR(vlookup('3.1'!H:H,lookup!$A$18:$B$20,2,false),0)</f>
        <v>5</v>
      </c>
      <c r="J14" s="10">
        <f>IFERROR(vlookup('3.1'!I:I,lookup!$A$22:$B$24,2,false),0)</f>
        <v>5</v>
      </c>
      <c r="K14" s="10">
        <f>IFERROR(vlookup('3.1'!J:J,lookup!$A$26:$B$28,2,false),0)</f>
        <v>5</v>
      </c>
      <c r="L14" s="2"/>
      <c r="M14" s="10">
        <v>13.0</v>
      </c>
      <c r="N14" s="11" t="str">
        <f t="shared" si="1"/>
        <v>bnco0913@signalschool.ac.th</v>
      </c>
      <c r="O14" s="12">
        <f t="shared" si="2"/>
        <v>1</v>
      </c>
      <c r="R14" s="17" t="s">
        <v>227</v>
      </c>
    </row>
    <row r="15">
      <c r="A15" s="8">
        <f>'3.1'!A:A</f>
        <v>46212.62489</v>
      </c>
      <c r="B15" s="2" t="str">
        <f>'3.1'!B:B</f>
        <v>bnco0928@signalschool.ac.th</v>
      </c>
      <c r="C15" s="2" t="str">
        <f>'3.1'!C:C</f>
        <v>พ.ต.ไมตรี บุญเหลื่อม</v>
      </c>
      <c r="D15" s="9">
        <v>1.0</v>
      </c>
      <c r="E15" s="10">
        <f>IFERROR(vlookup('3.1'!D:D,lookup!$A$2:$B$4,2,false),0)</f>
        <v>5</v>
      </c>
      <c r="F15" s="10">
        <f>IFERROR(vlookup('3.1'!E:E,lookup!$A$6:$B$8,2,false),0)</f>
        <v>5</v>
      </c>
      <c r="G15" s="10">
        <f>IFERROR(vlookup('3.1'!F:F,lookup!$A$10:$B$12,2,false),0)</f>
        <v>5</v>
      </c>
      <c r="H15" s="10">
        <f>IFERROR(vlookup('3.1'!G:G,lookup!$A$14:$B$16,2,false),0)</f>
        <v>5</v>
      </c>
      <c r="I15" s="10">
        <f>IFERROR(vlookup('3.1'!H:H,lookup!$A$18:$B$20,2,false),0)</f>
        <v>5</v>
      </c>
      <c r="J15" s="10">
        <f>IFERROR(vlookup('3.1'!I:I,lookup!$A$22:$B$24,2,false),0)</f>
        <v>5</v>
      </c>
      <c r="K15" s="10">
        <f>IFERROR(vlookup('3.1'!J:J,lookup!$A$26:$B$28,2,false),0)</f>
        <v>5</v>
      </c>
      <c r="L15" s="2"/>
      <c r="M15" s="10">
        <v>14.0</v>
      </c>
      <c r="N15" s="11" t="str">
        <f t="shared" si="1"/>
        <v>bnco0914@signalschool.ac.th</v>
      </c>
      <c r="O15" s="12">
        <f t="shared" si="2"/>
        <v>1</v>
      </c>
      <c r="R15" s="17" t="s">
        <v>230</v>
      </c>
    </row>
    <row r="16">
      <c r="A16" s="8">
        <f>'3.1'!A:A</f>
        <v>46212.62493</v>
      </c>
      <c r="B16" s="2" t="str">
        <f>'3.1'!B:B</f>
        <v>bnco0972@signalschool.ac.th</v>
      </c>
      <c r="C16" s="2" t="str">
        <f>'3.1'!C:C</f>
        <v>พ.ต.ไมตรี  บุญเหลื่อม</v>
      </c>
      <c r="D16" s="9">
        <v>1.0</v>
      </c>
      <c r="E16" s="10">
        <f>IFERROR(vlookup('3.1'!D:D,lookup!$A$2:$B$4,2,false),0)</f>
        <v>5</v>
      </c>
      <c r="F16" s="10">
        <f>IFERROR(vlookup('3.1'!E:E,lookup!$A$6:$B$8,2,false),0)</f>
        <v>5</v>
      </c>
      <c r="G16" s="10">
        <f>IFERROR(vlookup('3.1'!F:F,lookup!$A$10:$B$12,2,false),0)</f>
        <v>5</v>
      </c>
      <c r="H16" s="10">
        <f>IFERROR(vlookup('3.1'!G:G,lookup!$A$14:$B$16,2,false),0)</f>
        <v>5</v>
      </c>
      <c r="I16" s="10">
        <f>IFERROR(vlookup('3.1'!H:H,lookup!$A$18:$B$20,2,false),0)</f>
        <v>5</v>
      </c>
      <c r="J16" s="10">
        <f>IFERROR(vlookup('3.1'!I:I,lookup!$A$22:$B$24,2,false),0)</f>
        <v>5</v>
      </c>
      <c r="K16" s="10">
        <f>IFERROR(vlookup('3.1'!J:J,lookup!$A$26:$B$28,2,false),0)</f>
        <v>5</v>
      </c>
      <c r="L16" s="2"/>
      <c r="M16" s="10">
        <v>15.0</v>
      </c>
      <c r="N16" s="11" t="str">
        <f t="shared" si="1"/>
        <v>bnco0915@signalschool.ac.th</v>
      </c>
      <c r="O16" s="12">
        <f t="shared" si="2"/>
        <v>1</v>
      </c>
      <c r="R16" s="17" t="s">
        <v>232</v>
      </c>
    </row>
    <row r="17">
      <c r="A17" s="8">
        <f>'3.1'!A:A</f>
        <v>46212.6256</v>
      </c>
      <c r="B17" s="2" t="str">
        <f>'3.1'!B:B</f>
        <v>bnco0923@signalschool.ac.th</v>
      </c>
      <c r="C17" s="2" t="str">
        <f>'3.1'!C:C</f>
        <v>พ.ต.ไมตรี บุญเหลือม</v>
      </c>
      <c r="D17" s="9">
        <v>1.0</v>
      </c>
      <c r="E17" s="10">
        <f>IFERROR(vlookup('3.1'!D:D,lookup!$A$2:$B$4,2,false),0)</f>
        <v>5</v>
      </c>
      <c r="F17" s="10">
        <f>IFERROR(vlookup('3.1'!E:E,lookup!$A$6:$B$8,2,false),0)</f>
        <v>5</v>
      </c>
      <c r="G17" s="10">
        <f>IFERROR(vlookup('3.1'!F:F,lookup!$A$10:$B$12,2,false),0)</f>
        <v>5</v>
      </c>
      <c r="H17" s="10">
        <f>IFERROR(vlookup('3.1'!G:G,lookup!$A$14:$B$16,2,false),0)</f>
        <v>5</v>
      </c>
      <c r="I17" s="10">
        <f>IFERROR(vlookup('3.1'!H:H,lookup!$A$18:$B$20,2,false),0)</f>
        <v>5</v>
      </c>
      <c r="J17" s="10">
        <f>IFERROR(vlookup('3.1'!I:I,lookup!$A$22:$B$24,2,false),0)</f>
        <v>5</v>
      </c>
      <c r="K17" s="10">
        <f>IFERROR(vlookup('3.1'!J:J,lookup!$A$26:$B$28,2,false),0)</f>
        <v>5</v>
      </c>
      <c r="L17" s="2"/>
      <c r="M17" s="10">
        <v>16.0</v>
      </c>
      <c r="N17" s="11" t="str">
        <f t="shared" si="1"/>
        <v>bnco0916@signalschool.ac.th</v>
      </c>
      <c r="O17" s="12">
        <f t="shared" si="2"/>
        <v>1</v>
      </c>
      <c r="R17" s="17" t="s">
        <v>233</v>
      </c>
    </row>
    <row r="18">
      <c r="A18" s="8">
        <f>'3.1'!A:A</f>
        <v>46212.62568</v>
      </c>
      <c r="B18" s="2" t="str">
        <f>'3.1'!B:B</f>
        <v>bnco0935@signalschool.ac.th</v>
      </c>
      <c r="C18" s="2" t="str">
        <f>'3.1'!C:C</f>
        <v>พ.ต.ไมตรี บุญเหลื่อม</v>
      </c>
      <c r="D18" s="9">
        <v>1.0</v>
      </c>
      <c r="E18" s="10">
        <f>IFERROR(vlookup('3.1'!D:D,lookup!$A$2:$B$4,2,false),0)</f>
        <v>5</v>
      </c>
      <c r="F18" s="10">
        <f>IFERROR(vlookup('3.1'!E:E,lookup!$A$6:$B$8,2,false),0)</f>
        <v>5</v>
      </c>
      <c r="G18" s="10">
        <f>IFERROR(vlookup('3.1'!F:F,lookup!$A$10:$B$12,2,false),0)</f>
        <v>5</v>
      </c>
      <c r="H18" s="10">
        <f>IFERROR(vlookup('3.1'!G:G,lookup!$A$14:$B$16,2,false),0)</f>
        <v>5</v>
      </c>
      <c r="I18" s="10">
        <f>IFERROR(vlookup('3.1'!H:H,lookup!$A$18:$B$20,2,false),0)</f>
        <v>5</v>
      </c>
      <c r="J18" s="10">
        <f>IFERROR(vlookup('3.1'!I:I,lookup!$A$22:$B$24,2,false),0)</f>
        <v>5</v>
      </c>
      <c r="K18" s="10">
        <f>IFERROR(vlookup('3.1'!J:J,lookup!$A$26:$B$28,2,false),0)</f>
        <v>5</v>
      </c>
      <c r="L18" s="2"/>
      <c r="M18" s="10">
        <v>17.0</v>
      </c>
      <c r="N18" s="11" t="str">
        <f t="shared" si="1"/>
        <v>bnco0917@signalschool.ac.th</v>
      </c>
      <c r="O18" s="12">
        <f t="shared" si="2"/>
        <v>1</v>
      </c>
      <c r="R18" s="17" t="s">
        <v>234</v>
      </c>
    </row>
    <row r="19">
      <c r="A19" s="8">
        <f>'3.1'!A:A</f>
        <v>46212.62598</v>
      </c>
      <c r="B19" s="2" t="str">
        <f>'3.1'!B:B</f>
        <v>bnco0918@signalschool.ac.th</v>
      </c>
      <c r="C19" s="2" t="str">
        <f>'3.1'!C:C</f>
        <v>พ.ต.ไมตรี บุญเหลื่อม</v>
      </c>
      <c r="D19" s="9">
        <v>1.0</v>
      </c>
      <c r="E19" s="10">
        <f>IFERROR(vlookup('3.1'!D:D,lookup!$A$2:$B$4,2,false),0)</f>
        <v>5</v>
      </c>
      <c r="F19" s="10">
        <f>IFERROR(vlookup('3.1'!E:E,lookup!$A$6:$B$8,2,false),0)</f>
        <v>5</v>
      </c>
      <c r="G19" s="10">
        <f>IFERROR(vlookup('3.1'!F:F,lookup!$A$10:$B$12,2,false),0)</f>
        <v>5</v>
      </c>
      <c r="H19" s="10">
        <f>IFERROR(vlookup('3.1'!G:G,lookup!$A$14:$B$16,2,false),0)</f>
        <v>5</v>
      </c>
      <c r="I19" s="10">
        <f>IFERROR(vlookup('3.1'!H:H,lookup!$A$18:$B$20,2,false),0)</f>
        <v>5</v>
      </c>
      <c r="J19" s="10">
        <f>IFERROR(vlookup('3.1'!I:I,lookup!$A$22:$B$24,2,false),0)</f>
        <v>5</v>
      </c>
      <c r="K19" s="10">
        <f>IFERROR(vlookup('3.1'!J:J,lookup!$A$26:$B$28,2,false),0)</f>
        <v>5</v>
      </c>
      <c r="L19" s="2"/>
      <c r="M19" s="10">
        <v>18.0</v>
      </c>
      <c r="N19" s="11" t="str">
        <f t="shared" si="1"/>
        <v>bnco0918@signalschool.ac.th</v>
      </c>
      <c r="O19" s="12">
        <f t="shared" si="2"/>
        <v>1</v>
      </c>
      <c r="R19" s="17" t="s">
        <v>235</v>
      </c>
    </row>
    <row r="20">
      <c r="A20" s="8">
        <f>'3.1'!A:A</f>
        <v>46212.62619</v>
      </c>
      <c r="B20" s="2" t="str">
        <f>'3.1'!B:B</f>
        <v>bnco0977@signalschool.ac.th</v>
      </c>
      <c r="C20" s="2" t="str">
        <f>'3.1'!C:C</f>
        <v>พ.ต.ไมตรี บุญเหลื่อม</v>
      </c>
      <c r="D20" s="9">
        <v>1.0</v>
      </c>
      <c r="E20" s="10">
        <f>IFERROR(vlookup('3.1'!D:D,lookup!$A$2:$B$4,2,false),0)</f>
        <v>5</v>
      </c>
      <c r="F20" s="10">
        <f>IFERROR(vlookup('3.1'!E:E,lookup!$A$6:$B$8,2,false),0)</f>
        <v>5</v>
      </c>
      <c r="G20" s="10">
        <f>IFERROR(vlookup('3.1'!F:F,lookup!$A$10:$B$12,2,false),0)</f>
        <v>5</v>
      </c>
      <c r="H20" s="10">
        <f>IFERROR(vlookup('3.1'!G:G,lookup!$A$14:$B$16,2,false),0)</f>
        <v>5</v>
      </c>
      <c r="I20" s="10">
        <f>IFERROR(vlookup('3.1'!H:H,lookup!$A$18:$B$20,2,false),0)</f>
        <v>5</v>
      </c>
      <c r="J20" s="10">
        <f>IFERROR(vlookup('3.1'!I:I,lookup!$A$22:$B$24,2,false),0)</f>
        <v>5</v>
      </c>
      <c r="K20" s="10">
        <f>IFERROR(vlookup('3.1'!J:J,lookup!$A$26:$B$28,2,false),0)</f>
        <v>5</v>
      </c>
      <c r="L20" s="2"/>
      <c r="M20" s="10">
        <v>19.0</v>
      </c>
      <c r="N20" s="11" t="str">
        <f t="shared" si="1"/>
        <v>bnco0919@signalschool.ac.th</v>
      </c>
      <c r="O20" s="12">
        <f t="shared" si="2"/>
        <v>1</v>
      </c>
      <c r="R20" s="17" t="s">
        <v>236</v>
      </c>
    </row>
    <row r="21">
      <c r="A21" s="8">
        <f>'3.1'!A:A</f>
        <v>46212.62622</v>
      </c>
      <c r="B21" s="2" t="str">
        <f>'3.1'!B:B</f>
        <v>bnco0943@signalschool.ac.th</v>
      </c>
      <c r="C21" s="2" t="str">
        <f>'3.1'!C:C</f>
        <v>พ.ต.ไมตรี บุญเหลื่อม</v>
      </c>
      <c r="D21" s="9">
        <v>1.0</v>
      </c>
      <c r="E21" s="10">
        <f>IFERROR(vlookup('3.1'!D:D,lookup!$A$2:$B$4,2,false),0)</f>
        <v>5</v>
      </c>
      <c r="F21" s="10">
        <f>IFERROR(vlookup('3.1'!E:E,lookup!$A$6:$B$8,2,false),0)</f>
        <v>5</v>
      </c>
      <c r="G21" s="10">
        <f>IFERROR(vlookup('3.1'!F:F,lookup!$A$10:$B$12,2,false),0)</f>
        <v>5</v>
      </c>
      <c r="H21" s="10">
        <f>IFERROR(vlookup('3.1'!G:G,lookup!$A$14:$B$16,2,false),0)</f>
        <v>5</v>
      </c>
      <c r="I21" s="10">
        <f>IFERROR(vlookup('3.1'!H:H,lookup!$A$18:$B$20,2,false),0)</f>
        <v>5</v>
      </c>
      <c r="J21" s="10">
        <f>IFERROR(vlookup('3.1'!I:I,lookup!$A$22:$B$24,2,false),0)</f>
        <v>5</v>
      </c>
      <c r="K21" s="10">
        <f>IFERROR(vlookup('3.1'!J:J,lookup!$A$26:$B$28,2,false),0)</f>
        <v>5</v>
      </c>
      <c r="L21" s="2"/>
      <c r="M21" s="10">
        <v>20.0</v>
      </c>
      <c r="N21" s="11" t="str">
        <f t="shared" si="1"/>
        <v>bnco0920@signalschool.ac.th</v>
      </c>
      <c r="O21" s="12">
        <f t="shared" si="2"/>
        <v>1</v>
      </c>
      <c r="R21" s="17" t="s">
        <v>237</v>
      </c>
    </row>
    <row r="22">
      <c r="A22" s="8">
        <f>'3.1'!A:A</f>
        <v>46212.62631</v>
      </c>
      <c r="B22" s="2" t="str">
        <f>'3.1'!B:B</f>
        <v>bnco0942@signalschool.ac.th</v>
      </c>
      <c r="C22" s="2" t="str">
        <f>'3.1'!C:C</f>
        <v>พ.ต.ไมตรี  บุญเหลื่อม</v>
      </c>
      <c r="D22" s="9">
        <v>1.0</v>
      </c>
      <c r="E22" s="10">
        <f>IFERROR(vlookup('3.1'!D:D,lookup!$A$2:$B$4,2,false),0)</f>
        <v>5</v>
      </c>
      <c r="F22" s="10">
        <f>IFERROR(vlookup('3.1'!E:E,lookup!$A$6:$B$8,2,false),0)</f>
        <v>5</v>
      </c>
      <c r="G22" s="10">
        <f>IFERROR(vlookup('3.1'!F:F,lookup!$A$10:$B$12,2,false),0)</f>
        <v>5</v>
      </c>
      <c r="H22" s="10">
        <f>IFERROR(vlookup('3.1'!G:G,lookup!$A$14:$B$16,2,false),0)</f>
        <v>5</v>
      </c>
      <c r="I22" s="10">
        <f>IFERROR(vlookup('3.1'!H:H,lookup!$A$18:$B$20,2,false),0)</f>
        <v>5</v>
      </c>
      <c r="J22" s="10">
        <f>IFERROR(vlookup('3.1'!I:I,lookup!$A$22:$B$24,2,false),0)</f>
        <v>5</v>
      </c>
      <c r="K22" s="10">
        <f>IFERROR(vlookup('3.1'!J:J,lookup!$A$26:$B$28,2,false),0)</f>
        <v>5</v>
      </c>
      <c r="L22" s="2"/>
      <c r="M22" s="10">
        <v>21.0</v>
      </c>
      <c r="N22" s="11" t="str">
        <f t="shared" si="1"/>
        <v>bnco0921@signalschool.ac.th</v>
      </c>
      <c r="O22" s="12">
        <f t="shared" si="2"/>
        <v>1</v>
      </c>
      <c r="R22" s="17" t="s">
        <v>238</v>
      </c>
    </row>
    <row r="23">
      <c r="A23" s="8">
        <f>'3.1'!A:A</f>
        <v>46212.62636</v>
      </c>
      <c r="B23" s="2" t="str">
        <f>'3.1'!B:B</f>
        <v>bnco0930@signalschool.ac.th</v>
      </c>
      <c r="C23" s="2" t="str">
        <f>'3.1'!C:C</f>
        <v>พ.ต.ไมตรี บุญเหลื่อม</v>
      </c>
      <c r="D23" s="9">
        <v>1.0</v>
      </c>
      <c r="E23" s="10">
        <f>IFERROR(vlookup('3.1'!D:D,lookup!$A$2:$B$4,2,false),0)</f>
        <v>5</v>
      </c>
      <c r="F23" s="10">
        <f>IFERROR(vlookup('3.1'!E:E,lookup!$A$6:$B$8,2,false),0)</f>
        <v>5</v>
      </c>
      <c r="G23" s="10">
        <f>IFERROR(vlookup('3.1'!F:F,lookup!$A$10:$B$12,2,false),0)</f>
        <v>5</v>
      </c>
      <c r="H23" s="10">
        <f>IFERROR(vlookup('3.1'!G:G,lookup!$A$14:$B$16,2,false),0)</f>
        <v>5</v>
      </c>
      <c r="I23" s="10">
        <f>IFERROR(vlookup('3.1'!H:H,lookup!$A$18:$B$20,2,false),0)</f>
        <v>5</v>
      </c>
      <c r="J23" s="10">
        <f>IFERROR(vlookup('3.1'!I:I,lookup!$A$22:$B$24,2,false),0)</f>
        <v>5</v>
      </c>
      <c r="K23" s="10">
        <f>IFERROR(vlookup('3.1'!J:J,lookup!$A$26:$B$28,2,false),0)</f>
        <v>5</v>
      </c>
      <c r="L23" s="2"/>
      <c r="M23" s="10">
        <v>22.0</v>
      </c>
      <c r="N23" s="11" t="str">
        <f t="shared" si="1"/>
        <v>bnco0922@signalschool.ac.th</v>
      </c>
      <c r="O23" s="12">
        <f t="shared" si="2"/>
        <v>1</v>
      </c>
      <c r="R23" s="17" t="s">
        <v>239</v>
      </c>
    </row>
    <row r="24">
      <c r="A24" s="8">
        <f>'3.1'!A:A</f>
        <v>46212.62659</v>
      </c>
      <c r="B24" s="2" t="str">
        <f>'3.1'!B:B</f>
        <v>bnco0925@signalschool.ac.th</v>
      </c>
      <c r="C24" s="2" t="str">
        <f>'3.1'!C:C</f>
        <v>พ.ต.ไมตรี บุญเหลื่อม</v>
      </c>
      <c r="D24" s="9">
        <v>1.0</v>
      </c>
      <c r="E24" s="10">
        <f>IFERROR(vlookup('3.1'!D:D,lookup!$A$2:$B$4,2,false),0)</f>
        <v>5</v>
      </c>
      <c r="F24" s="10">
        <f>IFERROR(vlookup('3.1'!E:E,lookup!$A$6:$B$8,2,false),0)</f>
        <v>5</v>
      </c>
      <c r="G24" s="10">
        <f>IFERROR(vlookup('3.1'!F:F,lookup!$A$10:$B$12,2,false),0)</f>
        <v>5</v>
      </c>
      <c r="H24" s="10">
        <f>IFERROR(vlookup('3.1'!G:G,lookup!$A$14:$B$16,2,false),0)</f>
        <v>5</v>
      </c>
      <c r="I24" s="10">
        <f>IFERROR(vlookup('3.1'!H:H,lookup!$A$18:$B$20,2,false),0)</f>
        <v>5</v>
      </c>
      <c r="J24" s="10">
        <f>IFERROR(vlookup('3.1'!I:I,lookup!$A$22:$B$24,2,false),0)</f>
        <v>5</v>
      </c>
      <c r="K24" s="10">
        <f>IFERROR(vlookup('3.1'!J:J,lookup!$A$26:$B$28,2,false),0)</f>
        <v>5</v>
      </c>
      <c r="L24" s="2"/>
      <c r="M24" s="10">
        <v>23.0</v>
      </c>
      <c r="N24" s="11" t="str">
        <f t="shared" si="1"/>
        <v>bnco0923@signalschool.ac.th</v>
      </c>
      <c r="O24" s="12">
        <f t="shared" si="2"/>
        <v>1</v>
      </c>
      <c r="R24" s="17" t="s">
        <v>240</v>
      </c>
    </row>
    <row r="25">
      <c r="A25" s="8">
        <f>'3.1'!A:A</f>
        <v>46212.62679</v>
      </c>
      <c r="B25" s="2" t="str">
        <f>'3.1'!B:B</f>
        <v>bnco0903@signalschool.ac.th</v>
      </c>
      <c r="C25" s="2" t="str">
        <f>'3.1'!C:C</f>
        <v>พ.ต.ไมตรี บุญเหลื่อม</v>
      </c>
      <c r="D25" s="9">
        <v>1.0</v>
      </c>
      <c r="E25" s="10">
        <f>IFERROR(vlookup('3.1'!D:D,lookup!$A$2:$B$4,2,false),0)</f>
        <v>5</v>
      </c>
      <c r="F25" s="10">
        <f>IFERROR(vlookup('3.1'!E:E,lookup!$A$6:$B$8,2,false),0)</f>
        <v>5</v>
      </c>
      <c r="G25" s="10">
        <f>IFERROR(vlookup('3.1'!F:F,lookup!$A$10:$B$12,2,false),0)</f>
        <v>5</v>
      </c>
      <c r="H25" s="10">
        <f>IFERROR(vlookup('3.1'!G:G,lookup!$A$14:$B$16,2,false),0)</f>
        <v>5</v>
      </c>
      <c r="I25" s="10">
        <f>IFERROR(vlookup('3.1'!H:H,lookup!$A$18:$B$20,2,false),0)</f>
        <v>5</v>
      </c>
      <c r="J25" s="10">
        <f>IFERROR(vlookup('3.1'!I:I,lookup!$A$22:$B$24,2,false),0)</f>
        <v>5</v>
      </c>
      <c r="K25" s="10">
        <f>IFERROR(vlookup('3.1'!J:J,lookup!$A$26:$B$28,2,false),0)</f>
        <v>5</v>
      </c>
      <c r="L25" s="2"/>
      <c r="M25" s="10">
        <v>24.0</v>
      </c>
      <c r="N25" s="11" t="str">
        <f t="shared" si="1"/>
        <v>bnco0924@signalschool.ac.th</v>
      </c>
      <c r="O25" s="12">
        <f t="shared" si="2"/>
        <v>1</v>
      </c>
      <c r="R25" s="17" t="s">
        <v>241</v>
      </c>
    </row>
    <row r="26">
      <c r="A26" s="8">
        <f>'3.1'!A:A</f>
        <v>46212.62692</v>
      </c>
      <c r="B26" s="2" t="str">
        <f>'3.1'!B:B</f>
        <v>bnco0926@signalschool.ac.th</v>
      </c>
      <c r="C26" s="2" t="str">
        <f>'3.1'!C:C</f>
        <v>พ.ต.ไมตรี บุญเหลื่อม</v>
      </c>
      <c r="D26" s="9">
        <v>1.0</v>
      </c>
      <c r="E26" s="10">
        <f>IFERROR(vlookup('3.1'!D:D,lookup!$A$2:$B$4,2,false),0)</f>
        <v>5</v>
      </c>
      <c r="F26" s="10">
        <f>IFERROR(vlookup('3.1'!E:E,lookup!$A$6:$B$8,2,false),0)</f>
        <v>5</v>
      </c>
      <c r="G26" s="10">
        <f>IFERROR(vlookup('3.1'!F:F,lookup!$A$10:$B$12,2,false),0)</f>
        <v>5</v>
      </c>
      <c r="H26" s="10">
        <f>IFERROR(vlookup('3.1'!G:G,lookup!$A$14:$B$16,2,false),0)</f>
        <v>5</v>
      </c>
      <c r="I26" s="10">
        <f>IFERROR(vlookup('3.1'!H:H,lookup!$A$18:$B$20,2,false),0)</f>
        <v>5</v>
      </c>
      <c r="J26" s="10">
        <f>IFERROR(vlookup('3.1'!I:I,lookup!$A$22:$B$24,2,false),0)</f>
        <v>5</v>
      </c>
      <c r="K26" s="10">
        <f>IFERROR(vlookup('3.1'!J:J,lookup!$A$26:$B$28,2,false),0)</f>
        <v>5</v>
      </c>
      <c r="L26" s="2"/>
      <c r="M26" s="10">
        <v>25.0</v>
      </c>
      <c r="N26" s="11" t="str">
        <f t="shared" si="1"/>
        <v>bnco0925@signalschool.ac.th</v>
      </c>
      <c r="O26" s="12">
        <f t="shared" si="2"/>
        <v>1</v>
      </c>
      <c r="R26" s="17" t="s">
        <v>242</v>
      </c>
    </row>
    <row r="27">
      <c r="A27" s="8">
        <f>'3.1'!A:A</f>
        <v>46212.62698</v>
      </c>
      <c r="B27" s="2" t="str">
        <f>'3.1'!B:B</f>
        <v>bnco0967@signalschool.ac.th</v>
      </c>
      <c r="C27" s="2" t="str">
        <f>'3.1'!C:C</f>
        <v>พ.ต.ไมตรี บุญเหลื่อม</v>
      </c>
      <c r="D27" s="9">
        <v>1.0</v>
      </c>
      <c r="E27" s="10">
        <f>IFERROR(vlookup('3.1'!D:D,lookup!$A$2:$B$4,2,false),0)</f>
        <v>5</v>
      </c>
      <c r="F27" s="10">
        <f>IFERROR(vlookup('3.1'!E:E,lookup!$A$6:$B$8,2,false),0)</f>
        <v>5</v>
      </c>
      <c r="G27" s="10">
        <f>IFERROR(vlookup('3.1'!F:F,lookup!$A$10:$B$12,2,false),0)</f>
        <v>5</v>
      </c>
      <c r="H27" s="10">
        <f>IFERROR(vlookup('3.1'!G:G,lookup!$A$14:$B$16,2,false),0)</f>
        <v>5</v>
      </c>
      <c r="I27" s="10">
        <f>IFERROR(vlookup('3.1'!H:H,lookup!$A$18:$B$20,2,false),0)</f>
        <v>5</v>
      </c>
      <c r="J27" s="10">
        <f>IFERROR(vlookup('3.1'!I:I,lookup!$A$22:$B$24,2,false),0)</f>
        <v>5</v>
      </c>
      <c r="K27" s="10">
        <f>IFERROR(vlookup('3.1'!J:J,lookup!$A$26:$B$28,2,false),0)</f>
        <v>5</v>
      </c>
      <c r="L27" s="2"/>
      <c r="M27" s="10">
        <v>26.0</v>
      </c>
      <c r="N27" s="11" t="str">
        <f t="shared" si="1"/>
        <v>bnco0926@signalschool.ac.th</v>
      </c>
      <c r="O27" s="12">
        <f t="shared" si="2"/>
        <v>1</v>
      </c>
      <c r="R27" s="17" t="s">
        <v>243</v>
      </c>
    </row>
    <row r="28">
      <c r="A28" s="8">
        <f>'3.1'!A:A</f>
        <v>46212.62717</v>
      </c>
      <c r="B28" s="2" t="str">
        <f>'3.1'!B:B</f>
        <v>bnco0919@signalschool.ac.th</v>
      </c>
      <c r="C28" s="2" t="str">
        <f>'3.1'!C:C</f>
        <v>พ.ต.ไมตรี บุญเหลื่อม</v>
      </c>
      <c r="D28" s="9">
        <v>1.0</v>
      </c>
      <c r="E28" s="10">
        <f>IFERROR(vlookup('3.1'!D:D,lookup!$A$2:$B$4,2,false),0)</f>
        <v>5</v>
      </c>
      <c r="F28" s="10">
        <f>IFERROR(vlookup('3.1'!E:E,lookup!$A$6:$B$8,2,false),0)</f>
        <v>5</v>
      </c>
      <c r="G28" s="10">
        <f>IFERROR(vlookup('3.1'!F:F,lookup!$A$10:$B$12,2,false),0)</f>
        <v>5</v>
      </c>
      <c r="H28" s="10">
        <f>IFERROR(vlookup('3.1'!G:G,lookup!$A$14:$B$16,2,false),0)</f>
        <v>5</v>
      </c>
      <c r="I28" s="10">
        <f>IFERROR(vlookup('3.1'!H:H,lookup!$A$18:$B$20,2,false),0)</f>
        <v>5</v>
      </c>
      <c r="J28" s="10">
        <f>IFERROR(vlookup('3.1'!I:I,lookup!$A$22:$B$24,2,false),0)</f>
        <v>5</v>
      </c>
      <c r="K28" s="10">
        <f>IFERROR(vlookup('3.1'!J:J,lookup!$A$26:$B$28,2,false),0)</f>
        <v>5</v>
      </c>
      <c r="L28" s="2"/>
      <c r="M28" s="10">
        <v>27.0</v>
      </c>
      <c r="N28" s="11" t="str">
        <f t="shared" si="1"/>
        <v>bnco0927@signalschool.ac.th</v>
      </c>
      <c r="O28" s="12">
        <f t="shared" si="2"/>
        <v>1</v>
      </c>
      <c r="R28" s="17" t="s">
        <v>244</v>
      </c>
    </row>
    <row r="29">
      <c r="A29" s="8">
        <f>'3.1'!A:A</f>
        <v>46212.6272</v>
      </c>
      <c r="B29" s="2" t="str">
        <f>'3.1'!B:B</f>
        <v>bnco0904@signalschool.ac.th</v>
      </c>
      <c r="C29" s="2" t="str">
        <f>'3.1'!C:C</f>
        <v>พ.ต.ไมตรี  บุญเหลื่อม</v>
      </c>
      <c r="D29" s="9">
        <v>1.0</v>
      </c>
      <c r="E29" s="10">
        <f>IFERROR(vlookup('3.1'!D:D,lookup!$A$2:$B$4,2,false),0)</f>
        <v>5</v>
      </c>
      <c r="F29" s="10">
        <f>IFERROR(vlookup('3.1'!E:E,lookup!$A$6:$B$8,2,false),0)</f>
        <v>5</v>
      </c>
      <c r="G29" s="10">
        <f>IFERROR(vlookup('3.1'!F:F,lookup!$A$10:$B$12,2,false),0)</f>
        <v>5</v>
      </c>
      <c r="H29" s="10">
        <f>IFERROR(vlookup('3.1'!G:G,lookup!$A$14:$B$16,2,false),0)</f>
        <v>5</v>
      </c>
      <c r="I29" s="10">
        <f>IFERROR(vlookup('3.1'!H:H,lookup!$A$18:$B$20,2,false),0)</f>
        <v>5</v>
      </c>
      <c r="J29" s="10">
        <f>IFERROR(vlookup('3.1'!I:I,lookup!$A$22:$B$24,2,false),0)</f>
        <v>5</v>
      </c>
      <c r="K29" s="10">
        <f>IFERROR(vlookup('3.1'!J:J,lookup!$A$26:$B$28,2,false),0)</f>
        <v>5</v>
      </c>
      <c r="L29" s="2"/>
      <c r="M29" s="10">
        <v>28.0</v>
      </c>
      <c r="N29" s="11" t="str">
        <f t="shared" si="1"/>
        <v>bnco0928@signalschool.ac.th</v>
      </c>
      <c r="O29" s="12">
        <f t="shared" si="2"/>
        <v>1</v>
      </c>
      <c r="R29" s="17" t="s">
        <v>245</v>
      </c>
    </row>
    <row r="30">
      <c r="A30" s="8">
        <f>'3.1'!A:A</f>
        <v>46212.6273</v>
      </c>
      <c r="B30" s="2" t="str">
        <f>'3.1'!B:B</f>
        <v>bnco0934@signalschool.ac.th</v>
      </c>
      <c r="C30" s="2" t="str">
        <f>'3.1'!C:C</f>
        <v>พ.ต.ไมตรี บุญเหลื่อม</v>
      </c>
      <c r="D30" s="9">
        <v>1.0</v>
      </c>
      <c r="E30" s="10">
        <f>IFERROR(vlookup('3.1'!D:D,lookup!$A$2:$B$4,2,false),0)</f>
        <v>5</v>
      </c>
      <c r="F30" s="10">
        <f>IFERROR(vlookup('3.1'!E:E,lookup!$A$6:$B$8,2,false),0)</f>
        <v>5</v>
      </c>
      <c r="G30" s="10">
        <f>IFERROR(vlookup('3.1'!F:F,lookup!$A$10:$B$12,2,false),0)</f>
        <v>5</v>
      </c>
      <c r="H30" s="10">
        <f>IFERROR(vlookup('3.1'!G:G,lookup!$A$14:$B$16,2,false),0)</f>
        <v>5</v>
      </c>
      <c r="I30" s="10">
        <f>IFERROR(vlookup('3.1'!H:H,lookup!$A$18:$B$20,2,false),0)</f>
        <v>5</v>
      </c>
      <c r="J30" s="10">
        <f>IFERROR(vlookup('3.1'!I:I,lookup!$A$22:$B$24,2,false),0)</f>
        <v>5</v>
      </c>
      <c r="K30" s="10">
        <f>IFERROR(vlookup('3.1'!J:J,lookup!$A$26:$B$28,2,false),0)</f>
        <v>5</v>
      </c>
      <c r="L30" s="2"/>
      <c r="M30" s="10">
        <v>29.0</v>
      </c>
      <c r="N30" s="11" t="str">
        <f t="shared" si="1"/>
        <v>bnco0929@signalschool.ac.th</v>
      </c>
      <c r="O30" s="12">
        <f t="shared" si="2"/>
        <v>1</v>
      </c>
      <c r="R30" s="17" t="s">
        <v>246</v>
      </c>
    </row>
    <row r="31">
      <c r="A31" s="8">
        <f>'3.1'!A:A</f>
        <v>46212.62734</v>
      </c>
      <c r="B31" s="2" t="str">
        <f>'3.1'!B:B</f>
        <v>bnco0914@signalschool.ac.th</v>
      </c>
      <c r="C31" s="2" t="str">
        <f>'3.1'!C:C</f>
        <v>พ.ต.ไมตรี บุญเหลื่อม</v>
      </c>
      <c r="D31" s="9">
        <v>1.0</v>
      </c>
      <c r="E31" s="10">
        <f>IFERROR(vlookup('3.1'!D:D,lookup!$A$2:$B$4,2,false),0)</f>
        <v>5</v>
      </c>
      <c r="F31" s="10">
        <f>IFERROR(vlookup('3.1'!E:E,lookup!$A$6:$B$8,2,false),0)</f>
        <v>5</v>
      </c>
      <c r="G31" s="10">
        <f>IFERROR(vlookup('3.1'!F:F,lookup!$A$10:$B$12,2,false),0)</f>
        <v>5</v>
      </c>
      <c r="H31" s="10">
        <f>IFERROR(vlookup('3.1'!G:G,lookup!$A$14:$B$16,2,false),0)</f>
        <v>5</v>
      </c>
      <c r="I31" s="10">
        <f>IFERROR(vlookup('3.1'!H:H,lookup!$A$18:$B$20,2,false),0)</f>
        <v>5</v>
      </c>
      <c r="J31" s="10">
        <f>IFERROR(vlookup('3.1'!I:I,lookup!$A$22:$B$24,2,false),0)</f>
        <v>5</v>
      </c>
      <c r="K31" s="10">
        <f>IFERROR(vlookup('3.1'!J:J,lookup!$A$26:$B$28,2,false),0)</f>
        <v>5</v>
      </c>
      <c r="L31" s="2"/>
      <c r="M31" s="10">
        <v>30.0</v>
      </c>
      <c r="N31" s="11" t="str">
        <f t="shared" si="1"/>
        <v>bnco0930@signalschool.ac.th</v>
      </c>
      <c r="O31" s="12">
        <f t="shared" si="2"/>
        <v>1</v>
      </c>
      <c r="R31" s="17" t="s">
        <v>247</v>
      </c>
    </row>
    <row r="32">
      <c r="A32" s="8">
        <f>'3.1'!A:A</f>
        <v>46212.62739</v>
      </c>
      <c r="B32" s="2" t="str">
        <f>'3.1'!B:B</f>
        <v>bnco0913@signalschool.ac.th</v>
      </c>
      <c r="C32" s="2" t="str">
        <f>'3.1'!C:C</f>
        <v>พ.ต.ไมตรี บุญเหลื่อม</v>
      </c>
      <c r="D32" s="9">
        <v>1.0</v>
      </c>
      <c r="E32" s="10">
        <f>IFERROR(vlookup('3.1'!D:D,lookup!$A$2:$B$4,2,false),0)</f>
        <v>5</v>
      </c>
      <c r="F32" s="10">
        <f>IFERROR(vlookup('3.1'!E:E,lookup!$A$6:$B$8,2,false),0)</f>
        <v>5</v>
      </c>
      <c r="G32" s="10">
        <f>IFERROR(vlookup('3.1'!F:F,lookup!$A$10:$B$12,2,false),0)</f>
        <v>5</v>
      </c>
      <c r="H32" s="10">
        <f>IFERROR(vlookup('3.1'!G:G,lookup!$A$14:$B$16,2,false),0)</f>
        <v>5</v>
      </c>
      <c r="I32" s="10">
        <f>IFERROR(vlookup('3.1'!H:H,lookup!$A$18:$B$20,2,false),0)</f>
        <v>5</v>
      </c>
      <c r="J32" s="10">
        <f>IFERROR(vlookup('3.1'!I:I,lookup!$A$22:$B$24,2,false),0)</f>
        <v>5</v>
      </c>
      <c r="K32" s="10">
        <f>IFERROR(vlookup('3.1'!J:J,lookup!$A$26:$B$28,2,false),0)</f>
        <v>5</v>
      </c>
      <c r="L32" s="2"/>
      <c r="M32" s="10">
        <v>31.0</v>
      </c>
      <c r="N32" s="11" t="str">
        <f t="shared" si="1"/>
        <v>bnco0931@signalschool.ac.th</v>
      </c>
      <c r="O32" s="12">
        <f t="shared" si="2"/>
        <v>1</v>
      </c>
      <c r="R32" s="17" t="s">
        <v>248</v>
      </c>
    </row>
    <row r="33">
      <c r="A33" s="8">
        <f>'3.1'!A:A</f>
        <v>46212.62749</v>
      </c>
      <c r="B33" s="2" t="str">
        <f>'3.1'!B:B</f>
        <v>bnco0949@signalschool.ac.th</v>
      </c>
      <c r="C33" s="2" t="str">
        <f>'3.1'!C:C</f>
        <v>พ.ต.ไมตรี บุญเหลื่อม</v>
      </c>
      <c r="D33" s="9">
        <v>1.0</v>
      </c>
      <c r="E33" s="10">
        <f>IFERROR(vlookup('3.1'!D:D,lookup!$A$2:$B$4,2,false),0)</f>
        <v>5</v>
      </c>
      <c r="F33" s="10">
        <f>IFERROR(vlookup('3.1'!E:E,lookup!$A$6:$B$8,2,false),0)</f>
        <v>5</v>
      </c>
      <c r="G33" s="10">
        <f>IFERROR(vlookup('3.1'!F:F,lookup!$A$10:$B$12,2,false),0)</f>
        <v>5</v>
      </c>
      <c r="H33" s="10">
        <f>IFERROR(vlookup('3.1'!G:G,lookup!$A$14:$B$16,2,false),0)</f>
        <v>5</v>
      </c>
      <c r="I33" s="10">
        <f>IFERROR(vlookup('3.1'!H:H,lookup!$A$18:$B$20,2,false),0)</f>
        <v>5</v>
      </c>
      <c r="J33" s="10">
        <f>IFERROR(vlookup('3.1'!I:I,lookup!$A$22:$B$24,2,false),0)</f>
        <v>5</v>
      </c>
      <c r="K33" s="10">
        <f>IFERROR(vlookup('3.1'!J:J,lookup!$A$26:$B$28,2,false),0)</f>
        <v>5</v>
      </c>
      <c r="L33" s="2"/>
      <c r="M33" s="10">
        <v>32.0</v>
      </c>
      <c r="N33" s="11" t="str">
        <f t="shared" si="1"/>
        <v>bnco0932@signalschool.ac.th</v>
      </c>
      <c r="O33" s="12">
        <f t="shared" si="2"/>
        <v>1</v>
      </c>
      <c r="R33" s="17" t="s">
        <v>249</v>
      </c>
    </row>
    <row r="34">
      <c r="A34" s="8">
        <f>'3.1'!A:A</f>
        <v>46212.62752</v>
      </c>
      <c r="B34" s="2" t="str">
        <f>'3.1'!B:B</f>
        <v>bnco0908@signalschool.ac.th</v>
      </c>
      <c r="C34" s="2" t="str">
        <f>'3.1'!C:C</f>
        <v>พ.ต.ไมตรี บุญเหลื่อม</v>
      </c>
      <c r="D34" s="9">
        <v>1.0</v>
      </c>
      <c r="E34" s="10">
        <f>IFERROR(vlookup('3.1'!D:D,lookup!$A$2:$B$4,2,false),0)</f>
        <v>5</v>
      </c>
      <c r="F34" s="10">
        <f>IFERROR(vlookup('3.1'!E:E,lookup!$A$6:$B$8,2,false),0)</f>
        <v>5</v>
      </c>
      <c r="G34" s="10">
        <f>IFERROR(vlookup('3.1'!F:F,lookup!$A$10:$B$12,2,false),0)</f>
        <v>5</v>
      </c>
      <c r="H34" s="10">
        <f>IFERROR(vlookup('3.1'!G:G,lookup!$A$14:$B$16,2,false),0)</f>
        <v>5</v>
      </c>
      <c r="I34" s="10">
        <f>IFERROR(vlookup('3.1'!H:H,lookup!$A$18:$B$20,2,false),0)</f>
        <v>5</v>
      </c>
      <c r="J34" s="10">
        <f>IFERROR(vlookup('3.1'!I:I,lookup!$A$22:$B$24,2,false),0)</f>
        <v>5</v>
      </c>
      <c r="K34" s="10">
        <f>IFERROR(vlookup('3.1'!J:J,lookup!$A$26:$B$28,2,false),0)</f>
        <v>5</v>
      </c>
      <c r="L34" s="2"/>
      <c r="M34" s="10">
        <v>33.0</v>
      </c>
      <c r="N34" s="11" t="str">
        <f t="shared" si="1"/>
        <v>bnco0933@signalschool.ac.th</v>
      </c>
      <c r="O34" s="12">
        <f t="shared" si="2"/>
        <v>1</v>
      </c>
      <c r="R34" s="17" t="s">
        <v>250</v>
      </c>
    </row>
    <row r="35">
      <c r="A35" s="8">
        <f>'3.1'!A:A</f>
        <v>46212.62754</v>
      </c>
      <c r="B35" s="2" t="str">
        <f>'3.1'!B:B</f>
        <v>bnco0948@signalschool.ac.th</v>
      </c>
      <c r="C35" s="2" t="str">
        <f>'3.1'!C:C</f>
        <v>พ.ต.ไมตรี บุญเหลื่อม</v>
      </c>
      <c r="D35" s="9">
        <v>1.0</v>
      </c>
      <c r="E35" s="10">
        <f>IFERROR(vlookup('3.1'!D:D,lookup!$A$2:$B$4,2,false),0)</f>
        <v>5</v>
      </c>
      <c r="F35" s="10">
        <f>IFERROR(vlookup('3.1'!E:E,lookup!$A$6:$B$8,2,false),0)</f>
        <v>5</v>
      </c>
      <c r="G35" s="10">
        <f>IFERROR(vlookup('3.1'!F:F,lookup!$A$10:$B$12,2,false),0)</f>
        <v>5</v>
      </c>
      <c r="H35" s="10">
        <f>IFERROR(vlookup('3.1'!G:G,lookup!$A$14:$B$16,2,false),0)</f>
        <v>5</v>
      </c>
      <c r="I35" s="10">
        <f>IFERROR(vlookup('3.1'!H:H,lookup!$A$18:$B$20,2,false),0)</f>
        <v>5</v>
      </c>
      <c r="J35" s="10">
        <f>IFERROR(vlookup('3.1'!I:I,lookup!$A$22:$B$24,2,false),0)</f>
        <v>5</v>
      </c>
      <c r="K35" s="10">
        <f>IFERROR(vlookup('3.1'!J:J,lookup!$A$26:$B$28,2,false),0)</f>
        <v>5</v>
      </c>
      <c r="L35" s="2"/>
      <c r="M35" s="10">
        <v>34.0</v>
      </c>
      <c r="N35" s="11" t="str">
        <f t="shared" si="1"/>
        <v>bnco0934@signalschool.ac.th</v>
      </c>
      <c r="O35" s="12">
        <f t="shared" si="2"/>
        <v>1</v>
      </c>
      <c r="R35" s="17" t="s">
        <v>251</v>
      </c>
    </row>
    <row r="36">
      <c r="A36" s="8">
        <f>'3.1'!A:A</f>
        <v>46212.6277</v>
      </c>
      <c r="B36" s="2" t="str">
        <f>'3.1'!B:B</f>
        <v>bnco0936@signalschool.ac.th</v>
      </c>
      <c r="C36" s="2" t="str">
        <f>'3.1'!C:C</f>
        <v>พ.ต.ไมตรี บุญเหลื่อม</v>
      </c>
      <c r="D36" s="9">
        <v>1.0</v>
      </c>
      <c r="E36" s="10">
        <f>IFERROR(vlookup('3.1'!D:D,lookup!$A$2:$B$4,2,false),0)</f>
        <v>5</v>
      </c>
      <c r="F36" s="10">
        <f>IFERROR(vlookup('3.1'!E:E,lookup!$A$6:$B$8,2,false),0)</f>
        <v>5</v>
      </c>
      <c r="G36" s="10">
        <f>IFERROR(vlookup('3.1'!F:F,lookup!$A$10:$B$12,2,false),0)</f>
        <v>5</v>
      </c>
      <c r="H36" s="10">
        <f>IFERROR(vlookup('3.1'!G:G,lookup!$A$14:$B$16,2,false),0)</f>
        <v>5</v>
      </c>
      <c r="I36" s="10">
        <f>IFERROR(vlookup('3.1'!H:H,lookup!$A$18:$B$20,2,false),0)</f>
        <v>5</v>
      </c>
      <c r="J36" s="10">
        <f>IFERROR(vlookup('3.1'!I:I,lookup!$A$22:$B$24,2,false),0)</f>
        <v>5</v>
      </c>
      <c r="K36" s="10">
        <f>IFERROR(vlookup('3.1'!J:J,lookup!$A$26:$B$28,2,false),0)</f>
        <v>5</v>
      </c>
      <c r="L36" s="2"/>
      <c r="M36" s="10">
        <v>35.0</v>
      </c>
      <c r="N36" s="11" t="str">
        <f t="shared" si="1"/>
        <v>bnco0935@signalschool.ac.th</v>
      </c>
      <c r="O36" s="12">
        <f t="shared" si="2"/>
        <v>1</v>
      </c>
      <c r="R36" s="17" t="s">
        <v>252</v>
      </c>
    </row>
    <row r="37">
      <c r="A37" s="8">
        <f>'3.1'!A:A</f>
        <v>46212.6281</v>
      </c>
      <c r="B37" s="2" t="str">
        <f>'3.1'!B:B</f>
        <v>bnco0978@signalschool.ac.th</v>
      </c>
      <c r="C37" s="2" t="str">
        <f>'3.1'!C:C</f>
        <v>พ.ต.ไมตรี บุญเหลื่อม</v>
      </c>
      <c r="D37" s="9">
        <v>1.0</v>
      </c>
      <c r="E37" s="10">
        <f>IFERROR(vlookup('3.1'!D:D,lookup!$A$2:$B$4,2,false),0)</f>
        <v>5</v>
      </c>
      <c r="F37" s="10">
        <f>IFERROR(vlookup('3.1'!E:E,lookup!$A$6:$B$8,2,false),0)</f>
        <v>5</v>
      </c>
      <c r="G37" s="10">
        <f>IFERROR(vlookup('3.1'!F:F,lookup!$A$10:$B$12,2,false),0)</f>
        <v>5</v>
      </c>
      <c r="H37" s="10">
        <f>IFERROR(vlookup('3.1'!G:G,lookup!$A$14:$B$16,2,false),0)</f>
        <v>5</v>
      </c>
      <c r="I37" s="10">
        <f>IFERROR(vlookup('3.1'!H:H,lookup!$A$18:$B$20,2,false),0)</f>
        <v>5</v>
      </c>
      <c r="J37" s="10">
        <f>IFERROR(vlookup('3.1'!I:I,lookup!$A$22:$B$24,2,false),0)</f>
        <v>5</v>
      </c>
      <c r="K37" s="10">
        <f>IFERROR(vlookup('3.1'!J:J,lookup!$A$26:$B$28,2,false),0)</f>
        <v>5</v>
      </c>
      <c r="L37" s="2"/>
      <c r="M37" s="10">
        <v>36.0</v>
      </c>
      <c r="N37" s="11" t="str">
        <f t="shared" si="1"/>
        <v>bnco0936@signalschool.ac.th</v>
      </c>
      <c r="O37" s="12">
        <f t="shared" si="2"/>
        <v>1</v>
      </c>
      <c r="R37" s="17" t="s">
        <v>253</v>
      </c>
    </row>
    <row r="38">
      <c r="A38" s="8">
        <f>'3.1'!A:A</f>
        <v>46212.62824</v>
      </c>
      <c r="B38" s="2" t="str">
        <f>'3.1'!B:B</f>
        <v>bnco0927@signalschool.ac.th</v>
      </c>
      <c r="C38" s="2" t="str">
        <f>'3.1'!C:C</f>
        <v>พ.ต.ไมตรี บุญเหลื่อม</v>
      </c>
      <c r="D38" s="9">
        <v>1.0</v>
      </c>
      <c r="E38" s="10">
        <f>IFERROR(vlookup('3.1'!D:D,lookup!$A$2:$B$4,2,false),0)</f>
        <v>5</v>
      </c>
      <c r="F38" s="10">
        <f>IFERROR(vlookup('3.1'!E:E,lookup!$A$6:$B$8,2,false),0)</f>
        <v>5</v>
      </c>
      <c r="G38" s="10">
        <f>IFERROR(vlookup('3.1'!F:F,lookup!$A$10:$B$12,2,false),0)</f>
        <v>5</v>
      </c>
      <c r="H38" s="10">
        <f>IFERROR(vlookup('3.1'!G:G,lookup!$A$14:$B$16,2,false),0)</f>
        <v>5</v>
      </c>
      <c r="I38" s="10">
        <f>IFERROR(vlookup('3.1'!H:H,lookup!$A$18:$B$20,2,false),0)</f>
        <v>5</v>
      </c>
      <c r="J38" s="10">
        <f>IFERROR(vlookup('3.1'!I:I,lookup!$A$22:$B$24,2,false),0)</f>
        <v>5</v>
      </c>
      <c r="K38" s="10">
        <f>IFERROR(vlookup('3.1'!J:J,lookup!$A$26:$B$28,2,false),0)</f>
        <v>5</v>
      </c>
      <c r="L38" s="2"/>
      <c r="M38" s="10">
        <v>37.0</v>
      </c>
      <c r="N38" s="11" t="str">
        <f t="shared" si="1"/>
        <v>bnco0937@signalschool.ac.th</v>
      </c>
      <c r="O38" s="12">
        <f t="shared" si="2"/>
        <v>1</v>
      </c>
      <c r="R38" s="17" t="s">
        <v>254</v>
      </c>
    </row>
    <row r="39">
      <c r="A39" s="8">
        <f>'3.1'!A:A</f>
        <v>46212.62824</v>
      </c>
      <c r="B39" s="2" t="str">
        <f>'3.1'!B:B</f>
        <v>bnco0909@signalschool.ac.th</v>
      </c>
      <c r="C39" s="2" t="str">
        <f>'3.1'!C:C</f>
        <v>พ.ต. ไมตรี บุญเหลือม</v>
      </c>
      <c r="D39" s="9">
        <v>1.0</v>
      </c>
      <c r="E39" s="10">
        <f>IFERROR(vlookup('3.1'!D:D,lookup!$A$2:$B$4,2,false),0)</f>
        <v>5</v>
      </c>
      <c r="F39" s="10">
        <f>IFERROR(vlookup('3.1'!E:E,lookup!$A$6:$B$8,2,false),0)</f>
        <v>5</v>
      </c>
      <c r="G39" s="10">
        <f>IFERROR(vlookup('3.1'!F:F,lookup!$A$10:$B$12,2,false),0)</f>
        <v>5</v>
      </c>
      <c r="H39" s="10">
        <f>IFERROR(vlookup('3.1'!G:G,lookup!$A$14:$B$16,2,false),0)</f>
        <v>5</v>
      </c>
      <c r="I39" s="10">
        <f>IFERROR(vlookup('3.1'!H:H,lookup!$A$18:$B$20,2,false),0)</f>
        <v>5</v>
      </c>
      <c r="J39" s="10">
        <f>IFERROR(vlookup('3.1'!I:I,lookup!$A$22:$B$24,2,false),0)</f>
        <v>5</v>
      </c>
      <c r="K39" s="10">
        <f>IFERROR(vlookup('3.1'!J:J,lookup!$A$26:$B$28,2,false),0)</f>
        <v>5</v>
      </c>
      <c r="L39" s="2"/>
      <c r="M39" s="10">
        <v>38.0</v>
      </c>
      <c r="N39" s="11" t="str">
        <f t="shared" si="1"/>
        <v>bnco0938@signalschool.ac.th</v>
      </c>
      <c r="O39" s="12">
        <f t="shared" si="2"/>
        <v>1</v>
      </c>
      <c r="R39" s="17" t="s">
        <v>255</v>
      </c>
    </row>
    <row r="40">
      <c r="A40" s="8">
        <f>'3.1'!A:A</f>
        <v>46212.62834</v>
      </c>
      <c r="B40" s="2" t="str">
        <f>'3.1'!B:B</f>
        <v>bnco0916@signalschool.ac.th</v>
      </c>
      <c r="C40" s="2" t="str">
        <f>'3.1'!C:C</f>
        <v>พ.ต.ไมตรี บุญเหลื่อม</v>
      </c>
      <c r="D40" s="9">
        <v>1.0</v>
      </c>
      <c r="E40" s="10">
        <f>IFERROR(vlookup('3.1'!D:D,lookup!$A$2:$B$4,2,false),0)</f>
        <v>5</v>
      </c>
      <c r="F40" s="10">
        <f>IFERROR(vlookup('3.1'!E:E,lookup!$A$6:$B$8,2,false),0)</f>
        <v>5</v>
      </c>
      <c r="G40" s="10">
        <f>IFERROR(vlookup('3.1'!F:F,lookup!$A$10:$B$12,2,false),0)</f>
        <v>5</v>
      </c>
      <c r="H40" s="10">
        <f>IFERROR(vlookup('3.1'!G:G,lookup!$A$14:$B$16,2,false),0)</f>
        <v>5</v>
      </c>
      <c r="I40" s="10">
        <f>IFERROR(vlookup('3.1'!H:H,lookup!$A$18:$B$20,2,false),0)</f>
        <v>5</v>
      </c>
      <c r="J40" s="10">
        <f>IFERROR(vlookup('3.1'!I:I,lookup!$A$22:$B$24,2,false),0)</f>
        <v>5</v>
      </c>
      <c r="K40" s="10">
        <f>IFERROR(vlookup('3.1'!J:J,lookup!$A$26:$B$28,2,false),0)</f>
        <v>5</v>
      </c>
      <c r="L40" s="2"/>
      <c r="M40" s="10">
        <v>39.0</v>
      </c>
      <c r="N40" s="11" t="str">
        <f t="shared" si="1"/>
        <v>bnco0939@signalschool.ac.th</v>
      </c>
      <c r="O40" s="12">
        <f t="shared" si="2"/>
        <v>1</v>
      </c>
      <c r="R40" s="17" t="s">
        <v>256</v>
      </c>
    </row>
    <row r="41">
      <c r="A41" s="8">
        <f>'3.1'!A:A</f>
        <v>46212.62867</v>
      </c>
      <c r="B41" s="2" t="str">
        <f>'3.1'!B:B</f>
        <v>bnco0968@signalschool.ac.th</v>
      </c>
      <c r="C41" s="2" t="str">
        <f>'3.1'!C:C</f>
        <v>พ.ต.ไมตรี บุญเหลื่อม</v>
      </c>
      <c r="D41" s="9">
        <v>1.0</v>
      </c>
      <c r="E41" s="10">
        <f>IFERROR(vlookup('3.1'!D:D,lookup!$A$2:$B$4,2,false),0)</f>
        <v>5</v>
      </c>
      <c r="F41" s="10">
        <f>IFERROR(vlookup('3.1'!E:E,lookup!$A$6:$B$8,2,false),0)</f>
        <v>5</v>
      </c>
      <c r="G41" s="10">
        <f>IFERROR(vlookup('3.1'!F:F,lookup!$A$10:$B$12,2,false),0)</f>
        <v>5</v>
      </c>
      <c r="H41" s="10">
        <f>IFERROR(vlookup('3.1'!G:G,lookup!$A$14:$B$16,2,false),0)</f>
        <v>5</v>
      </c>
      <c r="I41" s="10">
        <f>IFERROR(vlookup('3.1'!H:H,lookup!$A$18:$B$20,2,false),0)</f>
        <v>5</v>
      </c>
      <c r="J41" s="10">
        <f>IFERROR(vlookup('3.1'!I:I,lookup!$A$22:$B$24,2,false),0)</f>
        <v>5</v>
      </c>
      <c r="K41" s="10">
        <f>IFERROR(vlookup('3.1'!J:J,lookup!$A$26:$B$28,2,false),0)</f>
        <v>5</v>
      </c>
      <c r="L41" s="2"/>
      <c r="M41" s="10">
        <v>40.0</v>
      </c>
      <c r="N41" s="11" t="str">
        <f t="shared" si="1"/>
        <v>bnco0940@signalschool.ac.th</v>
      </c>
      <c r="O41" s="12">
        <f t="shared" si="2"/>
        <v>1</v>
      </c>
      <c r="R41" s="17" t="s">
        <v>257</v>
      </c>
    </row>
    <row r="42">
      <c r="A42" s="8">
        <f>'3.1'!A:A</f>
        <v>46212.62869</v>
      </c>
      <c r="B42" s="2" t="str">
        <f>'3.1'!B:B</f>
        <v>bnco0964@signalschool.ac.th</v>
      </c>
      <c r="C42" s="2" t="str">
        <f>'3.1'!C:C</f>
        <v>พ.ต.ไมตรี บุญเหลื่อม</v>
      </c>
      <c r="D42" s="9">
        <v>1.0</v>
      </c>
      <c r="E42" s="10">
        <f>IFERROR(vlookup('3.1'!D:D,lookup!$A$2:$B$4,2,false),0)</f>
        <v>5</v>
      </c>
      <c r="F42" s="10">
        <f>IFERROR(vlookup('3.1'!E:E,lookup!$A$6:$B$8,2,false),0)</f>
        <v>5</v>
      </c>
      <c r="G42" s="10">
        <f>IFERROR(vlookup('3.1'!F:F,lookup!$A$10:$B$12,2,false),0)</f>
        <v>5</v>
      </c>
      <c r="H42" s="10">
        <f>IFERROR(vlookup('3.1'!G:G,lookup!$A$14:$B$16,2,false),0)</f>
        <v>5</v>
      </c>
      <c r="I42" s="10">
        <f>IFERROR(vlookup('3.1'!H:H,lookup!$A$18:$B$20,2,false),0)</f>
        <v>5</v>
      </c>
      <c r="J42" s="10">
        <f>IFERROR(vlookup('3.1'!I:I,lookup!$A$22:$B$24,2,false),0)</f>
        <v>5</v>
      </c>
      <c r="K42" s="10">
        <f>IFERROR(vlookup('3.1'!J:J,lookup!$A$26:$B$28,2,false),0)</f>
        <v>5</v>
      </c>
      <c r="L42" s="2"/>
      <c r="M42" s="10">
        <v>41.0</v>
      </c>
      <c r="N42" s="11" t="str">
        <f t="shared" si="1"/>
        <v>bnco0941@signalschool.ac.th</v>
      </c>
      <c r="O42" s="12">
        <f t="shared" si="2"/>
        <v>1</v>
      </c>
      <c r="R42" s="17" t="s">
        <v>258</v>
      </c>
    </row>
    <row r="43">
      <c r="A43" s="8">
        <f>'3.1'!A:A</f>
        <v>46212.62871</v>
      </c>
      <c r="B43" s="2" t="str">
        <f>'3.1'!B:B</f>
        <v>bnco0979@signalschool.ac.th</v>
      </c>
      <c r="C43" s="2" t="str">
        <f>'3.1'!C:C</f>
        <v>พ.ต.ไมตรี บุญเหลื่อม</v>
      </c>
      <c r="D43" s="9">
        <v>1.0</v>
      </c>
      <c r="E43" s="10">
        <f>IFERROR(vlookup('3.1'!D:D,lookup!$A$2:$B$4,2,false),0)</f>
        <v>5</v>
      </c>
      <c r="F43" s="10">
        <f>IFERROR(vlookup('3.1'!E:E,lookup!$A$6:$B$8,2,false),0)</f>
        <v>5</v>
      </c>
      <c r="G43" s="10">
        <f>IFERROR(vlookup('3.1'!F:F,lookup!$A$10:$B$12,2,false),0)</f>
        <v>5</v>
      </c>
      <c r="H43" s="10">
        <f>IFERROR(vlookup('3.1'!G:G,lookup!$A$14:$B$16,2,false),0)</f>
        <v>5</v>
      </c>
      <c r="I43" s="10">
        <f>IFERROR(vlookup('3.1'!H:H,lookup!$A$18:$B$20,2,false),0)</f>
        <v>5</v>
      </c>
      <c r="J43" s="10">
        <f>IFERROR(vlookup('3.1'!I:I,lookup!$A$22:$B$24,2,false),0)</f>
        <v>5</v>
      </c>
      <c r="K43" s="10">
        <f>IFERROR(vlookup('3.1'!J:J,lookup!$A$26:$B$28,2,false),0)</f>
        <v>5</v>
      </c>
      <c r="L43" s="2"/>
      <c r="M43" s="10">
        <v>42.0</v>
      </c>
      <c r="N43" s="11" t="str">
        <f t="shared" si="1"/>
        <v>bnco0942@signalschool.ac.th</v>
      </c>
      <c r="O43" s="12">
        <f t="shared" si="2"/>
        <v>1</v>
      </c>
      <c r="R43" s="17" t="s">
        <v>259</v>
      </c>
    </row>
    <row r="44">
      <c r="A44" s="8">
        <f>'3.1'!A:A</f>
        <v>46212.6288</v>
      </c>
      <c r="B44" s="2" t="str">
        <f>'3.1'!B:B</f>
        <v>bnco0921@signalschool.ac.th</v>
      </c>
      <c r="C44" s="2" t="str">
        <f>'3.1'!C:C</f>
        <v>พ.ต.ไมตรี บุญเหลื่อม</v>
      </c>
      <c r="D44" s="9">
        <v>1.0</v>
      </c>
      <c r="E44" s="10">
        <f>IFERROR(vlookup('3.1'!D:D,lookup!$A$2:$B$4,2,false),0)</f>
        <v>5</v>
      </c>
      <c r="F44" s="10">
        <f>IFERROR(vlookup('3.1'!E:E,lookup!$A$6:$B$8,2,false),0)</f>
        <v>5</v>
      </c>
      <c r="G44" s="10">
        <f>IFERROR(vlookup('3.1'!F:F,lookup!$A$10:$B$12,2,false),0)</f>
        <v>5</v>
      </c>
      <c r="H44" s="10">
        <f>IFERROR(vlookup('3.1'!G:G,lookup!$A$14:$B$16,2,false),0)</f>
        <v>5</v>
      </c>
      <c r="I44" s="10">
        <f>IFERROR(vlookup('3.1'!H:H,lookup!$A$18:$B$20,2,false),0)</f>
        <v>5</v>
      </c>
      <c r="J44" s="10">
        <f>IFERROR(vlookup('3.1'!I:I,lookup!$A$22:$B$24,2,false),0)</f>
        <v>5</v>
      </c>
      <c r="K44" s="10">
        <f>IFERROR(vlookup('3.1'!J:J,lookup!$A$26:$B$28,2,false),0)</f>
        <v>5</v>
      </c>
      <c r="L44" s="2"/>
      <c r="M44" s="10">
        <v>43.0</v>
      </c>
      <c r="N44" s="11" t="str">
        <f t="shared" si="1"/>
        <v>bnco0943@signalschool.ac.th</v>
      </c>
      <c r="O44" s="12">
        <f t="shared" si="2"/>
        <v>1</v>
      </c>
      <c r="R44" s="17" t="s">
        <v>260</v>
      </c>
    </row>
    <row r="45">
      <c r="A45" s="8">
        <f>'3.1'!A:A</f>
        <v>46212.6289</v>
      </c>
      <c r="B45" s="2" t="str">
        <f>'3.1'!B:B</f>
        <v>bnco0941@signalschool.ac.th</v>
      </c>
      <c r="C45" s="2" t="str">
        <f>'3.1'!C:C</f>
        <v>พ.ต.ไมตรี บุญเหลื่อม</v>
      </c>
      <c r="D45" s="9">
        <v>1.0</v>
      </c>
      <c r="E45" s="10">
        <f>IFERROR(vlookup('3.1'!D:D,lookup!$A$2:$B$4,2,false),0)</f>
        <v>5</v>
      </c>
      <c r="F45" s="10">
        <f>IFERROR(vlookup('3.1'!E:E,lookup!$A$6:$B$8,2,false),0)</f>
        <v>5</v>
      </c>
      <c r="G45" s="10">
        <f>IFERROR(vlookup('3.1'!F:F,lookup!$A$10:$B$12,2,false),0)</f>
        <v>5</v>
      </c>
      <c r="H45" s="10">
        <f>IFERROR(vlookup('3.1'!G:G,lookup!$A$14:$B$16,2,false),0)</f>
        <v>5</v>
      </c>
      <c r="I45" s="10">
        <f>IFERROR(vlookup('3.1'!H:H,lookup!$A$18:$B$20,2,false),0)</f>
        <v>5</v>
      </c>
      <c r="J45" s="10">
        <f>IFERROR(vlookup('3.1'!I:I,lookup!$A$22:$B$24,2,false),0)</f>
        <v>5</v>
      </c>
      <c r="K45" s="10">
        <f>IFERROR(vlookup('3.1'!J:J,lookup!$A$26:$B$28,2,false),0)</f>
        <v>5</v>
      </c>
      <c r="L45" s="2"/>
      <c r="M45" s="10">
        <v>44.0</v>
      </c>
      <c r="N45" s="11" t="str">
        <f t="shared" si="1"/>
        <v>bnco0944@signalschool.ac.th</v>
      </c>
      <c r="O45" s="12">
        <f t="shared" si="2"/>
        <v>1</v>
      </c>
      <c r="R45" s="17" t="s">
        <v>261</v>
      </c>
    </row>
    <row r="46">
      <c r="A46" s="8">
        <f>'3.1'!A:A</f>
        <v>46212.62896</v>
      </c>
      <c r="B46" s="2" t="str">
        <f>'3.1'!B:B</f>
        <v>bnco0965@signalschool.ac.th</v>
      </c>
      <c r="C46" s="2" t="str">
        <f>'3.1'!C:C</f>
        <v>พ.ต.ไมตรี บุญเหลื่อม</v>
      </c>
      <c r="D46" s="9">
        <v>1.0</v>
      </c>
      <c r="E46" s="10">
        <f>IFERROR(vlookup('3.1'!D:D,lookup!$A$2:$B$4,2,false),0)</f>
        <v>5</v>
      </c>
      <c r="F46" s="10">
        <f>IFERROR(vlookup('3.1'!E:E,lookup!$A$6:$B$8,2,false),0)</f>
        <v>5</v>
      </c>
      <c r="G46" s="10">
        <f>IFERROR(vlookup('3.1'!F:F,lookup!$A$10:$B$12,2,false),0)</f>
        <v>5</v>
      </c>
      <c r="H46" s="10">
        <f>IFERROR(vlookup('3.1'!G:G,lookup!$A$14:$B$16,2,false),0)</f>
        <v>5</v>
      </c>
      <c r="I46" s="10">
        <f>IFERROR(vlookup('3.1'!H:H,lookup!$A$18:$B$20,2,false),0)</f>
        <v>5</v>
      </c>
      <c r="J46" s="10">
        <f>IFERROR(vlookup('3.1'!I:I,lookup!$A$22:$B$24,2,false),0)</f>
        <v>5</v>
      </c>
      <c r="K46" s="10">
        <f>IFERROR(vlookup('3.1'!J:J,lookup!$A$26:$B$28,2,false),0)</f>
        <v>5</v>
      </c>
      <c r="L46" s="2"/>
      <c r="M46" s="10">
        <v>45.0</v>
      </c>
      <c r="N46" s="11" t="str">
        <f t="shared" si="1"/>
        <v>bnco0945@signalschool.ac.th</v>
      </c>
      <c r="O46" s="12">
        <f t="shared" si="2"/>
        <v>1</v>
      </c>
      <c r="R46" s="17" t="s">
        <v>262</v>
      </c>
    </row>
    <row r="47">
      <c r="A47" s="8">
        <f>'3.1'!A:A</f>
        <v>46212.62909</v>
      </c>
      <c r="B47" s="2" t="str">
        <f>'3.1'!B:B</f>
        <v>bnco0937@signalschool.ac.th</v>
      </c>
      <c r="C47" s="2" t="str">
        <f>'3.1'!C:C</f>
        <v>พ.ต.ไมตรี บุญเหลื่อม</v>
      </c>
      <c r="D47" s="9">
        <v>1.0</v>
      </c>
      <c r="E47" s="10">
        <f>IFERROR(vlookup('3.1'!D:D,lookup!$A$2:$B$4,2,false),0)</f>
        <v>5</v>
      </c>
      <c r="F47" s="10">
        <f>IFERROR(vlookup('3.1'!E:E,lookup!$A$6:$B$8,2,false),0)</f>
        <v>5</v>
      </c>
      <c r="G47" s="10">
        <f>IFERROR(vlookup('3.1'!F:F,lookup!$A$10:$B$12,2,false),0)</f>
        <v>5</v>
      </c>
      <c r="H47" s="10">
        <f>IFERROR(vlookup('3.1'!G:G,lookup!$A$14:$B$16,2,false),0)</f>
        <v>5</v>
      </c>
      <c r="I47" s="10">
        <f>IFERROR(vlookup('3.1'!H:H,lookup!$A$18:$B$20,2,false),0)</f>
        <v>5</v>
      </c>
      <c r="J47" s="10">
        <f>IFERROR(vlookup('3.1'!I:I,lookup!$A$22:$B$24,2,false),0)</f>
        <v>5</v>
      </c>
      <c r="K47" s="10">
        <f>IFERROR(vlookup('3.1'!J:J,lookup!$A$26:$B$28,2,false),0)</f>
        <v>5</v>
      </c>
      <c r="L47" s="2"/>
      <c r="M47" s="10">
        <v>46.0</v>
      </c>
      <c r="N47" s="11" t="str">
        <f t="shared" si="1"/>
        <v>bnco0946@signalschool.ac.th</v>
      </c>
      <c r="O47" s="12">
        <f t="shared" si="2"/>
        <v>1</v>
      </c>
      <c r="R47" s="17" t="s">
        <v>263</v>
      </c>
    </row>
    <row r="48">
      <c r="A48" s="8">
        <f>'3.1'!A:A</f>
        <v>46212.62913</v>
      </c>
      <c r="B48" s="2" t="str">
        <f>'3.1'!B:B</f>
        <v>bnco0960@signalschool.ac.th</v>
      </c>
      <c r="C48" s="2" t="str">
        <f>'3.1'!C:C</f>
        <v>พ.ต.ไมตรี บุญเหลื่อม</v>
      </c>
      <c r="D48" s="9">
        <v>1.0</v>
      </c>
      <c r="E48" s="10">
        <f>IFERROR(vlookup('3.1'!D:D,lookup!$A$2:$B$4,2,false),0)</f>
        <v>5</v>
      </c>
      <c r="F48" s="10">
        <f>IFERROR(vlookup('3.1'!E:E,lookup!$A$6:$B$8,2,false),0)</f>
        <v>5</v>
      </c>
      <c r="G48" s="10">
        <f>IFERROR(vlookup('3.1'!F:F,lookup!$A$10:$B$12,2,false),0)</f>
        <v>5</v>
      </c>
      <c r="H48" s="10">
        <f>IFERROR(vlookup('3.1'!G:G,lookup!$A$14:$B$16,2,false),0)</f>
        <v>5</v>
      </c>
      <c r="I48" s="10">
        <f>IFERROR(vlookup('3.1'!H:H,lookup!$A$18:$B$20,2,false),0)</f>
        <v>5</v>
      </c>
      <c r="J48" s="10">
        <f>IFERROR(vlookup('3.1'!I:I,lookup!$A$22:$B$24,2,false),0)</f>
        <v>5</v>
      </c>
      <c r="K48" s="10">
        <f>IFERROR(vlookup('3.1'!J:J,lookup!$A$26:$B$28,2,false),0)</f>
        <v>5</v>
      </c>
      <c r="L48" s="2"/>
      <c r="M48" s="10">
        <v>47.0</v>
      </c>
      <c r="N48" s="11" t="str">
        <f t="shared" si="1"/>
        <v>bnco0947@signalschool.ac.th</v>
      </c>
      <c r="O48" s="12">
        <f t="shared" si="2"/>
        <v>1</v>
      </c>
      <c r="R48" s="17" t="s">
        <v>264</v>
      </c>
    </row>
    <row r="49">
      <c r="A49" s="8">
        <f>'3.1'!A:A</f>
        <v>46212.62915</v>
      </c>
      <c r="B49" s="2" t="str">
        <f>'3.1'!B:B</f>
        <v>bnco0915@signalschool.ac.th</v>
      </c>
      <c r="C49" s="2" t="str">
        <f>'3.1'!C:C</f>
        <v>พ.ต.ไมตรี​ บุญเหลี่ยม</v>
      </c>
      <c r="D49" s="9">
        <v>1.0</v>
      </c>
      <c r="E49" s="10">
        <f>IFERROR(vlookup('3.1'!D:D,lookup!$A$2:$B$4,2,false),0)</f>
        <v>5</v>
      </c>
      <c r="F49" s="10">
        <f>IFERROR(vlookup('3.1'!E:E,lookup!$A$6:$B$8,2,false),0)</f>
        <v>5</v>
      </c>
      <c r="G49" s="10">
        <f>IFERROR(vlookup('3.1'!F:F,lookup!$A$10:$B$12,2,false),0)</f>
        <v>5</v>
      </c>
      <c r="H49" s="10">
        <f>IFERROR(vlookup('3.1'!G:G,lookup!$A$14:$B$16,2,false),0)</f>
        <v>5</v>
      </c>
      <c r="I49" s="10">
        <f>IFERROR(vlookup('3.1'!H:H,lookup!$A$18:$B$20,2,false),0)</f>
        <v>5</v>
      </c>
      <c r="J49" s="10">
        <f>IFERROR(vlookup('3.1'!I:I,lookup!$A$22:$B$24,2,false),0)</f>
        <v>5</v>
      </c>
      <c r="K49" s="10">
        <f>IFERROR(vlookup('3.1'!J:J,lookup!$A$26:$B$28,2,false),0)</f>
        <v>5</v>
      </c>
      <c r="L49" s="2"/>
      <c r="M49" s="10">
        <v>48.0</v>
      </c>
      <c r="N49" s="11" t="str">
        <f t="shared" si="1"/>
        <v>bnco0948@signalschool.ac.th</v>
      </c>
      <c r="O49" s="12">
        <f t="shared" si="2"/>
        <v>1</v>
      </c>
      <c r="R49" s="17" t="s">
        <v>265</v>
      </c>
    </row>
    <row r="50">
      <c r="A50" s="8">
        <f>'3.1'!A:A</f>
        <v>46212.62917</v>
      </c>
      <c r="B50" s="2" t="str">
        <f>'3.1'!B:B</f>
        <v>bnco0929@signalschool.ac.th</v>
      </c>
      <c r="C50" s="2" t="str">
        <f>'3.1'!C:C</f>
        <v>พ.ต.ไมตรี บุญเหลื่อม</v>
      </c>
      <c r="D50" s="9">
        <v>1.0</v>
      </c>
      <c r="E50" s="10">
        <f>IFERROR(vlookup('3.1'!D:D,lookup!$A$2:$B$4,2,false),0)</f>
        <v>5</v>
      </c>
      <c r="F50" s="10">
        <f>IFERROR(vlookup('3.1'!E:E,lookup!$A$6:$B$8,2,false),0)</f>
        <v>5</v>
      </c>
      <c r="G50" s="10">
        <f>IFERROR(vlookup('3.1'!F:F,lookup!$A$10:$B$12,2,false),0)</f>
        <v>5</v>
      </c>
      <c r="H50" s="10">
        <f>IFERROR(vlookup('3.1'!G:G,lookup!$A$14:$B$16,2,false),0)</f>
        <v>5</v>
      </c>
      <c r="I50" s="10">
        <f>IFERROR(vlookup('3.1'!H:H,lookup!$A$18:$B$20,2,false),0)</f>
        <v>5</v>
      </c>
      <c r="J50" s="10">
        <f>IFERROR(vlookup('3.1'!I:I,lookup!$A$22:$B$24,2,false),0)</f>
        <v>5</v>
      </c>
      <c r="K50" s="10">
        <f>IFERROR(vlookup('3.1'!J:J,lookup!$A$26:$B$28,2,false),0)</f>
        <v>5</v>
      </c>
      <c r="L50" s="2"/>
      <c r="M50" s="10">
        <v>49.0</v>
      </c>
      <c r="N50" s="11" t="str">
        <f t="shared" si="1"/>
        <v>bnco0949@signalschool.ac.th</v>
      </c>
      <c r="O50" s="12">
        <f t="shared" si="2"/>
        <v>1</v>
      </c>
      <c r="R50" s="17" t="s">
        <v>266</v>
      </c>
    </row>
    <row r="51">
      <c r="A51" s="8">
        <f>'3.1'!A:A</f>
        <v>46212.62922</v>
      </c>
      <c r="B51" s="2" t="str">
        <f>'3.1'!B:B</f>
        <v>bnco0963@signalschool.ac.th</v>
      </c>
      <c r="C51" s="2" t="str">
        <f>'3.1'!C:C</f>
        <v>พ.ต.ไมตรี บุญเหลื่อม</v>
      </c>
      <c r="D51" s="9">
        <v>1.0</v>
      </c>
      <c r="E51" s="10">
        <f>IFERROR(vlookup('3.1'!D:D,lookup!$A$2:$B$4,2,false),0)</f>
        <v>5</v>
      </c>
      <c r="F51" s="10">
        <f>IFERROR(vlookup('3.1'!E:E,lookup!$A$6:$B$8,2,false),0)</f>
        <v>5</v>
      </c>
      <c r="G51" s="10">
        <f>IFERROR(vlookup('3.1'!F:F,lookup!$A$10:$B$12,2,false),0)</f>
        <v>5</v>
      </c>
      <c r="H51" s="10">
        <f>IFERROR(vlookup('3.1'!G:G,lookup!$A$14:$B$16,2,false),0)</f>
        <v>5</v>
      </c>
      <c r="I51" s="10">
        <f>IFERROR(vlookup('3.1'!H:H,lookup!$A$18:$B$20,2,false),0)</f>
        <v>5</v>
      </c>
      <c r="J51" s="10">
        <f>IFERROR(vlookup('3.1'!I:I,lookup!$A$22:$B$24,2,false),0)</f>
        <v>5</v>
      </c>
      <c r="K51" s="10">
        <f>IFERROR(vlookup('3.1'!J:J,lookup!$A$26:$B$28,2,false),0)</f>
        <v>5</v>
      </c>
      <c r="L51" s="2"/>
      <c r="M51" s="10">
        <v>50.0</v>
      </c>
      <c r="N51" s="11" t="str">
        <f t="shared" si="1"/>
        <v>bnco0950@signalschool.ac.th</v>
      </c>
      <c r="O51" s="12">
        <f t="shared" si="2"/>
        <v>1</v>
      </c>
      <c r="R51" s="17" t="s">
        <v>267</v>
      </c>
    </row>
    <row r="52">
      <c r="A52" s="8">
        <f>'3.1'!A:A</f>
        <v>46212.62923</v>
      </c>
      <c r="B52" s="2" t="str">
        <f>'3.1'!B:B</f>
        <v>bnco0912@signalschool.ac.th</v>
      </c>
      <c r="C52" s="2" t="str">
        <f>'3.1'!C:C</f>
        <v>พ.ต.ไมตรี บุญเหลื่อม</v>
      </c>
      <c r="D52" s="9">
        <v>1.0</v>
      </c>
      <c r="E52" s="10">
        <f>IFERROR(vlookup('3.1'!D:D,lookup!$A$2:$B$4,2,false),0)</f>
        <v>5</v>
      </c>
      <c r="F52" s="10">
        <f>IFERROR(vlookup('3.1'!E:E,lookup!$A$6:$B$8,2,false),0)</f>
        <v>5</v>
      </c>
      <c r="G52" s="10">
        <f>IFERROR(vlookup('3.1'!F:F,lookup!$A$10:$B$12,2,false),0)</f>
        <v>5</v>
      </c>
      <c r="H52" s="10">
        <f>IFERROR(vlookup('3.1'!G:G,lookup!$A$14:$B$16,2,false),0)</f>
        <v>5</v>
      </c>
      <c r="I52" s="10">
        <f>IFERROR(vlookup('3.1'!H:H,lookup!$A$18:$B$20,2,false),0)</f>
        <v>5</v>
      </c>
      <c r="J52" s="10">
        <f>IFERROR(vlookup('3.1'!I:I,lookup!$A$22:$B$24,2,false),0)</f>
        <v>5</v>
      </c>
      <c r="K52" s="10">
        <f>IFERROR(vlookup('3.1'!J:J,lookup!$A$26:$B$28,2,false),0)</f>
        <v>5</v>
      </c>
      <c r="L52" s="2"/>
      <c r="M52" s="10">
        <v>51.0</v>
      </c>
      <c r="N52" s="11" t="str">
        <f t="shared" si="1"/>
        <v>bnco0951@signalschool.ac.th</v>
      </c>
      <c r="O52" s="12">
        <f t="shared" si="2"/>
        <v>1</v>
      </c>
      <c r="R52" s="17" t="s">
        <v>268</v>
      </c>
    </row>
    <row r="53">
      <c r="A53" s="8">
        <f>'3.1'!A:A</f>
        <v>46212.62952</v>
      </c>
      <c r="B53" s="2" t="str">
        <f>'3.1'!B:B</f>
        <v>bnco0933@signalschool.ac.th</v>
      </c>
      <c r="C53" s="2" t="str">
        <f>'3.1'!C:C</f>
        <v>พ.ต.ไมตรี บุญเหลื่อม</v>
      </c>
      <c r="D53" s="9">
        <v>1.0</v>
      </c>
      <c r="E53" s="10">
        <f>IFERROR(vlookup('3.1'!D:D,lookup!$A$2:$B$4,2,false),0)</f>
        <v>5</v>
      </c>
      <c r="F53" s="10">
        <f>IFERROR(vlookup('3.1'!E:E,lookup!$A$6:$B$8,2,false),0)</f>
        <v>5</v>
      </c>
      <c r="G53" s="10">
        <f>IFERROR(vlookup('3.1'!F:F,lookup!$A$10:$B$12,2,false),0)</f>
        <v>5</v>
      </c>
      <c r="H53" s="10">
        <f>IFERROR(vlookup('3.1'!G:G,lookup!$A$14:$B$16,2,false),0)</f>
        <v>5</v>
      </c>
      <c r="I53" s="10">
        <f>IFERROR(vlookup('3.1'!H:H,lookup!$A$18:$B$20,2,false),0)</f>
        <v>5</v>
      </c>
      <c r="J53" s="10">
        <f>IFERROR(vlookup('3.1'!I:I,lookup!$A$22:$B$24,2,false),0)</f>
        <v>5</v>
      </c>
      <c r="K53" s="10">
        <f>IFERROR(vlookup('3.1'!J:J,lookup!$A$26:$B$28,2,false),0)</f>
        <v>5</v>
      </c>
      <c r="L53" s="2"/>
      <c r="M53" s="10">
        <v>52.0</v>
      </c>
      <c r="N53" s="11" t="str">
        <f t="shared" si="1"/>
        <v>bnco0952@signalschool.ac.th</v>
      </c>
      <c r="O53" s="12">
        <f t="shared" si="2"/>
        <v>1</v>
      </c>
      <c r="R53" s="17" t="s">
        <v>269</v>
      </c>
    </row>
    <row r="54">
      <c r="A54" s="8">
        <f>'3.1'!A:A</f>
        <v>46212.62965</v>
      </c>
      <c r="B54" s="2" t="str">
        <f>'3.1'!B:B</f>
        <v>bnco0901@signalschool.ac.th</v>
      </c>
      <c r="C54" s="2" t="str">
        <f>'3.1'!C:C</f>
        <v>พ.ต.ไมตรี บุญเหลื่อม</v>
      </c>
      <c r="D54" s="9">
        <v>1.0</v>
      </c>
      <c r="E54" s="10">
        <f>IFERROR(vlookup('3.1'!D:D,lookup!$A$2:$B$4,2,false),0)</f>
        <v>5</v>
      </c>
      <c r="F54" s="10">
        <f>IFERROR(vlookup('3.1'!E:E,lookup!$A$6:$B$8,2,false),0)</f>
        <v>5</v>
      </c>
      <c r="G54" s="10">
        <f>IFERROR(vlookup('3.1'!F:F,lookup!$A$10:$B$12,2,false),0)</f>
        <v>5</v>
      </c>
      <c r="H54" s="10">
        <f>IFERROR(vlookup('3.1'!G:G,lookup!$A$14:$B$16,2,false),0)</f>
        <v>5</v>
      </c>
      <c r="I54" s="10">
        <f>IFERROR(vlookup('3.1'!H:H,lookup!$A$18:$B$20,2,false),0)</f>
        <v>5</v>
      </c>
      <c r="J54" s="10">
        <f>IFERROR(vlookup('3.1'!I:I,lookup!$A$22:$B$24,2,false),0)</f>
        <v>5</v>
      </c>
      <c r="K54" s="10">
        <f>IFERROR(vlookup('3.1'!J:J,lookup!$A$26:$B$28,2,false),0)</f>
        <v>5</v>
      </c>
      <c r="L54" s="2"/>
      <c r="M54" s="10">
        <v>53.0</v>
      </c>
      <c r="N54" s="11" t="str">
        <f t="shared" si="1"/>
        <v>bnco0953@signalschool.ac.th</v>
      </c>
      <c r="O54" s="12">
        <f t="shared" si="2"/>
        <v>1</v>
      </c>
      <c r="R54" s="17" t="s">
        <v>270</v>
      </c>
    </row>
    <row r="55">
      <c r="A55" s="8">
        <f>'3.1'!A:A</f>
        <v>46212.62981</v>
      </c>
      <c r="B55" s="2" t="str">
        <f>'3.1'!B:B</f>
        <v>bnco0938@signalschool.ac.th</v>
      </c>
      <c r="C55" s="2" t="str">
        <f>'3.1'!C:C</f>
        <v>พ.ต.ไมตรี บุญเหลื่อม</v>
      </c>
      <c r="D55" s="9">
        <v>1.0</v>
      </c>
      <c r="E55" s="10">
        <f>IFERROR(vlookup('3.1'!D:D,lookup!$A$2:$B$4,2,false),0)</f>
        <v>5</v>
      </c>
      <c r="F55" s="10">
        <f>IFERROR(vlookup('3.1'!E:E,lookup!$A$6:$B$8,2,false),0)</f>
        <v>5</v>
      </c>
      <c r="G55" s="10">
        <f>IFERROR(vlookup('3.1'!F:F,lookup!$A$10:$B$12,2,false),0)</f>
        <v>5</v>
      </c>
      <c r="H55" s="10">
        <f>IFERROR(vlookup('3.1'!G:G,lookup!$A$14:$B$16,2,false),0)</f>
        <v>5</v>
      </c>
      <c r="I55" s="10">
        <f>IFERROR(vlookup('3.1'!H:H,lookup!$A$18:$B$20,2,false),0)</f>
        <v>5</v>
      </c>
      <c r="J55" s="10">
        <f>IFERROR(vlookup('3.1'!I:I,lookup!$A$22:$B$24,2,false),0)</f>
        <v>5</v>
      </c>
      <c r="K55" s="10">
        <f>IFERROR(vlookup('3.1'!J:J,lookup!$A$26:$B$28,2,false),0)</f>
        <v>5</v>
      </c>
      <c r="L55" s="2"/>
      <c r="M55" s="10">
        <v>54.0</v>
      </c>
      <c r="N55" s="11" t="str">
        <f t="shared" si="1"/>
        <v>bnco0954@signalschool.ac.th</v>
      </c>
      <c r="O55" s="12">
        <f t="shared" si="2"/>
        <v>1</v>
      </c>
      <c r="R55" s="17" t="s">
        <v>271</v>
      </c>
    </row>
    <row r="56">
      <c r="A56" s="8">
        <f>'3.1'!A:A</f>
        <v>46212.62999</v>
      </c>
      <c r="B56" s="2" t="str">
        <f>'3.1'!B:B</f>
        <v>bnco0939@signalschool.ac.th</v>
      </c>
      <c r="C56" s="2" t="str">
        <f>'3.1'!C:C</f>
        <v>พ.ต.ไมตรี บุญเหลื่อม</v>
      </c>
      <c r="D56" s="9">
        <v>1.0</v>
      </c>
      <c r="E56" s="10">
        <f>IFERROR(vlookup('3.1'!D:D,lookup!$A$2:$B$4,2,false),0)</f>
        <v>5</v>
      </c>
      <c r="F56" s="10">
        <f>IFERROR(vlookup('3.1'!E:E,lookup!$A$6:$B$8,2,false),0)</f>
        <v>5</v>
      </c>
      <c r="G56" s="10">
        <f>IFERROR(vlookup('3.1'!F:F,lookup!$A$10:$B$12,2,false),0)</f>
        <v>5</v>
      </c>
      <c r="H56" s="10">
        <f>IFERROR(vlookup('3.1'!G:G,lookup!$A$14:$B$16,2,false),0)</f>
        <v>5</v>
      </c>
      <c r="I56" s="10">
        <f>IFERROR(vlookup('3.1'!H:H,lookup!$A$18:$B$20,2,false),0)</f>
        <v>5</v>
      </c>
      <c r="J56" s="10">
        <f>IFERROR(vlookup('3.1'!I:I,lookup!$A$22:$B$24,2,false),0)</f>
        <v>5</v>
      </c>
      <c r="K56" s="10">
        <f>IFERROR(vlookup('3.1'!J:J,lookup!$A$26:$B$28,2,false),0)</f>
        <v>5</v>
      </c>
      <c r="L56" s="13"/>
      <c r="M56" s="10">
        <v>55.0</v>
      </c>
      <c r="N56" s="11" t="str">
        <f t="shared" si="1"/>
        <v>bnco0955@signalschool.ac.th</v>
      </c>
      <c r="O56" s="12">
        <f t="shared" si="2"/>
        <v>1</v>
      </c>
      <c r="R56" s="17" t="s">
        <v>272</v>
      </c>
    </row>
    <row r="57">
      <c r="A57" s="8">
        <f>'3.1'!A:A</f>
        <v>46212.63</v>
      </c>
      <c r="B57" s="2" t="str">
        <f>'3.1'!B:B</f>
        <v>bnco0957@signalschool.ac.th</v>
      </c>
      <c r="C57" s="2" t="str">
        <f>'3.1'!C:C</f>
        <v>พ.ต.ไมตรี บุญเหลื่อม</v>
      </c>
      <c r="D57" s="9">
        <v>1.0</v>
      </c>
      <c r="E57" s="10">
        <f>IFERROR(vlookup('3.1'!D:D,lookup!$A$2:$B$4,2,false),0)</f>
        <v>5</v>
      </c>
      <c r="F57" s="10">
        <f>IFERROR(vlookup('3.1'!E:E,lookup!$A$6:$B$8,2,false),0)</f>
        <v>5</v>
      </c>
      <c r="G57" s="10">
        <f>IFERROR(vlookup('3.1'!F:F,lookup!$A$10:$B$12,2,false),0)</f>
        <v>5</v>
      </c>
      <c r="H57" s="10">
        <f>IFERROR(vlookup('3.1'!G:G,lookup!$A$14:$B$16,2,false),0)</f>
        <v>5</v>
      </c>
      <c r="I57" s="10">
        <f>IFERROR(vlookup('3.1'!H:H,lookup!$A$18:$B$20,2,false),0)</f>
        <v>5</v>
      </c>
      <c r="J57" s="10">
        <f>IFERROR(vlookup('3.1'!I:I,lookup!$A$22:$B$24,2,false),0)</f>
        <v>5</v>
      </c>
      <c r="K57" s="10">
        <f>IFERROR(vlookup('3.1'!J:J,lookup!$A$26:$B$28,2,false),0)</f>
        <v>5</v>
      </c>
      <c r="L57" s="13"/>
      <c r="M57" s="10">
        <v>56.0</v>
      </c>
      <c r="N57" s="11" t="str">
        <f t="shared" si="1"/>
        <v>bnco0956@signalschool.ac.th</v>
      </c>
      <c r="O57" s="12">
        <f t="shared" si="2"/>
        <v>1</v>
      </c>
      <c r="R57" s="17" t="s">
        <v>273</v>
      </c>
    </row>
    <row r="58">
      <c r="A58" s="8">
        <f>'3.1'!A:A</f>
        <v>46212.63002</v>
      </c>
      <c r="B58" s="2" t="str">
        <f>'3.1'!B:B</f>
        <v>bnco0911@signalschool.ac.th</v>
      </c>
      <c r="C58" s="2" t="str">
        <f>'3.1'!C:C</f>
        <v>พ.ต.ไมตรี บุญเหลื่อม</v>
      </c>
      <c r="D58" s="9">
        <v>1.0</v>
      </c>
      <c r="E58" s="10">
        <f>IFERROR(vlookup('3.1'!D:D,lookup!$A$2:$B$4,2,false),0)</f>
        <v>5</v>
      </c>
      <c r="F58" s="10">
        <f>IFERROR(vlookup('3.1'!E:E,lookup!$A$6:$B$8,2,false),0)</f>
        <v>5</v>
      </c>
      <c r="G58" s="10">
        <f>IFERROR(vlookup('3.1'!F:F,lookup!$A$10:$B$12,2,false),0)</f>
        <v>5</v>
      </c>
      <c r="H58" s="10">
        <f>IFERROR(vlookup('3.1'!G:G,lookup!$A$14:$B$16,2,false),0)</f>
        <v>5</v>
      </c>
      <c r="I58" s="10">
        <f>IFERROR(vlookup('3.1'!H:H,lookup!$A$18:$B$20,2,false),0)</f>
        <v>5</v>
      </c>
      <c r="J58" s="10">
        <f>IFERROR(vlookup('3.1'!I:I,lookup!$A$22:$B$24,2,false),0)</f>
        <v>5</v>
      </c>
      <c r="K58" s="10">
        <f>IFERROR(vlookup('3.1'!J:J,lookup!$A$26:$B$28,2,false),0)</f>
        <v>5</v>
      </c>
      <c r="L58" s="13"/>
      <c r="M58" s="10">
        <v>57.0</v>
      </c>
      <c r="N58" s="11" t="str">
        <f t="shared" si="1"/>
        <v>bnco0957@signalschool.ac.th</v>
      </c>
      <c r="O58" s="12">
        <f t="shared" si="2"/>
        <v>1</v>
      </c>
      <c r="R58" s="17" t="s">
        <v>274</v>
      </c>
    </row>
    <row r="59">
      <c r="A59" s="8">
        <f>'3.1'!A:A</f>
        <v>46212.63013</v>
      </c>
      <c r="B59" s="2" t="str">
        <f>'3.1'!B:B</f>
        <v>bnco0947@signalschool.ac.th</v>
      </c>
      <c r="C59" s="2" t="str">
        <f>'3.1'!C:C</f>
        <v>พ.ต.ไมตรี บุญเหลื่อม</v>
      </c>
      <c r="D59" s="9">
        <v>1.0</v>
      </c>
      <c r="E59" s="10">
        <f>IFERROR(vlookup('3.1'!D:D,lookup!$A$2:$B$4,2,false),0)</f>
        <v>5</v>
      </c>
      <c r="F59" s="10">
        <f>IFERROR(vlookup('3.1'!E:E,lookup!$A$6:$B$8,2,false),0)</f>
        <v>5</v>
      </c>
      <c r="G59" s="10">
        <f>IFERROR(vlookup('3.1'!F:F,lookup!$A$10:$B$12,2,false),0)</f>
        <v>5</v>
      </c>
      <c r="H59" s="10">
        <f>IFERROR(vlookup('3.1'!G:G,lookup!$A$14:$B$16,2,false),0)</f>
        <v>5</v>
      </c>
      <c r="I59" s="10">
        <f>IFERROR(vlookup('3.1'!H:H,lookup!$A$18:$B$20,2,false),0)</f>
        <v>5</v>
      </c>
      <c r="J59" s="10">
        <f>IFERROR(vlookup('3.1'!I:I,lookup!$A$22:$B$24,2,false),0)</f>
        <v>5</v>
      </c>
      <c r="K59" s="10">
        <f>IFERROR(vlookup('3.1'!J:J,lookup!$A$26:$B$28,2,false),0)</f>
        <v>5</v>
      </c>
      <c r="L59" s="14"/>
      <c r="M59" s="10">
        <v>58.0</v>
      </c>
      <c r="N59" s="11" t="str">
        <f t="shared" si="1"/>
        <v>bnco0958@signalschool.ac.th</v>
      </c>
      <c r="O59" s="12">
        <f t="shared" si="2"/>
        <v>1</v>
      </c>
      <c r="R59" s="17" t="s">
        <v>275</v>
      </c>
    </row>
    <row r="60">
      <c r="A60" s="8">
        <f>'3.1'!A:A</f>
        <v>46212.63106</v>
      </c>
      <c r="B60" s="2" t="str">
        <f>'3.1'!B:B</f>
        <v>bnco0952@signalschool.ac.th</v>
      </c>
      <c r="C60" s="2" t="str">
        <f>'3.1'!C:C</f>
        <v>พ.ต.ไมตรี บุญเหลื่อม</v>
      </c>
      <c r="D60" s="9">
        <v>1.0</v>
      </c>
      <c r="E60" s="10">
        <f>IFERROR(vlookup('3.1'!D:D,lookup!$A$2:$B$4,2,false),0)</f>
        <v>5</v>
      </c>
      <c r="F60" s="10">
        <f>IFERROR(vlookup('3.1'!E:E,lookup!$A$6:$B$8,2,false),0)</f>
        <v>5</v>
      </c>
      <c r="G60" s="10">
        <f>IFERROR(vlookup('3.1'!F:F,lookup!$A$10:$B$12,2,false),0)</f>
        <v>5</v>
      </c>
      <c r="H60" s="10">
        <f>IFERROR(vlookup('3.1'!G:G,lookup!$A$14:$B$16,2,false),0)</f>
        <v>5</v>
      </c>
      <c r="I60" s="10">
        <f>IFERROR(vlookup('3.1'!H:H,lookup!$A$18:$B$20,2,false),0)</f>
        <v>5</v>
      </c>
      <c r="J60" s="10">
        <f>IFERROR(vlookup('3.1'!I:I,lookup!$A$22:$B$24,2,false),0)</f>
        <v>5</v>
      </c>
      <c r="K60" s="10">
        <f>IFERROR(vlookup('3.1'!J:J,lookup!$A$26:$B$28,2,false),0)</f>
        <v>5</v>
      </c>
      <c r="L60" s="10"/>
      <c r="M60" s="10">
        <v>59.0</v>
      </c>
      <c r="N60" s="11" t="str">
        <f t="shared" si="1"/>
        <v>bnco0959@signalschool.ac.th</v>
      </c>
      <c r="O60" s="12">
        <f t="shared" si="2"/>
        <v>1</v>
      </c>
      <c r="R60" s="17" t="s">
        <v>276</v>
      </c>
    </row>
    <row r="61">
      <c r="A61" s="8">
        <f>'3.1'!A:A</f>
        <v>46212.63129</v>
      </c>
      <c r="B61" s="2" t="str">
        <f>'3.1'!B:B</f>
        <v>bnco0974@signalschool.ac.th</v>
      </c>
      <c r="C61" s="2" t="str">
        <f>'3.1'!C:C</f>
        <v>พ.ต.ไมตรี บุญเหลื่อม</v>
      </c>
      <c r="D61" s="9">
        <v>1.0</v>
      </c>
      <c r="E61" s="10">
        <f>IFERROR(vlookup('3.1'!D:D,lookup!$A$2:$B$4,2,false),0)</f>
        <v>3</v>
      </c>
      <c r="F61" s="10">
        <f>IFERROR(vlookup('3.1'!E:E,lookup!$A$6:$B$8,2,false),0)</f>
        <v>5</v>
      </c>
      <c r="G61" s="10">
        <f>IFERROR(vlookup('3.1'!F:F,lookup!$A$10:$B$12,2,false),0)</f>
        <v>5</v>
      </c>
      <c r="H61" s="10">
        <f>IFERROR(vlookup('3.1'!G:G,lookup!$A$14:$B$16,2,false),0)</f>
        <v>5</v>
      </c>
      <c r="I61" s="10">
        <f>IFERROR(vlookup('3.1'!H:H,lookup!$A$18:$B$20,2,false),0)</f>
        <v>3</v>
      </c>
      <c r="J61" s="10">
        <f>IFERROR(vlookup('3.1'!I:I,lookup!$A$22:$B$24,2,false),0)</f>
        <v>3</v>
      </c>
      <c r="K61" s="10">
        <f>IFERROR(vlookup('3.1'!J:J,lookup!$A$26:$B$28,2,false),0)</f>
        <v>3</v>
      </c>
      <c r="M61" s="10">
        <v>60.0</v>
      </c>
      <c r="N61" s="11" t="str">
        <f t="shared" si="1"/>
        <v>bnco0960@signalschool.ac.th</v>
      </c>
      <c r="O61" s="12">
        <f t="shared" si="2"/>
        <v>1</v>
      </c>
      <c r="R61" s="17" t="s">
        <v>277</v>
      </c>
    </row>
    <row r="62">
      <c r="A62" s="8">
        <f>'3.1'!A:A</f>
        <v>46212.63132</v>
      </c>
      <c r="B62" s="2" t="str">
        <f>'3.1'!B:B</f>
        <v>bnco0959@signalschool.ac.th</v>
      </c>
      <c r="C62" s="2" t="str">
        <f>'3.1'!C:C</f>
        <v>พ.ต.ไมตรี บุญเหลื่อม</v>
      </c>
      <c r="D62" s="9">
        <v>1.0</v>
      </c>
      <c r="E62" s="10">
        <f>IFERROR(vlookup('3.1'!D:D,lookup!$A$2:$B$4,2,false),0)</f>
        <v>5</v>
      </c>
      <c r="F62" s="10">
        <f>IFERROR(vlookup('3.1'!E:E,lookup!$A$6:$B$8,2,false),0)</f>
        <v>5</v>
      </c>
      <c r="G62" s="10">
        <f>IFERROR(vlookup('3.1'!F:F,lookup!$A$10:$B$12,2,false),0)</f>
        <v>5</v>
      </c>
      <c r="H62" s="10">
        <f>IFERROR(vlookup('3.1'!G:G,lookup!$A$14:$B$16,2,false),0)</f>
        <v>5</v>
      </c>
      <c r="I62" s="10">
        <f>IFERROR(vlookup('3.1'!H:H,lookup!$A$18:$B$20,2,false),0)</f>
        <v>5</v>
      </c>
      <c r="J62" s="10">
        <f>IFERROR(vlookup('3.1'!I:I,lookup!$A$22:$B$24,2,false),0)</f>
        <v>5</v>
      </c>
      <c r="K62" s="10">
        <f>IFERROR(vlookup('3.1'!J:J,lookup!$A$26:$B$28,2,false),0)</f>
        <v>5</v>
      </c>
      <c r="M62" s="10">
        <v>61.0</v>
      </c>
      <c r="N62" s="11" t="str">
        <f t="shared" si="1"/>
        <v>bnco0961@signalschool.ac.th</v>
      </c>
      <c r="O62" s="12">
        <f t="shared" si="2"/>
        <v>1</v>
      </c>
      <c r="R62" s="17" t="s">
        <v>278</v>
      </c>
    </row>
    <row r="63">
      <c r="A63" s="8">
        <f>'3.1'!A:A</f>
        <v>46212.63143</v>
      </c>
      <c r="B63" s="2" t="str">
        <f>'3.1'!B:B</f>
        <v>bnco0961@signalschool.ac.th</v>
      </c>
      <c r="C63" s="2" t="str">
        <f>'3.1'!C:C</f>
        <v> พ.ต.ไมตรี บุญเหลื่อม</v>
      </c>
      <c r="D63" s="9">
        <v>1.0</v>
      </c>
      <c r="E63" s="10">
        <f>IFERROR(vlookup('3.1'!D:D,lookup!$A$2:$B$4,2,false),0)</f>
        <v>5</v>
      </c>
      <c r="F63" s="10">
        <f>IFERROR(vlookup('3.1'!E:E,lookup!$A$6:$B$8,2,false),0)</f>
        <v>5</v>
      </c>
      <c r="G63" s="10">
        <f>IFERROR(vlookup('3.1'!F:F,lookup!$A$10:$B$12,2,false),0)</f>
        <v>5</v>
      </c>
      <c r="H63" s="10">
        <f>IFERROR(vlookup('3.1'!G:G,lookup!$A$14:$B$16,2,false),0)</f>
        <v>5</v>
      </c>
      <c r="I63" s="10">
        <f>IFERROR(vlookup('3.1'!H:H,lookup!$A$18:$B$20,2,false),0)</f>
        <v>5</v>
      </c>
      <c r="J63" s="10">
        <f>IFERROR(vlookup('3.1'!I:I,lookup!$A$22:$B$24,2,false),0)</f>
        <v>5</v>
      </c>
      <c r="K63" s="10">
        <f>IFERROR(vlookup('3.1'!J:J,lookup!$A$26:$B$28,2,false),0)</f>
        <v>5</v>
      </c>
      <c r="M63" s="10">
        <v>62.0</v>
      </c>
      <c r="N63" s="11" t="str">
        <f t="shared" si="1"/>
        <v>bnco0962@signalschool.ac.th</v>
      </c>
      <c r="O63" s="12">
        <f t="shared" si="2"/>
        <v>1</v>
      </c>
      <c r="R63" s="17" t="s">
        <v>279</v>
      </c>
    </row>
    <row r="64">
      <c r="A64" s="8">
        <f>'3.1'!A:A</f>
        <v>46212.63149</v>
      </c>
      <c r="B64" s="2" t="str">
        <f>'3.1'!B:B</f>
        <v>bnco0905@signalschool.ac.th</v>
      </c>
      <c r="C64" s="2" t="str">
        <f>'3.1'!C:C</f>
        <v>พ.ต.ไมตรี บุญเหลื่อม</v>
      </c>
      <c r="D64" s="9">
        <v>1.0</v>
      </c>
      <c r="E64" s="10">
        <f>IFERROR(vlookup('3.1'!D:D,lookup!$A$2:$B$4,2,false),0)</f>
        <v>5</v>
      </c>
      <c r="F64" s="10">
        <f>IFERROR(vlookup('3.1'!E:E,lookup!$A$6:$B$8,2,false),0)</f>
        <v>5</v>
      </c>
      <c r="G64" s="10">
        <f>IFERROR(vlookup('3.1'!F:F,lookup!$A$10:$B$12,2,false),0)</f>
        <v>5</v>
      </c>
      <c r="H64" s="10">
        <f>IFERROR(vlookup('3.1'!G:G,lookup!$A$14:$B$16,2,false),0)</f>
        <v>5</v>
      </c>
      <c r="I64" s="10">
        <f>IFERROR(vlookup('3.1'!H:H,lookup!$A$18:$B$20,2,false),0)</f>
        <v>5</v>
      </c>
      <c r="J64" s="10">
        <f>IFERROR(vlookup('3.1'!I:I,lookup!$A$22:$B$24,2,false),0)</f>
        <v>5</v>
      </c>
      <c r="K64" s="10">
        <f>IFERROR(vlookup('3.1'!J:J,lookup!$A$26:$B$28,2,false),0)</f>
        <v>5</v>
      </c>
      <c r="M64" s="10">
        <v>63.0</v>
      </c>
      <c r="N64" s="11" t="str">
        <f t="shared" si="1"/>
        <v>bnco0963@signalschool.ac.th</v>
      </c>
      <c r="O64" s="12">
        <f t="shared" si="2"/>
        <v>1</v>
      </c>
      <c r="R64" s="17" t="s">
        <v>280</v>
      </c>
    </row>
    <row r="65">
      <c r="A65" s="8">
        <f>'3.1'!A:A</f>
        <v>46212.63189</v>
      </c>
      <c r="B65" s="2" t="str">
        <f>'3.1'!B:B</f>
        <v>bnco0969@signalschool.ac.th</v>
      </c>
      <c r="C65" s="2" t="str">
        <f>'3.1'!C:C</f>
        <v>พ.ต.ไมตรี  บุญเหลื่อม</v>
      </c>
      <c r="D65" s="9">
        <v>1.0</v>
      </c>
      <c r="E65" s="10">
        <f>IFERROR(vlookup('3.1'!D:D,lookup!$A$2:$B$4,2,false),0)</f>
        <v>5</v>
      </c>
      <c r="F65" s="10">
        <f>IFERROR(vlookup('3.1'!E:E,lookup!$A$6:$B$8,2,false),0)</f>
        <v>5</v>
      </c>
      <c r="G65" s="10">
        <f>IFERROR(vlookup('3.1'!F:F,lookup!$A$10:$B$12,2,false),0)</f>
        <v>5</v>
      </c>
      <c r="H65" s="10">
        <f>IFERROR(vlookup('3.1'!G:G,lookup!$A$14:$B$16,2,false),0)</f>
        <v>5</v>
      </c>
      <c r="I65" s="10">
        <f>IFERROR(vlookup('3.1'!H:H,lookup!$A$18:$B$20,2,false),0)</f>
        <v>5</v>
      </c>
      <c r="J65" s="10">
        <f>IFERROR(vlookup('3.1'!I:I,lookup!$A$22:$B$24,2,false),0)</f>
        <v>5</v>
      </c>
      <c r="K65" s="10">
        <f>IFERROR(vlookup('3.1'!J:J,lookup!$A$26:$B$28,2,false),0)</f>
        <v>5</v>
      </c>
      <c r="M65" s="10">
        <v>64.0</v>
      </c>
      <c r="N65" s="11" t="str">
        <f t="shared" si="1"/>
        <v>bnco0964@signalschool.ac.th</v>
      </c>
      <c r="O65" s="12">
        <f t="shared" si="2"/>
        <v>1</v>
      </c>
      <c r="R65" s="17" t="s">
        <v>281</v>
      </c>
    </row>
    <row r="66">
      <c r="A66" s="8">
        <f>'3.1'!A:A</f>
        <v>46212.6324</v>
      </c>
      <c r="B66" s="2" t="str">
        <f>'3.1'!B:B</f>
        <v>bnco0976@signalschool.ac.th</v>
      </c>
      <c r="C66" s="2" t="str">
        <f>'3.1'!C:C</f>
        <v>พ.ต.ไมตรี  บุญเหลื่อม</v>
      </c>
      <c r="D66" s="9">
        <v>1.0</v>
      </c>
      <c r="E66" s="10">
        <f>IFERROR(vlookup('3.1'!D:D,lookup!$A$2:$B$4,2,false),0)</f>
        <v>5</v>
      </c>
      <c r="F66" s="10">
        <f>IFERROR(vlookup('3.1'!E:E,lookup!$A$6:$B$8,2,false),0)</f>
        <v>5</v>
      </c>
      <c r="G66" s="10">
        <f>IFERROR(vlookup('3.1'!F:F,lookup!$A$10:$B$12,2,false),0)</f>
        <v>5</v>
      </c>
      <c r="H66" s="10">
        <f>IFERROR(vlookup('3.1'!G:G,lookup!$A$14:$B$16,2,false),0)</f>
        <v>5</v>
      </c>
      <c r="I66" s="10">
        <f>IFERROR(vlookup('3.1'!H:H,lookup!$A$18:$B$20,2,false),0)</f>
        <v>5</v>
      </c>
      <c r="J66" s="10">
        <f>IFERROR(vlookup('3.1'!I:I,lookup!$A$22:$B$24,2,false),0)</f>
        <v>5</v>
      </c>
      <c r="K66" s="10">
        <f>IFERROR(vlookup('3.1'!J:J,lookup!$A$26:$B$28,2,false),0)</f>
        <v>5</v>
      </c>
      <c r="M66" s="10">
        <v>65.0</v>
      </c>
      <c r="N66" s="11" t="str">
        <f t="shared" si="1"/>
        <v>bnco0965@signalschool.ac.th</v>
      </c>
      <c r="O66" s="12">
        <f t="shared" si="2"/>
        <v>1</v>
      </c>
      <c r="R66" s="17" t="s">
        <v>282</v>
      </c>
    </row>
    <row r="67">
      <c r="A67" s="8">
        <f>'3.1'!A:A</f>
        <v>46212.63245</v>
      </c>
      <c r="B67" s="2" t="str">
        <f>'3.1'!B:B</f>
        <v>bnco0944@signalschool.ac.th</v>
      </c>
      <c r="C67" s="2" t="str">
        <f>'3.1'!C:C</f>
        <v>พ.ต.ไมตรี บุญเหลื่อม </v>
      </c>
      <c r="D67" s="9">
        <v>1.0</v>
      </c>
      <c r="E67" s="10">
        <f>IFERROR(vlookup('3.1'!D:D,lookup!$A$2:$B$4,2,false),0)</f>
        <v>5</v>
      </c>
      <c r="F67" s="10">
        <f>IFERROR(vlookup('3.1'!E:E,lookup!$A$6:$B$8,2,false),0)</f>
        <v>5</v>
      </c>
      <c r="G67" s="10">
        <f>IFERROR(vlookup('3.1'!F:F,lookup!$A$10:$B$12,2,false),0)</f>
        <v>5</v>
      </c>
      <c r="H67" s="10">
        <f>IFERROR(vlookup('3.1'!G:G,lookup!$A$14:$B$16,2,false),0)</f>
        <v>5</v>
      </c>
      <c r="I67" s="10">
        <f>IFERROR(vlookup('3.1'!H:H,lookup!$A$18:$B$20,2,false),0)</f>
        <v>5</v>
      </c>
      <c r="J67" s="10">
        <f>IFERROR(vlookup('3.1'!I:I,lookup!$A$22:$B$24,2,false),0)</f>
        <v>5</v>
      </c>
      <c r="K67" s="10">
        <f>IFERROR(vlookup('3.1'!J:J,lookup!$A$26:$B$28,2,false),0)</f>
        <v>5</v>
      </c>
      <c r="M67" s="10">
        <v>66.0</v>
      </c>
      <c r="N67" s="11" t="str">
        <f t="shared" si="1"/>
        <v>bnco0966@signalschool.ac.th</v>
      </c>
      <c r="O67" s="12">
        <f t="shared" si="2"/>
        <v>1</v>
      </c>
      <c r="R67" s="17" t="s">
        <v>283</v>
      </c>
    </row>
    <row r="68">
      <c r="A68" s="8">
        <f>'3.1'!A:A</f>
        <v>46212.63256</v>
      </c>
      <c r="B68" s="2" t="str">
        <f>'3.1'!B:B</f>
        <v>bnco0945@signalschool.ac.th</v>
      </c>
      <c r="C68" s="2" t="str">
        <f>'3.1'!C:C</f>
        <v>พ.ต.ไมตรี บุญเหลื่อม</v>
      </c>
      <c r="D68" s="9">
        <v>1.0</v>
      </c>
      <c r="E68" s="10">
        <f>IFERROR(vlookup('3.1'!D:D,lookup!$A$2:$B$4,2,false),0)</f>
        <v>5</v>
      </c>
      <c r="F68" s="10">
        <f>IFERROR(vlookup('3.1'!E:E,lookup!$A$6:$B$8,2,false),0)</f>
        <v>5</v>
      </c>
      <c r="G68" s="10">
        <f>IFERROR(vlookup('3.1'!F:F,lookup!$A$10:$B$12,2,false),0)</f>
        <v>5</v>
      </c>
      <c r="H68" s="10">
        <f>IFERROR(vlookup('3.1'!G:G,lookup!$A$14:$B$16,2,false),0)</f>
        <v>5</v>
      </c>
      <c r="I68" s="10">
        <f>IFERROR(vlookup('3.1'!H:H,lookup!$A$18:$B$20,2,false),0)</f>
        <v>5</v>
      </c>
      <c r="J68" s="10">
        <f>IFERROR(vlookup('3.1'!I:I,lookup!$A$22:$B$24,2,false),0)</f>
        <v>5</v>
      </c>
      <c r="K68" s="10">
        <f>IFERROR(vlookup('3.1'!J:J,lookup!$A$26:$B$28,2,false),0)</f>
        <v>5</v>
      </c>
      <c r="M68" s="10">
        <v>67.0</v>
      </c>
      <c r="N68" s="11" t="str">
        <f t="shared" si="1"/>
        <v>bnco0967@signalschool.ac.th</v>
      </c>
      <c r="O68" s="12">
        <f t="shared" si="2"/>
        <v>1</v>
      </c>
      <c r="R68" s="17" t="s">
        <v>284</v>
      </c>
    </row>
    <row r="69">
      <c r="A69" s="8">
        <f>'3.1'!A:A</f>
        <v>46212.63285</v>
      </c>
      <c r="B69" s="2" t="str">
        <f>'3.1'!B:B</f>
        <v>bnco0922@signalschool.ac.th</v>
      </c>
      <c r="C69" s="2" t="str">
        <f>'3.1'!C:C</f>
        <v>พ.ต.ไมตรี บุญเหลื่อม</v>
      </c>
      <c r="D69" s="9">
        <v>1.0</v>
      </c>
      <c r="E69" s="10">
        <f>IFERROR(vlookup('3.1'!D:D,lookup!$A$2:$B$4,2,false),0)</f>
        <v>5</v>
      </c>
      <c r="F69" s="10">
        <f>IFERROR(vlookup('3.1'!E:E,lookup!$A$6:$B$8,2,false),0)</f>
        <v>5</v>
      </c>
      <c r="G69" s="10">
        <f>IFERROR(vlookup('3.1'!F:F,lookup!$A$10:$B$12,2,false),0)</f>
        <v>5</v>
      </c>
      <c r="H69" s="10">
        <f>IFERROR(vlookup('3.1'!G:G,lookup!$A$14:$B$16,2,false),0)</f>
        <v>5</v>
      </c>
      <c r="I69" s="10">
        <f>IFERROR(vlookup('3.1'!H:H,lookup!$A$18:$B$20,2,false),0)</f>
        <v>5</v>
      </c>
      <c r="J69" s="10">
        <f>IFERROR(vlookup('3.1'!I:I,lookup!$A$22:$B$24,2,false),0)</f>
        <v>5</v>
      </c>
      <c r="K69" s="10">
        <f>IFERROR(vlookup('3.1'!J:J,lookup!$A$26:$B$28,2,false),0)</f>
        <v>5</v>
      </c>
      <c r="M69" s="10">
        <v>68.0</v>
      </c>
      <c r="N69" s="11" t="str">
        <f t="shared" si="1"/>
        <v>bnco0968@signalschool.ac.th</v>
      </c>
      <c r="O69" s="12">
        <f t="shared" si="2"/>
        <v>1</v>
      </c>
      <c r="R69" s="17" t="s">
        <v>285</v>
      </c>
    </row>
    <row r="70">
      <c r="A70" s="8">
        <f>'3.1'!A:A</f>
        <v>46212.63353</v>
      </c>
      <c r="B70" s="2" t="str">
        <f>'3.1'!B:B</f>
        <v>bnco0953@signalschool.ac.th</v>
      </c>
      <c r="C70" s="2" t="str">
        <f>'3.1'!C:C</f>
        <v>พ.ต.ไมตรี บุญเหลื่อม</v>
      </c>
      <c r="D70" s="9">
        <v>1.0</v>
      </c>
      <c r="E70" s="10">
        <f>IFERROR(vlookup('3.1'!D:D,lookup!$A$2:$B$4,2,false),0)</f>
        <v>5</v>
      </c>
      <c r="F70" s="10">
        <f>IFERROR(vlookup('3.1'!E:E,lookup!$A$6:$B$8,2,false),0)</f>
        <v>5</v>
      </c>
      <c r="G70" s="10">
        <f>IFERROR(vlookup('3.1'!F:F,lookup!$A$10:$B$12,2,false),0)</f>
        <v>5</v>
      </c>
      <c r="H70" s="10">
        <f>IFERROR(vlookup('3.1'!G:G,lookup!$A$14:$B$16,2,false),0)</f>
        <v>5</v>
      </c>
      <c r="I70" s="10">
        <f>IFERROR(vlookup('3.1'!H:H,lookup!$A$18:$B$20,2,false),0)</f>
        <v>5</v>
      </c>
      <c r="J70" s="10">
        <f>IFERROR(vlookup('3.1'!I:I,lookup!$A$22:$B$24,2,false),0)</f>
        <v>5</v>
      </c>
      <c r="K70" s="10">
        <f>IFERROR(vlookup('3.1'!J:J,lookup!$A$26:$B$28,2,false),0)</f>
        <v>5</v>
      </c>
      <c r="M70" s="10">
        <v>69.0</v>
      </c>
      <c r="N70" s="11" t="str">
        <f t="shared" si="1"/>
        <v>bnco0969@signalschool.ac.th</v>
      </c>
      <c r="O70" s="12">
        <f t="shared" si="2"/>
        <v>1</v>
      </c>
      <c r="R70" s="17" t="s">
        <v>286</v>
      </c>
    </row>
    <row r="71">
      <c r="A71" s="8">
        <f>'3.1'!A:A</f>
        <v>46212.63377</v>
      </c>
      <c r="B71" s="2" t="str">
        <f>'3.1'!B:B</f>
        <v>bnco0966@signalschool.ac.th</v>
      </c>
      <c r="C71" s="2" t="str">
        <f>'3.1'!C:C</f>
        <v>พ.ต.ไมตรี บุญเหลื่อม</v>
      </c>
      <c r="D71" s="9">
        <v>1.0</v>
      </c>
      <c r="E71" s="10">
        <f>IFERROR(vlookup('3.1'!D:D,lookup!$A$2:$B$4,2,false),0)</f>
        <v>5</v>
      </c>
      <c r="F71" s="10">
        <f>IFERROR(vlookup('3.1'!E:E,lookup!$A$6:$B$8,2,false),0)</f>
        <v>5</v>
      </c>
      <c r="G71" s="10">
        <f>IFERROR(vlookup('3.1'!F:F,lookup!$A$10:$B$12,2,false),0)</f>
        <v>5</v>
      </c>
      <c r="H71" s="10">
        <f>IFERROR(vlookup('3.1'!G:G,lookup!$A$14:$B$16,2,false),0)</f>
        <v>5</v>
      </c>
      <c r="I71" s="10">
        <f>IFERROR(vlookup('3.1'!H:H,lookup!$A$18:$B$20,2,false),0)</f>
        <v>5</v>
      </c>
      <c r="J71" s="10">
        <f>IFERROR(vlookup('3.1'!I:I,lookup!$A$22:$B$24,2,false),0)</f>
        <v>5</v>
      </c>
      <c r="K71" s="10">
        <f>IFERROR(vlookup('3.1'!J:J,lookup!$A$26:$B$28,2,false),0)</f>
        <v>5</v>
      </c>
      <c r="M71" s="10">
        <v>70.0</v>
      </c>
      <c r="N71" s="11" t="str">
        <f t="shared" si="1"/>
        <v>bnco0970@signalschool.ac.th</v>
      </c>
      <c r="O71" s="12">
        <f t="shared" si="2"/>
        <v>1</v>
      </c>
      <c r="R71" s="17" t="s">
        <v>287</v>
      </c>
    </row>
    <row r="72">
      <c r="A72" s="8">
        <f>'3.1'!A:A</f>
        <v>46212.6342</v>
      </c>
      <c r="B72" s="2" t="str">
        <f>'3.1'!B:B</f>
        <v>bnco0946@signalschool.ac.th</v>
      </c>
      <c r="C72" s="2" t="str">
        <f>'3.1'!C:C</f>
        <v>พ.ต.ไมตรี บุญเหลื่อม</v>
      </c>
      <c r="D72" s="9">
        <v>1.0</v>
      </c>
      <c r="E72" s="10">
        <f>IFERROR(vlookup('3.1'!D:D,lookup!$A$2:$B$4,2,false),0)</f>
        <v>5</v>
      </c>
      <c r="F72" s="10">
        <f>IFERROR(vlookup('3.1'!E:E,lookup!$A$6:$B$8,2,false),0)</f>
        <v>5</v>
      </c>
      <c r="G72" s="10">
        <f>IFERROR(vlookup('3.1'!F:F,lookup!$A$10:$B$12,2,false),0)</f>
        <v>5</v>
      </c>
      <c r="H72" s="10">
        <f>IFERROR(vlookup('3.1'!G:G,lookup!$A$14:$B$16,2,false),0)</f>
        <v>5</v>
      </c>
      <c r="I72" s="10">
        <f>IFERROR(vlookup('3.1'!H:H,lookup!$A$18:$B$20,2,false),0)</f>
        <v>5</v>
      </c>
      <c r="J72" s="10">
        <f>IFERROR(vlookup('3.1'!I:I,lookup!$A$22:$B$24,2,false),0)</f>
        <v>5</v>
      </c>
      <c r="K72" s="10">
        <f>IFERROR(vlookup('3.1'!J:J,lookup!$A$26:$B$28,2,false),0)</f>
        <v>5</v>
      </c>
      <c r="M72" s="10">
        <v>71.0</v>
      </c>
      <c r="N72" s="11" t="str">
        <f t="shared" si="1"/>
        <v>bnco0971@signalschool.ac.th</v>
      </c>
      <c r="O72" s="12">
        <f t="shared" si="2"/>
        <v>1</v>
      </c>
      <c r="R72" s="17" t="s">
        <v>288</v>
      </c>
    </row>
    <row r="73">
      <c r="A73" s="8">
        <f>'3.1'!A:A</f>
        <v>46212.63883</v>
      </c>
      <c r="B73" s="2" t="str">
        <f>'3.1'!B:B</f>
        <v>bnco0917@signalschool.ac.th</v>
      </c>
      <c r="C73" s="2" t="str">
        <f>'3.1'!C:C</f>
        <v>พ.ต.ไมตรี บุญเหลือม</v>
      </c>
      <c r="D73" s="9">
        <v>1.0</v>
      </c>
      <c r="E73" s="10">
        <f>IFERROR(vlookup('3.1'!D:D,lookup!$A$2:$B$4,2,false),0)</f>
        <v>5</v>
      </c>
      <c r="F73" s="10">
        <f>IFERROR(vlookup('3.1'!E:E,lookup!$A$6:$B$8,2,false),0)</f>
        <v>5</v>
      </c>
      <c r="G73" s="10">
        <f>IFERROR(vlookup('3.1'!F:F,lookup!$A$10:$B$12,2,false),0)</f>
        <v>5</v>
      </c>
      <c r="H73" s="10">
        <f>IFERROR(vlookup('3.1'!G:G,lookup!$A$14:$B$16,2,false),0)</f>
        <v>5</v>
      </c>
      <c r="I73" s="10">
        <f>IFERROR(vlookup('3.1'!H:H,lookup!$A$18:$B$20,2,false),0)</f>
        <v>5</v>
      </c>
      <c r="J73" s="10">
        <f>IFERROR(vlookup('3.1'!I:I,lookup!$A$22:$B$24,2,false),0)</f>
        <v>5</v>
      </c>
      <c r="K73" s="10">
        <f>IFERROR(vlookup('3.1'!J:J,lookup!$A$26:$B$28,2,false),0)</f>
        <v>5</v>
      </c>
      <c r="M73" s="10">
        <v>72.0</v>
      </c>
      <c r="N73" s="11" t="str">
        <f t="shared" si="1"/>
        <v>bnco0972@signalschool.ac.th</v>
      </c>
      <c r="O73" s="12">
        <f t="shared" si="2"/>
        <v>1</v>
      </c>
      <c r="R73" s="17" t="s">
        <v>289</v>
      </c>
    </row>
    <row r="74">
      <c r="A74" s="8">
        <f>'3.1'!A:A</f>
        <v>46212.71358</v>
      </c>
      <c r="B74" s="2" t="str">
        <f>'3.1'!B:B</f>
        <v>bnco0954@signalschool.ac.th</v>
      </c>
      <c r="C74" s="2" t="str">
        <f>'3.1'!C:C</f>
        <v>พ.ต.ไมตรี บุญเหลื่อม</v>
      </c>
      <c r="D74" s="9">
        <v>1.0</v>
      </c>
      <c r="E74" s="10">
        <f>IFERROR(vlookup('3.1'!D:D,lookup!$A$2:$B$4,2,false),0)</f>
        <v>5</v>
      </c>
      <c r="F74" s="10">
        <f>IFERROR(vlookup('3.1'!E:E,lookup!$A$6:$B$8,2,false),0)</f>
        <v>5</v>
      </c>
      <c r="G74" s="10">
        <f>IFERROR(vlookup('3.1'!F:F,lookup!$A$10:$B$12,2,false),0)</f>
        <v>5</v>
      </c>
      <c r="H74" s="10">
        <f>IFERROR(vlookup('3.1'!G:G,lookup!$A$14:$B$16,2,false),0)</f>
        <v>5</v>
      </c>
      <c r="I74" s="10">
        <f>IFERROR(vlookup('3.1'!H:H,lookup!$A$18:$B$20,2,false),0)</f>
        <v>5</v>
      </c>
      <c r="J74" s="10">
        <f>IFERROR(vlookup('3.1'!I:I,lookup!$A$22:$B$24,2,false),0)</f>
        <v>5</v>
      </c>
      <c r="K74" s="10">
        <f>IFERROR(vlookup('3.1'!J:J,lookup!$A$26:$B$28,2,false),0)</f>
        <v>5</v>
      </c>
      <c r="M74" s="10">
        <v>73.0</v>
      </c>
      <c r="N74" s="11" t="str">
        <f t="shared" si="1"/>
        <v>bnco0973@signalschool.ac.th</v>
      </c>
      <c r="O74" s="12">
        <f t="shared" si="2"/>
        <v>1</v>
      </c>
      <c r="R74" s="17" t="s">
        <v>290</v>
      </c>
    </row>
    <row r="75">
      <c r="A75" s="8">
        <f>'3.1'!A:A</f>
        <v>46212.83802</v>
      </c>
      <c r="B75" s="2" t="str">
        <f>'3.1'!B:B</f>
        <v>bnco0907@signalschool.ac.th</v>
      </c>
      <c r="C75" s="2" t="str">
        <f>'3.1'!C:C</f>
        <v>พ.ต.ไมตรี บุญเหลื่อม</v>
      </c>
      <c r="D75" s="9">
        <v>1.0</v>
      </c>
      <c r="E75" s="10">
        <f>IFERROR(vlookup('3.1'!D:D,lookup!$A$2:$B$4,2,false),0)</f>
        <v>5</v>
      </c>
      <c r="F75" s="10">
        <f>IFERROR(vlookup('3.1'!E:E,lookup!$A$6:$B$8,2,false),0)</f>
        <v>5</v>
      </c>
      <c r="G75" s="10">
        <f>IFERROR(vlookup('3.1'!F:F,lookup!$A$10:$B$12,2,false),0)</f>
        <v>5</v>
      </c>
      <c r="H75" s="10">
        <f>IFERROR(vlookup('3.1'!G:G,lookup!$A$14:$B$16,2,false),0)</f>
        <v>5</v>
      </c>
      <c r="I75" s="10">
        <f>IFERROR(vlookup('3.1'!H:H,lookup!$A$18:$B$20,2,false),0)</f>
        <v>5</v>
      </c>
      <c r="J75" s="10">
        <f>IFERROR(vlookup('3.1'!I:I,lookup!$A$22:$B$24,2,false),0)</f>
        <v>5</v>
      </c>
      <c r="K75" s="10">
        <f>IFERROR(vlookup('3.1'!J:J,lookup!$A$26:$B$28,2,false),0)</f>
        <v>5</v>
      </c>
      <c r="M75" s="10">
        <v>74.0</v>
      </c>
      <c r="N75" s="11" t="str">
        <f t="shared" si="1"/>
        <v>bnco0974@signalschool.ac.th</v>
      </c>
      <c r="O75" s="12">
        <f t="shared" si="2"/>
        <v>1</v>
      </c>
      <c r="R75" s="17" t="s">
        <v>291</v>
      </c>
    </row>
    <row r="76">
      <c r="A76" s="8">
        <f>'3.1'!A:A</f>
        <v>46213.39789</v>
      </c>
      <c r="B76" s="2" t="str">
        <f>'3.1'!B:B</f>
        <v>bnco0973@signalschool.ac.th</v>
      </c>
      <c r="C76" s="2" t="str">
        <f>'3.1'!C:C</f>
        <v>พ.ต.ไมตรี บุญเหลื่อม</v>
      </c>
      <c r="D76" s="9">
        <v>1.0</v>
      </c>
      <c r="E76" s="10">
        <f>IFERROR(vlookup('3.1'!D:D,lookup!$A$2:$B$4,2,false),0)</f>
        <v>5</v>
      </c>
      <c r="F76" s="10">
        <f>IFERROR(vlookup('3.1'!E:E,lookup!$A$6:$B$8,2,false),0)</f>
        <v>5</v>
      </c>
      <c r="G76" s="10">
        <f>IFERROR(vlookup('3.1'!F:F,lookup!$A$10:$B$12,2,false),0)</f>
        <v>5</v>
      </c>
      <c r="H76" s="10">
        <f>IFERROR(vlookup('3.1'!G:G,lookup!$A$14:$B$16,2,false),0)</f>
        <v>5</v>
      </c>
      <c r="I76" s="10">
        <f>IFERROR(vlookup('3.1'!H:H,lookup!$A$18:$B$20,2,false),0)</f>
        <v>5</v>
      </c>
      <c r="J76" s="10">
        <f>IFERROR(vlookup('3.1'!I:I,lookup!$A$22:$B$24,2,false),0)</f>
        <v>5</v>
      </c>
      <c r="K76" s="10">
        <f>IFERROR(vlookup('3.1'!J:J,lookup!$A$26:$B$28,2,false),0)</f>
        <v>5</v>
      </c>
      <c r="M76" s="10">
        <v>75.0</v>
      </c>
      <c r="N76" s="11" t="str">
        <f t="shared" si="1"/>
        <v>bnco0975@signalschool.ac.th</v>
      </c>
      <c r="O76" s="12">
        <f t="shared" si="2"/>
        <v>1</v>
      </c>
      <c r="R76" s="17" t="s">
        <v>292</v>
      </c>
    </row>
    <row r="77">
      <c r="A77" s="8">
        <f>'3.1'!A:A</f>
        <v>46213.40017</v>
      </c>
      <c r="B77" s="2" t="str">
        <f>'3.1'!B:B</f>
        <v>bnco0902@signalschool.ac.th</v>
      </c>
      <c r="C77" s="2" t="str">
        <f>'3.1'!C:C</f>
        <v>พ.ต.ไมตรี บุญเหลื่อม</v>
      </c>
      <c r="D77" s="9">
        <v>1.0</v>
      </c>
      <c r="E77" s="10">
        <f>IFERROR(vlookup('3.1'!D:D,lookup!$A$2:$B$4,2,false),0)</f>
        <v>5</v>
      </c>
      <c r="F77" s="10">
        <f>IFERROR(vlookup('3.1'!E:E,lookup!$A$6:$B$8,2,false),0)</f>
        <v>5</v>
      </c>
      <c r="G77" s="10">
        <f>IFERROR(vlookup('3.1'!F:F,lookup!$A$10:$B$12,2,false),0)</f>
        <v>5</v>
      </c>
      <c r="H77" s="10">
        <f>IFERROR(vlookup('3.1'!G:G,lookup!$A$14:$B$16,2,false),0)</f>
        <v>5</v>
      </c>
      <c r="I77" s="10">
        <f>IFERROR(vlookup('3.1'!H:H,lookup!$A$18:$B$20,2,false),0)</f>
        <v>5</v>
      </c>
      <c r="J77" s="10">
        <f>IFERROR(vlookup('3.1'!I:I,lookup!$A$22:$B$24,2,false),0)</f>
        <v>5</v>
      </c>
      <c r="K77" s="10">
        <f>IFERROR(vlookup('3.1'!J:J,lookup!$A$26:$B$28,2,false),0)</f>
        <v>5</v>
      </c>
      <c r="M77" s="10">
        <v>76.0</v>
      </c>
      <c r="N77" s="11" t="str">
        <f t="shared" si="1"/>
        <v>bnco0976@signalschool.ac.th</v>
      </c>
      <c r="O77" s="12">
        <f t="shared" si="2"/>
        <v>1</v>
      </c>
      <c r="R77" s="17" t="s">
        <v>293</v>
      </c>
    </row>
    <row r="78">
      <c r="A78" s="8">
        <f>'3.1'!A:A</f>
        <v>46213.4019</v>
      </c>
      <c r="B78" s="2" t="str">
        <f>'3.1'!B:B</f>
        <v>bnco0956@signalschool.ac.th</v>
      </c>
      <c r="C78" s="2" t="str">
        <f>'3.1'!C:C</f>
        <v>พ.ต.ไมตรี บุญเหลื่อม</v>
      </c>
      <c r="D78" s="9">
        <v>1.0</v>
      </c>
      <c r="E78" s="10">
        <f>IFERROR(vlookup('3.1'!D:D,lookup!$A$2:$B$4,2,false),0)</f>
        <v>5</v>
      </c>
      <c r="F78" s="10">
        <f>IFERROR(vlookup('3.1'!E:E,lookup!$A$6:$B$8,2,false),0)</f>
        <v>5</v>
      </c>
      <c r="G78" s="10">
        <f>IFERROR(vlookup('3.1'!F:F,lookup!$A$10:$B$12,2,false),0)</f>
        <v>5</v>
      </c>
      <c r="H78" s="10">
        <f>IFERROR(vlookup('3.1'!G:G,lookup!$A$14:$B$16,2,false),0)</f>
        <v>5</v>
      </c>
      <c r="I78" s="10">
        <f>IFERROR(vlookup('3.1'!H:H,lookup!$A$18:$B$20,2,false),0)</f>
        <v>5</v>
      </c>
      <c r="J78" s="10">
        <f>IFERROR(vlookup('3.1'!I:I,lookup!$A$22:$B$24,2,false),0)</f>
        <v>5</v>
      </c>
      <c r="K78" s="10">
        <f>IFERROR(vlookup('3.1'!J:J,lookup!$A$26:$B$28,2,false),0)</f>
        <v>5</v>
      </c>
      <c r="M78" s="10">
        <v>77.0</v>
      </c>
      <c r="N78" s="11" t="str">
        <f t="shared" si="1"/>
        <v>bnco0977@signalschool.ac.th</v>
      </c>
      <c r="O78" s="12">
        <f t="shared" si="2"/>
        <v>1</v>
      </c>
      <c r="R78" s="17" t="s">
        <v>294</v>
      </c>
    </row>
    <row r="79">
      <c r="A79" s="8">
        <f>'3.1'!A:A</f>
        <v>46213.4158</v>
      </c>
      <c r="B79" s="2" t="str">
        <f>'3.1'!B:B</f>
        <v>bnco0931@signalschool.ac.th</v>
      </c>
      <c r="C79" s="2" t="str">
        <f>'3.1'!C:C</f>
        <v>พ.ต.ไมตรี บุญเหลื่อม</v>
      </c>
      <c r="D79" s="9">
        <v>1.0</v>
      </c>
      <c r="E79" s="10">
        <f>IFERROR(vlookup('3.1'!D:D,lookup!$A$2:$B$4,2,false),0)</f>
        <v>5</v>
      </c>
      <c r="F79" s="10">
        <f>IFERROR(vlookup('3.1'!E:E,lookup!$A$6:$B$8,2,false),0)</f>
        <v>5</v>
      </c>
      <c r="G79" s="10">
        <f>IFERROR(vlookup('3.1'!F:F,lookup!$A$10:$B$12,2,false),0)</f>
        <v>5</v>
      </c>
      <c r="H79" s="10">
        <f>IFERROR(vlookup('3.1'!G:G,lookup!$A$14:$B$16,2,false),0)</f>
        <v>5</v>
      </c>
      <c r="I79" s="10">
        <f>IFERROR(vlookup('3.1'!H:H,lookup!$A$18:$B$20,2,false),0)</f>
        <v>5</v>
      </c>
      <c r="J79" s="10">
        <f>IFERROR(vlookup('3.1'!I:I,lookup!$A$22:$B$24,2,false),0)</f>
        <v>5</v>
      </c>
      <c r="K79" s="10">
        <f>IFERROR(vlookup('3.1'!J:J,lookup!$A$26:$B$28,2,false),0)</f>
        <v>5</v>
      </c>
      <c r="M79" s="10">
        <v>78.0</v>
      </c>
      <c r="N79" s="11" t="str">
        <f t="shared" si="1"/>
        <v>bnco0978@signalschool.ac.th</v>
      </c>
      <c r="O79" s="12">
        <f t="shared" si="2"/>
        <v>1</v>
      </c>
      <c r="R79" s="17" t="s">
        <v>295</v>
      </c>
    </row>
    <row r="80">
      <c r="A80" s="8">
        <f>'3.1'!A:A</f>
        <v>46213.45733</v>
      </c>
      <c r="B80" s="2" t="str">
        <f>'3.1'!B:B</f>
        <v>bnco0970@signalschool.ac.th</v>
      </c>
      <c r="C80" s="2" t="str">
        <f>'3.1'!C:C</f>
        <v>พ.ต.ไมตรี บุญเหลี่ยม</v>
      </c>
      <c r="D80" s="9">
        <v>1.0</v>
      </c>
      <c r="E80" s="10">
        <f>IFERROR(vlookup('3.1'!D:D,lookup!$A$2:$B$4,2,false),0)</f>
        <v>5</v>
      </c>
      <c r="F80" s="10">
        <f>IFERROR(vlookup('3.1'!E:E,lookup!$A$6:$B$8,2,false),0)</f>
        <v>5</v>
      </c>
      <c r="G80" s="10">
        <f>IFERROR(vlookup('3.1'!F:F,lookup!$A$10:$B$12,2,false),0)</f>
        <v>5</v>
      </c>
      <c r="H80" s="10">
        <f>IFERROR(vlookup('3.1'!G:G,lookup!$A$14:$B$16,2,false),0)</f>
        <v>5</v>
      </c>
      <c r="I80" s="10">
        <f>IFERROR(vlookup('3.1'!H:H,lookup!$A$18:$B$20,2,false),0)</f>
        <v>5</v>
      </c>
      <c r="J80" s="10">
        <f>IFERROR(vlookup('3.1'!I:I,lookup!$A$22:$B$24,2,false),0)</f>
        <v>5</v>
      </c>
      <c r="K80" s="10">
        <f>IFERROR(vlookup('3.1'!J:J,lookup!$A$26:$B$28,2,false),0)</f>
        <v>5</v>
      </c>
      <c r="M80" s="10">
        <v>79.0</v>
      </c>
      <c r="N80" s="11" t="str">
        <f t="shared" si="1"/>
        <v>bnco0979@signalschool.ac.th</v>
      </c>
      <c r="O80" s="12">
        <f t="shared" si="2"/>
        <v>1</v>
      </c>
      <c r="R80" s="17" t="s">
        <v>296</v>
      </c>
    </row>
    <row r="81">
      <c r="A81" s="8">
        <f>'3.1'!A:A</f>
        <v>46213.46058</v>
      </c>
      <c r="B81" s="2" t="str">
        <f>'3.1'!B:B</f>
        <v>bnco0975@signalschool.ac.th</v>
      </c>
      <c r="C81" s="2" t="str">
        <f>'3.1'!C:C</f>
        <v>พ.ต.ไมตรี บุญเหลื่อม</v>
      </c>
      <c r="D81" s="9">
        <v>1.0</v>
      </c>
      <c r="E81" s="10">
        <f>IFERROR(vlookup('3.1'!D:D,lookup!$A$2:$B$4,2,false),0)</f>
        <v>5</v>
      </c>
      <c r="F81" s="10">
        <f>IFERROR(vlookup('3.1'!E:E,lookup!$A$6:$B$8,2,false),0)</f>
        <v>5</v>
      </c>
      <c r="G81" s="10">
        <f>IFERROR(vlookup('3.1'!F:F,lookup!$A$10:$B$12,2,false),0)</f>
        <v>5</v>
      </c>
      <c r="H81" s="10">
        <f>IFERROR(vlookup('3.1'!G:G,lookup!$A$14:$B$16,2,false),0)</f>
        <v>5</v>
      </c>
      <c r="I81" s="10">
        <f>IFERROR(vlookup('3.1'!H:H,lookup!$A$18:$B$20,2,false),0)</f>
        <v>5</v>
      </c>
      <c r="J81" s="10">
        <f>IFERROR(vlookup('3.1'!I:I,lookup!$A$22:$B$24,2,false),0)</f>
        <v>5</v>
      </c>
      <c r="K81" s="10">
        <f>IFERROR(vlookup('3.1'!J:J,lookup!$A$26:$B$28,2,false),0)</f>
        <v>5</v>
      </c>
      <c r="M81" s="10">
        <v>80.0</v>
      </c>
      <c r="N81" s="11" t="str">
        <f t="shared" si="1"/>
        <v>bnco0980@signalschool.ac.th</v>
      </c>
      <c r="O81" s="12">
        <f t="shared" si="2"/>
        <v>1</v>
      </c>
      <c r="R81" s="17" t="s">
        <v>297</v>
      </c>
    </row>
    <row r="82">
      <c r="A82" s="8"/>
      <c r="B82" s="2"/>
      <c r="C82" s="2"/>
      <c r="E82" s="14">
        <f t="shared" ref="E82:K82" si="3">AVERAGE(E2:E81)</f>
        <v>4.95</v>
      </c>
      <c r="F82" s="14">
        <f t="shared" si="3"/>
        <v>4.975</v>
      </c>
      <c r="G82" s="14">
        <f t="shared" si="3"/>
        <v>4.975</v>
      </c>
      <c r="H82" s="14">
        <f t="shared" si="3"/>
        <v>4.975</v>
      </c>
      <c r="I82" s="14">
        <f t="shared" si="3"/>
        <v>4.95</v>
      </c>
      <c r="J82" s="14">
        <f t="shared" si="3"/>
        <v>4.95</v>
      </c>
      <c r="K82" s="14">
        <f t="shared" si="3"/>
        <v>4.95</v>
      </c>
      <c r="L82" s="15">
        <f>AVERAGE(E82:K82)</f>
        <v>4.960714286</v>
      </c>
      <c r="N82" s="2" t="s">
        <v>298</v>
      </c>
      <c r="O82" s="10">
        <f>SUM(O2:O81)</f>
        <v>80</v>
      </c>
    </row>
    <row r="83">
      <c r="A83" s="8"/>
      <c r="B83" s="2"/>
      <c r="C83" s="2"/>
      <c r="E83" s="10"/>
      <c r="F83" s="10"/>
      <c r="G83" s="10"/>
      <c r="H83" s="10"/>
      <c r="I83" s="10"/>
      <c r="J83" s="10"/>
      <c r="K83" s="10"/>
      <c r="N83" s="2" t="s">
        <v>299</v>
      </c>
      <c r="O83" s="10">
        <f>(O82*100)/80</f>
        <v>100</v>
      </c>
    </row>
    <row r="84">
      <c r="A84" s="8"/>
      <c r="B84" s="2"/>
      <c r="C84" s="2"/>
      <c r="E84" s="10"/>
      <c r="K84" s="10"/>
    </row>
    <row r="85">
      <c r="A85" s="8"/>
      <c r="B85" s="2"/>
      <c r="C85" s="2"/>
      <c r="E85" s="10"/>
    </row>
    <row r="86">
      <c r="A86" s="8"/>
      <c r="B86" s="2"/>
      <c r="C86" s="2"/>
      <c r="E86" s="10"/>
    </row>
    <row r="87">
      <c r="A87" s="8"/>
      <c r="B87" s="2"/>
      <c r="C87" s="2"/>
      <c r="E87" s="10"/>
    </row>
    <row r="88">
      <c r="A88" s="8"/>
      <c r="B88" s="2"/>
      <c r="C88" s="2"/>
      <c r="E88" s="10"/>
    </row>
    <row r="89">
      <c r="A89" s="8"/>
      <c r="B89" s="2"/>
      <c r="C89" s="2"/>
      <c r="E89" s="10"/>
    </row>
    <row r="90">
      <c r="A90" s="8"/>
      <c r="B90" s="2"/>
      <c r="C90" s="2"/>
      <c r="E90" s="10"/>
    </row>
    <row r="91">
      <c r="A91" s="8"/>
      <c r="B91" s="2"/>
      <c r="C91" s="2"/>
      <c r="E91" s="10"/>
    </row>
    <row r="92">
      <c r="A92" s="8"/>
      <c r="B92" s="2"/>
      <c r="C92" s="2"/>
      <c r="E92" s="10"/>
    </row>
    <row r="93">
      <c r="A93" s="8"/>
      <c r="B93" s="2"/>
      <c r="C93" s="2"/>
      <c r="E93" s="10"/>
    </row>
    <row r="94">
      <c r="A94" s="8"/>
      <c r="B94" s="2"/>
      <c r="C94" s="2"/>
      <c r="E94" s="10"/>
    </row>
    <row r="95">
      <c r="A95" s="8"/>
      <c r="B95" s="2"/>
      <c r="C95" s="2"/>
      <c r="E95" s="10"/>
    </row>
    <row r="96">
      <c r="A96" s="8"/>
      <c r="B96" s="2"/>
      <c r="C96" s="2"/>
      <c r="E96" s="10"/>
    </row>
    <row r="97">
      <c r="A97" s="8"/>
      <c r="B97" s="2"/>
      <c r="C97" s="2"/>
      <c r="E97" s="10"/>
    </row>
    <row r="98">
      <c r="A98" s="8"/>
      <c r="C98" s="2"/>
      <c r="E98" s="10"/>
    </row>
    <row r="99">
      <c r="A99" s="8"/>
      <c r="C99" s="2"/>
      <c r="E99" s="10"/>
    </row>
    <row r="100">
      <c r="A100" s="8"/>
      <c r="C100" s="2"/>
    </row>
    <row r="101">
      <c r="A101" s="8"/>
      <c r="C101" s="2"/>
    </row>
    <row r="102">
      <c r="A102" s="8"/>
      <c r="C102" s="2"/>
    </row>
    <row r="103">
      <c r="A103" s="8"/>
      <c r="C103" s="2"/>
    </row>
    <row r="104">
      <c r="A104" s="8"/>
      <c r="C104" s="2"/>
    </row>
    <row r="105">
      <c r="A105" s="8"/>
      <c r="C105" s="2"/>
    </row>
    <row r="106">
      <c r="A106" s="8"/>
      <c r="C106" s="2"/>
    </row>
    <row r="107">
      <c r="A107" s="8"/>
      <c r="C107" s="2"/>
    </row>
    <row r="108">
      <c r="A108" s="8"/>
      <c r="C108" s="2"/>
    </row>
    <row r="109">
      <c r="A109" s="8"/>
      <c r="C109" s="2"/>
    </row>
    <row r="110">
      <c r="A110" s="8"/>
      <c r="C110" s="2"/>
    </row>
    <row r="111">
      <c r="A111" s="8"/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</sheetData>
  <mergeCells count="1">
    <mergeCell ref="M1:O1"/>
  </mergeCell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7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4">
        <v>46189.46787083334</v>
      </c>
      <c r="B2" s="6" t="s">
        <v>27</v>
      </c>
      <c r="C2" s="6" t="s">
        <v>481</v>
      </c>
      <c r="D2" s="6" t="s">
        <v>15</v>
      </c>
      <c r="E2" s="6" t="s">
        <v>16</v>
      </c>
      <c r="F2" s="6" t="s">
        <v>17</v>
      </c>
      <c r="G2" s="6" t="s">
        <v>18</v>
      </c>
      <c r="H2" s="6" t="s">
        <v>19</v>
      </c>
      <c r="I2" s="6" t="s">
        <v>20</v>
      </c>
      <c r="J2" s="6" t="s">
        <v>21</v>
      </c>
      <c r="K2" s="6" t="s">
        <v>29</v>
      </c>
    </row>
    <row r="3">
      <c r="A3" s="4">
        <v>46203.70776851852</v>
      </c>
      <c r="B3" s="6" t="s">
        <v>11</v>
      </c>
      <c r="C3" s="6" t="s">
        <v>482</v>
      </c>
      <c r="D3" s="6" t="s">
        <v>15</v>
      </c>
      <c r="E3" s="6" t="s">
        <v>16</v>
      </c>
      <c r="F3" s="6" t="s">
        <v>17</v>
      </c>
      <c r="G3" s="6" t="s">
        <v>18</v>
      </c>
      <c r="H3" s="6" t="s">
        <v>19</v>
      </c>
      <c r="I3" s="6" t="s">
        <v>20</v>
      </c>
      <c r="J3" s="6" t="s">
        <v>21</v>
      </c>
    </row>
    <row r="4">
      <c r="A4" s="4">
        <v>46204.371590717594</v>
      </c>
      <c r="B4" s="6" t="s">
        <v>30</v>
      </c>
      <c r="C4" s="6" t="s">
        <v>483</v>
      </c>
      <c r="D4" s="6" t="s">
        <v>15</v>
      </c>
      <c r="E4" s="6" t="s">
        <v>16</v>
      </c>
      <c r="F4" s="6" t="s">
        <v>17</v>
      </c>
      <c r="G4" s="6" t="s">
        <v>18</v>
      </c>
      <c r="H4" s="6" t="s">
        <v>19</v>
      </c>
      <c r="I4" s="6" t="s">
        <v>20</v>
      </c>
      <c r="J4" s="6" t="s">
        <v>21</v>
      </c>
      <c r="K4" s="6" t="s">
        <v>484</v>
      </c>
    </row>
    <row r="5">
      <c r="A5" s="4">
        <v>46204.46143819444</v>
      </c>
      <c r="B5" s="6" t="s">
        <v>35</v>
      </c>
      <c r="C5" s="6" t="s">
        <v>485</v>
      </c>
      <c r="D5" s="6" t="s">
        <v>15</v>
      </c>
      <c r="E5" s="6" t="s">
        <v>16</v>
      </c>
      <c r="F5" s="6" t="s">
        <v>17</v>
      </c>
      <c r="G5" s="6" t="s">
        <v>18</v>
      </c>
      <c r="H5" s="6" t="s">
        <v>19</v>
      </c>
      <c r="I5" s="6" t="s">
        <v>20</v>
      </c>
      <c r="J5" s="6" t="s">
        <v>21</v>
      </c>
    </row>
    <row r="6">
      <c r="A6" s="4">
        <v>46206.60258497685</v>
      </c>
      <c r="B6" s="6" t="s">
        <v>37</v>
      </c>
      <c r="C6" s="6" t="s">
        <v>486</v>
      </c>
      <c r="D6" s="6" t="s">
        <v>15</v>
      </c>
      <c r="E6" s="6" t="s">
        <v>16</v>
      </c>
      <c r="F6" s="6" t="s">
        <v>17</v>
      </c>
      <c r="G6" s="6" t="s">
        <v>18</v>
      </c>
      <c r="H6" s="6" t="s">
        <v>19</v>
      </c>
      <c r="I6" s="6" t="s">
        <v>20</v>
      </c>
      <c r="J6" s="6" t="s">
        <v>21</v>
      </c>
      <c r="K6" s="6" t="s">
        <v>219</v>
      </c>
    </row>
    <row r="7">
      <c r="A7" s="4">
        <v>46212.59395042824</v>
      </c>
      <c r="B7" s="6" t="s">
        <v>40</v>
      </c>
      <c r="C7" s="6" t="s">
        <v>487</v>
      </c>
      <c r="D7" s="6" t="s">
        <v>41</v>
      </c>
      <c r="E7" s="6" t="s">
        <v>33</v>
      </c>
      <c r="F7" s="6" t="s">
        <v>43</v>
      </c>
      <c r="G7" s="6" t="s">
        <v>44</v>
      </c>
      <c r="H7" s="6" t="s">
        <v>46</v>
      </c>
      <c r="I7" s="6" t="s">
        <v>47</v>
      </c>
      <c r="J7" s="6" t="s">
        <v>48</v>
      </c>
    </row>
    <row r="8">
      <c r="A8" s="4">
        <v>46212.62162284722</v>
      </c>
      <c r="B8" s="6" t="s">
        <v>49</v>
      </c>
      <c r="C8" s="6" t="s">
        <v>488</v>
      </c>
      <c r="D8" s="6" t="s">
        <v>15</v>
      </c>
      <c r="E8" s="6" t="s">
        <v>16</v>
      </c>
      <c r="F8" s="6" t="s">
        <v>17</v>
      </c>
      <c r="G8" s="6" t="s">
        <v>18</v>
      </c>
      <c r="H8" s="6" t="s">
        <v>19</v>
      </c>
      <c r="I8" s="6" t="s">
        <v>20</v>
      </c>
      <c r="J8" s="6" t="s">
        <v>21</v>
      </c>
    </row>
    <row r="9">
      <c r="A9" s="4">
        <v>46212.6220019676</v>
      </c>
      <c r="B9" s="6" t="s">
        <v>12</v>
      </c>
      <c r="C9" s="6" t="s">
        <v>489</v>
      </c>
      <c r="D9" s="6" t="s">
        <v>15</v>
      </c>
      <c r="E9" s="6" t="s">
        <v>16</v>
      </c>
      <c r="F9" s="6" t="s">
        <v>17</v>
      </c>
      <c r="G9" s="6" t="s">
        <v>18</v>
      </c>
      <c r="H9" s="6" t="s">
        <v>19</v>
      </c>
      <c r="I9" s="6" t="s">
        <v>20</v>
      </c>
      <c r="J9" s="6" t="s">
        <v>21</v>
      </c>
    </row>
    <row r="10">
      <c r="A10" s="4">
        <v>46212.622347233795</v>
      </c>
      <c r="B10" s="6" t="s">
        <v>79</v>
      </c>
      <c r="C10" s="6" t="s">
        <v>490</v>
      </c>
      <c r="D10" s="6" t="s">
        <v>15</v>
      </c>
      <c r="E10" s="6" t="s">
        <v>16</v>
      </c>
      <c r="F10" s="6" t="s">
        <v>17</v>
      </c>
      <c r="G10" s="6" t="s">
        <v>18</v>
      </c>
      <c r="H10" s="6" t="s">
        <v>19</v>
      </c>
      <c r="I10" s="6" t="s">
        <v>20</v>
      </c>
      <c r="J10" s="6" t="s">
        <v>21</v>
      </c>
    </row>
    <row r="11">
      <c r="A11" s="4">
        <v>46212.624534849536</v>
      </c>
      <c r="B11" s="6" t="s">
        <v>31</v>
      </c>
      <c r="C11" s="6" t="s">
        <v>453</v>
      </c>
      <c r="D11" s="6" t="s">
        <v>15</v>
      </c>
      <c r="E11" s="6" t="s">
        <v>16</v>
      </c>
      <c r="F11" s="6" t="s">
        <v>17</v>
      </c>
      <c r="G11" s="6" t="s">
        <v>18</v>
      </c>
      <c r="H11" s="6" t="s">
        <v>19</v>
      </c>
      <c r="I11" s="6" t="s">
        <v>20</v>
      </c>
      <c r="J11" s="6" t="s">
        <v>21</v>
      </c>
    </row>
    <row r="12">
      <c r="A12" s="4">
        <v>46212.624909861115</v>
      </c>
      <c r="B12" s="6" t="s">
        <v>166</v>
      </c>
      <c r="C12" s="6" t="s">
        <v>490</v>
      </c>
      <c r="D12" s="6" t="s">
        <v>15</v>
      </c>
      <c r="E12" s="6" t="s">
        <v>16</v>
      </c>
      <c r="F12" s="6" t="s">
        <v>17</v>
      </c>
      <c r="G12" s="6" t="s">
        <v>18</v>
      </c>
      <c r="H12" s="6" t="s">
        <v>19</v>
      </c>
      <c r="I12" s="6" t="s">
        <v>20</v>
      </c>
      <c r="J12" s="6" t="s">
        <v>21</v>
      </c>
    </row>
    <row r="13">
      <c r="A13" s="4">
        <v>46212.62556789352</v>
      </c>
      <c r="B13" s="6" t="s">
        <v>119</v>
      </c>
      <c r="C13" s="6" t="s">
        <v>491</v>
      </c>
      <c r="D13" s="6" t="s">
        <v>15</v>
      </c>
      <c r="E13" s="6" t="s">
        <v>16</v>
      </c>
      <c r="F13" s="6" t="s">
        <v>17</v>
      </c>
      <c r="G13" s="6" t="s">
        <v>18</v>
      </c>
      <c r="H13" s="6" t="s">
        <v>19</v>
      </c>
      <c r="I13" s="6" t="s">
        <v>20</v>
      </c>
      <c r="J13" s="6" t="s">
        <v>21</v>
      </c>
    </row>
    <row r="14">
      <c r="A14" s="4">
        <v>46212.62566690972</v>
      </c>
      <c r="B14" s="6" t="s">
        <v>57</v>
      </c>
      <c r="C14" s="6" t="s">
        <v>459</v>
      </c>
      <c r="D14" s="6" t="s">
        <v>15</v>
      </c>
      <c r="E14" s="6" t="s">
        <v>16</v>
      </c>
      <c r="F14" s="6" t="s">
        <v>17</v>
      </c>
      <c r="G14" s="6" t="s">
        <v>18</v>
      </c>
      <c r="H14" s="6" t="s">
        <v>19</v>
      </c>
      <c r="I14" s="6" t="s">
        <v>20</v>
      </c>
      <c r="J14" s="6" t="s">
        <v>21</v>
      </c>
    </row>
    <row r="15">
      <c r="A15" s="4">
        <v>46212.62576571759</v>
      </c>
      <c r="B15" s="6" t="s">
        <v>106</v>
      </c>
      <c r="C15" s="6" t="s">
        <v>492</v>
      </c>
      <c r="D15" s="6" t="s">
        <v>15</v>
      </c>
      <c r="E15" s="6" t="s">
        <v>16</v>
      </c>
      <c r="F15" s="6" t="s">
        <v>17</v>
      </c>
      <c r="G15" s="6" t="s">
        <v>18</v>
      </c>
      <c r="H15" s="6" t="s">
        <v>19</v>
      </c>
      <c r="I15" s="6" t="s">
        <v>20</v>
      </c>
      <c r="J15" s="6" t="s">
        <v>21</v>
      </c>
    </row>
    <row r="16">
      <c r="A16" s="4">
        <v>46212.626142002315</v>
      </c>
      <c r="B16" s="6" t="s">
        <v>75</v>
      </c>
      <c r="C16" s="6" t="s">
        <v>493</v>
      </c>
      <c r="D16" s="6" t="s">
        <v>15</v>
      </c>
      <c r="E16" s="6" t="s">
        <v>16</v>
      </c>
      <c r="F16" s="6" t="s">
        <v>17</v>
      </c>
      <c r="G16" s="6" t="s">
        <v>18</v>
      </c>
      <c r="H16" s="6" t="s">
        <v>19</v>
      </c>
      <c r="I16" s="6" t="s">
        <v>20</v>
      </c>
      <c r="J16" s="6" t="s">
        <v>21</v>
      </c>
    </row>
    <row r="17">
      <c r="A17" s="4">
        <v>46212.626520370366</v>
      </c>
      <c r="B17" s="6" t="s">
        <v>74</v>
      </c>
      <c r="C17" s="6" t="s">
        <v>494</v>
      </c>
      <c r="D17" s="6" t="s">
        <v>15</v>
      </c>
      <c r="E17" s="6" t="s">
        <v>16</v>
      </c>
      <c r="F17" s="6" t="s">
        <v>17</v>
      </c>
      <c r="G17" s="6" t="s">
        <v>18</v>
      </c>
      <c r="H17" s="6" t="s">
        <v>19</v>
      </c>
      <c r="I17" s="6" t="s">
        <v>20</v>
      </c>
      <c r="J17" s="6" t="s">
        <v>21</v>
      </c>
    </row>
    <row r="18">
      <c r="A18" s="4">
        <v>46212.62678665509</v>
      </c>
      <c r="B18" s="6" t="s">
        <v>125</v>
      </c>
      <c r="C18" s="6" t="s">
        <v>495</v>
      </c>
      <c r="D18" s="6" t="s">
        <v>15</v>
      </c>
      <c r="E18" s="6" t="s">
        <v>16</v>
      </c>
      <c r="F18" s="6" t="s">
        <v>17</v>
      </c>
      <c r="G18" s="6" t="s">
        <v>18</v>
      </c>
      <c r="H18" s="6" t="s">
        <v>19</v>
      </c>
      <c r="I18" s="6" t="s">
        <v>20</v>
      </c>
      <c r="J18" s="6" t="s">
        <v>21</v>
      </c>
    </row>
    <row r="19">
      <c r="A19" s="4">
        <v>46212.62680142361</v>
      </c>
      <c r="B19" s="6" t="s">
        <v>101</v>
      </c>
      <c r="C19" s="6" t="s">
        <v>495</v>
      </c>
      <c r="D19" s="6" t="s">
        <v>15</v>
      </c>
      <c r="E19" s="6" t="s">
        <v>16</v>
      </c>
      <c r="F19" s="6" t="s">
        <v>17</v>
      </c>
      <c r="G19" s="6" t="s">
        <v>18</v>
      </c>
      <c r="H19" s="6" t="s">
        <v>19</v>
      </c>
      <c r="I19" s="6" t="s">
        <v>20</v>
      </c>
      <c r="J19" s="6" t="s">
        <v>21</v>
      </c>
    </row>
    <row r="20">
      <c r="A20" s="4">
        <v>46212.627040775464</v>
      </c>
      <c r="B20" s="6" t="s">
        <v>63</v>
      </c>
      <c r="C20" s="6" t="s">
        <v>495</v>
      </c>
      <c r="D20" s="6" t="s">
        <v>15</v>
      </c>
      <c r="E20" s="6" t="s">
        <v>16</v>
      </c>
      <c r="F20" s="6" t="s">
        <v>17</v>
      </c>
      <c r="G20" s="6" t="s">
        <v>18</v>
      </c>
      <c r="H20" s="6" t="s">
        <v>19</v>
      </c>
      <c r="I20" s="6" t="s">
        <v>20</v>
      </c>
      <c r="J20" s="6" t="s">
        <v>21</v>
      </c>
    </row>
    <row r="21">
      <c r="A21" s="4">
        <v>46212.6272099537</v>
      </c>
      <c r="B21" s="6" t="s">
        <v>42</v>
      </c>
      <c r="C21" s="6" t="s">
        <v>459</v>
      </c>
      <c r="D21" s="6" t="s">
        <v>15</v>
      </c>
      <c r="E21" s="6" t="s">
        <v>16</v>
      </c>
      <c r="F21" s="6" t="s">
        <v>17</v>
      </c>
      <c r="G21" s="6" t="s">
        <v>18</v>
      </c>
      <c r="H21" s="6" t="s">
        <v>19</v>
      </c>
      <c r="I21" s="6" t="s">
        <v>20</v>
      </c>
      <c r="J21" s="6" t="s">
        <v>21</v>
      </c>
    </row>
    <row r="22">
      <c r="A22" s="4">
        <v>46212.62730782408</v>
      </c>
      <c r="B22" s="6" t="s">
        <v>110</v>
      </c>
      <c r="C22" s="6" t="s">
        <v>496</v>
      </c>
      <c r="D22" s="6" t="s">
        <v>15</v>
      </c>
      <c r="E22" s="6" t="s">
        <v>16</v>
      </c>
      <c r="F22" s="6" t="s">
        <v>17</v>
      </c>
      <c r="G22" s="6" t="s">
        <v>18</v>
      </c>
      <c r="H22" s="6" t="s">
        <v>19</v>
      </c>
      <c r="I22" s="6" t="s">
        <v>20</v>
      </c>
      <c r="J22" s="6" t="s">
        <v>21</v>
      </c>
    </row>
    <row r="23">
      <c r="A23" s="4">
        <v>46212.62748166667</v>
      </c>
      <c r="B23" s="6" t="s">
        <v>142</v>
      </c>
      <c r="C23" s="6" t="s">
        <v>497</v>
      </c>
      <c r="D23" s="6" t="s">
        <v>15</v>
      </c>
      <c r="E23" s="6" t="s">
        <v>16</v>
      </c>
      <c r="F23" s="6" t="s">
        <v>17</v>
      </c>
      <c r="G23" s="6" t="s">
        <v>18</v>
      </c>
      <c r="H23" s="6" t="s">
        <v>19</v>
      </c>
      <c r="I23" s="6" t="s">
        <v>20</v>
      </c>
      <c r="J23" s="6" t="s">
        <v>21</v>
      </c>
    </row>
    <row r="24">
      <c r="A24" s="4">
        <v>46212.627492326385</v>
      </c>
      <c r="B24" s="6" t="s">
        <v>108</v>
      </c>
      <c r="C24" s="6" t="s">
        <v>495</v>
      </c>
      <c r="D24" s="6" t="s">
        <v>15</v>
      </c>
      <c r="E24" s="6" t="s">
        <v>16</v>
      </c>
      <c r="F24" s="6" t="s">
        <v>17</v>
      </c>
      <c r="G24" s="6" t="s">
        <v>18</v>
      </c>
      <c r="H24" s="6" t="s">
        <v>19</v>
      </c>
      <c r="I24" s="6" t="s">
        <v>20</v>
      </c>
      <c r="J24" s="6" t="s">
        <v>21</v>
      </c>
    </row>
    <row r="25">
      <c r="A25" s="4">
        <v>46212.62769193287</v>
      </c>
      <c r="B25" s="6" t="s">
        <v>93</v>
      </c>
      <c r="C25" s="6" t="s">
        <v>495</v>
      </c>
      <c r="D25" s="6" t="s">
        <v>15</v>
      </c>
      <c r="E25" s="6" t="s">
        <v>16</v>
      </c>
      <c r="F25" s="6" t="s">
        <v>17</v>
      </c>
      <c r="G25" s="6" t="s">
        <v>18</v>
      </c>
      <c r="H25" s="6" t="s">
        <v>19</v>
      </c>
      <c r="I25" s="6" t="s">
        <v>20</v>
      </c>
      <c r="J25" s="6" t="s">
        <v>21</v>
      </c>
    </row>
    <row r="26">
      <c r="A26" s="4">
        <v>46212.62784635417</v>
      </c>
      <c r="B26" s="6" t="s">
        <v>102</v>
      </c>
      <c r="C26" s="6" t="s">
        <v>495</v>
      </c>
      <c r="D26" s="6" t="s">
        <v>15</v>
      </c>
      <c r="E26" s="6" t="s">
        <v>16</v>
      </c>
      <c r="F26" s="6" t="s">
        <v>17</v>
      </c>
      <c r="G26" s="6" t="s">
        <v>18</v>
      </c>
      <c r="H26" s="6" t="s">
        <v>19</v>
      </c>
      <c r="I26" s="6" t="s">
        <v>20</v>
      </c>
      <c r="J26" s="6" t="s">
        <v>21</v>
      </c>
    </row>
    <row r="27">
      <c r="A27" s="4">
        <v>46212.62789887731</v>
      </c>
      <c r="B27" s="6" t="s">
        <v>76</v>
      </c>
      <c r="C27" s="6" t="s">
        <v>453</v>
      </c>
      <c r="D27" s="6" t="s">
        <v>15</v>
      </c>
      <c r="E27" s="6" t="s">
        <v>16</v>
      </c>
      <c r="F27" s="6" t="s">
        <v>17</v>
      </c>
      <c r="G27" s="6" t="s">
        <v>18</v>
      </c>
      <c r="H27" s="6" t="s">
        <v>19</v>
      </c>
      <c r="I27" s="6" t="s">
        <v>20</v>
      </c>
      <c r="J27" s="6" t="s">
        <v>21</v>
      </c>
    </row>
    <row r="28">
      <c r="A28" s="4">
        <v>46212.62801726852</v>
      </c>
      <c r="B28" s="6" t="s">
        <v>91</v>
      </c>
      <c r="C28" s="6" t="s">
        <v>495</v>
      </c>
      <c r="D28" s="6" t="s">
        <v>15</v>
      </c>
      <c r="E28" s="6" t="s">
        <v>16</v>
      </c>
      <c r="F28" s="6" t="s">
        <v>17</v>
      </c>
      <c r="G28" s="6" t="s">
        <v>18</v>
      </c>
      <c r="H28" s="6" t="s">
        <v>19</v>
      </c>
      <c r="I28" s="6" t="s">
        <v>20</v>
      </c>
      <c r="J28" s="6" t="s">
        <v>21</v>
      </c>
    </row>
    <row r="29">
      <c r="A29" s="4">
        <v>46212.628156516206</v>
      </c>
      <c r="B29" s="6" t="s">
        <v>98</v>
      </c>
      <c r="C29" s="6" t="s">
        <v>498</v>
      </c>
      <c r="D29" s="6" t="s">
        <v>15</v>
      </c>
      <c r="E29" s="6" t="s">
        <v>16</v>
      </c>
      <c r="F29" s="6" t="s">
        <v>17</v>
      </c>
      <c r="G29" s="6" t="s">
        <v>18</v>
      </c>
      <c r="H29" s="6" t="s">
        <v>19</v>
      </c>
      <c r="I29" s="6" t="s">
        <v>20</v>
      </c>
      <c r="J29" s="6" t="s">
        <v>21</v>
      </c>
      <c r="K29" s="6" t="s">
        <v>34</v>
      </c>
    </row>
    <row r="30">
      <c r="A30" s="4">
        <v>46212.62819021991</v>
      </c>
      <c r="B30" s="6" t="s">
        <v>22</v>
      </c>
      <c r="C30" s="6" t="s">
        <v>495</v>
      </c>
      <c r="D30" s="6" t="s">
        <v>15</v>
      </c>
      <c r="E30" s="6" t="s">
        <v>16</v>
      </c>
      <c r="F30" s="6" t="s">
        <v>17</v>
      </c>
      <c r="G30" s="6" t="s">
        <v>18</v>
      </c>
      <c r="H30" s="6" t="s">
        <v>19</v>
      </c>
      <c r="I30" s="6" t="s">
        <v>20</v>
      </c>
      <c r="J30" s="6" t="s">
        <v>21</v>
      </c>
    </row>
    <row r="31">
      <c r="A31" s="4">
        <v>46212.62822388889</v>
      </c>
      <c r="B31" s="6" t="s">
        <v>124</v>
      </c>
      <c r="C31" s="6" t="s">
        <v>495</v>
      </c>
      <c r="D31" s="6" t="s">
        <v>15</v>
      </c>
      <c r="E31" s="6" t="s">
        <v>16</v>
      </c>
      <c r="F31" s="6" t="s">
        <v>17</v>
      </c>
      <c r="G31" s="6" t="s">
        <v>18</v>
      </c>
      <c r="H31" s="6" t="s">
        <v>19</v>
      </c>
      <c r="I31" s="6" t="s">
        <v>20</v>
      </c>
      <c r="J31" s="6" t="s">
        <v>21</v>
      </c>
    </row>
    <row r="32">
      <c r="A32" s="4">
        <v>46212.628229375</v>
      </c>
      <c r="B32" s="6" t="s">
        <v>144</v>
      </c>
      <c r="C32" s="6" t="s">
        <v>489</v>
      </c>
      <c r="D32" s="6" t="s">
        <v>15</v>
      </c>
      <c r="E32" s="6" t="s">
        <v>16</v>
      </c>
      <c r="F32" s="6" t="s">
        <v>17</v>
      </c>
      <c r="G32" s="6" t="s">
        <v>18</v>
      </c>
      <c r="H32" s="6" t="s">
        <v>19</v>
      </c>
      <c r="I32" s="6" t="s">
        <v>20</v>
      </c>
      <c r="J32" s="6" t="s">
        <v>21</v>
      </c>
    </row>
    <row r="33">
      <c r="A33" s="4">
        <v>46212.62845341435</v>
      </c>
      <c r="B33" s="6" t="s">
        <v>25</v>
      </c>
      <c r="C33" s="6" t="s">
        <v>489</v>
      </c>
      <c r="D33" s="6" t="s">
        <v>15</v>
      </c>
      <c r="E33" s="6" t="s">
        <v>16</v>
      </c>
      <c r="F33" s="6" t="s">
        <v>17</v>
      </c>
      <c r="G33" s="6" t="s">
        <v>18</v>
      </c>
      <c r="H33" s="6" t="s">
        <v>19</v>
      </c>
      <c r="I33" s="6" t="s">
        <v>20</v>
      </c>
      <c r="J33" s="6" t="s">
        <v>21</v>
      </c>
    </row>
    <row r="34">
      <c r="A34" s="4">
        <v>46212.62855879629</v>
      </c>
      <c r="B34" s="6" t="s">
        <v>59</v>
      </c>
      <c r="C34" s="6" t="s">
        <v>459</v>
      </c>
      <c r="D34" s="6" t="s">
        <v>15</v>
      </c>
      <c r="E34" s="6" t="s">
        <v>16</v>
      </c>
      <c r="F34" s="6" t="s">
        <v>17</v>
      </c>
      <c r="G34" s="6" t="s">
        <v>18</v>
      </c>
      <c r="H34" s="6" t="s">
        <v>19</v>
      </c>
      <c r="I34" s="6" t="s">
        <v>20</v>
      </c>
      <c r="J34" s="6" t="s">
        <v>21</v>
      </c>
    </row>
    <row r="35">
      <c r="A35" s="4">
        <v>46212.6286165162</v>
      </c>
      <c r="B35" s="6" t="s">
        <v>54</v>
      </c>
      <c r="C35" s="6" t="s">
        <v>495</v>
      </c>
      <c r="D35" s="6" t="s">
        <v>15</v>
      </c>
      <c r="E35" s="6" t="s">
        <v>16</v>
      </c>
      <c r="F35" s="6" t="s">
        <v>17</v>
      </c>
      <c r="G35" s="6" t="s">
        <v>18</v>
      </c>
      <c r="H35" s="6" t="s">
        <v>19</v>
      </c>
      <c r="I35" s="6" t="s">
        <v>20</v>
      </c>
      <c r="J35" s="6" t="s">
        <v>21</v>
      </c>
    </row>
    <row r="36">
      <c r="A36" s="4">
        <v>46212.62878990741</v>
      </c>
      <c r="B36" s="6" t="s">
        <v>94</v>
      </c>
      <c r="C36" s="6" t="s">
        <v>495</v>
      </c>
      <c r="D36" s="6" t="s">
        <v>15</v>
      </c>
      <c r="E36" s="6" t="s">
        <v>16</v>
      </c>
      <c r="F36" s="6" t="s">
        <v>17</v>
      </c>
      <c r="G36" s="6" t="s">
        <v>18</v>
      </c>
      <c r="H36" s="6" t="s">
        <v>19</v>
      </c>
      <c r="I36" s="6" t="s">
        <v>20</v>
      </c>
      <c r="J36" s="6" t="s">
        <v>21</v>
      </c>
    </row>
    <row r="37">
      <c r="A37" s="4">
        <v>46212.628872754634</v>
      </c>
      <c r="B37" s="6" t="s">
        <v>67</v>
      </c>
      <c r="C37" s="6" t="s">
        <v>495</v>
      </c>
      <c r="D37" s="6" t="s">
        <v>15</v>
      </c>
      <c r="E37" s="6" t="s">
        <v>16</v>
      </c>
      <c r="F37" s="6" t="s">
        <v>17</v>
      </c>
      <c r="G37" s="6" t="s">
        <v>18</v>
      </c>
      <c r="H37" s="6" t="s">
        <v>19</v>
      </c>
      <c r="I37" s="6" t="s">
        <v>20</v>
      </c>
      <c r="J37" s="6" t="s">
        <v>21</v>
      </c>
    </row>
    <row r="38">
      <c r="A38" s="4">
        <v>46212.62889881944</v>
      </c>
      <c r="B38" s="6" t="s">
        <v>134</v>
      </c>
      <c r="C38" s="6" t="s">
        <v>495</v>
      </c>
      <c r="D38" s="6" t="s">
        <v>15</v>
      </c>
      <c r="E38" s="6" t="s">
        <v>16</v>
      </c>
      <c r="F38" s="6" t="s">
        <v>17</v>
      </c>
      <c r="G38" s="6" t="s">
        <v>18</v>
      </c>
      <c r="H38" s="6" t="s">
        <v>19</v>
      </c>
      <c r="I38" s="6" t="s">
        <v>20</v>
      </c>
      <c r="J38" s="6" t="s">
        <v>21</v>
      </c>
    </row>
    <row r="39">
      <c r="A39" s="4">
        <v>46212.62941840278</v>
      </c>
      <c r="B39" s="6" t="s">
        <v>100</v>
      </c>
      <c r="C39" s="6" t="s">
        <v>499</v>
      </c>
      <c r="D39" s="6" t="s">
        <v>15</v>
      </c>
      <c r="E39" s="6" t="s">
        <v>16</v>
      </c>
      <c r="F39" s="6" t="s">
        <v>17</v>
      </c>
      <c r="G39" s="6" t="s">
        <v>18</v>
      </c>
      <c r="H39" s="6" t="s">
        <v>19</v>
      </c>
      <c r="I39" s="6" t="s">
        <v>20</v>
      </c>
      <c r="J39" s="6" t="s">
        <v>21</v>
      </c>
    </row>
    <row r="40">
      <c r="A40" s="4">
        <v>46212.629431759255</v>
      </c>
      <c r="B40" s="6" t="s">
        <v>82</v>
      </c>
      <c r="C40" s="6" t="s">
        <v>495</v>
      </c>
      <c r="D40" s="6" t="s">
        <v>15</v>
      </c>
      <c r="E40" s="6" t="s">
        <v>16</v>
      </c>
      <c r="F40" s="6" t="s">
        <v>17</v>
      </c>
      <c r="G40" s="6" t="s">
        <v>18</v>
      </c>
      <c r="H40" s="6" t="s">
        <v>19</v>
      </c>
      <c r="I40" s="6" t="s">
        <v>20</v>
      </c>
      <c r="J40" s="6" t="s">
        <v>21</v>
      </c>
    </row>
    <row r="41">
      <c r="A41" s="4">
        <v>46212.62950652778</v>
      </c>
      <c r="B41" s="6" t="s">
        <v>62</v>
      </c>
      <c r="C41" s="6" t="s">
        <v>495</v>
      </c>
      <c r="D41" s="6" t="s">
        <v>15</v>
      </c>
      <c r="E41" s="6" t="s">
        <v>16</v>
      </c>
      <c r="F41" s="6" t="s">
        <v>17</v>
      </c>
      <c r="G41" s="6" t="s">
        <v>18</v>
      </c>
      <c r="H41" s="6" t="s">
        <v>19</v>
      </c>
      <c r="I41" s="6" t="s">
        <v>20</v>
      </c>
      <c r="J41" s="6" t="s">
        <v>21</v>
      </c>
    </row>
    <row r="42">
      <c r="A42" s="4">
        <v>46212.629590428245</v>
      </c>
      <c r="B42" s="6" t="s">
        <v>95</v>
      </c>
      <c r="C42" s="6" t="s">
        <v>495</v>
      </c>
      <c r="D42" s="6" t="s">
        <v>15</v>
      </c>
      <c r="E42" s="6" t="s">
        <v>16</v>
      </c>
      <c r="F42" s="6" t="s">
        <v>17</v>
      </c>
      <c r="G42" s="6" t="s">
        <v>18</v>
      </c>
      <c r="H42" s="6" t="s">
        <v>19</v>
      </c>
      <c r="I42" s="6" t="s">
        <v>20</v>
      </c>
      <c r="J42" s="6" t="s">
        <v>21</v>
      </c>
    </row>
    <row r="43">
      <c r="A43" s="4">
        <v>46212.6296387037</v>
      </c>
      <c r="B43" s="6" t="s">
        <v>138</v>
      </c>
      <c r="C43" s="6" t="s">
        <v>500</v>
      </c>
      <c r="D43" s="6" t="s">
        <v>15</v>
      </c>
      <c r="E43" s="6" t="s">
        <v>16</v>
      </c>
      <c r="F43" s="6" t="s">
        <v>17</v>
      </c>
      <c r="G43" s="6" t="s">
        <v>18</v>
      </c>
      <c r="H43" s="6" t="s">
        <v>19</v>
      </c>
      <c r="I43" s="6" t="s">
        <v>20</v>
      </c>
      <c r="J43" s="6" t="s">
        <v>21</v>
      </c>
    </row>
    <row r="44">
      <c r="A44" s="4">
        <v>46212.62970158565</v>
      </c>
      <c r="B44" s="6" t="s">
        <v>55</v>
      </c>
      <c r="C44" s="6" t="s">
        <v>495</v>
      </c>
      <c r="D44" s="6" t="s">
        <v>15</v>
      </c>
      <c r="E44" s="6" t="s">
        <v>16</v>
      </c>
      <c r="F44" s="6" t="s">
        <v>17</v>
      </c>
      <c r="G44" s="6" t="s">
        <v>18</v>
      </c>
      <c r="H44" s="6" t="s">
        <v>19</v>
      </c>
      <c r="I44" s="6" t="s">
        <v>20</v>
      </c>
      <c r="J44" s="6" t="s">
        <v>21</v>
      </c>
    </row>
    <row r="45">
      <c r="A45" s="4">
        <v>46212.629842002316</v>
      </c>
      <c r="B45" s="6" t="s">
        <v>121</v>
      </c>
      <c r="C45" s="6" t="s">
        <v>495</v>
      </c>
      <c r="D45" s="6" t="s">
        <v>15</v>
      </c>
      <c r="E45" s="6" t="s">
        <v>16</v>
      </c>
      <c r="F45" s="6" t="s">
        <v>17</v>
      </c>
      <c r="G45" s="6" t="s">
        <v>18</v>
      </c>
      <c r="H45" s="6" t="s">
        <v>19</v>
      </c>
      <c r="I45" s="6" t="s">
        <v>20</v>
      </c>
      <c r="J45" s="6" t="s">
        <v>21</v>
      </c>
    </row>
    <row r="46">
      <c r="A46" s="4">
        <v>46212.62985150463</v>
      </c>
      <c r="B46" s="6" t="s">
        <v>123</v>
      </c>
      <c r="C46" s="6" t="s">
        <v>489</v>
      </c>
      <c r="D46" s="6" t="s">
        <v>15</v>
      </c>
      <c r="E46" s="6" t="s">
        <v>16</v>
      </c>
      <c r="F46" s="6" t="s">
        <v>17</v>
      </c>
      <c r="G46" s="6" t="s">
        <v>18</v>
      </c>
      <c r="H46" s="6" t="s">
        <v>19</v>
      </c>
      <c r="I46" s="6" t="s">
        <v>20</v>
      </c>
      <c r="J46" s="6" t="s">
        <v>21</v>
      </c>
    </row>
    <row r="47">
      <c r="A47" s="4">
        <v>46212.6298771875</v>
      </c>
      <c r="B47" s="6" t="s">
        <v>88</v>
      </c>
      <c r="C47" s="6" t="s">
        <v>495</v>
      </c>
      <c r="D47" s="6" t="s">
        <v>15</v>
      </c>
      <c r="E47" s="6" t="s">
        <v>16</v>
      </c>
      <c r="F47" s="6" t="s">
        <v>17</v>
      </c>
      <c r="G47" s="6" t="s">
        <v>18</v>
      </c>
      <c r="H47" s="6" t="s">
        <v>19</v>
      </c>
      <c r="I47" s="6" t="s">
        <v>20</v>
      </c>
      <c r="J47" s="6" t="s">
        <v>21</v>
      </c>
    </row>
    <row r="48">
      <c r="A48" s="4">
        <v>46212.62991732639</v>
      </c>
      <c r="B48" s="6" t="s">
        <v>118</v>
      </c>
      <c r="C48" s="6" t="s">
        <v>453</v>
      </c>
      <c r="D48" s="6" t="s">
        <v>15</v>
      </c>
      <c r="E48" s="6" t="s">
        <v>16</v>
      </c>
      <c r="F48" s="6" t="s">
        <v>17</v>
      </c>
      <c r="G48" s="6" t="s">
        <v>18</v>
      </c>
      <c r="H48" s="6" t="s">
        <v>19</v>
      </c>
      <c r="I48" s="6" t="s">
        <v>20</v>
      </c>
      <c r="J48" s="6" t="s">
        <v>21</v>
      </c>
    </row>
    <row r="49">
      <c r="A49" s="4">
        <v>46212.62996655093</v>
      </c>
      <c r="B49" s="6" t="s">
        <v>71</v>
      </c>
      <c r="C49" s="6" t="s">
        <v>495</v>
      </c>
      <c r="D49" s="6" t="s">
        <v>15</v>
      </c>
      <c r="E49" s="6" t="s">
        <v>16</v>
      </c>
      <c r="F49" s="6" t="s">
        <v>17</v>
      </c>
      <c r="G49" s="6" t="s">
        <v>18</v>
      </c>
      <c r="H49" s="6" t="s">
        <v>19</v>
      </c>
      <c r="I49" s="6" t="s">
        <v>20</v>
      </c>
      <c r="J49" s="6" t="s">
        <v>21</v>
      </c>
    </row>
    <row r="50">
      <c r="A50" s="4">
        <v>46212.63005269676</v>
      </c>
      <c r="B50" s="6" t="s">
        <v>104</v>
      </c>
      <c r="C50" s="6" t="s">
        <v>495</v>
      </c>
      <c r="D50" s="6" t="s">
        <v>15</v>
      </c>
      <c r="E50" s="6" t="s">
        <v>16</v>
      </c>
      <c r="F50" s="6" t="s">
        <v>17</v>
      </c>
      <c r="G50" s="6" t="s">
        <v>18</v>
      </c>
      <c r="H50" s="6" t="s">
        <v>19</v>
      </c>
      <c r="I50" s="6" t="s">
        <v>20</v>
      </c>
      <c r="J50" s="6" t="s">
        <v>21</v>
      </c>
    </row>
    <row r="51">
      <c r="A51" s="4">
        <v>46212.63011009259</v>
      </c>
      <c r="B51" s="6" t="s">
        <v>151</v>
      </c>
      <c r="C51" s="6" t="s">
        <v>453</v>
      </c>
      <c r="D51" s="6" t="s">
        <v>15</v>
      </c>
      <c r="E51" s="6" t="s">
        <v>16</v>
      </c>
      <c r="F51" s="6" t="s">
        <v>17</v>
      </c>
      <c r="G51" s="6" t="s">
        <v>18</v>
      </c>
      <c r="H51" s="6" t="s">
        <v>19</v>
      </c>
      <c r="I51" s="6" t="s">
        <v>20</v>
      </c>
      <c r="J51" s="6" t="s">
        <v>21</v>
      </c>
    </row>
    <row r="52">
      <c r="A52" s="4">
        <v>46212.63017567129</v>
      </c>
      <c r="B52" s="6" t="s">
        <v>86</v>
      </c>
      <c r="C52" s="6" t="s">
        <v>501</v>
      </c>
      <c r="D52" s="6" t="s">
        <v>15</v>
      </c>
      <c r="E52" s="6" t="s">
        <v>16</v>
      </c>
      <c r="F52" s="6" t="s">
        <v>17</v>
      </c>
      <c r="G52" s="6" t="s">
        <v>18</v>
      </c>
      <c r="H52" s="6" t="s">
        <v>19</v>
      </c>
      <c r="I52" s="6" t="s">
        <v>20</v>
      </c>
      <c r="J52" s="6" t="s">
        <v>21</v>
      </c>
    </row>
    <row r="53">
      <c r="A53" s="4">
        <v>46212.63020525463</v>
      </c>
      <c r="B53" s="6" t="s">
        <v>81</v>
      </c>
      <c r="C53" s="6" t="s">
        <v>495</v>
      </c>
      <c r="D53" s="6" t="s">
        <v>15</v>
      </c>
      <c r="E53" s="6" t="s">
        <v>16</v>
      </c>
      <c r="F53" s="6" t="s">
        <v>17</v>
      </c>
      <c r="G53" s="6" t="s">
        <v>18</v>
      </c>
      <c r="H53" s="6" t="s">
        <v>19</v>
      </c>
      <c r="I53" s="6" t="s">
        <v>20</v>
      </c>
      <c r="J53" s="6" t="s">
        <v>21</v>
      </c>
    </row>
    <row r="54">
      <c r="A54" s="4">
        <v>46212.630253125</v>
      </c>
      <c r="B54" s="6" t="s">
        <v>147</v>
      </c>
      <c r="C54" s="6" t="s">
        <v>495</v>
      </c>
      <c r="D54" s="6" t="s">
        <v>15</v>
      </c>
      <c r="E54" s="6" t="s">
        <v>16</v>
      </c>
      <c r="F54" s="6" t="s">
        <v>17</v>
      </c>
      <c r="G54" s="6" t="s">
        <v>18</v>
      </c>
      <c r="H54" s="6" t="s">
        <v>19</v>
      </c>
      <c r="I54" s="6" t="s">
        <v>20</v>
      </c>
      <c r="J54" s="6" t="s">
        <v>21</v>
      </c>
    </row>
    <row r="55">
      <c r="A55" s="4">
        <v>46212.6302840162</v>
      </c>
      <c r="B55" s="6" t="s">
        <v>53</v>
      </c>
      <c r="C55" s="6" t="s">
        <v>502</v>
      </c>
      <c r="D55" s="6" t="s">
        <v>15</v>
      </c>
      <c r="E55" s="6" t="s">
        <v>16</v>
      </c>
      <c r="F55" s="6" t="s">
        <v>17</v>
      </c>
      <c r="G55" s="6" t="s">
        <v>18</v>
      </c>
      <c r="H55" s="6" t="s">
        <v>19</v>
      </c>
      <c r="I55" s="6" t="s">
        <v>20</v>
      </c>
      <c r="J55" s="6" t="s">
        <v>21</v>
      </c>
    </row>
    <row r="56">
      <c r="A56" s="4">
        <v>46212.63033101852</v>
      </c>
      <c r="B56" s="6" t="s">
        <v>161</v>
      </c>
      <c r="C56" s="6" t="s">
        <v>492</v>
      </c>
      <c r="D56" s="6" t="s">
        <v>15</v>
      </c>
      <c r="E56" s="6" t="s">
        <v>16</v>
      </c>
      <c r="F56" s="6" t="s">
        <v>17</v>
      </c>
      <c r="G56" s="6" t="s">
        <v>18</v>
      </c>
      <c r="H56" s="6" t="s">
        <v>19</v>
      </c>
      <c r="I56" s="6" t="s">
        <v>20</v>
      </c>
      <c r="J56" s="6" t="s">
        <v>21</v>
      </c>
    </row>
    <row r="57">
      <c r="A57" s="4">
        <v>46212.630382523144</v>
      </c>
      <c r="B57" s="6" t="s">
        <v>137</v>
      </c>
      <c r="C57" s="6" t="s">
        <v>503</v>
      </c>
      <c r="D57" s="6" t="s">
        <v>15</v>
      </c>
      <c r="E57" s="6" t="s">
        <v>16</v>
      </c>
      <c r="F57" s="6" t="s">
        <v>17</v>
      </c>
      <c r="G57" s="6" t="s">
        <v>18</v>
      </c>
      <c r="H57" s="6" t="s">
        <v>19</v>
      </c>
      <c r="I57" s="6" t="s">
        <v>20</v>
      </c>
      <c r="J57" s="6" t="s">
        <v>21</v>
      </c>
    </row>
    <row r="58">
      <c r="A58" s="4">
        <v>46212.63067719908</v>
      </c>
      <c r="B58" s="6" t="s">
        <v>65</v>
      </c>
      <c r="C58" s="6" t="s">
        <v>495</v>
      </c>
      <c r="D58" s="6" t="s">
        <v>15</v>
      </c>
      <c r="E58" s="6" t="s">
        <v>33</v>
      </c>
      <c r="F58" s="6" t="s">
        <v>17</v>
      </c>
      <c r="G58" s="6" t="s">
        <v>18</v>
      </c>
      <c r="H58" s="6" t="s">
        <v>19</v>
      </c>
      <c r="I58" s="6" t="s">
        <v>47</v>
      </c>
      <c r="J58" s="6" t="s">
        <v>21</v>
      </c>
    </row>
    <row r="59">
      <c r="A59" s="4">
        <v>46212.63074466435</v>
      </c>
      <c r="B59" s="6" t="s">
        <v>128</v>
      </c>
      <c r="C59" s="6" t="s">
        <v>495</v>
      </c>
      <c r="D59" s="6" t="s">
        <v>15</v>
      </c>
      <c r="E59" s="6" t="s">
        <v>16</v>
      </c>
      <c r="F59" s="6" t="s">
        <v>17</v>
      </c>
      <c r="G59" s="6" t="s">
        <v>18</v>
      </c>
      <c r="H59" s="6" t="s">
        <v>19</v>
      </c>
      <c r="I59" s="6" t="s">
        <v>20</v>
      </c>
      <c r="J59" s="6" t="s">
        <v>21</v>
      </c>
      <c r="K59" s="6" t="s">
        <v>29</v>
      </c>
    </row>
    <row r="60">
      <c r="A60" s="4">
        <v>46212.63092144676</v>
      </c>
      <c r="B60" s="6" t="s">
        <v>61</v>
      </c>
      <c r="C60" s="6" t="s">
        <v>495</v>
      </c>
      <c r="D60" s="6" t="s">
        <v>15</v>
      </c>
      <c r="E60" s="6" t="s">
        <v>16</v>
      </c>
      <c r="F60" s="6" t="s">
        <v>17</v>
      </c>
      <c r="G60" s="6" t="s">
        <v>18</v>
      </c>
      <c r="H60" s="6" t="s">
        <v>19</v>
      </c>
      <c r="I60" s="6" t="s">
        <v>20</v>
      </c>
      <c r="J60" s="6" t="s">
        <v>21</v>
      </c>
    </row>
    <row r="61">
      <c r="A61" s="4">
        <v>46212.63095259259</v>
      </c>
      <c r="B61" s="6" t="s">
        <v>105</v>
      </c>
      <c r="C61" s="6" t="s">
        <v>495</v>
      </c>
      <c r="D61" s="6" t="s">
        <v>15</v>
      </c>
      <c r="E61" s="6" t="s">
        <v>16</v>
      </c>
      <c r="F61" s="6" t="s">
        <v>17</v>
      </c>
      <c r="G61" s="6" t="s">
        <v>18</v>
      </c>
      <c r="H61" s="6" t="s">
        <v>19</v>
      </c>
      <c r="I61" s="6" t="s">
        <v>20</v>
      </c>
      <c r="J61" s="6" t="s">
        <v>21</v>
      </c>
    </row>
    <row r="62">
      <c r="A62" s="4">
        <v>46212.630988680554</v>
      </c>
      <c r="B62" s="6" t="s">
        <v>158</v>
      </c>
      <c r="C62" s="6" t="s">
        <v>495</v>
      </c>
      <c r="D62" s="6" t="s">
        <v>15</v>
      </c>
      <c r="E62" s="6" t="s">
        <v>16</v>
      </c>
      <c r="F62" s="6" t="s">
        <v>17</v>
      </c>
      <c r="G62" s="6" t="s">
        <v>18</v>
      </c>
      <c r="H62" s="6" t="s">
        <v>19</v>
      </c>
      <c r="I62" s="6" t="s">
        <v>20</v>
      </c>
      <c r="J62" s="6" t="s">
        <v>21</v>
      </c>
    </row>
    <row r="63">
      <c r="A63" s="4">
        <v>46212.631038611114</v>
      </c>
      <c r="B63" s="6" t="s">
        <v>135</v>
      </c>
      <c r="C63" s="6" t="s">
        <v>495</v>
      </c>
      <c r="D63" s="6" t="s">
        <v>15</v>
      </c>
      <c r="E63" s="6" t="s">
        <v>16</v>
      </c>
      <c r="F63" s="6" t="s">
        <v>17</v>
      </c>
      <c r="G63" s="6" t="s">
        <v>18</v>
      </c>
      <c r="H63" s="6" t="s">
        <v>19</v>
      </c>
      <c r="I63" s="6" t="s">
        <v>20</v>
      </c>
      <c r="J63" s="6" t="s">
        <v>21</v>
      </c>
    </row>
    <row r="64">
      <c r="A64" s="4">
        <v>46212.63119141204</v>
      </c>
      <c r="B64" s="6" t="s">
        <v>92</v>
      </c>
      <c r="C64" s="6" t="s">
        <v>489</v>
      </c>
      <c r="D64" s="6" t="s">
        <v>15</v>
      </c>
      <c r="E64" s="6" t="s">
        <v>16</v>
      </c>
      <c r="F64" s="6" t="s">
        <v>17</v>
      </c>
      <c r="G64" s="6" t="s">
        <v>18</v>
      </c>
      <c r="H64" s="6" t="s">
        <v>19</v>
      </c>
      <c r="I64" s="6" t="s">
        <v>20</v>
      </c>
      <c r="J64" s="6" t="s">
        <v>21</v>
      </c>
    </row>
    <row r="65">
      <c r="A65" s="4">
        <v>46212.63185469907</v>
      </c>
      <c r="B65" s="6" t="s">
        <v>73</v>
      </c>
      <c r="C65" s="6" t="s">
        <v>495</v>
      </c>
      <c r="D65" s="6" t="s">
        <v>15</v>
      </c>
      <c r="E65" s="6" t="s">
        <v>16</v>
      </c>
      <c r="F65" s="6" t="s">
        <v>17</v>
      </c>
      <c r="G65" s="6" t="s">
        <v>18</v>
      </c>
      <c r="H65" s="6" t="s">
        <v>19</v>
      </c>
      <c r="I65" s="6" t="s">
        <v>20</v>
      </c>
      <c r="J65" s="6" t="s">
        <v>21</v>
      </c>
    </row>
    <row r="66">
      <c r="A66" s="4">
        <v>46212.6318875463</v>
      </c>
      <c r="B66" s="6" t="s">
        <v>114</v>
      </c>
      <c r="C66" s="6" t="s">
        <v>495</v>
      </c>
      <c r="D66" s="6" t="s">
        <v>15</v>
      </c>
      <c r="E66" s="6" t="s">
        <v>16</v>
      </c>
      <c r="F66" s="6" t="s">
        <v>17</v>
      </c>
      <c r="G66" s="6" t="s">
        <v>18</v>
      </c>
      <c r="H66" s="6" t="s">
        <v>19</v>
      </c>
      <c r="I66" s="6" t="s">
        <v>20</v>
      </c>
      <c r="J66" s="6" t="s">
        <v>21</v>
      </c>
    </row>
    <row r="67">
      <c r="A67" s="4">
        <v>46212.632185740746</v>
      </c>
      <c r="B67" s="6" t="s">
        <v>68</v>
      </c>
      <c r="C67" s="6" t="s">
        <v>504</v>
      </c>
      <c r="D67" s="6" t="s">
        <v>15</v>
      </c>
      <c r="E67" s="6" t="s">
        <v>16</v>
      </c>
      <c r="F67" s="6" t="s">
        <v>17</v>
      </c>
      <c r="G67" s="6" t="s">
        <v>18</v>
      </c>
      <c r="H67" s="6" t="s">
        <v>19</v>
      </c>
      <c r="I67" s="6" t="s">
        <v>20</v>
      </c>
      <c r="J67" s="6" t="s">
        <v>21</v>
      </c>
    </row>
    <row r="68">
      <c r="A68" s="4">
        <v>46212.632455</v>
      </c>
      <c r="B68" s="6" t="s">
        <v>51</v>
      </c>
      <c r="C68" s="6" t="s">
        <v>495</v>
      </c>
      <c r="D68" s="6" t="s">
        <v>15</v>
      </c>
      <c r="E68" s="6" t="s">
        <v>16</v>
      </c>
      <c r="F68" s="6" t="s">
        <v>17</v>
      </c>
      <c r="G68" s="6" t="s">
        <v>18</v>
      </c>
      <c r="H68" s="6" t="s">
        <v>19</v>
      </c>
      <c r="I68" s="6" t="s">
        <v>20</v>
      </c>
      <c r="J68" s="6" t="s">
        <v>21</v>
      </c>
    </row>
    <row r="69">
      <c r="A69" s="4">
        <v>46212.63353172454</v>
      </c>
      <c r="B69" s="6" t="s">
        <v>89</v>
      </c>
      <c r="C69" s="6" t="s">
        <v>495</v>
      </c>
      <c r="D69" s="6" t="s">
        <v>15</v>
      </c>
      <c r="E69" s="6" t="s">
        <v>16</v>
      </c>
      <c r="F69" s="6" t="s">
        <v>17</v>
      </c>
      <c r="G69" s="6" t="s">
        <v>18</v>
      </c>
      <c r="H69" s="6" t="s">
        <v>19</v>
      </c>
      <c r="I69" s="6" t="s">
        <v>20</v>
      </c>
      <c r="J69" s="6" t="s">
        <v>21</v>
      </c>
      <c r="K69" s="6" t="s">
        <v>29</v>
      </c>
    </row>
    <row r="70">
      <c r="A70" s="4">
        <v>46212.63367357639</v>
      </c>
      <c r="B70" s="6" t="s">
        <v>130</v>
      </c>
      <c r="C70" s="6" t="s">
        <v>490</v>
      </c>
      <c r="D70" s="6" t="s">
        <v>15</v>
      </c>
      <c r="E70" s="6" t="s">
        <v>16</v>
      </c>
      <c r="F70" s="6" t="s">
        <v>17</v>
      </c>
      <c r="G70" s="6" t="s">
        <v>18</v>
      </c>
      <c r="H70" s="6" t="s">
        <v>19</v>
      </c>
      <c r="I70" s="6" t="s">
        <v>20</v>
      </c>
      <c r="J70" s="6" t="s">
        <v>21</v>
      </c>
    </row>
    <row r="71">
      <c r="A71" s="4">
        <v>46212.63369120371</v>
      </c>
      <c r="B71" s="6" t="s">
        <v>133</v>
      </c>
      <c r="C71" s="6" t="s">
        <v>505</v>
      </c>
      <c r="D71" s="6" t="s">
        <v>15</v>
      </c>
      <c r="E71" s="6" t="s">
        <v>16</v>
      </c>
      <c r="F71" s="6" t="s">
        <v>17</v>
      </c>
      <c r="G71" s="6" t="s">
        <v>18</v>
      </c>
      <c r="H71" s="6" t="s">
        <v>19</v>
      </c>
      <c r="I71" s="6" t="s">
        <v>20</v>
      </c>
      <c r="J71" s="6" t="s">
        <v>21</v>
      </c>
    </row>
    <row r="72">
      <c r="A72" s="4">
        <v>46212.63513900463</v>
      </c>
      <c r="B72" s="6" t="s">
        <v>126</v>
      </c>
      <c r="C72" s="6" t="s">
        <v>506</v>
      </c>
      <c r="D72" s="6" t="s">
        <v>15</v>
      </c>
      <c r="E72" s="6" t="s">
        <v>16</v>
      </c>
      <c r="F72" s="6" t="s">
        <v>17</v>
      </c>
      <c r="G72" s="6" t="s">
        <v>18</v>
      </c>
      <c r="H72" s="6" t="s">
        <v>19</v>
      </c>
      <c r="I72" s="6" t="s">
        <v>20</v>
      </c>
      <c r="J72" s="6" t="s">
        <v>21</v>
      </c>
    </row>
    <row r="73">
      <c r="A73" s="4">
        <v>46212.637923055554</v>
      </c>
      <c r="B73" s="6" t="s">
        <v>113</v>
      </c>
      <c r="C73" s="6" t="s">
        <v>495</v>
      </c>
      <c r="D73" s="6" t="s">
        <v>15</v>
      </c>
      <c r="E73" s="6" t="s">
        <v>16</v>
      </c>
      <c r="F73" s="6" t="s">
        <v>17</v>
      </c>
      <c r="G73" s="6" t="s">
        <v>18</v>
      </c>
      <c r="H73" s="6" t="s">
        <v>19</v>
      </c>
      <c r="I73" s="6" t="s">
        <v>20</v>
      </c>
      <c r="J73" s="6" t="s">
        <v>21</v>
      </c>
    </row>
    <row r="74">
      <c r="A74" s="4">
        <v>46212.63979077546</v>
      </c>
      <c r="B74" s="6" t="s">
        <v>169</v>
      </c>
      <c r="C74" s="6" t="s">
        <v>463</v>
      </c>
      <c r="D74" s="6" t="s">
        <v>15</v>
      </c>
      <c r="E74" s="6" t="s">
        <v>16</v>
      </c>
      <c r="F74" s="6" t="s">
        <v>17</v>
      </c>
      <c r="G74" s="6" t="s">
        <v>18</v>
      </c>
      <c r="H74" s="6" t="s">
        <v>19</v>
      </c>
      <c r="I74" s="6" t="s">
        <v>20</v>
      </c>
      <c r="J74" s="6" t="s">
        <v>21</v>
      </c>
    </row>
    <row r="75">
      <c r="A75" s="4">
        <v>46212.64356467593</v>
      </c>
      <c r="B75" s="6" t="s">
        <v>150</v>
      </c>
      <c r="C75" s="6" t="s">
        <v>495</v>
      </c>
      <c r="D75" s="6" t="s">
        <v>15</v>
      </c>
      <c r="E75" s="6" t="s">
        <v>16</v>
      </c>
      <c r="F75" s="6" t="s">
        <v>17</v>
      </c>
      <c r="G75" s="6" t="s">
        <v>18</v>
      </c>
      <c r="H75" s="6" t="s">
        <v>19</v>
      </c>
      <c r="I75" s="6" t="s">
        <v>20</v>
      </c>
      <c r="J75" s="6" t="s">
        <v>21</v>
      </c>
    </row>
    <row r="76">
      <c r="A76" s="4">
        <v>46212.64653622685</v>
      </c>
      <c r="B76" s="6" t="s">
        <v>162</v>
      </c>
      <c r="C76" s="6" t="s">
        <v>507</v>
      </c>
      <c r="D76" s="6" t="s">
        <v>15</v>
      </c>
      <c r="E76" s="6" t="s">
        <v>16</v>
      </c>
      <c r="F76" s="6" t="s">
        <v>17</v>
      </c>
      <c r="G76" s="6" t="s">
        <v>18</v>
      </c>
      <c r="H76" s="6" t="s">
        <v>19</v>
      </c>
      <c r="I76" s="6" t="s">
        <v>20</v>
      </c>
      <c r="J76" s="6" t="s">
        <v>21</v>
      </c>
    </row>
    <row r="77">
      <c r="A77" s="4">
        <v>46212.71424244213</v>
      </c>
      <c r="B77" s="6" t="s">
        <v>70</v>
      </c>
      <c r="C77" s="6" t="s">
        <v>495</v>
      </c>
      <c r="D77" s="6" t="s">
        <v>15</v>
      </c>
      <c r="E77" s="6" t="s">
        <v>16</v>
      </c>
      <c r="F77" s="6" t="s">
        <v>17</v>
      </c>
      <c r="G77" s="6" t="s">
        <v>18</v>
      </c>
      <c r="H77" s="6" t="s">
        <v>19</v>
      </c>
      <c r="I77" s="6" t="s">
        <v>20</v>
      </c>
      <c r="J77" s="6" t="s">
        <v>21</v>
      </c>
    </row>
    <row r="78">
      <c r="A78" s="4">
        <v>46212.8384506713</v>
      </c>
      <c r="B78" s="6" t="s">
        <v>155</v>
      </c>
      <c r="C78" s="6" t="s">
        <v>495</v>
      </c>
      <c r="D78" s="6" t="s">
        <v>15</v>
      </c>
      <c r="E78" s="6" t="s">
        <v>16</v>
      </c>
      <c r="F78" s="6" t="s">
        <v>17</v>
      </c>
      <c r="G78" s="6" t="s">
        <v>18</v>
      </c>
      <c r="H78" s="6" t="s">
        <v>19</v>
      </c>
      <c r="I78" s="6" t="s">
        <v>20</v>
      </c>
      <c r="J78" s="6" t="s">
        <v>21</v>
      </c>
    </row>
    <row r="79">
      <c r="A79" s="4">
        <v>46213.403542280095</v>
      </c>
      <c r="B79" s="6" t="s">
        <v>148</v>
      </c>
      <c r="C79" s="6" t="s">
        <v>495</v>
      </c>
      <c r="D79" s="6" t="s">
        <v>15</v>
      </c>
      <c r="E79" s="6" t="s">
        <v>16</v>
      </c>
      <c r="F79" s="6" t="s">
        <v>17</v>
      </c>
      <c r="G79" s="6" t="s">
        <v>18</v>
      </c>
      <c r="H79" s="6" t="s">
        <v>19</v>
      </c>
      <c r="I79" s="6" t="s">
        <v>20</v>
      </c>
      <c r="J79" s="6" t="s">
        <v>21</v>
      </c>
    </row>
    <row r="80">
      <c r="A80" s="4">
        <v>46213.416573912036</v>
      </c>
      <c r="B80" s="6" t="s">
        <v>171</v>
      </c>
      <c r="C80" s="6" t="s">
        <v>453</v>
      </c>
      <c r="D80" s="6" t="s">
        <v>15</v>
      </c>
      <c r="E80" s="6" t="s">
        <v>16</v>
      </c>
      <c r="F80" s="6" t="s">
        <v>17</v>
      </c>
      <c r="G80" s="6" t="s">
        <v>18</v>
      </c>
      <c r="H80" s="6" t="s">
        <v>19</v>
      </c>
      <c r="I80" s="6" t="s">
        <v>20</v>
      </c>
      <c r="J80" s="6" t="s">
        <v>21</v>
      </c>
    </row>
    <row r="81">
      <c r="A81" s="4">
        <v>46213.461135868056</v>
      </c>
      <c r="B81" s="6" t="s">
        <v>172</v>
      </c>
      <c r="C81" s="6" t="s">
        <v>508</v>
      </c>
      <c r="D81" s="6" t="s">
        <v>15</v>
      </c>
      <c r="E81" s="6" t="s">
        <v>16</v>
      </c>
      <c r="F81" s="6" t="s">
        <v>17</v>
      </c>
      <c r="G81" s="6" t="s">
        <v>18</v>
      </c>
      <c r="H81" s="6" t="s">
        <v>19</v>
      </c>
      <c r="I81" s="6" t="s">
        <v>20</v>
      </c>
      <c r="J81" s="6" t="s">
        <v>21</v>
      </c>
      <c r="K81" s="6" t="s">
        <v>115</v>
      </c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67.63"/>
    <col customWidth="1" min="4" max="4" width="2.13"/>
    <col customWidth="1" min="14" max="14" width="24.5"/>
  </cols>
  <sheetData>
    <row r="1">
      <c r="A1" s="2" t="s">
        <v>0</v>
      </c>
      <c r="B1" s="2" t="s">
        <v>1</v>
      </c>
      <c r="C1" s="3" t="s">
        <v>2</v>
      </c>
      <c r="D1" s="5"/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3" t="s">
        <v>9</v>
      </c>
      <c r="L1" s="2"/>
      <c r="M1" s="7" t="s">
        <v>24</v>
      </c>
    </row>
    <row r="2">
      <c r="A2" s="8">
        <f>'3.2'!A:A</f>
        <v>46189.46787</v>
      </c>
      <c r="B2" s="2" t="str">
        <f>'3.2'!B:B</f>
        <v>bnco0940@signalschool.ac.th</v>
      </c>
      <c r="C2" s="2" t="str">
        <f>'3.2'!C:C</f>
        <v>ร.อ.ธัญญพัทธ์  ตรีศักดิ์ศรี/จ.ส.อ.ชัยยุทธ ดิษบุตร</v>
      </c>
      <c r="D2" s="9">
        <v>1.0</v>
      </c>
      <c r="E2" s="10">
        <f>IFERROR(vlookup('3.2'!D:D,lookup!$A$2:$B$4,2,false),0)</f>
        <v>5</v>
      </c>
      <c r="F2" s="10">
        <f>IFERROR(vlookup('3.2'!E:E,lookup!$A$6:$B$8,2,false),0)</f>
        <v>5</v>
      </c>
      <c r="G2" s="10">
        <f>IFERROR(vlookup('3.2'!F:F,lookup!$A$10:$B$12,2,false),0)</f>
        <v>5</v>
      </c>
      <c r="H2" s="10">
        <f>IFERROR(vlookup('3.2'!G:G,lookup!$A$14:$B$16,2,false),0)</f>
        <v>5</v>
      </c>
      <c r="I2" s="10">
        <f>IFERROR(vlookup('3.2'!H:H,lookup!$A$18:$B$20,2,false),0)</f>
        <v>5</v>
      </c>
      <c r="J2" s="10">
        <f>IFERROR(vlookup('3.2'!I:I,lookup!$A$22:$B$24,2,false),0)</f>
        <v>5</v>
      </c>
      <c r="K2" s="10">
        <f>IFERROR(vlookup('3.2'!J:J,lookup!$A$26:$B$28,2,false),0)</f>
        <v>5</v>
      </c>
      <c r="L2" s="2"/>
      <c r="M2" s="10">
        <v>1.0</v>
      </c>
      <c r="N2" s="11" t="str">
        <f t="shared" ref="N2:N81" si="1">CONCAT(R2,"@signalschool.ac.th")</f>
        <v>bnco0901@signalschool.ac.th</v>
      </c>
      <c r="O2" s="12">
        <f t="shared" ref="O2:O81" si="2">IFERROR(VLOOKUP(N2,B$2:D$81,3,FALSE),0)</f>
        <v>1</v>
      </c>
      <c r="R2" s="17" t="s">
        <v>116</v>
      </c>
    </row>
    <row r="3">
      <c r="A3" s="8">
        <f>'3.2'!A:A</f>
        <v>46203.70777</v>
      </c>
      <c r="B3" s="2" t="str">
        <f>'3.2'!B:B</f>
        <v>bnco0910@signalschool.ac.th</v>
      </c>
      <c r="C3" s="2" t="str">
        <f>'3.2'!C:C</f>
        <v>ร.อ.ธัญญพัทธ์ ตรีศักดิ์ศรี จ.ส.ต.พรสุพพัต วุฒิสุวรรณ จ.ส.อ.ชัยยุทธ ดิษบุตร</v>
      </c>
      <c r="D3" s="9">
        <v>1.0</v>
      </c>
      <c r="E3" s="10">
        <f>IFERROR(vlookup('3.2'!D:D,lookup!$A$2:$B$4,2,false),0)</f>
        <v>5</v>
      </c>
      <c r="F3" s="10">
        <f>IFERROR(vlookup('3.2'!E:E,lookup!$A$6:$B$8,2,false),0)</f>
        <v>5</v>
      </c>
      <c r="G3" s="10">
        <f>IFERROR(vlookup('3.2'!F:F,lookup!$A$10:$B$12,2,false),0)</f>
        <v>5</v>
      </c>
      <c r="H3" s="10">
        <f>IFERROR(vlookup('3.2'!G:G,lookup!$A$14:$B$16,2,false),0)</f>
        <v>5</v>
      </c>
      <c r="I3" s="10">
        <f>IFERROR(vlookup('3.2'!H:H,lookup!$A$18:$B$20,2,false),0)</f>
        <v>5</v>
      </c>
      <c r="J3" s="10">
        <f>IFERROR(vlookup('3.2'!I:I,lookup!$A$22:$B$24,2,false),0)</f>
        <v>5</v>
      </c>
      <c r="K3" s="10">
        <f>IFERROR(vlookup('3.2'!J:J,lookup!$A$26:$B$28,2,false),0)</f>
        <v>5</v>
      </c>
      <c r="L3" s="2"/>
      <c r="M3" s="10">
        <v>2.0</v>
      </c>
      <c r="N3" s="11" t="str">
        <f t="shared" si="1"/>
        <v>bnco0902@signalschool.ac.th</v>
      </c>
      <c r="O3" s="12">
        <f t="shared" si="2"/>
        <v>1</v>
      </c>
      <c r="R3" s="17" t="s">
        <v>157</v>
      </c>
    </row>
    <row r="4">
      <c r="A4" s="8">
        <f>'3.2'!A:A</f>
        <v>46204.37159</v>
      </c>
      <c r="B4" s="2" t="str">
        <f>'3.2'!B:B</f>
        <v>bnco0950@signalschool.ac.th</v>
      </c>
      <c r="C4" s="2" t="str">
        <f>'3.2'!C:C</f>
        <v>ร.อ.ธัญญพัทธ์ ตรีศักดิ์ตรี,จ.ส.อ.ชัยยุทธ ดิษบุตร,จ.ส.ต.พรสุพัต วุฒิสุวรรณ</v>
      </c>
      <c r="D4" s="9">
        <v>1.0</v>
      </c>
      <c r="E4" s="10">
        <f>IFERROR(vlookup('3.2'!D:D,lookup!$A$2:$B$4,2,false),0)</f>
        <v>5</v>
      </c>
      <c r="F4" s="10">
        <f>IFERROR(vlookup('3.2'!E:E,lookup!$A$6:$B$8,2,false),0)</f>
        <v>5</v>
      </c>
      <c r="G4" s="10">
        <f>IFERROR(vlookup('3.2'!F:F,lookup!$A$10:$B$12,2,false),0)</f>
        <v>5</v>
      </c>
      <c r="H4" s="10">
        <f>IFERROR(vlookup('3.2'!G:G,lookup!$A$14:$B$16,2,false),0)</f>
        <v>5</v>
      </c>
      <c r="I4" s="10">
        <f>IFERROR(vlookup('3.2'!H:H,lookup!$A$18:$B$20,2,false),0)</f>
        <v>5</v>
      </c>
      <c r="J4" s="10">
        <f>IFERROR(vlookup('3.2'!I:I,lookup!$A$22:$B$24,2,false),0)</f>
        <v>5</v>
      </c>
      <c r="K4" s="10">
        <f>IFERROR(vlookup('3.2'!J:J,lookup!$A$26:$B$28,2,false),0)</f>
        <v>5</v>
      </c>
      <c r="L4" s="2"/>
      <c r="M4" s="10">
        <v>3.0</v>
      </c>
      <c r="N4" s="11" t="str">
        <f t="shared" si="1"/>
        <v>bnco0903@signalschool.ac.th</v>
      </c>
      <c r="O4" s="12">
        <f t="shared" si="2"/>
        <v>1</v>
      </c>
      <c r="R4" s="17" t="s">
        <v>182</v>
      </c>
    </row>
    <row r="5">
      <c r="A5" s="8">
        <f>'3.2'!A:A</f>
        <v>46204.46144</v>
      </c>
      <c r="B5" s="2" t="str">
        <f>'3.2'!B:B</f>
        <v>bnco0951@signalschool.ac.th</v>
      </c>
      <c r="C5" s="2" t="str">
        <f>'3.2'!C:C</f>
        <v>ร.อ.ธัญญพัทธ์ ตรีศักดิ์ตรี , จ.ส.อ.ชัยยุทธ ดิษบุตร , จ.ส.ต.พรสุัต วุฒิสุวรรณ</v>
      </c>
      <c r="D5" s="9">
        <v>1.0</v>
      </c>
      <c r="E5" s="10">
        <f>IFERROR(vlookup('3.2'!D:D,lookup!$A$2:$B$4,2,false),0)</f>
        <v>5</v>
      </c>
      <c r="F5" s="10">
        <f>IFERROR(vlookup('3.2'!E:E,lookup!$A$6:$B$8,2,false),0)</f>
        <v>5</v>
      </c>
      <c r="G5" s="10">
        <f>IFERROR(vlookup('3.2'!F:F,lookup!$A$10:$B$12,2,false),0)</f>
        <v>5</v>
      </c>
      <c r="H5" s="10">
        <f>IFERROR(vlookup('3.2'!G:G,lookup!$A$14:$B$16,2,false),0)</f>
        <v>5</v>
      </c>
      <c r="I5" s="10">
        <f>IFERROR(vlookup('3.2'!H:H,lookup!$A$18:$B$20,2,false),0)</f>
        <v>5</v>
      </c>
      <c r="J5" s="10">
        <f>IFERROR(vlookup('3.2'!I:I,lookup!$A$22:$B$24,2,false),0)</f>
        <v>5</v>
      </c>
      <c r="K5" s="10">
        <f>IFERROR(vlookup('3.2'!J:J,lookup!$A$26:$B$28,2,false),0)</f>
        <v>5</v>
      </c>
      <c r="L5" s="2"/>
      <c r="M5" s="10">
        <v>4.0</v>
      </c>
      <c r="N5" s="11" t="str">
        <f t="shared" si="1"/>
        <v>bnco0904@signalschool.ac.th</v>
      </c>
      <c r="O5" s="12">
        <f t="shared" si="2"/>
        <v>1</v>
      </c>
      <c r="R5" s="17" t="s">
        <v>193</v>
      </c>
    </row>
    <row r="6">
      <c r="A6" s="8">
        <f>'3.2'!A:A</f>
        <v>46206.60258</v>
      </c>
      <c r="B6" s="2" t="str">
        <f>'3.2'!B:B</f>
        <v>bnco0920@signalschool.ac.th</v>
      </c>
      <c r="C6" s="2" t="str">
        <f>'3.2'!C:C</f>
        <v>ร.อ.ธัญญพันธ์ / จ.ส.อ.ชัยยุทธ</v>
      </c>
      <c r="D6" s="9">
        <v>1.0</v>
      </c>
      <c r="E6" s="10">
        <f>IFERROR(vlookup('3.2'!D:D,lookup!$A$2:$B$4,2,false),0)</f>
        <v>5</v>
      </c>
      <c r="F6" s="10">
        <f>IFERROR(vlookup('3.2'!E:E,lookup!$A$6:$B$8,2,false),0)</f>
        <v>5</v>
      </c>
      <c r="G6" s="10">
        <f>IFERROR(vlookup('3.2'!F:F,lookup!$A$10:$B$12,2,false),0)</f>
        <v>5</v>
      </c>
      <c r="H6" s="10">
        <f>IFERROR(vlookup('3.2'!G:G,lookup!$A$14:$B$16,2,false),0)</f>
        <v>5</v>
      </c>
      <c r="I6" s="10">
        <f>IFERROR(vlookup('3.2'!H:H,lookup!$A$18:$B$20,2,false),0)</f>
        <v>5</v>
      </c>
      <c r="J6" s="10">
        <f>IFERROR(vlookup('3.2'!I:I,lookup!$A$22:$B$24,2,false),0)</f>
        <v>5</v>
      </c>
      <c r="K6" s="10">
        <f>IFERROR(vlookup('3.2'!J:J,lookup!$A$26:$B$28,2,false),0)</f>
        <v>5</v>
      </c>
      <c r="L6" s="2"/>
      <c r="M6" s="10">
        <v>5.0</v>
      </c>
      <c r="N6" s="11" t="str">
        <f t="shared" si="1"/>
        <v>bnco0905@signalschool.ac.th</v>
      </c>
      <c r="O6" s="12">
        <f t="shared" si="2"/>
        <v>1</v>
      </c>
      <c r="R6" s="17" t="s">
        <v>197</v>
      </c>
    </row>
    <row r="7">
      <c r="A7" s="8">
        <f>'3.2'!A:A</f>
        <v>46212.59395</v>
      </c>
      <c r="B7" s="2" t="str">
        <f>'3.2'!B:B</f>
        <v>bnco0906@signalschool.ac.th</v>
      </c>
      <c r="C7" s="2" t="str">
        <f>'3.2'!C:C</f>
        <v>ร.อ.ธัญญพัทธ์ ตรีศักดิ์ศรี จ.ส.อ.ชัยยุทธ ดิษบุตร ส.อ.ชาตรี คำทะเนตร</v>
      </c>
      <c r="D7" s="9">
        <v>1.0</v>
      </c>
      <c r="E7" s="10">
        <f>IFERROR(vlookup('3.2'!D:D,lookup!$A$2:$B$4,2,false),0)</f>
        <v>3</v>
      </c>
      <c r="F7" s="10">
        <f>IFERROR(vlookup('3.2'!E:E,lookup!$A$6:$B$8,2,false),0)</f>
        <v>3</v>
      </c>
      <c r="G7" s="10">
        <f>IFERROR(vlookup('3.2'!F:F,lookup!$A$10:$B$12,2,false),0)</f>
        <v>3</v>
      </c>
      <c r="H7" s="10">
        <f>IFERROR(vlookup('3.2'!G:G,lookup!$A$14:$B$16,2,false),0)</f>
        <v>3</v>
      </c>
      <c r="I7" s="10">
        <f>IFERROR(vlookup('3.2'!H:H,lookup!$A$18:$B$20,2,false),0)</f>
        <v>3</v>
      </c>
      <c r="J7" s="10">
        <f>IFERROR(vlookup('3.2'!I:I,lookup!$A$22:$B$24,2,false),0)</f>
        <v>3</v>
      </c>
      <c r="K7" s="10">
        <f>IFERROR(vlookup('3.2'!J:J,lookup!$A$26:$B$28,2,false),0)</f>
        <v>3</v>
      </c>
      <c r="L7" s="2"/>
      <c r="M7" s="10">
        <v>6.0</v>
      </c>
      <c r="N7" s="11" t="str">
        <f t="shared" si="1"/>
        <v>bnco0906@signalschool.ac.th</v>
      </c>
      <c r="O7" s="12">
        <f t="shared" si="2"/>
        <v>1</v>
      </c>
      <c r="R7" s="17" t="s">
        <v>203</v>
      </c>
    </row>
    <row r="8">
      <c r="A8" s="8">
        <f>'3.2'!A:A</f>
        <v>46212.62162</v>
      </c>
      <c r="B8" s="2" t="str">
        <f>'3.2'!B:B</f>
        <v>bnco0955@signalschool.ac.th</v>
      </c>
      <c r="C8" s="2" t="str">
        <f>'3.2'!C:C</f>
        <v>อาจารย์ประจำวิชาตามนโยบายที่กองทัพบกกำหนด</v>
      </c>
      <c r="D8" s="9">
        <v>1.0</v>
      </c>
      <c r="E8" s="10">
        <f>IFERROR(vlookup('3.2'!D:D,lookup!$A$2:$B$4,2,false),0)</f>
        <v>5</v>
      </c>
      <c r="F8" s="10">
        <f>IFERROR(vlookup('3.2'!E:E,lookup!$A$6:$B$8,2,false),0)</f>
        <v>5</v>
      </c>
      <c r="G8" s="10">
        <f>IFERROR(vlookup('3.2'!F:F,lookup!$A$10:$B$12,2,false),0)</f>
        <v>5</v>
      </c>
      <c r="H8" s="10">
        <f>IFERROR(vlookup('3.2'!G:G,lookup!$A$14:$B$16,2,false),0)</f>
        <v>5</v>
      </c>
      <c r="I8" s="10">
        <f>IFERROR(vlookup('3.2'!H:H,lookup!$A$18:$B$20,2,false),0)</f>
        <v>5</v>
      </c>
      <c r="J8" s="10">
        <f>IFERROR(vlookup('3.2'!I:I,lookup!$A$22:$B$24,2,false),0)</f>
        <v>5</v>
      </c>
      <c r="K8" s="10">
        <f>IFERROR(vlookup('3.2'!J:J,lookup!$A$26:$B$28,2,false),0)</f>
        <v>5</v>
      </c>
      <c r="L8" s="2"/>
      <c r="M8" s="10">
        <v>7.0</v>
      </c>
      <c r="N8" s="11" t="str">
        <f t="shared" si="1"/>
        <v>bnco0907@signalschool.ac.th</v>
      </c>
      <c r="O8" s="12">
        <f t="shared" si="2"/>
        <v>1</v>
      </c>
      <c r="R8" s="17" t="s">
        <v>206</v>
      </c>
    </row>
    <row r="9">
      <c r="A9" s="8">
        <f>'3.2'!A:A</f>
        <v>46212.622</v>
      </c>
      <c r="B9" s="2" t="str">
        <f>'3.2'!B:B</f>
        <v>bnco0958@signalschool.ac.th</v>
      </c>
      <c r="C9" s="2" t="str">
        <f>'3.2'!C:C</f>
        <v>ร.อ.ธัญญพัทธ์ ตรีศักดิ์ศรี จ.ส.อ.ชัยยุทธ ดิษบุตร</v>
      </c>
      <c r="D9" s="9">
        <v>1.0</v>
      </c>
      <c r="E9" s="10">
        <f>IFERROR(vlookup('3.2'!D:D,lookup!$A$2:$B$4,2,false),0)</f>
        <v>5</v>
      </c>
      <c r="F9" s="10">
        <f>IFERROR(vlookup('3.2'!E:E,lookup!$A$6:$B$8,2,false),0)</f>
        <v>5</v>
      </c>
      <c r="G9" s="10">
        <f>IFERROR(vlookup('3.2'!F:F,lookup!$A$10:$B$12,2,false),0)</f>
        <v>5</v>
      </c>
      <c r="H9" s="10">
        <f>IFERROR(vlookup('3.2'!G:G,lookup!$A$14:$B$16,2,false),0)</f>
        <v>5</v>
      </c>
      <c r="I9" s="10">
        <f>IFERROR(vlookup('3.2'!H:H,lookup!$A$18:$B$20,2,false),0)</f>
        <v>5</v>
      </c>
      <c r="J9" s="10">
        <f>IFERROR(vlookup('3.2'!I:I,lookup!$A$22:$B$24,2,false),0)</f>
        <v>5</v>
      </c>
      <c r="K9" s="10">
        <f>IFERROR(vlookup('3.2'!J:J,lookup!$A$26:$B$28,2,false),0)</f>
        <v>5</v>
      </c>
      <c r="L9" s="2"/>
      <c r="M9" s="10">
        <v>8.0</v>
      </c>
      <c r="N9" s="11" t="str">
        <f t="shared" si="1"/>
        <v>bnco0908@signalschool.ac.th</v>
      </c>
      <c r="O9" s="12">
        <f t="shared" si="2"/>
        <v>1</v>
      </c>
      <c r="R9" s="17" t="s">
        <v>211</v>
      </c>
    </row>
    <row r="10">
      <c r="A10" s="8">
        <f>'3.2'!A:A</f>
        <v>46212.62235</v>
      </c>
      <c r="B10" s="2" t="str">
        <f>'3.2'!B:B</f>
        <v>bnco0932@signalschool.ac.th</v>
      </c>
      <c r="C10" s="2" t="str">
        <f>'3.2'!C:C</f>
        <v>จ.ส.อ.ชัยยุทธ ดิษบุตร</v>
      </c>
      <c r="D10" s="9">
        <v>1.0</v>
      </c>
      <c r="E10" s="10">
        <f>IFERROR(vlookup('3.2'!D:D,lookup!$A$2:$B$4,2,false),0)</f>
        <v>5</v>
      </c>
      <c r="F10" s="10">
        <f>IFERROR(vlookup('3.2'!E:E,lookup!$A$6:$B$8,2,false),0)</f>
        <v>5</v>
      </c>
      <c r="G10" s="10">
        <f>IFERROR(vlookup('3.2'!F:F,lookup!$A$10:$B$12,2,false),0)</f>
        <v>5</v>
      </c>
      <c r="H10" s="10">
        <f>IFERROR(vlookup('3.2'!G:G,lookup!$A$14:$B$16,2,false),0)</f>
        <v>5</v>
      </c>
      <c r="I10" s="10">
        <f>IFERROR(vlookup('3.2'!H:H,lookup!$A$18:$B$20,2,false),0)</f>
        <v>5</v>
      </c>
      <c r="J10" s="10">
        <f>IFERROR(vlookup('3.2'!I:I,lookup!$A$22:$B$24,2,false),0)</f>
        <v>5</v>
      </c>
      <c r="K10" s="10">
        <f>IFERROR(vlookup('3.2'!J:J,lookup!$A$26:$B$28,2,false),0)</f>
        <v>5</v>
      </c>
      <c r="L10" s="2"/>
      <c r="M10" s="10">
        <v>9.0</v>
      </c>
      <c r="N10" s="11" t="str">
        <f t="shared" si="1"/>
        <v>bnco0909@signalschool.ac.th</v>
      </c>
      <c r="O10" s="12">
        <f t="shared" si="2"/>
        <v>1</v>
      </c>
      <c r="R10" s="17" t="s">
        <v>212</v>
      </c>
    </row>
    <row r="11">
      <c r="A11" s="8">
        <f>'3.2'!A:A</f>
        <v>46212.62453</v>
      </c>
      <c r="B11" s="2" t="str">
        <f>'3.2'!B:B</f>
        <v>bnco0971@signalschool.ac.th</v>
      </c>
      <c r="C11" s="2" t="str">
        <f>'3.2'!C:C</f>
        <v>ร.อ.ธัญญพัทธ์ ตรีศักดิ์ศรี</v>
      </c>
      <c r="D11" s="9">
        <v>1.0</v>
      </c>
      <c r="E11" s="10">
        <f>IFERROR(vlookup('3.2'!D:D,lookup!$A$2:$B$4,2,false),0)</f>
        <v>5</v>
      </c>
      <c r="F11" s="10">
        <f>IFERROR(vlookup('3.2'!E:E,lookup!$A$6:$B$8,2,false),0)</f>
        <v>5</v>
      </c>
      <c r="G11" s="10">
        <f>IFERROR(vlookup('3.2'!F:F,lookup!$A$10:$B$12,2,false),0)</f>
        <v>5</v>
      </c>
      <c r="H11" s="10">
        <f>IFERROR(vlookup('3.2'!G:G,lookup!$A$14:$B$16,2,false),0)</f>
        <v>5</v>
      </c>
      <c r="I11" s="10">
        <f>IFERROR(vlookup('3.2'!H:H,lookup!$A$18:$B$20,2,false),0)</f>
        <v>5</v>
      </c>
      <c r="J11" s="10">
        <f>IFERROR(vlookup('3.2'!I:I,lookup!$A$22:$B$24,2,false),0)</f>
        <v>5</v>
      </c>
      <c r="K11" s="10">
        <f>IFERROR(vlookup('3.2'!J:J,lookup!$A$26:$B$28,2,false),0)</f>
        <v>5</v>
      </c>
      <c r="L11" s="2"/>
      <c r="M11" s="10">
        <v>10.0</v>
      </c>
      <c r="N11" s="11" t="str">
        <f t="shared" si="1"/>
        <v>bnco0910@signalschool.ac.th</v>
      </c>
      <c r="O11" s="12">
        <f t="shared" si="2"/>
        <v>1</v>
      </c>
      <c r="R11" s="17" t="s">
        <v>213</v>
      </c>
    </row>
    <row r="12">
      <c r="A12" s="8">
        <f>'3.2'!A:A</f>
        <v>46212.62491</v>
      </c>
      <c r="B12" s="2" t="str">
        <f>'3.2'!B:B</f>
        <v>bnco0980@signalschool.ac.th</v>
      </c>
      <c r="C12" s="2" t="str">
        <f>'3.2'!C:C</f>
        <v>จ.ส.อ.ชัยยุทธ ดิษบุตร</v>
      </c>
      <c r="D12" s="9">
        <v>1.0</v>
      </c>
      <c r="E12" s="10">
        <f>IFERROR(vlookup('3.2'!D:D,lookup!$A$2:$B$4,2,false),0)</f>
        <v>5</v>
      </c>
      <c r="F12" s="10">
        <f>IFERROR(vlookup('3.2'!E:E,lookup!$A$6:$B$8,2,false),0)</f>
        <v>5</v>
      </c>
      <c r="G12" s="10">
        <f>IFERROR(vlookup('3.2'!F:F,lookup!$A$10:$B$12,2,false),0)</f>
        <v>5</v>
      </c>
      <c r="H12" s="10">
        <f>IFERROR(vlookup('3.2'!G:G,lookup!$A$14:$B$16,2,false),0)</f>
        <v>5</v>
      </c>
      <c r="I12" s="10">
        <f>IFERROR(vlookup('3.2'!H:H,lookup!$A$18:$B$20,2,false),0)</f>
        <v>5</v>
      </c>
      <c r="J12" s="10">
        <f>IFERROR(vlookup('3.2'!I:I,lookup!$A$22:$B$24,2,false),0)</f>
        <v>5</v>
      </c>
      <c r="K12" s="10">
        <f>IFERROR(vlookup('3.2'!J:J,lookup!$A$26:$B$28,2,false),0)</f>
        <v>5</v>
      </c>
      <c r="L12" s="2"/>
      <c r="M12" s="10">
        <v>11.0</v>
      </c>
      <c r="N12" s="11" t="str">
        <f t="shared" si="1"/>
        <v>bnco0911@signalschool.ac.th</v>
      </c>
      <c r="O12" s="12">
        <f t="shared" si="2"/>
        <v>1</v>
      </c>
      <c r="R12" s="17" t="s">
        <v>214</v>
      </c>
    </row>
    <row r="13">
      <c r="A13" s="8">
        <f>'3.2'!A:A</f>
        <v>46212.62557</v>
      </c>
      <c r="B13" s="2" t="str">
        <f>'3.2'!B:B</f>
        <v>bnco0928@signalschool.ac.th</v>
      </c>
      <c r="C13" s="2" t="str">
        <f>'3.2'!C:C</f>
        <v>ร.อ.ธัญญพัทธ์. ตรีศักดิ์ศรี</v>
      </c>
      <c r="D13" s="9">
        <v>1.0</v>
      </c>
      <c r="E13" s="10">
        <f>IFERROR(vlookup('3.2'!D:D,lookup!$A$2:$B$4,2,false),0)</f>
        <v>5</v>
      </c>
      <c r="F13" s="10">
        <f>IFERROR(vlookup('3.2'!E:E,lookup!$A$6:$B$8,2,false),0)</f>
        <v>5</v>
      </c>
      <c r="G13" s="10">
        <f>IFERROR(vlookup('3.2'!F:F,lookup!$A$10:$B$12,2,false),0)</f>
        <v>5</v>
      </c>
      <c r="H13" s="10">
        <f>IFERROR(vlookup('3.2'!G:G,lookup!$A$14:$B$16,2,false),0)</f>
        <v>5</v>
      </c>
      <c r="I13" s="10">
        <f>IFERROR(vlookup('3.2'!H:H,lookup!$A$18:$B$20,2,false),0)</f>
        <v>5</v>
      </c>
      <c r="J13" s="10">
        <f>IFERROR(vlookup('3.2'!I:I,lookup!$A$22:$B$24,2,false),0)</f>
        <v>5</v>
      </c>
      <c r="K13" s="10">
        <f>IFERROR(vlookup('3.2'!J:J,lookup!$A$26:$B$28,2,false),0)</f>
        <v>5</v>
      </c>
      <c r="L13" s="2"/>
      <c r="M13" s="10">
        <v>12.0</v>
      </c>
      <c r="N13" s="11" t="str">
        <f t="shared" si="1"/>
        <v>bnco0912@signalschool.ac.th</v>
      </c>
      <c r="O13" s="12">
        <f t="shared" si="2"/>
        <v>1</v>
      </c>
      <c r="R13" s="17" t="s">
        <v>222</v>
      </c>
    </row>
    <row r="14">
      <c r="A14" s="8">
        <f>'3.2'!A:A</f>
        <v>46212.62567</v>
      </c>
      <c r="B14" s="2" t="str">
        <f>'3.2'!B:B</f>
        <v>bnco0924@signalschool.ac.th</v>
      </c>
      <c r="C14" s="2" t="str">
        <f>'3.2'!C:C</f>
        <v>พ.ต.ไมตรี บุญเหลื่อม</v>
      </c>
      <c r="D14" s="9">
        <v>1.0</v>
      </c>
      <c r="E14" s="10">
        <f>IFERROR(vlookup('3.2'!D:D,lookup!$A$2:$B$4,2,false),0)</f>
        <v>5</v>
      </c>
      <c r="F14" s="10">
        <f>IFERROR(vlookup('3.2'!E:E,lookup!$A$6:$B$8,2,false),0)</f>
        <v>5</v>
      </c>
      <c r="G14" s="10">
        <f>IFERROR(vlookup('3.2'!F:F,lookup!$A$10:$B$12,2,false),0)</f>
        <v>5</v>
      </c>
      <c r="H14" s="10">
        <f>IFERROR(vlookup('3.2'!G:G,lookup!$A$14:$B$16,2,false),0)</f>
        <v>5</v>
      </c>
      <c r="I14" s="10">
        <f>IFERROR(vlookup('3.2'!H:H,lookup!$A$18:$B$20,2,false),0)</f>
        <v>5</v>
      </c>
      <c r="J14" s="10">
        <f>IFERROR(vlookup('3.2'!I:I,lookup!$A$22:$B$24,2,false),0)</f>
        <v>5</v>
      </c>
      <c r="K14" s="10">
        <f>IFERROR(vlookup('3.2'!J:J,lookup!$A$26:$B$28,2,false),0)</f>
        <v>5</v>
      </c>
      <c r="L14" s="2"/>
      <c r="M14" s="10">
        <v>13.0</v>
      </c>
      <c r="N14" s="11" t="str">
        <f t="shared" si="1"/>
        <v>bnco0913@signalschool.ac.th</v>
      </c>
      <c r="O14" s="12">
        <f t="shared" si="2"/>
        <v>1</v>
      </c>
      <c r="R14" s="17" t="s">
        <v>227</v>
      </c>
    </row>
    <row r="15">
      <c r="A15" s="8">
        <f>'3.2'!A:A</f>
        <v>46212.62577</v>
      </c>
      <c r="B15" s="2" t="str">
        <f>'3.2'!B:B</f>
        <v>bnco0972@signalschool.ac.th</v>
      </c>
      <c r="C15" s="2" t="str">
        <f>'3.2'!C:C</f>
        <v>ร.อ.ธัญญพัทธ์  ตรีศักดิ์ศรี</v>
      </c>
      <c r="D15" s="9">
        <v>1.0</v>
      </c>
      <c r="E15" s="10">
        <f>IFERROR(vlookup('3.2'!D:D,lookup!$A$2:$B$4,2,false),0)</f>
        <v>5</v>
      </c>
      <c r="F15" s="10">
        <f>IFERROR(vlookup('3.2'!E:E,lookup!$A$6:$B$8,2,false),0)</f>
        <v>5</v>
      </c>
      <c r="G15" s="10">
        <f>IFERROR(vlookup('3.2'!F:F,lookup!$A$10:$B$12,2,false),0)</f>
        <v>5</v>
      </c>
      <c r="H15" s="10">
        <f>IFERROR(vlookup('3.2'!G:G,lookup!$A$14:$B$16,2,false),0)</f>
        <v>5</v>
      </c>
      <c r="I15" s="10">
        <f>IFERROR(vlookup('3.2'!H:H,lookup!$A$18:$B$20,2,false),0)</f>
        <v>5</v>
      </c>
      <c r="J15" s="10">
        <f>IFERROR(vlookup('3.2'!I:I,lookup!$A$22:$B$24,2,false),0)</f>
        <v>5</v>
      </c>
      <c r="K15" s="10">
        <f>IFERROR(vlookup('3.2'!J:J,lookup!$A$26:$B$28,2,false),0)</f>
        <v>5</v>
      </c>
      <c r="L15" s="2"/>
      <c r="M15" s="10">
        <v>14.0</v>
      </c>
      <c r="N15" s="11" t="str">
        <f t="shared" si="1"/>
        <v>bnco0914@signalschool.ac.th</v>
      </c>
      <c r="O15" s="12">
        <f t="shared" si="2"/>
        <v>1</v>
      </c>
      <c r="R15" s="17" t="s">
        <v>230</v>
      </c>
    </row>
    <row r="16">
      <c r="A16" s="8">
        <f>'3.2'!A:A</f>
        <v>46212.62614</v>
      </c>
      <c r="B16" s="2" t="str">
        <f>'3.2'!B:B</f>
        <v>bnco0923@signalschool.ac.th</v>
      </c>
      <c r="C16" s="2" t="str">
        <f>'3.2'!C:C</f>
        <v>ร.อ.ธัญญพัทธ์ ตรีศักดิ์ศรี,จ.ส.อ.ชัยยุทธ ดิษบุตร</v>
      </c>
      <c r="D16" s="9">
        <v>1.0</v>
      </c>
      <c r="E16" s="10">
        <f>IFERROR(vlookup('3.2'!D:D,lookup!$A$2:$B$4,2,false),0)</f>
        <v>5</v>
      </c>
      <c r="F16" s="10">
        <f>IFERROR(vlookup('3.2'!E:E,lookup!$A$6:$B$8,2,false),0)</f>
        <v>5</v>
      </c>
      <c r="G16" s="10">
        <f>IFERROR(vlookup('3.2'!F:F,lookup!$A$10:$B$12,2,false),0)</f>
        <v>5</v>
      </c>
      <c r="H16" s="10">
        <f>IFERROR(vlookup('3.2'!G:G,lookup!$A$14:$B$16,2,false),0)</f>
        <v>5</v>
      </c>
      <c r="I16" s="10">
        <f>IFERROR(vlookup('3.2'!H:H,lookup!$A$18:$B$20,2,false),0)</f>
        <v>5</v>
      </c>
      <c r="J16" s="10">
        <f>IFERROR(vlookup('3.2'!I:I,lookup!$A$22:$B$24,2,false),0)</f>
        <v>5</v>
      </c>
      <c r="K16" s="10">
        <f>IFERROR(vlookup('3.2'!J:J,lookup!$A$26:$B$28,2,false),0)</f>
        <v>5</v>
      </c>
      <c r="L16" s="2"/>
      <c r="M16" s="10">
        <v>15.0</v>
      </c>
      <c r="N16" s="11" t="str">
        <f t="shared" si="1"/>
        <v>bnco0915@signalschool.ac.th</v>
      </c>
      <c r="O16" s="12">
        <f t="shared" si="2"/>
        <v>1</v>
      </c>
      <c r="R16" s="17" t="s">
        <v>232</v>
      </c>
    </row>
    <row r="17">
      <c r="A17" s="8">
        <f>'3.2'!A:A</f>
        <v>46212.62652</v>
      </c>
      <c r="B17" s="2" t="str">
        <f>'3.2'!B:B</f>
        <v>bnco0903@signalschool.ac.th</v>
      </c>
      <c r="C17" s="2" t="str">
        <f>'3.2'!C:C</f>
        <v>จ.ส.อ.ชัยยุทธ ดิษยุทธ</v>
      </c>
      <c r="D17" s="9">
        <v>1.0</v>
      </c>
      <c r="E17" s="10">
        <f>IFERROR(vlookup('3.2'!D:D,lookup!$A$2:$B$4,2,false),0)</f>
        <v>5</v>
      </c>
      <c r="F17" s="10">
        <f>IFERROR(vlookup('3.2'!E:E,lookup!$A$6:$B$8,2,false),0)</f>
        <v>5</v>
      </c>
      <c r="G17" s="10">
        <f>IFERROR(vlookup('3.2'!F:F,lookup!$A$10:$B$12,2,false),0)</f>
        <v>5</v>
      </c>
      <c r="H17" s="10">
        <f>IFERROR(vlookup('3.2'!G:G,lookup!$A$14:$B$16,2,false),0)</f>
        <v>5</v>
      </c>
      <c r="I17" s="10">
        <f>IFERROR(vlookup('3.2'!H:H,lookup!$A$18:$B$20,2,false),0)</f>
        <v>5</v>
      </c>
      <c r="J17" s="10">
        <f>IFERROR(vlookup('3.2'!I:I,lookup!$A$22:$B$24,2,false),0)</f>
        <v>5</v>
      </c>
      <c r="K17" s="10">
        <f>IFERROR(vlookup('3.2'!J:J,lookup!$A$26:$B$28,2,false),0)</f>
        <v>5</v>
      </c>
      <c r="L17" s="2"/>
      <c r="M17" s="10">
        <v>16.0</v>
      </c>
      <c r="N17" s="11" t="str">
        <f t="shared" si="1"/>
        <v>bnco0916@signalschool.ac.th</v>
      </c>
      <c r="O17" s="12">
        <f t="shared" si="2"/>
        <v>1</v>
      </c>
      <c r="R17" s="17" t="s">
        <v>233</v>
      </c>
    </row>
    <row r="18">
      <c r="A18" s="8">
        <f>'3.2'!A:A</f>
        <v>46212.62679</v>
      </c>
      <c r="B18" s="2" t="str">
        <f>'3.2'!B:B</f>
        <v>bnco0930@signalschool.ac.th</v>
      </c>
      <c r="C18" s="2" t="str">
        <f>'3.2'!C:C</f>
        <v>ร.อ.ธัญญพัทธ์ ตรีศักดิ์ศรี , จ.ส.อ.ชัยยุทธ ดิษบุตร</v>
      </c>
      <c r="D18" s="9">
        <v>1.0</v>
      </c>
      <c r="E18" s="10">
        <f>IFERROR(vlookup('3.2'!D:D,lookup!$A$2:$B$4,2,false),0)</f>
        <v>5</v>
      </c>
      <c r="F18" s="10">
        <f>IFERROR(vlookup('3.2'!E:E,lookup!$A$6:$B$8,2,false),0)</f>
        <v>5</v>
      </c>
      <c r="G18" s="10">
        <f>IFERROR(vlookup('3.2'!F:F,lookup!$A$10:$B$12,2,false),0)</f>
        <v>5</v>
      </c>
      <c r="H18" s="10">
        <f>IFERROR(vlookup('3.2'!G:G,lookup!$A$14:$B$16,2,false),0)</f>
        <v>5</v>
      </c>
      <c r="I18" s="10">
        <f>IFERROR(vlookup('3.2'!H:H,lookup!$A$18:$B$20,2,false),0)</f>
        <v>5</v>
      </c>
      <c r="J18" s="10">
        <f>IFERROR(vlookup('3.2'!I:I,lookup!$A$22:$B$24,2,false),0)</f>
        <v>5</v>
      </c>
      <c r="K18" s="10">
        <f>IFERROR(vlookup('3.2'!J:J,lookup!$A$26:$B$28,2,false),0)</f>
        <v>5</v>
      </c>
      <c r="L18" s="2"/>
      <c r="M18" s="10">
        <v>17.0</v>
      </c>
      <c r="N18" s="11" t="str">
        <f t="shared" si="1"/>
        <v>bnco0917@signalschool.ac.th</v>
      </c>
      <c r="O18" s="12">
        <f t="shared" si="2"/>
        <v>1</v>
      </c>
      <c r="R18" s="17" t="s">
        <v>234</v>
      </c>
    </row>
    <row r="19">
      <c r="A19" s="8">
        <f>'3.2'!A:A</f>
        <v>46212.6268</v>
      </c>
      <c r="B19" s="2" t="str">
        <f>'3.2'!B:B</f>
        <v>bnco0977@signalschool.ac.th</v>
      </c>
      <c r="C19" s="2" t="str">
        <f>'3.2'!C:C</f>
        <v>ร.อ.ธัญญพัทธ์ ตรีศักดิ์ศรี , จ.ส.อ.ชัยยุทธ ดิษบุตร</v>
      </c>
      <c r="D19" s="9">
        <v>1.0</v>
      </c>
      <c r="E19" s="10">
        <f>IFERROR(vlookup('3.2'!D:D,lookup!$A$2:$B$4,2,false),0)</f>
        <v>5</v>
      </c>
      <c r="F19" s="10">
        <f>IFERROR(vlookup('3.2'!E:E,lookup!$A$6:$B$8,2,false),0)</f>
        <v>5</v>
      </c>
      <c r="G19" s="10">
        <f>IFERROR(vlookup('3.2'!F:F,lookup!$A$10:$B$12,2,false),0)</f>
        <v>5</v>
      </c>
      <c r="H19" s="10">
        <f>IFERROR(vlookup('3.2'!G:G,lookup!$A$14:$B$16,2,false),0)</f>
        <v>5</v>
      </c>
      <c r="I19" s="10">
        <f>IFERROR(vlookup('3.2'!H:H,lookup!$A$18:$B$20,2,false),0)</f>
        <v>5</v>
      </c>
      <c r="J19" s="10">
        <f>IFERROR(vlookup('3.2'!I:I,lookup!$A$22:$B$24,2,false),0)</f>
        <v>5</v>
      </c>
      <c r="K19" s="10">
        <f>IFERROR(vlookup('3.2'!J:J,lookup!$A$26:$B$28,2,false),0)</f>
        <v>5</v>
      </c>
      <c r="L19" s="2"/>
      <c r="M19" s="10">
        <v>18.0</v>
      </c>
      <c r="N19" s="11" t="str">
        <f t="shared" si="1"/>
        <v>bnco0918@signalschool.ac.th</v>
      </c>
      <c r="O19" s="12">
        <f t="shared" si="2"/>
        <v>1</v>
      </c>
      <c r="R19" s="17" t="s">
        <v>235</v>
      </c>
    </row>
    <row r="20">
      <c r="A20" s="8">
        <f>'3.2'!A:A</f>
        <v>46212.62704</v>
      </c>
      <c r="B20" s="2" t="str">
        <f>'3.2'!B:B</f>
        <v>bnco0925@signalschool.ac.th</v>
      </c>
      <c r="C20" s="2" t="str">
        <f>'3.2'!C:C</f>
        <v>ร.อ.ธัญญพัทธ์ ตรีศักดิ์ศรี , จ.ส.อ.ชัยยุทธ ดิษบุตร</v>
      </c>
      <c r="D20" s="9">
        <v>1.0</v>
      </c>
      <c r="E20" s="10">
        <f>IFERROR(vlookup('3.2'!D:D,lookup!$A$2:$B$4,2,false),0)</f>
        <v>5</v>
      </c>
      <c r="F20" s="10">
        <f>IFERROR(vlookup('3.2'!E:E,lookup!$A$6:$B$8,2,false),0)</f>
        <v>5</v>
      </c>
      <c r="G20" s="10">
        <f>IFERROR(vlookup('3.2'!F:F,lookup!$A$10:$B$12,2,false),0)</f>
        <v>5</v>
      </c>
      <c r="H20" s="10">
        <f>IFERROR(vlookup('3.2'!G:G,lookup!$A$14:$B$16,2,false),0)</f>
        <v>5</v>
      </c>
      <c r="I20" s="10">
        <f>IFERROR(vlookup('3.2'!H:H,lookup!$A$18:$B$20,2,false),0)</f>
        <v>5</v>
      </c>
      <c r="J20" s="10">
        <f>IFERROR(vlookup('3.2'!I:I,lookup!$A$22:$B$24,2,false),0)</f>
        <v>5</v>
      </c>
      <c r="K20" s="10">
        <f>IFERROR(vlookup('3.2'!J:J,lookup!$A$26:$B$28,2,false),0)</f>
        <v>5</v>
      </c>
      <c r="L20" s="2"/>
      <c r="M20" s="10">
        <v>19.0</v>
      </c>
      <c r="N20" s="11" t="str">
        <f t="shared" si="1"/>
        <v>bnco0919@signalschool.ac.th</v>
      </c>
      <c r="O20" s="12">
        <f t="shared" si="2"/>
        <v>1</v>
      </c>
      <c r="R20" s="17" t="s">
        <v>236</v>
      </c>
    </row>
    <row r="21">
      <c r="A21" s="8">
        <f>'3.2'!A:A</f>
        <v>46212.62721</v>
      </c>
      <c r="B21" s="2" t="str">
        <f>'3.2'!B:B</f>
        <v>bnco0967@signalschool.ac.th</v>
      </c>
      <c r="C21" s="2" t="str">
        <f>'3.2'!C:C</f>
        <v>พ.ต.ไมตรี บุญเหลื่อม</v>
      </c>
      <c r="D21" s="9">
        <v>1.0</v>
      </c>
      <c r="E21" s="10">
        <f>IFERROR(vlookup('3.2'!D:D,lookup!$A$2:$B$4,2,false),0)</f>
        <v>5</v>
      </c>
      <c r="F21" s="10">
        <f>IFERROR(vlookup('3.2'!E:E,lookup!$A$6:$B$8,2,false),0)</f>
        <v>5</v>
      </c>
      <c r="G21" s="10">
        <f>IFERROR(vlookup('3.2'!F:F,lookup!$A$10:$B$12,2,false),0)</f>
        <v>5</v>
      </c>
      <c r="H21" s="10">
        <f>IFERROR(vlookup('3.2'!G:G,lookup!$A$14:$B$16,2,false),0)</f>
        <v>5</v>
      </c>
      <c r="I21" s="10">
        <f>IFERROR(vlookup('3.2'!H:H,lookup!$A$18:$B$20,2,false),0)</f>
        <v>5</v>
      </c>
      <c r="J21" s="10">
        <f>IFERROR(vlookup('3.2'!I:I,lookup!$A$22:$B$24,2,false),0)</f>
        <v>5</v>
      </c>
      <c r="K21" s="10">
        <f>IFERROR(vlookup('3.2'!J:J,lookup!$A$26:$B$28,2,false),0)</f>
        <v>5</v>
      </c>
      <c r="L21" s="2"/>
      <c r="M21" s="10">
        <v>20.0</v>
      </c>
      <c r="N21" s="11" t="str">
        <f t="shared" si="1"/>
        <v>bnco0920@signalschool.ac.th</v>
      </c>
      <c r="O21" s="12">
        <f t="shared" si="2"/>
        <v>1</v>
      </c>
      <c r="R21" s="17" t="s">
        <v>237</v>
      </c>
    </row>
    <row r="22">
      <c r="A22" s="8">
        <f>'3.2'!A:A</f>
        <v>46212.62731</v>
      </c>
      <c r="B22" s="2" t="str">
        <f>'3.2'!B:B</f>
        <v>bnco0918@signalschool.ac.th</v>
      </c>
      <c r="C22" s="2" t="str">
        <f>'3.2'!C:C</f>
        <v>ร.อ.ธัญญพัทธ์  ตรีศักดิ์ศรี จ.ส.อ.ชัยยุทธ ดิษบุตร</v>
      </c>
      <c r="D22" s="9">
        <v>1.0</v>
      </c>
      <c r="E22" s="10">
        <f>IFERROR(vlookup('3.2'!D:D,lookup!$A$2:$B$4,2,false),0)</f>
        <v>5</v>
      </c>
      <c r="F22" s="10">
        <f>IFERROR(vlookup('3.2'!E:E,lookup!$A$6:$B$8,2,false),0)</f>
        <v>5</v>
      </c>
      <c r="G22" s="10">
        <f>IFERROR(vlookup('3.2'!F:F,lookup!$A$10:$B$12,2,false),0)</f>
        <v>5</v>
      </c>
      <c r="H22" s="10">
        <f>IFERROR(vlookup('3.2'!G:G,lookup!$A$14:$B$16,2,false),0)</f>
        <v>5</v>
      </c>
      <c r="I22" s="10">
        <f>IFERROR(vlookup('3.2'!H:H,lookup!$A$18:$B$20,2,false),0)</f>
        <v>5</v>
      </c>
      <c r="J22" s="10">
        <f>IFERROR(vlookup('3.2'!I:I,lookup!$A$22:$B$24,2,false),0)</f>
        <v>5</v>
      </c>
      <c r="K22" s="10">
        <f>IFERROR(vlookup('3.2'!J:J,lookup!$A$26:$B$28,2,false),0)</f>
        <v>5</v>
      </c>
      <c r="L22" s="2"/>
      <c r="M22" s="10">
        <v>21.0</v>
      </c>
      <c r="N22" s="11" t="str">
        <f t="shared" si="1"/>
        <v>bnco0921@signalschool.ac.th</v>
      </c>
      <c r="O22" s="12">
        <f t="shared" si="2"/>
        <v>1</v>
      </c>
      <c r="R22" s="17" t="s">
        <v>238</v>
      </c>
    </row>
    <row r="23">
      <c r="A23" s="8">
        <f>'3.2'!A:A</f>
        <v>46212.62748</v>
      </c>
      <c r="B23" s="2" t="str">
        <f>'3.2'!B:B</f>
        <v>bnco0942@signalschool.ac.th</v>
      </c>
      <c r="C23" s="2" t="str">
        <f>'3.2'!C:C</f>
        <v>ร.อ.ธัญญพัทธ์  ตรีศักดิ์ศรี / จ.ส.อ.ชัยยุทธ  ดิษบุตร</v>
      </c>
      <c r="D23" s="9">
        <v>1.0</v>
      </c>
      <c r="E23" s="10">
        <f>IFERROR(vlookup('3.2'!D:D,lookup!$A$2:$B$4,2,false),0)</f>
        <v>5</v>
      </c>
      <c r="F23" s="10">
        <f>IFERROR(vlookup('3.2'!E:E,lookup!$A$6:$B$8,2,false),0)</f>
        <v>5</v>
      </c>
      <c r="G23" s="10">
        <f>IFERROR(vlookup('3.2'!F:F,lookup!$A$10:$B$12,2,false),0)</f>
        <v>5</v>
      </c>
      <c r="H23" s="10">
        <f>IFERROR(vlookup('3.2'!G:G,lookup!$A$14:$B$16,2,false),0)</f>
        <v>5</v>
      </c>
      <c r="I23" s="10">
        <f>IFERROR(vlookup('3.2'!H:H,lookup!$A$18:$B$20,2,false),0)</f>
        <v>5</v>
      </c>
      <c r="J23" s="10">
        <f>IFERROR(vlookup('3.2'!I:I,lookup!$A$22:$B$24,2,false),0)</f>
        <v>5</v>
      </c>
      <c r="K23" s="10">
        <f>IFERROR(vlookup('3.2'!J:J,lookup!$A$26:$B$28,2,false),0)</f>
        <v>5</v>
      </c>
      <c r="L23" s="2"/>
      <c r="M23" s="10">
        <v>22.0</v>
      </c>
      <c r="N23" s="11" t="str">
        <f t="shared" si="1"/>
        <v>bnco0922@signalschool.ac.th</v>
      </c>
      <c r="O23" s="12">
        <f t="shared" si="2"/>
        <v>1</v>
      </c>
      <c r="R23" s="17" t="s">
        <v>239</v>
      </c>
    </row>
    <row r="24">
      <c r="A24" s="8">
        <f>'3.2'!A:A</f>
        <v>46212.62749</v>
      </c>
      <c r="B24" s="2" t="str">
        <f>'3.2'!B:B</f>
        <v>bnco0926@signalschool.ac.th</v>
      </c>
      <c r="C24" s="2" t="str">
        <f>'3.2'!C:C</f>
        <v>ร.อ.ธัญญพัทธ์ ตรีศักดิ์ศรี , จ.ส.อ.ชัยยุทธ ดิษบุตร</v>
      </c>
      <c r="D24" s="9">
        <v>1.0</v>
      </c>
      <c r="E24" s="10">
        <f>IFERROR(vlookup('3.2'!D:D,lookup!$A$2:$B$4,2,false),0)</f>
        <v>5</v>
      </c>
      <c r="F24" s="10">
        <f>IFERROR(vlookup('3.2'!E:E,lookup!$A$6:$B$8,2,false),0)</f>
        <v>5</v>
      </c>
      <c r="G24" s="10">
        <f>IFERROR(vlookup('3.2'!F:F,lookup!$A$10:$B$12,2,false),0)</f>
        <v>5</v>
      </c>
      <c r="H24" s="10">
        <f>IFERROR(vlookup('3.2'!G:G,lookup!$A$14:$B$16,2,false),0)</f>
        <v>5</v>
      </c>
      <c r="I24" s="10">
        <f>IFERROR(vlookup('3.2'!H:H,lookup!$A$18:$B$20,2,false),0)</f>
        <v>5</v>
      </c>
      <c r="J24" s="10">
        <f>IFERROR(vlookup('3.2'!I:I,lookup!$A$22:$B$24,2,false),0)</f>
        <v>5</v>
      </c>
      <c r="K24" s="10">
        <f>IFERROR(vlookup('3.2'!J:J,lookup!$A$26:$B$28,2,false),0)</f>
        <v>5</v>
      </c>
      <c r="L24" s="2"/>
      <c r="M24" s="10">
        <v>23.0</v>
      </c>
      <c r="N24" s="11" t="str">
        <f t="shared" si="1"/>
        <v>bnco0923@signalschool.ac.th</v>
      </c>
      <c r="O24" s="12">
        <f t="shared" si="2"/>
        <v>1</v>
      </c>
      <c r="R24" s="17" t="s">
        <v>240</v>
      </c>
    </row>
    <row r="25">
      <c r="A25" s="8">
        <f>'3.2'!A:A</f>
        <v>46212.62769</v>
      </c>
      <c r="B25" s="2" t="str">
        <f>'3.2'!B:B</f>
        <v>bnco0904@signalschool.ac.th</v>
      </c>
      <c r="C25" s="2" t="str">
        <f>'3.2'!C:C</f>
        <v>ร.อ.ธัญญพัทธ์ ตรีศักดิ์ศรี , จ.ส.อ.ชัยยุทธ ดิษบุตร</v>
      </c>
      <c r="D25" s="9">
        <v>1.0</v>
      </c>
      <c r="E25" s="10">
        <f>IFERROR(vlookup('3.2'!D:D,lookup!$A$2:$B$4,2,false),0)</f>
        <v>5</v>
      </c>
      <c r="F25" s="10">
        <f>IFERROR(vlookup('3.2'!E:E,lookup!$A$6:$B$8,2,false),0)</f>
        <v>5</v>
      </c>
      <c r="G25" s="10">
        <f>IFERROR(vlookup('3.2'!F:F,lookup!$A$10:$B$12,2,false),0)</f>
        <v>5</v>
      </c>
      <c r="H25" s="10">
        <f>IFERROR(vlookup('3.2'!G:G,lookup!$A$14:$B$16,2,false),0)</f>
        <v>5</v>
      </c>
      <c r="I25" s="10">
        <f>IFERROR(vlookup('3.2'!H:H,lookup!$A$18:$B$20,2,false),0)</f>
        <v>5</v>
      </c>
      <c r="J25" s="10">
        <f>IFERROR(vlookup('3.2'!I:I,lookup!$A$22:$B$24,2,false),0)</f>
        <v>5</v>
      </c>
      <c r="K25" s="10">
        <f>IFERROR(vlookup('3.2'!J:J,lookup!$A$26:$B$28,2,false),0)</f>
        <v>5</v>
      </c>
      <c r="L25" s="2"/>
      <c r="M25" s="10">
        <v>24.0</v>
      </c>
      <c r="N25" s="11" t="str">
        <f t="shared" si="1"/>
        <v>bnco0924@signalschool.ac.th</v>
      </c>
      <c r="O25" s="12">
        <f t="shared" si="2"/>
        <v>1</v>
      </c>
      <c r="R25" s="17" t="s">
        <v>241</v>
      </c>
    </row>
    <row r="26">
      <c r="A26" s="8">
        <f>'3.2'!A:A</f>
        <v>46212.62785</v>
      </c>
      <c r="B26" s="2" t="str">
        <f>'3.2'!B:B</f>
        <v>bnco0914@signalschool.ac.th</v>
      </c>
      <c r="C26" s="2" t="str">
        <f>'3.2'!C:C</f>
        <v>ร.อ.ธัญญพัทธ์ ตรีศักดิ์ศรี , จ.ส.อ.ชัยยุทธ ดิษบุตร</v>
      </c>
      <c r="D26" s="9">
        <v>1.0</v>
      </c>
      <c r="E26" s="10">
        <f>IFERROR(vlookup('3.2'!D:D,lookup!$A$2:$B$4,2,false),0)</f>
        <v>5</v>
      </c>
      <c r="F26" s="10">
        <f>IFERROR(vlookup('3.2'!E:E,lookup!$A$6:$B$8,2,false),0)</f>
        <v>5</v>
      </c>
      <c r="G26" s="10">
        <f>IFERROR(vlookup('3.2'!F:F,lookup!$A$10:$B$12,2,false),0)</f>
        <v>5</v>
      </c>
      <c r="H26" s="10">
        <f>IFERROR(vlookup('3.2'!G:G,lookup!$A$14:$B$16,2,false),0)</f>
        <v>5</v>
      </c>
      <c r="I26" s="10">
        <f>IFERROR(vlookup('3.2'!H:H,lookup!$A$18:$B$20,2,false),0)</f>
        <v>5</v>
      </c>
      <c r="J26" s="10">
        <f>IFERROR(vlookup('3.2'!I:I,lookup!$A$22:$B$24,2,false),0)</f>
        <v>5</v>
      </c>
      <c r="K26" s="10">
        <f>IFERROR(vlookup('3.2'!J:J,lookup!$A$26:$B$28,2,false),0)</f>
        <v>5</v>
      </c>
      <c r="L26" s="2"/>
      <c r="M26" s="10">
        <v>25.0</v>
      </c>
      <c r="N26" s="11" t="str">
        <f t="shared" si="1"/>
        <v>bnco0925@signalschool.ac.th</v>
      </c>
      <c r="O26" s="12">
        <f t="shared" si="2"/>
        <v>1</v>
      </c>
      <c r="R26" s="17" t="s">
        <v>242</v>
      </c>
    </row>
    <row r="27">
      <c r="A27" s="8">
        <f>'3.2'!A:A</f>
        <v>46212.6279</v>
      </c>
      <c r="B27" s="2" t="str">
        <f>'3.2'!B:B</f>
        <v>bnco0962@signalschool.ac.th</v>
      </c>
      <c r="C27" s="2" t="str">
        <f>'3.2'!C:C</f>
        <v>ร.อ.ธัญญพัทธ์ ตรีศักดิ์ศรี</v>
      </c>
      <c r="D27" s="9">
        <v>1.0</v>
      </c>
      <c r="E27" s="10">
        <f>IFERROR(vlookup('3.2'!D:D,lookup!$A$2:$B$4,2,false),0)</f>
        <v>5</v>
      </c>
      <c r="F27" s="10">
        <f>IFERROR(vlookup('3.2'!E:E,lookup!$A$6:$B$8,2,false),0)</f>
        <v>5</v>
      </c>
      <c r="G27" s="10">
        <f>IFERROR(vlookup('3.2'!F:F,lookup!$A$10:$B$12,2,false),0)</f>
        <v>5</v>
      </c>
      <c r="H27" s="10">
        <f>IFERROR(vlookup('3.2'!G:G,lookup!$A$14:$B$16,2,false),0)</f>
        <v>5</v>
      </c>
      <c r="I27" s="10">
        <f>IFERROR(vlookup('3.2'!H:H,lookup!$A$18:$B$20,2,false),0)</f>
        <v>5</v>
      </c>
      <c r="J27" s="10">
        <f>IFERROR(vlookup('3.2'!I:I,lookup!$A$22:$B$24,2,false),0)</f>
        <v>5</v>
      </c>
      <c r="K27" s="10">
        <f>IFERROR(vlookup('3.2'!J:J,lookup!$A$26:$B$28,2,false),0)</f>
        <v>5</v>
      </c>
      <c r="L27" s="2"/>
      <c r="M27" s="10">
        <v>26.0</v>
      </c>
      <c r="N27" s="11" t="str">
        <f t="shared" si="1"/>
        <v>bnco0926@signalschool.ac.th</v>
      </c>
      <c r="O27" s="12">
        <f t="shared" si="2"/>
        <v>1</v>
      </c>
      <c r="R27" s="17" t="s">
        <v>243</v>
      </c>
    </row>
    <row r="28">
      <c r="A28" s="8">
        <f>'3.2'!A:A</f>
        <v>46212.62802</v>
      </c>
      <c r="B28" s="2" t="str">
        <f>'3.2'!B:B</f>
        <v>bnco0949@signalschool.ac.th</v>
      </c>
      <c r="C28" s="2" t="str">
        <f>'3.2'!C:C</f>
        <v>ร.อ.ธัญญพัทธ์ ตรีศักดิ์ศรี , จ.ส.อ.ชัยยุทธ ดิษบุตร</v>
      </c>
      <c r="D28" s="9">
        <v>1.0</v>
      </c>
      <c r="E28" s="10">
        <f>IFERROR(vlookup('3.2'!D:D,lookup!$A$2:$B$4,2,false),0)</f>
        <v>5</v>
      </c>
      <c r="F28" s="10">
        <f>IFERROR(vlookup('3.2'!E:E,lookup!$A$6:$B$8,2,false),0)</f>
        <v>5</v>
      </c>
      <c r="G28" s="10">
        <f>IFERROR(vlookup('3.2'!F:F,lookup!$A$10:$B$12,2,false),0)</f>
        <v>5</v>
      </c>
      <c r="H28" s="10">
        <f>IFERROR(vlookup('3.2'!G:G,lookup!$A$14:$B$16,2,false),0)</f>
        <v>5</v>
      </c>
      <c r="I28" s="10">
        <f>IFERROR(vlookup('3.2'!H:H,lookup!$A$18:$B$20,2,false),0)</f>
        <v>5</v>
      </c>
      <c r="J28" s="10">
        <f>IFERROR(vlookup('3.2'!I:I,lookup!$A$22:$B$24,2,false),0)</f>
        <v>5</v>
      </c>
      <c r="K28" s="10">
        <f>IFERROR(vlookup('3.2'!J:J,lookup!$A$26:$B$28,2,false),0)</f>
        <v>5</v>
      </c>
      <c r="L28" s="2"/>
      <c r="M28" s="10">
        <v>27.0</v>
      </c>
      <c r="N28" s="11" t="str">
        <f t="shared" si="1"/>
        <v>bnco0927@signalschool.ac.th</v>
      </c>
      <c r="O28" s="12">
        <f t="shared" si="2"/>
        <v>1</v>
      </c>
      <c r="R28" s="17" t="s">
        <v>244</v>
      </c>
    </row>
    <row r="29">
      <c r="A29" s="8">
        <f>'3.2'!A:A</f>
        <v>46212.62816</v>
      </c>
      <c r="B29" s="2" t="str">
        <f>'3.2'!B:B</f>
        <v>bnco0948@signalschool.ac.th</v>
      </c>
      <c r="C29" s="2" t="str">
        <f>'3.2'!C:C</f>
        <v>ร.อ.ธัญญพัทย์ ตรีศักดิ์ศรี</v>
      </c>
      <c r="D29" s="9">
        <v>1.0</v>
      </c>
      <c r="E29" s="10">
        <f>IFERROR(vlookup('3.2'!D:D,lookup!$A$2:$B$4,2,false),0)</f>
        <v>5</v>
      </c>
      <c r="F29" s="10">
        <f>IFERROR(vlookup('3.2'!E:E,lookup!$A$6:$B$8,2,false),0)</f>
        <v>5</v>
      </c>
      <c r="G29" s="10">
        <f>IFERROR(vlookup('3.2'!F:F,lookup!$A$10:$B$12,2,false),0)</f>
        <v>5</v>
      </c>
      <c r="H29" s="10">
        <f>IFERROR(vlookup('3.2'!G:G,lookup!$A$14:$B$16,2,false),0)</f>
        <v>5</v>
      </c>
      <c r="I29" s="10">
        <f>IFERROR(vlookup('3.2'!H:H,lookup!$A$18:$B$20,2,false),0)</f>
        <v>5</v>
      </c>
      <c r="J29" s="10">
        <f>IFERROR(vlookup('3.2'!I:I,lookup!$A$22:$B$24,2,false),0)</f>
        <v>5</v>
      </c>
      <c r="K29" s="10">
        <f>IFERROR(vlookup('3.2'!J:J,lookup!$A$26:$B$28,2,false),0)</f>
        <v>5</v>
      </c>
      <c r="L29" s="2"/>
      <c r="M29" s="10">
        <v>28.0</v>
      </c>
      <c r="N29" s="11" t="str">
        <f t="shared" si="1"/>
        <v>bnco0928@signalschool.ac.th</v>
      </c>
      <c r="O29" s="12">
        <f t="shared" si="2"/>
        <v>1</v>
      </c>
      <c r="R29" s="17" t="s">
        <v>245</v>
      </c>
    </row>
    <row r="30">
      <c r="A30" s="8">
        <f>'3.2'!A:A</f>
        <v>46212.62819</v>
      </c>
      <c r="B30" s="2" t="str">
        <f>'3.2'!B:B</f>
        <v>bnco0936@signalschool.ac.th</v>
      </c>
      <c r="C30" s="2" t="str">
        <f>'3.2'!C:C</f>
        <v>ร.อ.ธัญญพัทธ์ ตรีศักดิ์ศรี , จ.ส.อ.ชัยยุทธ ดิษบุตร</v>
      </c>
      <c r="D30" s="9">
        <v>1.0</v>
      </c>
      <c r="E30" s="10">
        <f>IFERROR(vlookup('3.2'!D:D,lookup!$A$2:$B$4,2,false),0)</f>
        <v>5</v>
      </c>
      <c r="F30" s="10">
        <f>IFERROR(vlookup('3.2'!E:E,lookup!$A$6:$B$8,2,false),0)</f>
        <v>5</v>
      </c>
      <c r="G30" s="10">
        <f>IFERROR(vlookup('3.2'!F:F,lookup!$A$10:$B$12,2,false),0)</f>
        <v>5</v>
      </c>
      <c r="H30" s="10">
        <f>IFERROR(vlookup('3.2'!G:G,lookup!$A$14:$B$16,2,false),0)</f>
        <v>5</v>
      </c>
      <c r="I30" s="10">
        <f>IFERROR(vlookup('3.2'!H:H,lookup!$A$18:$B$20,2,false),0)</f>
        <v>5</v>
      </c>
      <c r="J30" s="10">
        <f>IFERROR(vlookup('3.2'!I:I,lookup!$A$22:$B$24,2,false),0)</f>
        <v>5</v>
      </c>
      <c r="K30" s="10">
        <f>IFERROR(vlookup('3.2'!J:J,lookup!$A$26:$B$28,2,false),0)</f>
        <v>5</v>
      </c>
      <c r="L30" s="2"/>
      <c r="M30" s="10">
        <v>29.0</v>
      </c>
      <c r="N30" s="11" t="str">
        <f t="shared" si="1"/>
        <v>bnco0929@signalschool.ac.th</v>
      </c>
      <c r="O30" s="12">
        <f t="shared" si="2"/>
        <v>1</v>
      </c>
      <c r="R30" s="17" t="s">
        <v>246</v>
      </c>
    </row>
    <row r="31">
      <c r="A31" s="8">
        <f>'3.2'!A:A</f>
        <v>46212.62822</v>
      </c>
      <c r="B31" s="2" t="str">
        <f>'3.2'!B:B</f>
        <v>bnco0908@signalschool.ac.th</v>
      </c>
      <c r="C31" s="2" t="str">
        <f>'3.2'!C:C</f>
        <v>ร.อ.ธัญญพัทธ์ ตรีศักดิ์ศรี , จ.ส.อ.ชัยยุทธ ดิษบุตร</v>
      </c>
      <c r="D31" s="9">
        <v>1.0</v>
      </c>
      <c r="E31" s="10">
        <f>IFERROR(vlookup('3.2'!D:D,lookup!$A$2:$B$4,2,false),0)</f>
        <v>5</v>
      </c>
      <c r="F31" s="10">
        <f>IFERROR(vlookup('3.2'!E:E,lookup!$A$6:$B$8,2,false),0)</f>
        <v>5</v>
      </c>
      <c r="G31" s="10">
        <f>IFERROR(vlookup('3.2'!F:F,lookup!$A$10:$B$12,2,false),0)</f>
        <v>5</v>
      </c>
      <c r="H31" s="10">
        <f>IFERROR(vlookup('3.2'!G:G,lookup!$A$14:$B$16,2,false),0)</f>
        <v>5</v>
      </c>
      <c r="I31" s="10">
        <f>IFERROR(vlookup('3.2'!H:H,lookup!$A$18:$B$20,2,false),0)</f>
        <v>5</v>
      </c>
      <c r="J31" s="10">
        <f>IFERROR(vlookup('3.2'!I:I,lookup!$A$22:$B$24,2,false),0)</f>
        <v>5</v>
      </c>
      <c r="K31" s="10">
        <f>IFERROR(vlookup('3.2'!J:J,lookup!$A$26:$B$28,2,false),0)</f>
        <v>5</v>
      </c>
      <c r="L31" s="2"/>
      <c r="M31" s="10">
        <v>30.0</v>
      </c>
      <c r="N31" s="11" t="str">
        <f t="shared" si="1"/>
        <v>bnco0930@signalschool.ac.th</v>
      </c>
      <c r="O31" s="12">
        <f t="shared" si="2"/>
        <v>1</v>
      </c>
      <c r="R31" s="17" t="s">
        <v>247</v>
      </c>
    </row>
    <row r="32">
      <c r="A32" s="8">
        <f>'3.2'!A:A</f>
        <v>46212.62823</v>
      </c>
      <c r="B32" s="2" t="str">
        <f>'3.2'!B:B</f>
        <v>bnco0913@signalschool.ac.th</v>
      </c>
      <c r="C32" s="2" t="str">
        <f>'3.2'!C:C</f>
        <v>ร.อ.ธัญญพัทธ์ ตรีศักดิ์ศรี จ.ส.อ.ชัยยุทธ ดิษบุตร</v>
      </c>
      <c r="D32" s="9">
        <v>1.0</v>
      </c>
      <c r="E32" s="10">
        <f>IFERROR(vlookup('3.2'!D:D,lookup!$A$2:$B$4,2,false),0)</f>
        <v>5</v>
      </c>
      <c r="F32" s="10">
        <f>IFERROR(vlookup('3.2'!E:E,lookup!$A$6:$B$8,2,false),0)</f>
        <v>5</v>
      </c>
      <c r="G32" s="10">
        <f>IFERROR(vlookup('3.2'!F:F,lookup!$A$10:$B$12,2,false),0)</f>
        <v>5</v>
      </c>
      <c r="H32" s="10">
        <f>IFERROR(vlookup('3.2'!G:G,lookup!$A$14:$B$16,2,false),0)</f>
        <v>5</v>
      </c>
      <c r="I32" s="10">
        <f>IFERROR(vlookup('3.2'!H:H,lookup!$A$18:$B$20,2,false),0)</f>
        <v>5</v>
      </c>
      <c r="J32" s="10">
        <f>IFERROR(vlookup('3.2'!I:I,lookup!$A$22:$B$24,2,false),0)</f>
        <v>5</v>
      </c>
      <c r="K32" s="10">
        <f>IFERROR(vlookup('3.2'!J:J,lookup!$A$26:$B$28,2,false),0)</f>
        <v>5</v>
      </c>
      <c r="L32" s="2"/>
      <c r="M32" s="10">
        <v>31.0</v>
      </c>
      <c r="N32" s="11" t="str">
        <f t="shared" si="1"/>
        <v>bnco0931@signalschool.ac.th</v>
      </c>
      <c r="O32" s="12">
        <f t="shared" si="2"/>
        <v>1</v>
      </c>
      <c r="R32" s="17" t="s">
        <v>248</v>
      </c>
    </row>
    <row r="33">
      <c r="A33" s="8">
        <f>'3.2'!A:A</f>
        <v>46212.62845</v>
      </c>
      <c r="B33" s="2" t="str">
        <f>'3.2'!B:B</f>
        <v>bnco0934@signalschool.ac.th</v>
      </c>
      <c r="C33" s="2" t="str">
        <f>'3.2'!C:C</f>
        <v>ร.อ.ธัญญพัทธ์ ตรีศักดิ์ศรี จ.ส.อ.ชัยยุทธ ดิษบุตร</v>
      </c>
      <c r="D33" s="9">
        <v>1.0</v>
      </c>
      <c r="E33" s="10">
        <f>IFERROR(vlookup('3.2'!D:D,lookup!$A$2:$B$4,2,false),0)</f>
        <v>5</v>
      </c>
      <c r="F33" s="10">
        <f>IFERROR(vlookup('3.2'!E:E,lookup!$A$6:$B$8,2,false),0)</f>
        <v>5</v>
      </c>
      <c r="G33" s="10">
        <f>IFERROR(vlookup('3.2'!F:F,lookup!$A$10:$B$12,2,false),0)</f>
        <v>5</v>
      </c>
      <c r="H33" s="10">
        <f>IFERROR(vlookup('3.2'!G:G,lookup!$A$14:$B$16,2,false),0)</f>
        <v>5</v>
      </c>
      <c r="I33" s="10">
        <f>IFERROR(vlookup('3.2'!H:H,lookup!$A$18:$B$20,2,false),0)</f>
        <v>5</v>
      </c>
      <c r="J33" s="10">
        <f>IFERROR(vlookup('3.2'!I:I,lookup!$A$22:$B$24,2,false),0)</f>
        <v>5</v>
      </c>
      <c r="K33" s="10">
        <f>IFERROR(vlookup('3.2'!J:J,lookup!$A$26:$B$28,2,false),0)</f>
        <v>5</v>
      </c>
      <c r="L33" s="2"/>
      <c r="M33" s="10">
        <v>32.0</v>
      </c>
      <c r="N33" s="11" t="str">
        <f t="shared" si="1"/>
        <v>bnco0932@signalschool.ac.th</v>
      </c>
      <c r="O33" s="12">
        <f t="shared" si="2"/>
        <v>1</v>
      </c>
      <c r="R33" s="17" t="s">
        <v>249</v>
      </c>
    </row>
    <row r="34">
      <c r="A34" s="8">
        <f>'3.2'!A:A</f>
        <v>46212.62856</v>
      </c>
      <c r="B34" s="2" t="str">
        <f>'3.2'!B:B</f>
        <v>bnco0970@signalschool.ac.th</v>
      </c>
      <c r="C34" s="2" t="str">
        <f>'3.2'!C:C</f>
        <v>พ.ต.ไมตรี บุญเหลื่อม</v>
      </c>
      <c r="D34" s="9">
        <v>1.0</v>
      </c>
      <c r="E34" s="10">
        <f>IFERROR(vlookup('3.2'!D:D,lookup!$A$2:$B$4,2,false),0)</f>
        <v>5</v>
      </c>
      <c r="F34" s="10">
        <f>IFERROR(vlookup('3.2'!E:E,lookup!$A$6:$B$8,2,false),0)</f>
        <v>5</v>
      </c>
      <c r="G34" s="10">
        <f>IFERROR(vlookup('3.2'!F:F,lookup!$A$10:$B$12,2,false),0)</f>
        <v>5</v>
      </c>
      <c r="H34" s="10">
        <f>IFERROR(vlookup('3.2'!G:G,lookup!$A$14:$B$16,2,false),0)</f>
        <v>5</v>
      </c>
      <c r="I34" s="10">
        <f>IFERROR(vlookup('3.2'!H:H,lookup!$A$18:$B$20,2,false),0)</f>
        <v>5</v>
      </c>
      <c r="J34" s="10">
        <f>IFERROR(vlookup('3.2'!I:I,lookup!$A$22:$B$24,2,false),0)</f>
        <v>5</v>
      </c>
      <c r="K34" s="10">
        <f>IFERROR(vlookup('3.2'!J:J,lookup!$A$26:$B$28,2,false),0)</f>
        <v>5</v>
      </c>
      <c r="L34" s="2"/>
      <c r="M34" s="10">
        <v>33.0</v>
      </c>
      <c r="N34" s="11" t="str">
        <f t="shared" si="1"/>
        <v>bnco0933@signalschool.ac.th</v>
      </c>
      <c r="O34" s="12">
        <f t="shared" si="2"/>
        <v>1</v>
      </c>
      <c r="R34" s="17" t="s">
        <v>250</v>
      </c>
    </row>
    <row r="35">
      <c r="A35" s="8">
        <f>'3.2'!A:A</f>
        <v>46212.62862</v>
      </c>
      <c r="B35" s="2" t="str">
        <f>'3.2'!B:B</f>
        <v>bnco0919@signalschool.ac.th</v>
      </c>
      <c r="C35" s="2" t="str">
        <f>'3.2'!C:C</f>
        <v>ร.อ.ธัญญพัทธ์ ตรีศักดิ์ศรี , จ.ส.อ.ชัยยุทธ ดิษบุตร</v>
      </c>
      <c r="D35" s="9">
        <v>1.0</v>
      </c>
      <c r="E35" s="10">
        <f>IFERROR(vlookup('3.2'!D:D,lookup!$A$2:$B$4,2,false),0)</f>
        <v>5</v>
      </c>
      <c r="F35" s="10">
        <f>IFERROR(vlookup('3.2'!E:E,lookup!$A$6:$B$8,2,false),0)</f>
        <v>5</v>
      </c>
      <c r="G35" s="10">
        <f>IFERROR(vlookup('3.2'!F:F,lookup!$A$10:$B$12,2,false),0)</f>
        <v>5</v>
      </c>
      <c r="H35" s="10">
        <f>IFERROR(vlookup('3.2'!G:G,lookup!$A$14:$B$16,2,false),0)</f>
        <v>5</v>
      </c>
      <c r="I35" s="10">
        <f>IFERROR(vlookup('3.2'!H:H,lookup!$A$18:$B$20,2,false),0)</f>
        <v>5</v>
      </c>
      <c r="J35" s="10">
        <f>IFERROR(vlookup('3.2'!I:I,lookup!$A$22:$B$24,2,false),0)</f>
        <v>5</v>
      </c>
      <c r="K35" s="10">
        <f>IFERROR(vlookup('3.2'!J:J,lookup!$A$26:$B$28,2,false),0)</f>
        <v>5</v>
      </c>
      <c r="L35" s="2"/>
      <c r="M35" s="10">
        <v>34.0</v>
      </c>
      <c r="N35" s="11" t="str">
        <f t="shared" si="1"/>
        <v>bnco0934@signalschool.ac.th</v>
      </c>
      <c r="O35" s="12">
        <f t="shared" si="2"/>
        <v>1</v>
      </c>
      <c r="R35" s="17" t="s">
        <v>251</v>
      </c>
    </row>
    <row r="36">
      <c r="A36" s="8">
        <f>'3.2'!A:A</f>
        <v>46212.62879</v>
      </c>
      <c r="B36" s="2" t="str">
        <f>'3.2'!B:B</f>
        <v>bnco0978@signalschool.ac.th</v>
      </c>
      <c r="C36" s="2" t="str">
        <f>'3.2'!C:C</f>
        <v>ร.อ.ธัญญพัทธ์ ตรีศักดิ์ศรี , จ.ส.อ.ชัยยุทธ ดิษบุตร</v>
      </c>
      <c r="D36" s="9">
        <v>1.0</v>
      </c>
      <c r="E36" s="10">
        <f>IFERROR(vlookup('3.2'!D:D,lookup!$A$2:$B$4,2,false),0)</f>
        <v>5</v>
      </c>
      <c r="F36" s="10">
        <f>IFERROR(vlookup('3.2'!E:E,lookup!$A$6:$B$8,2,false),0)</f>
        <v>5</v>
      </c>
      <c r="G36" s="10">
        <f>IFERROR(vlookup('3.2'!F:F,lookup!$A$10:$B$12,2,false),0)</f>
        <v>5</v>
      </c>
      <c r="H36" s="10">
        <f>IFERROR(vlookup('3.2'!G:G,lookup!$A$14:$B$16,2,false),0)</f>
        <v>5</v>
      </c>
      <c r="I36" s="10">
        <f>IFERROR(vlookup('3.2'!H:H,lookup!$A$18:$B$20,2,false),0)</f>
        <v>5</v>
      </c>
      <c r="J36" s="10">
        <f>IFERROR(vlookup('3.2'!I:I,lookup!$A$22:$B$24,2,false),0)</f>
        <v>5</v>
      </c>
      <c r="K36" s="10">
        <f>IFERROR(vlookup('3.2'!J:J,lookup!$A$26:$B$28,2,false),0)</f>
        <v>5</v>
      </c>
      <c r="L36" s="2"/>
      <c r="M36" s="10">
        <v>35.0</v>
      </c>
      <c r="N36" s="11" t="str">
        <f t="shared" si="1"/>
        <v>bnco0935@signalschool.ac.th</v>
      </c>
      <c r="O36" s="12">
        <f t="shared" si="2"/>
        <v>1</v>
      </c>
      <c r="R36" s="17" t="s">
        <v>252</v>
      </c>
    </row>
    <row r="37">
      <c r="A37" s="8">
        <f>'3.2'!A:A</f>
        <v>46212.62887</v>
      </c>
      <c r="B37" s="2" t="str">
        <f>'3.2'!B:B</f>
        <v>bnco0935@signalschool.ac.th</v>
      </c>
      <c r="C37" s="2" t="str">
        <f>'3.2'!C:C</f>
        <v>ร.อ.ธัญญพัทธ์ ตรีศักดิ์ศรี , จ.ส.อ.ชัยยุทธ ดิษบุตร</v>
      </c>
      <c r="D37" s="9">
        <v>1.0</v>
      </c>
      <c r="E37" s="10">
        <f>IFERROR(vlookup('3.2'!D:D,lookup!$A$2:$B$4,2,false),0)</f>
        <v>5</v>
      </c>
      <c r="F37" s="10">
        <f>IFERROR(vlookup('3.2'!E:E,lookup!$A$6:$B$8,2,false),0)</f>
        <v>5</v>
      </c>
      <c r="G37" s="10">
        <f>IFERROR(vlookup('3.2'!F:F,lookup!$A$10:$B$12,2,false),0)</f>
        <v>5</v>
      </c>
      <c r="H37" s="10">
        <f>IFERROR(vlookup('3.2'!G:G,lookup!$A$14:$B$16,2,false),0)</f>
        <v>5</v>
      </c>
      <c r="I37" s="10">
        <f>IFERROR(vlookup('3.2'!H:H,lookup!$A$18:$B$20,2,false),0)</f>
        <v>5</v>
      </c>
      <c r="J37" s="10">
        <f>IFERROR(vlookup('3.2'!I:I,lookup!$A$22:$B$24,2,false),0)</f>
        <v>5</v>
      </c>
      <c r="K37" s="10">
        <f>IFERROR(vlookup('3.2'!J:J,lookup!$A$26:$B$28,2,false),0)</f>
        <v>5</v>
      </c>
      <c r="L37" s="2"/>
      <c r="M37" s="10">
        <v>36.0</v>
      </c>
      <c r="N37" s="11" t="str">
        <f t="shared" si="1"/>
        <v>bnco0936@signalschool.ac.th</v>
      </c>
      <c r="O37" s="12">
        <f t="shared" si="2"/>
        <v>1</v>
      </c>
      <c r="R37" s="17" t="s">
        <v>253</v>
      </c>
    </row>
    <row r="38">
      <c r="A38" s="8">
        <f>'3.2'!A:A</f>
        <v>46212.6289</v>
      </c>
      <c r="B38" s="2" t="str">
        <f>'3.2'!B:B</f>
        <v>bnco0927@signalschool.ac.th</v>
      </c>
      <c r="C38" s="2" t="str">
        <f>'3.2'!C:C</f>
        <v>ร.อ.ธัญญพัทธ์ ตรีศักดิ์ศรี , จ.ส.อ.ชัยยุทธ ดิษบุตร</v>
      </c>
      <c r="D38" s="9">
        <v>1.0</v>
      </c>
      <c r="E38" s="10">
        <f>IFERROR(vlookup('3.2'!D:D,lookup!$A$2:$B$4,2,false),0)</f>
        <v>5</v>
      </c>
      <c r="F38" s="10">
        <f>IFERROR(vlookup('3.2'!E:E,lookup!$A$6:$B$8,2,false),0)</f>
        <v>5</v>
      </c>
      <c r="G38" s="10">
        <f>IFERROR(vlookup('3.2'!F:F,lookup!$A$10:$B$12,2,false),0)</f>
        <v>5</v>
      </c>
      <c r="H38" s="10">
        <f>IFERROR(vlookup('3.2'!G:G,lookup!$A$14:$B$16,2,false),0)</f>
        <v>5</v>
      </c>
      <c r="I38" s="10">
        <f>IFERROR(vlookup('3.2'!H:H,lookup!$A$18:$B$20,2,false),0)</f>
        <v>5</v>
      </c>
      <c r="J38" s="10">
        <f>IFERROR(vlookup('3.2'!I:I,lookup!$A$22:$B$24,2,false),0)</f>
        <v>5</v>
      </c>
      <c r="K38" s="10">
        <f>IFERROR(vlookup('3.2'!J:J,lookup!$A$26:$B$28,2,false),0)</f>
        <v>5</v>
      </c>
      <c r="L38" s="2"/>
      <c r="M38" s="10">
        <v>37.0</v>
      </c>
      <c r="N38" s="11" t="str">
        <f t="shared" si="1"/>
        <v>bnco0937@signalschool.ac.th</v>
      </c>
      <c r="O38" s="12">
        <f t="shared" si="2"/>
        <v>1</v>
      </c>
      <c r="R38" s="17" t="s">
        <v>254</v>
      </c>
    </row>
    <row r="39">
      <c r="A39" s="8">
        <f>'3.2'!A:A</f>
        <v>46212.62942</v>
      </c>
      <c r="B39" s="2" t="str">
        <f>'3.2'!B:B</f>
        <v>bnco0916@signalschool.ac.th</v>
      </c>
      <c r="C39" s="2" t="str">
        <f>'3.2'!C:C</f>
        <v> ร.อ.ธัญญพัทธ์ ตรีศัก</v>
      </c>
      <c r="D39" s="9">
        <v>1.0</v>
      </c>
      <c r="E39" s="10">
        <f>IFERROR(vlookup('3.2'!D:D,lookup!$A$2:$B$4,2,false),0)</f>
        <v>5</v>
      </c>
      <c r="F39" s="10">
        <f>IFERROR(vlookup('3.2'!E:E,lookup!$A$6:$B$8,2,false),0)</f>
        <v>5</v>
      </c>
      <c r="G39" s="10">
        <f>IFERROR(vlookup('3.2'!F:F,lookup!$A$10:$B$12,2,false),0)</f>
        <v>5</v>
      </c>
      <c r="H39" s="10">
        <f>IFERROR(vlookup('3.2'!G:G,lookup!$A$14:$B$16,2,false),0)</f>
        <v>5</v>
      </c>
      <c r="I39" s="10">
        <f>IFERROR(vlookup('3.2'!H:H,lookup!$A$18:$B$20,2,false),0)</f>
        <v>5</v>
      </c>
      <c r="J39" s="10">
        <f>IFERROR(vlookup('3.2'!I:I,lookup!$A$22:$B$24,2,false),0)</f>
        <v>5</v>
      </c>
      <c r="K39" s="10">
        <f>IFERROR(vlookup('3.2'!J:J,lookup!$A$26:$B$28,2,false),0)</f>
        <v>5</v>
      </c>
      <c r="L39" s="2"/>
      <c r="M39" s="10">
        <v>38.0</v>
      </c>
      <c r="N39" s="11" t="str">
        <f t="shared" si="1"/>
        <v>bnco0938@signalschool.ac.th</v>
      </c>
      <c r="O39" s="12">
        <f t="shared" si="2"/>
        <v>1</v>
      </c>
      <c r="R39" s="17" t="s">
        <v>255</v>
      </c>
    </row>
    <row r="40">
      <c r="A40" s="8">
        <f>'3.2'!A:A</f>
        <v>46212.62943</v>
      </c>
      <c r="B40" s="2" t="str">
        <f>'3.2'!B:B</f>
        <v>bnco0941@signalschool.ac.th</v>
      </c>
      <c r="C40" s="2" t="str">
        <f>'3.2'!C:C</f>
        <v>ร.อ.ธัญญพัทธ์ ตรีศักดิ์ศรี , จ.ส.อ.ชัยยุทธ ดิษบุตร</v>
      </c>
      <c r="D40" s="9">
        <v>1.0</v>
      </c>
      <c r="E40" s="10">
        <f>IFERROR(vlookup('3.2'!D:D,lookup!$A$2:$B$4,2,false),0)</f>
        <v>5</v>
      </c>
      <c r="F40" s="10">
        <f>IFERROR(vlookup('3.2'!E:E,lookup!$A$6:$B$8,2,false),0)</f>
        <v>5</v>
      </c>
      <c r="G40" s="10">
        <f>IFERROR(vlookup('3.2'!F:F,lookup!$A$10:$B$12,2,false),0)</f>
        <v>5</v>
      </c>
      <c r="H40" s="10">
        <f>IFERROR(vlookup('3.2'!G:G,lookup!$A$14:$B$16,2,false),0)</f>
        <v>5</v>
      </c>
      <c r="I40" s="10">
        <f>IFERROR(vlookup('3.2'!H:H,lookup!$A$18:$B$20,2,false),0)</f>
        <v>5</v>
      </c>
      <c r="J40" s="10">
        <f>IFERROR(vlookup('3.2'!I:I,lookup!$A$22:$B$24,2,false),0)</f>
        <v>5</v>
      </c>
      <c r="K40" s="10">
        <f>IFERROR(vlookup('3.2'!J:J,lookup!$A$26:$B$28,2,false),0)</f>
        <v>5</v>
      </c>
      <c r="L40" s="2"/>
      <c r="M40" s="10">
        <v>39.0</v>
      </c>
      <c r="N40" s="11" t="str">
        <f t="shared" si="1"/>
        <v>bnco0939@signalschool.ac.th</v>
      </c>
      <c r="O40" s="12">
        <f t="shared" si="2"/>
        <v>1</v>
      </c>
      <c r="R40" s="17" t="s">
        <v>256</v>
      </c>
    </row>
    <row r="41">
      <c r="A41" s="8">
        <f>'3.2'!A:A</f>
        <v>46212.62951</v>
      </c>
      <c r="B41" s="2" t="str">
        <f>'3.2'!B:B</f>
        <v>bnco0973@signalschool.ac.th</v>
      </c>
      <c r="C41" s="2" t="str">
        <f>'3.2'!C:C</f>
        <v>ร.อ.ธัญญพัทธ์ ตรีศักดิ์ศรี , จ.ส.อ.ชัยยุทธ ดิษบุตร</v>
      </c>
      <c r="D41" s="9">
        <v>1.0</v>
      </c>
      <c r="E41" s="10">
        <f>IFERROR(vlookup('3.2'!D:D,lookup!$A$2:$B$4,2,false),0)</f>
        <v>5</v>
      </c>
      <c r="F41" s="10">
        <f>IFERROR(vlookup('3.2'!E:E,lookup!$A$6:$B$8,2,false),0)</f>
        <v>5</v>
      </c>
      <c r="G41" s="10">
        <f>IFERROR(vlookup('3.2'!F:F,lookup!$A$10:$B$12,2,false),0)</f>
        <v>5</v>
      </c>
      <c r="H41" s="10">
        <f>IFERROR(vlookup('3.2'!G:G,lookup!$A$14:$B$16,2,false),0)</f>
        <v>5</v>
      </c>
      <c r="I41" s="10">
        <f>IFERROR(vlookup('3.2'!H:H,lookup!$A$18:$B$20,2,false),0)</f>
        <v>5</v>
      </c>
      <c r="J41" s="10">
        <f>IFERROR(vlookup('3.2'!I:I,lookup!$A$22:$B$24,2,false),0)</f>
        <v>5</v>
      </c>
      <c r="K41" s="10">
        <f>IFERROR(vlookup('3.2'!J:J,lookup!$A$26:$B$28,2,false),0)</f>
        <v>5</v>
      </c>
      <c r="L41" s="2"/>
      <c r="M41" s="10">
        <v>40.0</v>
      </c>
      <c r="N41" s="11" t="str">
        <f t="shared" si="1"/>
        <v>bnco0940@signalschool.ac.th</v>
      </c>
      <c r="O41" s="12">
        <f t="shared" si="2"/>
        <v>1</v>
      </c>
      <c r="R41" s="17" t="s">
        <v>257</v>
      </c>
    </row>
    <row r="42">
      <c r="A42" s="8">
        <f>'3.2'!A:A</f>
        <v>46212.62959</v>
      </c>
      <c r="B42" s="2" t="str">
        <f>'3.2'!B:B</f>
        <v>bnco0965@signalschool.ac.th</v>
      </c>
      <c r="C42" s="2" t="str">
        <f>'3.2'!C:C</f>
        <v>ร.อ.ธัญญพัทธ์ ตรีศักดิ์ศรี , จ.ส.อ.ชัยยุทธ ดิษบุตร</v>
      </c>
      <c r="D42" s="9">
        <v>1.0</v>
      </c>
      <c r="E42" s="10">
        <f>IFERROR(vlookup('3.2'!D:D,lookup!$A$2:$B$4,2,false),0)</f>
        <v>5</v>
      </c>
      <c r="F42" s="10">
        <f>IFERROR(vlookup('3.2'!E:E,lookup!$A$6:$B$8,2,false),0)</f>
        <v>5</v>
      </c>
      <c r="G42" s="10">
        <f>IFERROR(vlookup('3.2'!F:F,lookup!$A$10:$B$12,2,false),0)</f>
        <v>5</v>
      </c>
      <c r="H42" s="10">
        <f>IFERROR(vlookup('3.2'!G:G,lookup!$A$14:$B$16,2,false),0)</f>
        <v>5</v>
      </c>
      <c r="I42" s="10">
        <f>IFERROR(vlookup('3.2'!H:H,lookup!$A$18:$B$20,2,false),0)</f>
        <v>5</v>
      </c>
      <c r="J42" s="10">
        <f>IFERROR(vlookup('3.2'!I:I,lookup!$A$22:$B$24,2,false),0)</f>
        <v>5</v>
      </c>
      <c r="K42" s="10">
        <f>IFERROR(vlookup('3.2'!J:J,lookup!$A$26:$B$28,2,false),0)</f>
        <v>5</v>
      </c>
      <c r="L42" s="2"/>
      <c r="M42" s="10">
        <v>41.0</v>
      </c>
      <c r="N42" s="11" t="str">
        <f t="shared" si="1"/>
        <v>bnco0941@signalschool.ac.th</v>
      </c>
      <c r="O42" s="12">
        <f t="shared" si="2"/>
        <v>1</v>
      </c>
      <c r="R42" s="17" t="s">
        <v>258</v>
      </c>
    </row>
    <row r="43">
      <c r="A43" s="8">
        <f>'3.2'!A:A</f>
        <v>46212.62964</v>
      </c>
      <c r="B43" s="2" t="str">
        <f>'3.2'!B:B</f>
        <v>bnco0909@signalschool.ac.th</v>
      </c>
      <c r="C43" s="2" t="str">
        <f>'3.2'!C:C</f>
        <v>ร.อ. ธัญญพันธุ์ ตรีศักศรี</v>
      </c>
      <c r="D43" s="9">
        <v>1.0</v>
      </c>
      <c r="E43" s="10">
        <f>IFERROR(vlookup('3.2'!D:D,lookup!$A$2:$B$4,2,false),0)</f>
        <v>5</v>
      </c>
      <c r="F43" s="10">
        <f>IFERROR(vlookup('3.2'!E:E,lookup!$A$6:$B$8,2,false),0)</f>
        <v>5</v>
      </c>
      <c r="G43" s="10">
        <f>IFERROR(vlookup('3.2'!F:F,lookup!$A$10:$B$12,2,false),0)</f>
        <v>5</v>
      </c>
      <c r="H43" s="10">
        <f>IFERROR(vlookup('3.2'!G:G,lookup!$A$14:$B$16,2,false),0)</f>
        <v>5</v>
      </c>
      <c r="I43" s="10">
        <f>IFERROR(vlookup('3.2'!H:H,lookup!$A$18:$B$20,2,false),0)</f>
        <v>5</v>
      </c>
      <c r="J43" s="10">
        <f>IFERROR(vlookup('3.2'!I:I,lookup!$A$22:$B$24,2,false),0)</f>
        <v>5</v>
      </c>
      <c r="K43" s="10">
        <f>IFERROR(vlookup('3.2'!J:J,lookup!$A$26:$B$28,2,false),0)</f>
        <v>5</v>
      </c>
      <c r="L43" s="2"/>
      <c r="M43" s="10">
        <v>42.0</v>
      </c>
      <c r="N43" s="11" t="str">
        <f t="shared" si="1"/>
        <v>bnco0942@signalschool.ac.th</v>
      </c>
      <c r="O43" s="12">
        <f t="shared" si="2"/>
        <v>1</v>
      </c>
      <c r="R43" s="17" t="s">
        <v>259</v>
      </c>
    </row>
    <row r="44">
      <c r="A44" s="8">
        <f>'3.2'!A:A</f>
        <v>46212.6297</v>
      </c>
      <c r="B44" s="2" t="str">
        <f>'3.2'!B:B</f>
        <v>bnco0937@signalschool.ac.th</v>
      </c>
      <c r="C44" s="2" t="str">
        <f>'3.2'!C:C</f>
        <v>ร.อ.ธัญญพัทธ์ ตรีศักดิ์ศรี , จ.ส.อ.ชัยยุทธ ดิษบุตร</v>
      </c>
      <c r="D44" s="9">
        <v>1.0</v>
      </c>
      <c r="E44" s="10">
        <f>IFERROR(vlookup('3.2'!D:D,lookup!$A$2:$B$4,2,false),0)</f>
        <v>5</v>
      </c>
      <c r="F44" s="10">
        <f>IFERROR(vlookup('3.2'!E:E,lookup!$A$6:$B$8,2,false),0)</f>
        <v>5</v>
      </c>
      <c r="G44" s="10">
        <f>IFERROR(vlookup('3.2'!F:F,lookup!$A$10:$B$12,2,false),0)</f>
        <v>5</v>
      </c>
      <c r="H44" s="10">
        <f>IFERROR(vlookup('3.2'!G:G,lookup!$A$14:$B$16,2,false),0)</f>
        <v>5</v>
      </c>
      <c r="I44" s="10">
        <f>IFERROR(vlookup('3.2'!H:H,lookup!$A$18:$B$20,2,false),0)</f>
        <v>5</v>
      </c>
      <c r="J44" s="10">
        <f>IFERROR(vlookup('3.2'!I:I,lookup!$A$22:$B$24,2,false),0)</f>
        <v>5</v>
      </c>
      <c r="K44" s="10">
        <f>IFERROR(vlookup('3.2'!J:J,lookup!$A$26:$B$28,2,false),0)</f>
        <v>5</v>
      </c>
      <c r="L44" s="2"/>
      <c r="M44" s="10">
        <v>43.0</v>
      </c>
      <c r="N44" s="11" t="str">
        <f t="shared" si="1"/>
        <v>bnco0943@signalschool.ac.th</v>
      </c>
      <c r="O44" s="12">
        <f t="shared" si="2"/>
        <v>1</v>
      </c>
      <c r="R44" s="17" t="s">
        <v>260</v>
      </c>
    </row>
    <row r="45">
      <c r="A45" s="8">
        <f>'3.2'!A:A</f>
        <v>46212.62984</v>
      </c>
      <c r="B45" s="2" t="str">
        <f>'3.2'!B:B</f>
        <v>bnco0915@signalschool.ac.th</v>
      </c>
      <c r="C45" s="2" t="str">
        <f>'3.2'!C:C</f>
        <v>ร.อ.ธัญญพัทธ์ ตรีศักดิ์ศรี , จ.ส.อ.ชัยยุทธ ดิษบุตร</v>
      </c>
      <c r="D45" s="9">
        <v>1.0</v>
      </c>
      <c r="E45" s="10">
        <f>IFERROR(vlookup('3.2'!D:D,lookup!$A$2:$B$4,2,false),0)</f>
        <v>5</v>
      </c>
      <c r="F45" s="10">
        <f>IFERROR(vlookup('3.2'!E:E,lookup!$A$6:$B$8,2,false),0)</f>
        <v>5</v>
      </c>
      <c r="G45" s="10">
        <f>IFERROR(vlookup('3.2'!F:F,lookup!$A$10:$B$12,2,false),0)</f>
        <v>5</v>
      </c>
      <c r="H45" s="10">
        <f>IFERROR(vlookup('3.2'!G:G,lookup!$A$14:$B$16,2,false),0)</f>
        <v>5</v>
      </c>
      <c r="I45" s="10">
        <f>IFERROR(vlookup('3.2'!H:H,lookup!$A$18:$B$20,2,false),0)</f>
        <v>5</v>
      </c>
      <c r="J45" s="10">
        <f>IFERROR(vlookup('3.2'!I:I,lookup!$A$22:$B$24,2,false),0)</f>
        <v>5</v>
      </c>
      <c r="K45" s="10">
        <f>IFERROR(vlookup('3.2'!J:J,lookup!$A$26:$B$28,2,false),0)</f>
        <v>5</v>
      </c>
      <c r="L45" s="2"/>
      <c r="M45" s="10">
        <v>44.0</v>
      </c>
      <c r="N45" s="11" t="str">
        <f t="shared" si="1"/>
        <v>bnco0944@signalschool.ac.th</v>
      </c>
      <c r="O45" s="12">
        <f t="shared" si="2"/>
        <v>1</v>
      </c>
      <c r="R45" s="17" t="s">
        <v>261</v>
      </c>
    </row>
    <row r="46">
      <c r="A46" s="8">
        <f>'3.2'!A:A</f>
        <v>46212.62985</v>
      </c>
      <c r="B46" s="2" t="str">
        <f>'3.2'!B:B</f>
        <v>bnco0964@signalschool.ac.th</v>
      </c>
      <c r="C46" s="2" t="str">
        <f>'3.2'!C:C</f>
        <v>ร.อ.ธัญญพัทธ์ ตรีศักดิ์ศรี จ.ส.อ.ชัยยุทธ ดิษบุตร</v>
      </c>
      <c r="D46" s="9">
        <v>1.0</v>
      </c>
      <c r="E46" s="10">
        <f>IFERROR(vlookup('3.2'!D:D,lookup!$A$2:$B$4,2,false),0)</f>
        <v>5</v>
      </c>
      <c r="F46" s="10">
        <f>IFERROR(vlookup('3.2'!E:E,lookup!$A$6:$B$8,2,false),0)</f>
        <v>5</v>
      </c>
      <c r="G46" s="10">
        <f>IFERROR(vlookup('3.2'!F:F,lookup!$A$10:$B$12,2,false),0)</f>
        <v>5</v>
      </c>
      <c r="H46" s="10">
        <f>IFERROR(vlookup('3.2'!G:G,lookup!$A$14:$B$16,2,false),0)</f>
        <v>5</v>
      </c>
      <c r="I46" s="10">
        <f>IFERROR(vlookup('3.2'!H:H,lookup!$A$18:$B$20,2,false),0)</f>
        <v>5</v>
      </c>
      <c r="J46" s="10">
        <f>IFERROR(vlookup('3.2'!I:I,lookup!$A$22:$B$24,2,false),0)</f>
        <v>5</v>
      </c>
      <c r="K46" s="10">
        <f>IFERROR(vlookup('3.2'!J:J,lookup!$A$26:$B$28,2,false),0)</f>
        <v>5</v>
      </c>
      <c r="L46" s="2"/>
      <c r="M46" s="10">
        <v>45.0</v>
      </c>
      <c r="N46" s="11" t="str">
        <f t="shared" si="1"/>
        <v>bnco0945@signalschool.ac.th</v>
      </c>
      <c r="O46" s="12">
        <f t="shared" si="2"/>
        <v>1</v>
      </c>
      <c r="R46" s="17" t="s">
        <v>262</v>
      </c>
    </row>
    <row r="47">
      <c r="A47" s="8">
        <f>'3.2'!A:A</f>
        <v>46212.62988</v>
      </c>
      <c r="B47" s="2" t="str">
        <f>'3.2'!B:B</f>
        <v>bnco0963@signalschool.ac.th</v>
      </c>
      <c r="C47" s="2" t="str">
        <f>'3.2'!C:C</f>
        <v>ร.อ.ธัญญพัทธ์ ตรีศักดิ์ศรี , จ.ส.อ.ชัยยุทธ ดิษบุตร</v>
      </c>
      <c r="D47" s="9">
        <v>1.0</v>
      </c>
      <c r="E47" s="10">
        <f>IFERROR(vlookup('3.2'!D:D,lookup!$A$2:$B$4,2,false),0)</f>
        <v>5</v>
      </c>
      <c r="F47" s="10">
        <f>IFERROR(vlookup('3.2'!E:E,lookup!$A$6:$B$8,2,false),0)</f>
        <v>5</v>
      </c>
      <c r="G47" s="10">
        <f>IFERROR(vlookup('3.2'!F:F,lookup!$A$10:$B$12,2,false),0)</f>
        <v>5</v>
      </c>
      <c r="H47" s="10">
        <f>IFERROR(vlookup('3.2'!G:G,lookup!$A$14:$B$16,2,false),0)</f>
        <v>5</v>
      </c>
      <c r="I47" s="10">
        <f>IFERROR(vlookup('3.2'!H:H,lookup!$A$18:$B$20,2,false),0)</f>
        <v>5</v>
      </c>
      <c r="J47" s="10">
        <f>IFERROR(vlookup('3.2'!I:I,lookup!$A$22:$B$24,2,false),0)</f>
        <v>5</v>
      </c>
      <c r="K47" s="10">
        <f>IFERROR(vlookup('3.2'!J:J,lookup!$A$26:$B$28,2,false),0)</f>
        <v>5</v>
      </c>
      <c r="L47" s="2"/>
      <c r="M47" s="10">
        <v>46.0</v>
      </c>
      <c r="N47" s="11" t="str">
        <f t="shared" si="1"/>
        <v>bnco0946@signalschool.ac.th</v>
      </c>
      <c r="O47" s="12">
        <f t="shared" si="2"/>
        <v>1</v>
      </c>
      <c r="R47" s="17" t="s">
        <v>263</v>
      </c>
    </row>
    <row r="48">
      <c r="A48" s="8">
        <f>'3.2'!A:A</f>
        <v>46212.62992</v>
      </c>
      <c r="B48" s="2" t="str">
        <f>'3.2'!B:B</f>
        <v>bnco0921@signalschool.ac.th</v>
      </c>
      <c r="C48" s="2" t="str">
        <f>'3.2'!C:C</f>
        <v>ร.อ.ธัญญพัทธ์ ตรีศักดิ์ศรี</v>
      </c>
      <c r="D48" s="9">
        <v>1.0</v>
      </c>
      <c r="E48" s="10">
        <f>IFERROR(vlookup('3.2'!D:D,lookup!$A$2:$B$4,2,false),0)</f>
        <v>5</v>
      </c>
      <c r="F48" s="10">
        <f>IFERROR(vlookup('3.2'!E:E,lookup!$A$6:$B$8,2,false),0)</f>
        <v>5</v>
      </c>
      <c r="G48" s="10">
        <f>IFERROR(vlookup('3.2'!F:F,lookup!$A$10:$B$12,2,false),0)</f>
        <v>5</v>
      </c>
      <c r="H48" s="10">
        <f>IFERROR(vlookup('3.2'!G:G,lookup!$A$14:$B$16,2,false),0)</f>
        <v>5</v>
      </c>
      <c r="I48" s="10">
        <f>IFERROR(vlookup('3.2'!H:H,lookup!$A$18:$B$20,2,false),0)</f>
        <v>5</v>
      </c>
      <c r="J48" s="10">
        <f>IFERROR(vlookup('3.2'!I:I,lookup!$A$22:$B$24,2,false),0)</f>
        <v>5</v>
      </c>
      <c r="K48" s="10">
        <f>IFERROR(vlookup('3.2'!J:J,lookup!$A$26:$B$28,2,false),0)</f>
        <v>5</v>
      </c>
      <c r="L48" s="2"/>
      <c r="M48" s="10">
        <v>47.0</v>
      </c>
      <c r="N48" s="11" t="str">
        <f t="shared" si="1"/>
        <v>bnco0947@signalschool.ac.th</v>
      </c>
      <c r="O48" s="12">
        <f t="shared" si="2"/>
        <v>1</v>
      </c>
      <c r="R48" s="17" t="s">
        <v>264</v>
      </c>
    </row>
    <row r="49">
      <c r="A49" s="8">
        <f>'3.2'!A:A</f>
        <v>46212.62997</v>
      </c>
      <c r="B49" s="2" t="str">
        <f>'3.2'!B:B</f>
        <v>bnco0933@signalschool.ac.th</v>
      </c>
      <c r="C49" s="2" t="str">
        <f>'3.2'!C:C</f>
        <v>ร.อ.ธัญญพัทธ์ ตรีศักดิ์ศรี , จ.ส.อ.ชัยยุทธ ดิษบุตร</v>
      </c>
      <c r="D49" s="9">
        <v>1.0</v>
      </c>
      <c r="E49" s="10">
        <f>IFERROR(vlookup('3.2'!D:D,lookup!$A$2:$B$4,2,false),0)</f>
        <v>5</v>
      </c>
      <c r="F49" s="10">
        <f>IFERROR(vlookup('3.2'!E:E,lookup!$A$6:$B$8,2,false),0)</f>
        <v>5</v>
      </c>
      <c r="G49" s="10">
        <f>IFERROR(vlookup('3.2'!F:F,lookup!$A$10:$B$12,2,false),0)</f>
        <v>5</v>
      </c>
      <c r="H49" s="10">
        <f>IFERROR(vlookup('3.2'!G:G,lookup!$A$14:$B$16,2,false),0)</f>
        <v>5</v>
      </c>
      <c r="I49" s="10">
        <f>IFERROR(vlookup('3.2'!H:H,lookup!$A$18:$B$20,2,false),0)</f>
        <v>5</v>
      </c>
      <c r="J49" s="10">
        <f>IFERROR(vlookup('3.2'!I:I,lookup!$A$22:$B$24,2,false),0)</f>
        <v>5</v>
      </c>
      <c r="K49" s="10">
        <f>IFERROR(vlookup('3.2'!J:J,lookup!$A$26:$B$28,2,false),0)</f>
        <v>5</v>
      </c>
      <c r="L49" s="2"/>
      <c r="M49" s="10">
        <v>48.0</v>
      </c>
      <c r="N49" s="11" t="str">
        <f t="shared" si="1"/>
        <v>bnco0948@signalschool.ac.th</v>
      </c>
      <c r="O49" s="12">
        <f t="shared" si="2"/>
        <v>1</v>
      </c>
      <c r="R49" s="17" t="s">
        <v>265</v>
      </c>
    </row>
    <row r="50">
      <c r="A50" s="8">
        <f>'3.2'!A:A</f>
        <v>46212.63005</v>
      </c>
      <c r="B50" s="2" t="str">
        <f>'3.2'!B:B</f>
        <v>bnco0960@signalschool.ac.th</v>
      </c>
      <c r="C50" s="2" t="str">
        <f>'3.2'!C:C</f>
        <v>ร.อ.ธัญญพัทธ์ ตรีศักดิ์ศรี , จ.ส.อ.ชัยยุทธ ดิษบุตร</v>
      </c>
      <c r="D50" s="9">
        <v>1.0</v>
      </c>
      <c r="E50" s="10">
        <f>IFERROR(vlookup('3.2'!D:D,lookup!$A$2:$B$4,2,false),0)</f>
        <v>5</v>
      </c>
      <c r="F50" s="10">
        <f>IFERROR(vlookup('3.2'!E:E,lookup!$A$6:$B$8,2,false),0)</f>
        <v>5</v>
      </c>
      <c r="G50" s="10">
        <f>IFERROR(vlookup('3.2'!F:F,lookup!$A$10:$B$12,2,false),0)</f>
        <v>5</v>
      </c>
      <c r="H50" s="10">
        <f>IFERROR(vlookup('3.2'!G:G,lookup!$A$14:$B$16,2,false),0)</f>
        <v>5</v>
      </c>
      <c r="I50" s="10">
        <f>IFERROR(vlookup('3.2'!H:H,lookup!$A$18:$B$20,2,false),0)</f>
        <v>5</v>
      </c>
      <c r="J50" s="10">
        <f>IFERROR(vlookup('3.2'!I:I,lookup!$A$22:$B$24,2,false),0)</f>
        <v>5</v>
      </c>
      <c r="K50" s="10">
        <f>IFERROR(vlookup('3.2'!J:J,lookup!$A$26:$B$28,2,false),0)</f>
        <v>5</v>
      </c>
      <c r="L50" s="2"/>
      <c r="M50" s="10">
        <v>49.0</v>
      </c>
      <c r="N50" s="11" t="str">
        <f t="shared" si="1"/>
        <v>bnco0949@signalschool.ac.th</v>
      </c>
      <c r="O50" s="12">
        <f t="shared" si="2"/>
        <v>1</v>
      </c>
      <c r="R50" s="17" t="s">
        <v>266</v>
      </c>
    </row>
    <row r="51">
      <c r="A51" s="8">
        <f>'3.2'!A:A</f>
        <v>46212.63011</v>
      </c>
      <c r="B51" s="2" t="str">
        <f>'3.2'!B:B</f>
        <v>bnco0979@signalschool.ac.th</v>
      </c>
      <c r="C51" s="2" t="str">
        <f>'3.2'!C:C</f>
        <v>ร.อ.ธัญญพัทธ์ ตรีศักดิ์ศรี</v>
      </c>
      <c r="D51" s="9">
        <v>1.0</v>
      </c>
      <c r="E51" s="10">
        <f>IFERROR(vlookup('3.2'!D:D,lookup!$A$2:$B$4,2,false),0)</f>
        <v>5</v>
      </c>
      <c r="F51" s="10">
        <f>IFERROR(vlookup('3.2'!E:E,lookup!$A$6:$B$8,2,false),0)</f>
        <v>5</v>
      </c>
      <c r="G51" s="10">
        <f>IFERROR(vlookup('3.2'!F:F,lookup!$A$10:$B$12,2,false),0)</f>
        <v>5</v>
      </c>
      <c r="H51" s="10">
        <f>IFERROR(vlookup('3.2'!G:G,lookup!$A$14:$B$16,2,false),0)</f>
        <v>5</v>
      </c>
      <c r="I51" s="10">
        <f>IFERROR(vlookup('3.2'!H:H,lookup!$A$18:$B$20,2,false),0)</f>
        <v>5</v>
      </c>
      <c r="J51" s="10">
        <f>IFERROR(vlookup('3.2'!I:I,lookup!$A$22:$B$24,2,false),0)</f>
        <v>5</v>
      </c>
      <c r="K51" s="10">
        <f>IFERROR(vlookup('3.2'!J:J,lookup!$A$26:$B$28,2,false),0)</f>
        <v>5</v>
      </c>
      <c r="L51" s="2"/>
      <c r="M51" s="10">
        <v>50.0</v>
      </c>
      <c r="N51" s="11" t="str">
        <f t="shared" si="1"/>
        <v>bnco0950@signalschool.ac.th</v>
      </c>
      <c r="O51" s="12">
        <f t="shared" si="2"/>
        <v>1</v>
      </c>
      <c r="R51" s="17" t="s">
        <v>267</v>
      </c>
    </row>
    <row r="52">
      <c r="A52" s="8">
        <f>'3.2'!A:A</f>
        <v>46212.63018</v>
      </c>
      <c r="B52" s="2" t="str">
        <f>'3.2'!B:B</f>
        <v>bnco0956@signalschool.ac.th</v>
      </c>
      <c r="C52" s="2" t="str">
        <f>'3.2'!C:C</f>
        <v>ร.อ.ธัญญพัทธ์ จ.ส.อ.ชัยยุทธ ตรีศักดิ์ศรี ดิษบุตร</v>
      </c>
      <c r="D52" s="9">
        <v>1.0</v>
      </c>
      <c r="E52" s="10">
        <f>IFERROR(vlookup('3.2'!D:D,lookup!$A$2:$B$4,2,false),0)</f>
        <v>5</v>
      </c>
      <c r="F52" s="10">
        <f>IFERROR(vlookup('3.2'!E:E,lookup!$A$6:$B$8,2,false),0)</f>
        <v>5</v>
      </c>
      <c r="G52" s="10">
        <f>IFERROR(vlookup('3.2'!F:F,lookup!$A$10:$B$12,2,false),0)</f>
        <v>5</v>
      </c>
      <c r="H52" s="10">
        <f>IFERROR(vlookup('3.2'!G:G,lookup!$A$14:$B$16,2,false),0)</f>
        <v>5</v>
      </c>
      <c r="I52" s="10">
        <f>IFERROR(vlookup('3.2'!H:H,lookup!$A$18:$B$20,2,false),0)</f>
        <v>5</v>
      </c>
      <c r="J52" s="10">
        <f>IFERROR(vlookup('3.2'!I:I,lookup!$A$22:$B$24,2,false),0)</f>
        <v>5</v>
      </c>
      <c r="K52" s="10">
        <f>IFERROR(vlookup('3.2'!J:J,lookup!$A$26:$B$28,2,false),0)</f>
        <v>5</v>
      </c>
      <c r="L52" s="2"/>
      <c r="M52" s="10">
        <v>51.0</v>
      </c>
      <c r="N52" s="11" t="str">
        <f t="shared" si="1"/>
        <v>bnco0951@signalschool.ac.th</v>
      </c>
      <c r="O52" s="12">
        <f t="shared" si="2"/>
        <v>1</v>
      </c>
      <c r="R52" s="17" t="s">
        <v>268</v>
      </c>
    </row>
    <row r="53">
      <c r="A53" s="8">
        <f>'3.2'!A:A</f>
        <v>46212.63021</v>
      </c>
      <c r="B53" s="2" t="str">
        <f>'3.2'!B:B</f>
        <v>bnco0901@signalschool.ac.th</v>
      </c>
      <c r="C53" s="2" t="str">
        <f>'3.2'!C:C</f>
        <v>ร.อ.ธัญญพัทธ์ ตรีศักดิ์ศรี , จ.ส.อ.ชัยยุทธ ดิษบุตร</v>
      </c>
      <c r="D53" s="9">
        <v>1.0</v>
      </c>
      <c r="E53" s="10">
        <f>IFERROR(vlookup('3.2'!D:D,lookup!$A$2:$B$4,2,false),0)</f>
        <v>5</v>
      </c>
      <c r="F53" s="10">
        <f>IFERROR(vlookup('3.2'!E:E,lookup!$A$6:$B$8,2,false),0)</f>
        <v>5</v>
      </c>
      <c r="G53" s="10">
        <f>IFERROR(vlookup('3.2'!F:F,lookup!$A$10:$B$12,2,false),0)</f>
        <v>5</v>
      </c>
      <c r="H53" s="10">
        <f>IFERROR(vlookup('3.2'!G:G,lookup!$A$14:$B$16,2,false),0)</f>
        <v>5</v>
      </c>
      <c r="I53" s="10">
        <f>IFERROR(vlookup('3.2'!H:H,lookup!$A$18:$B$20,2,false),0)</f>
        <v>5</v>
      </c>
      <c r="J53" s="10">
        <f>IFERROR(vlookup('3.2'!I:I,lookup!$A$22:$B$24,2,false),0)</f>
        <v>5</v>
      </c>
      <c r="K53" s="10">
        <f>IFERROR(vlookup('3.2'!J:J,lookup!$A$26:$B$28,2,false),0)</f>
        <v>5</v>
      </c>
      <c r="L53" s="2"/>
      <c r="M53" s="10">
        <v>52.0</v>
      </c>
      <c r="N53" s="11" t="str">
        <f t="shared" si="1"/>
        <v>bnco0952@signalschool.ac.th</v>
      </c>
      <c r="O53" s="12">
        <f t="shared" si="2"/>
        <v>1</v>
      </c>
      <c r="R53" s="17" t="s">
        <v>269</v>
      </c>
    </row>
    <row r="54">
      <c r="A54" s="8">
        <f>'3.2'!A:A</f>
        <v>46212.63025</v>
      </c>
      <c r="B54" s="2" t="str">
        <f>'3.2'!B:B</f>
        <v>bnco0902@signalschool.ac.th</v>
      </c>
      <c r="C54" s="2" t="str">
        <f>'3.2'!C:C</f>
        <v>ร.อ.ธัญญพัทธ์ ตรีศักดิ์ศรี , จ.ส.อ.ชัยยุทธ ดิษบุตร</v>
      </c>
      <c r="D54" s="9">
        <v>1.0</v>
      </c>
      <c r="E54" s="10">
        <f>IFERROR(vlookup('3.2'!D:D,lookup!$A$2:$B$4,2,false),0)</f>
        <v>5</v>
      </c>
      <c r="F54" s="10">
        <f>IFERROR(vlookup('3.2'!E:E,lookup!$A$6:$B$8,2,false),0)</f>
        <v>5</v>
      </c>
      <c r="G54" s="10">
        <f>IFERROR(vlookup('3.2'!F:F,lookup!$A$10:$B$12,2,false),0)</f>
        <v>5</v>
      </c>
      <c r="H54" s="10">
        <f>IFERROR(vlookup('3.2'!G:G,lookup!$A$14:$B$16,2,false),0)</f>
        <v>5</v>
      </c>
      <c r="I54" s="10">
        <f>IFERROR(vlookup('3.2'!H:H,lookup!$A$18:$B$20,2,false),0)</f>
        <v>5</v>
      </c>
      <c r="J54" s="10">
        <f>IFERROR(vlookup('3.2'!I:I,lookup!$A$22:$B$24,2,false),0)</f>
        <v>5</v>
      </c>
      <c r="K54" s="10">
        <f>IFERROR(vlookup('3.2'!J:J,lookup!$A$26:$B$28,2,false),0)</f>
        <v>5</v>
      </c>
      <c r="L54" s="2"/>
      <c r="M54" s="10">
        <v>53.0</v>
      </c>
      <c r="N54" s="11" t="str">
        <f t="shared" si="1"/>
        <v>bnco0953@signalschool.ac.th</v>
      </c>
      <c r="O54" s="12">
        <f t="shared" si="2"/>
        <v>1</v>
      </c>
      <c r="R54" s="17" t="s">
        <v>270</v>
      </c>
    </row>
    <row r="55">
      <c r="A55" s="8">
        <f>'3.2'!A:A</f>
        <v>46212.63028</v>
      </c>
      <c r="B55" s="2" t="str">
        <f>'3.2'!B:B</f>
        <v>bnco0943@signalschool.ac.th</v>
      </c>
      <c r="C55" s="2" t="str">
        <f>'3.2'!C:C</f>
        <v>ร.อ.ธัญญพัทธ์ ตรีศักดิ์ศรี  จ.ส.อ.ชัยยุทธ ดิษบุตร</v>
      </c>
      <c r="D55" s="9">
        <v>1.0</v>
      </c>
      <c r="E55" s="10">
        <f>IFERROR(vlookup('3.2'!D:D,lookup!$A$2:$B$4,2,false),0)</f>
        <v>5</v>
      </c>
      <c r="F55" s="10">
        <f>IFERROR(vlookup('3.2'!E:E,lookup!$A$6:$B$8,2,false),0)</f>
        <v>5</v>
      </c>
      <c r="G55" s="10">
        <f>IFERROR(vlookup('3.2'!F:F,lookup!$A$10:$B$12,2,false),0)</f>
        <v>5</v>
      </c>
      <c r="H55" s="10">
        <f>IFERROR(vlookup('3.2'!G:G,lookup!$A$14:$B$16,2,false),0)</f>
        <v>5</v>
      </c>
      <c r="I55" s="10">
        <f>IFERROR(vlookup('3.2'!H:H,lookup!$A$18:$B$20,2,false),0)</f>
        <v>5</v>
      </c>
      <c r="J55" s="10">
        <f>IFERROR(vlookup('3.2'!I:I,lookup!$A$22:$B$24,2,false),0)</f>
        <v>5</v>
      </c>
      <c r="K55" s="10">
        <f>IFERROR(vlookup('3.2'!J:J,lookup!$A$26:$B$28,2,false),0)</f>
        <v>5</v>
      </c>
      <c r="L55" s="2"/>
      <c r="M55" s="10">
        <v>54.0</v>
      </c>
      <c r="N55" s="11" t="str">
        <f t="shared" si="1"/>
        <v>bnco0954@signalschool.ac.th</v>
      </c>
      <c r="O55" s="12">
        <f t="shared" si="2"/>
        <v>1</v>
      </c>
      <c r="R55" s="17" t="s">
        <v>271</v>
      </c>
    </row>
    <row r="56">
      <c r="A56" s="8">
        <f>'3.2'!A:A</f>
        <v>46212.63033</v>
      </c>
      <c r="B56" s="2" t="str">
        <f>'3.2'!B:B</f>
        <v>bnco0929@signalschool.ac.th</v>
      </c>
      <c r="C56" s="2" t="str">
        <f>'3.2'!C:C</f>
        <v>ร.อ.ธัญญพัทธ์  ตรีศักดิ์ศรี</v>
      </c>
      <c r="D56" s="9">
        <v>1.0</v>
      </c>
      <c r="E56" s="10">
        <f>IFERROR(vlookup('3.2'!D:D,lookup!$A$2:$B$4,2,false),0)</f>
        <v>5</v>
      </c>
      <c r="F56" s="10">
        <f>IFERROR(vlookup('3.2'!E:E,lookup!$A$6:$B$8,2,false),0)</f>
        <v>5</v>
      </c>
      <c r="G56" s="10">
        <f>IFERROR(vlookup('3.2'!F:F,lookup!$A$10:$B$12,2,false),0)</f>
        <v>5</v>
      </c>
      <c r="H56" s="10">
        <f>IFERROR(vlookup('3.2'!G:G,lookup!$A$14:$B$16,2,false),0)</f>
        <v>5</v>
      </c>
      <c r="I56" s="10">
        <f>IFERROR(vlookup('3.2'!H:H,lookup!$A$18:$B$20,2,false),0)</f>
        <v>5</v>
      </c>
      <c r="J56" s="10">
        <f>IFERROR(vlookup('3.2'!I:I,lookup!$A$22:$B$24,2,false),0)</f>
        <v>5</v>
      </c>
      <c r="K56" s="10">
        <f>IFERROR(vlookup('3.2'!J:J,lookup!$A$26:$B$28,2,false),0)</f>
        <v>5</v>
      </c>
      <c r="L56" s="13"/>
      <c r="M56" s="10">
        <v>55.0</v>
      </c>
      <c r="N56" s="11" t="str">
        <f t="shared" si="1"/>
        <v>bnco0955@signalschool.ac.th</v>
      </c>
      <c r="O56" s="12">
        <f t="shared" si="2"/>
        <v>1</v>
      </c>
      <c r="R56" s="17" t="s">
        <v>272</v>
      </c>
    </row>
    <row r="57">
      <c r="A57" s="8">
        <f>'3.2'!A:A</f>
        <v>46212.63038</v>
      </c>
      <c r="B57" s="2" t="str">
        <f>'3.2'!B:B</f>
        <v>bnco0945@signalschool.ac.th</v>
      </c>
      <c r="C57" s="2" t="str">
        <f>'3.2'!C:C</f>
        <v>.อ.ธัญญพัทธ์ จ.ส.อ.ชัยยุทธ ตรีศักดิ์ศรี ดิษบุตร</v>
      </c>
      <c r="D57" s="9">
        <v>1.0</v>
      </c>
      <c r="E57" s="10">
        <f>IFERROR(vlookup('3.2'!D:D,lookup!$A$2:$B$4,2,false),0)</f>
        <v>5</v>
      </c>
      <c r="F57" s="10">
        <f>IFERROR(vlookup('3.2'!E:E,lookup!$A$6:$B$8,2,false),0)</f>
        <v>5</v>
      </c>
      <c r="G57" s="10">
        <f>IFERROR(vlookup('3.2'!F:F,lookup!$A$10:$B$12,2,false),0)</f>
        <v>5</v>
      </c>
      <c r="H57" s="10">
        <f>IFERROR(vlookup('3.2'!G:G,lookup!$A$14:$B$16,2,false),0)</f>
        <v>5</v>
      </c>
      <c r="I57" s="10">
        <f>IFERROR(vlookup('3.2'!H:H,lookup!$A$18:$B$20,2,false),0)</f>
        <v>5</v>
      </c>
      <c r="J57" s="10">
        <f>IFERROR(vlookup('3.2'!I:I,lookup!$A$22:$B$24,2,false),0)</f>
        <v>5</v>
      </c>
      <c r="K57" s="10">
        <f>IFERROR(vlookup('3.2'!J:J,lookup!$A$26:$B$28,2,false),0)</f>
        <v>5</v>
      </c>
      <c r="L57" s="13"/>
      <c r="M57" s="10">
        <v>56.0</v>
      </c>
      <c r="N57" s="11" t="str">
        <f t="shared" si="1"/>
        <v>bnco0956@signalschool.ac.th</v>
      </c>
      <c r="O57" s="12">
        <f t="shared" si="2"/>
        <v>1</v>
      </c>
      <c r="R57" s="17" t="s">
        <v>273</v>
      </c>
    </row>
    <row r="58">
      <c r="A58" s="8">
        <f>'3.2'!A:A</f>
        <v>46212.63068</v>
      </c>
      <c r="B58" s="2" t="str">
        <f>'3.2'!B:B</f>
        <v>bnco0938@signalschool.ac.th</v>
      </c>
      <c r="C58" s="2" t="str">
        <f>'3.2'!C:C</f>
        <v>ร.อ.ธัญญพัทธ์ ตรีศักดิ์ศรี , จ.ส.อ.ชัยยุทธ ดิษบุตร</v>
      </c>
      <c r="D58" s="9">
        <v>1.0</v>
      </c>
      <c r="E58" s="10">
        <f>IFERROR(vlookup('3.2'!D:D,lookup!$A$2:$B$4,2,false),0)</f>
        <v>5</v>
      </c>
      <c r="F58" s="10">
        <f>IFERROR(vlookup('3.2'!E:E,lookup!$A$6:$B$8,2,false),0)</f>
        <v>3</v>
      </c>
      <c r="G58" s="10">
        <f>IFERROR(vlookup('3.2'!F:F,lookup!$A$10:$B$12,2,false),0)</f>
        <v>5</v>
      </c>
      <c r="H58" s="10">
        <f>IFERROR(vlookup('3.2'!G:G,lookup!$A$14:$B$16,2,false),0)</f>
        <v>5</v>
      </c>
      <c r="I58" s="10">
        <f>IFERROR(vlookup('3.2'!H:H,lookup!$A$18:$B$20,2,false),0)</f>
        <v>5</v>
      </c>
      <c r="J58" s="10">
        <f>IFERROR(vlookup('3.2'!I:I,lookup!$A$22:$B$24,2,false),0)</f>
        <v>3</v>
      </c>
      <c r="K58" s="10">
        <f>IFERROR(vlookup('3.2'!J:J,lookup!$A$26:$B$28,2,false),0)</f>
        <v>5</v>
      </c>
      <c r="L58" s="13"/>
      <c r="M58" s="10">
        <v>57.0</v>
      </c>
      <c r="N58" s="11" t="str">
        <f t="shared" si="1"/>
        <v>bnco0957@signalschool.ac.th</v>
      </c>
      <c r="O58" s="12">
        <f t="shared" si="2"/>
        <v>1</v>
      </c>
      <c r="R58" s="17" t="s">
        <v>274</v>
      </c>
    </row>
    <row r="59">
      <c r="A59" s="8">
        <f>'3.2'!A:A</f>
        <v>46212.63074</v>
      </c>
      <c r="B59" s="2" t="str">
        <f>'3.2'!B:B</f>
        <v>bnco0957@signalschool.ac.th</v>
      </c>
      <c r="C59" s="2" t="str">
        <f>'3.2'!C:C</f>
        <v>ร.อ.ธัญญพัทธ์ ตรีศักดิ์ศรี , จ.ส.อ.ชัยยุทธ ดิษบุตร</v>
      </c>
      <c r="D59" s="9">
        <v>1.0</v>
      </c>
      <c r="E59" s="10">
        <f>IFERROR(vlookup('3.2'!D:D,lookup!$A$2:$B$4,2,false),0)</f>
        <v>5</v>
      </c>
      <c r="F59" s="10">
        <f>IFERROR(vlookup('3.2'!E:E,lookup!$A$6:$B$8,2,false),0)</f>
        <v>5</v>
      </c>
      <c r="G59" s="10">
        <f>IFERROR(vlookup('3.2'!F:F,lookup!$A$10:$B$12,2,false),0)</f>
        <v>5</v>
      </c>
      <c r="H59" s="10">
        <f>IFERROR(vlookup('3.2'!G:G,lookup!$A$14:$B$16,2,false),0)</f>
        <v>5</v>
      </c>
      <c r="I59" s="10">
        <f>IFERROR(vlookup('3.2'!H:H,lookup!$A$18:$B$20,2,false),0)</f>
        <v>5</v>
      </c>
      <c r="J59" s="10">
        <f>IFERROR(vlookup('3.2'!I:I,lookup!$A$22:$B$24,2,false),0)</f>
        <v>5</v>
      </c>
      <c r="K59" s="10">
        <f>IFERROR(vlookup('3.2'!J:J,lookup!$A$26:$B$28,2,false),0)</f>
        <v>5</v>
      </c>
      <c r="L59" s="14"/>
      <c r="M59" s="10">
        <v>58.0</v>
      </c>
      <c r="N59" s="11" t="str">
        <f t="shared" si="1"/>
        <v>bnco0958@signalschool.ac.th</v>
      </c>
      <c r="O59" s="12">
        <f t="shared" si="2"/>
        <v>1</v>
      </c>
      <c r="R59" s="17" t="s">
        <v>275</v>
      </c>
    </row>
    <row r="60">
      <c r="A60" s="8">
        <f>'3.2'!A:A</f>
        <v>46212.63092</v>
      </c>
      <c r="B60" s="2" t="str">
        <f>'3.2'!B:B</f>
        <v>bnco0939@signalschool.ac.th</v>
      </c>
      <c r="C60" s="2" t="str">
        <f>'3.2'!C:C</f>
        <v>ร.อ.ธัญญพัทธ์ ตรีศักดิ์ศรี , จ.ส.อ.ชัยยุทธ ดิษบุตร</v>
      </c>
      <c r="D60" s="9">
        <v>1.0</v>
      </c>
      <c r="E60" s="10">
        <f>IFERROR(vlookup('3.2'!D:D,lookup!$A$2:$B$4,2,false),0)</f>
        <v>5</v>
      </c>
      <c r="F60" s="10">
        <f>IFERROR(vlookup('3.2'!E:E,lookup!$A$6:$B$8,2,false),0)</f>
        <v>5</v>
      </c>
      <c r="G60" s="10">
        <f>IFERROR(vlookup('3.2'!F:F,lookup!$A$10:$B$12,2,false),0)</f>
        <v>5</v>
      </c>
      <c r="H60" s="10">
        <f>IFERROR(vlookup('3.2'!G:G,lookup!$A$14:$B$16,2,false),0)</f>
        <v>5</v>
      </c>
      <c r="I60" s="10">
        <f>IFERROR(vlookup('3.2'!H:H,lookup!$A$18:$B$20,2,false),0)</f>
        <v>5</v>
      </c>
      <c r="J60" s="10">
        <f>IFERROR(vlookup('3.2'!I:I,lookup!$A$22:$B$24,2,false),0)</f>
        <v>5</v>
      </c>
      <c r="K60" s="10">
        <f>IFERROR(vlookup('3.2'!J:J,lookup!$A$26:$B$28,2,false),0)</f>
        <v>5</v>
      </c>
      <c r="L60" s="10"/>
      <c r="M60" s="10">
        <v>59.0</v>
      </c>
      <c r="N60" s="11" t="str">
        <f t="shared" si="1"/>
        <v>bnco0959@signalschool.ac.th</v>
      </c>
      <c r="O60" s="12">
        <f t="shared" si="2"/>
        <v>1</v>
      </c>
      <c r="R60" s="17" t="s">
        <v>276</v>
      </c>
    </row>
    <row r="61">
      <c r="A61" s="8">
        <f>'3.2'!A:A</f>
        <v>46212.63095</v>
      </c>
      <c r="B61" s="2" t="str">
        <f>'3.2'!B:B</f>
        <v>bnco0968@signalschool.ac.th</v>
      </c>
      <c r="C61" s="2" t="str">
        <f>'3.2'!C:C</f>
        <v>ร.อ.ธัญญพัทธ์ ตรีศักดิ์ศรี , จ.ส.อ.ชัยยุทธ ดิษบุตร</v>
      </c>
      <c r="D61" s="9">
        <v>1.0</v>
      </c>
      <c r="E61" s="10">
        <f>IFERROR(vlookup('3.2'!D:D,lookup!$A$2:$B$4,2,false),0)</f>
        <v>5</v>
      </c>
      <c r="F61" s="10">
        <f>IFERROR(vlookup('3.2'!E:E,lookup!$A$6:$B$8,2,false),0)</f>
        <v>5</v>
      </c>
      <c r="G61" s="10">
        <f>IFERROR(vlookup('3.2'!F:F,lookup!$A$10:$B$12,2,false),0)</f>
        <v>5</v>
      </c>
      <c r="H61" s="10">
        <f>IFERROR(vlookup('3.2'!G:G,lookup!$A$14:$B$16,2,false),0)</f>
        <v>5</v>
      </c>
      <c r="I61" s="10">
        <f>IFERROR(vlookup('3.2'!H:H,lookup!$A$18:$B$20,2,false),0)</f>
        <v>5</v>
      </c>
      <c r="J61" s="10">
        <f>IFERROR(vlookup('3.2'!I:I,lookup!$A$22:$B$24,2,false),0)</f>
        <v>5</v>
      </c>
      <c r="K61" s="10">
        <f>IFERROR(vlookup('3.2'!J:J,lookup!$A$26:$B$28,2,false),0)</f>
        <v>5</v>
      </c>
      <c r="M61" s="10">
        <v>60.0</v>
      </c>
      <c r="N61" s="11" t="str">
        <f t="shared" si="1"/>
        <v>bnco0960@signalschool.ac.th</v>
      </c>
      <c r="O61" s="12">
        <f t="shared" si="2"/>
        <v>1</v>
      </c>
      <c r="R61" s="17" t="s">
        <v>277</v>
      </c>
    </row>
    <row r="62">
      <c r="A62" s="8">
        <f>'3.2'!A:A</f>
        <v>46212.63099</v>
      </c>
      <c r="B62" s="2" t="str">
        <f>'3.2'!B:B</f>
        <v>bnco0947@signalschool.ac.th</v>
      </c>
      <c r="C62" s="2" t="str">
        <f>'3.2'!C:C</f>
        <v>ร.อ.ธัญญพัทธ์ ตรีศักดิ์ศรี , จ.ส.อ.ชัยยุทธ ดิษบุตร</v>
      </c>
      <c r="D62" s="9">
        <v>1.0</v>
      </c>
      <c r="E62" s="10">
        <f>IFERROR(vlookup('3.2'!D:D,lookup!$A$2:$B$4,2,false),0)</f>
        <v>5</v>
      </c>
      <c r="F62" s="10">
        <f>IFERROR(vlookup('3.2'!E:E,lookup!$A$6:$B$8,2,false),0)</f>
        <v>5</v>
      </c>
      <c r="G62" s="10">
        <f>IFERROR(vlookup('3.2'!F:F,lookup!$A$10:$B$12,2,false),0)</f>
        <v>5</v>
      </c>
      <c r="H62" s="10">
        <f>IFERROR(vlookup('3.2'!G:G,lookup!$A$14:$B$16,2,false),0)</f>
        <v>5</v>
      </c>
      <c r="I62" s="10">
        <f>IFERROR(vlookup('3.2'!H:H,lookup!$A$18:$B$20,2,false),0)</f>
        <v>5</v>
      </c>
      <c r="J62" s="10">
        <f>IFERROR(vlookup('3.2'!I:I,lookup!$A$22:$B$24,2,false),0)</f>
        <v>5</v>
      </c>
      <c r="K62" s="10">
        <f>IFERROR(vlookup('3.2'!J:J,lookup!$A$26:$B$28,2,false),0)</f>
        <v>5</v>
      </c>
      <c r="M62" s="10">
        <v>61.0</v>
      </c>
      <c r="N62" s="11" t="str">
        <f t="shared" si="1"/>
        <v>bnco0961@signalschool.ac.th</v>
      </c>
      <c r="O62" s="12">
        <f t="shared" si="2"/>
        <v>1</v>
      </c>
      <c r="R62" s="17" t="s">
        <v>278</v>
      </c>
    </row>
    <row r="63">
      <c r="A63" s="8">
        <f>'3.2'!A:A</f>
        <v>46212.63104</v>
      </c>
      <c r="B63" s="2" t="str">
        <f>'3.2'!B:B</f>
        <v>bnco0969@signalschool.ac.th</v>
      </c>
      <c r="C63" s="2" t="str">
        <f>'3.2'!C:C</f>
        <v>ร.อ.ธัญญพัทธ์ ตรีศักดิ์ศรี , จ.ส.อ.ชัยยุทธ ดิษบุตร</v>
      </c>
      <c r="D63" s="9">
        <v>1.0</v>
      </c>
      <c r="E63" s="10">
        <f>IFERROR(vlookup('3.2'!D:D,lookup!$A$2:$B$4,2,false),0)</f>
        <v>5</v>
      </c>
      <c r="F63" s="10">
        <f>IFERROR(vlookup('3.2'!E:E,lookup!$A$6:$B$8,2,false),0)</f>
        <v>5</v>
      </c>
      <c r="G63" s="10">
        <f>IFERROR(vlookup('3.2'!F:F,lookup!$A$10:$B$12,2,false),0)</f>
        <v>5</v>
      </c>
      <c r="H63" s="10">
        <f>IFERROR(vlookup('3.2'!G:G,lookup!$A$14:$B$16,2,false),0)</f>
        <v>5</v>
      </c>
      <c r="I63" s="10">
        <f>IFERROR(vlookup('3.2'!H:H,lookup!$A$18:$B$20,2,false),0)</f>
        <v>5</v>
      </c>
      <c r="J63" s="10">
        <f>IFERROR(vlookup('3.2'!I:I,lookup!$A$22:$B$24,2,false),0)</f>
        <v>5</v>
      </c>
      <c r="K63" s="10">
        <f>IFERROR(vlookup('3.2'!J:J,lookup!$A$26:$B$28,2,false),0)</f>
        <v>5</v>
      </c>
      <c r="M63" s="10">
        <v>62.0</v>
      </c>
      <c r="N63" s="11" t="str">
        <f t="shared" si="1"/>
        <v>bnco0962@signalschool.ac.th</v>
      </c>
      <c r="O63" s="12">
        <f t="shared" si="2"/>
        <v>1</v>
      </c>
      <c r="R63" s="17" t="s">
        <v>279</v>
      </c>
    </row>
    <row r="64">
      <c r="A64" s="8">
        <f>'3.2'!A:A</f>
        <v>46212.63119</v>
      </c>
      <c r="B64" s="2" t="str">
        <f>'3.2'!B:B</f>
        <v>bnco0911@signalschool.ac.th</v>
      </c>
      <c r="C64" s="2" t="str">
        <f>'3.2'!C:C</f>
        <v>ร.อ.ธัญญพัทธ์ ตรีศักดิ์ศรี จ.ส.อ.ชัยยุทธ ดิษบุตร</v>
      </c>
      <c r="D64" s="9">
        <v>1.0</v>
      </c>
      <c r="E64" s="10">
        <f>IFERROR(vlookup('3.2'!D:D,lookup!$A$2:$B$4,2,false),0)</f>
        <v>5</v>
      </c>
      <c r="F64" s="10">
        <f>IFERROR(vlookup('3.2'!E:E,lookup!$A$6:$B$8,2,false),0)</f>
        <v>5</v>
      </c>
      <c r="G64" s="10">
        <f>IFERROR(vlookup('3.2'!F:F,lookup!$A$10:$B$12,2,false),0)</f>
        <v>5</v>
      </c>
      <c r="H64" s="10">
        <f>IFERROR(vlookup('3.2'!G:G,lookup!$A$14:$B$16,2,false),0)</f>
        <v>5</v>
      </c>
      <c r="I64" s="10">
        <f>IFERROR(vlookup('3.2'!H:H,lookup!$A$18:$B$20,2,false),0)</f>
        <v>5</v>
      </c>
      <c r="J64" s="10">
        <f>IFERROR(vlookup('3.2'!I:I,lookup!$A$22:$B$24,2,false),0)</f>
        <v>5</v>
      </c>
      <c r="K64" s="10">
        <f>IFERROR(vlookup('3.2'!J:J,lookup!$A$26:$B$28,2,false),0)</f>
        <v>5</v>
      </c>
      <c r="M64" s="10">
        <v>63.0</v>
      </c>
      <c r="N64" s="11" t="str">
        <f t="shared" si="1"/>
        <v>bnco0963@signalschool.ac.th</v>
      </c>
      <c r="O64" s="12">
        <f t="shared" si="2"/>
        <v>1</v>
      </c>
      <c r="R64" s="17" t="s">
        <v>280</v>
      </c>
    </row>
    <row r="65">
      <c r="A65" s="8">
        <f>'3.2'!A:A</f>
        <v>46212.63185</v>
      </c>
      <c r="B65" s="2" t="str">
        <f>'3.2'!B:B</f>
        <v>bnco0952@signalschool.ac.th</v>
      </c>
      <c r="C65" s="2" t="str">
        <f>'3.2'!C:C</f>
        <v>ร.อ.ธัญญพัทธ์ ตรีศักดิ์ศรี , จ.ส.อ.ชัยยุทธ ดิษบุตร</v>
      </c>
      <c r="D65" s="9">
        <v>1.0</v>
      </c>
      <c r="E65" s="10">
        <f>IFERROR(vlookup('3.2'!D:D,lookup!$A$2:$B$4,2,false),0)</f>
        <v>5</v>
      </c>
      <c r="F65" s="10">
        <f>IFERROR(vlookup('3.2'!E:E,lookup!$A$6:$B$8,2,false),0)</f>
        <v>5</v>
      </c>
      <c r="G65" s="10">
        <f>IFERROR(vlookup('3.2'!F:F,lookup!$A$10:$B$12,2,false),0)</f>
        <v>5</v>
      </c>
      <c r="H65" s="10">
        <f>IFERROR(vlookup('3.2'!G:G,lookup!$A$14:$B$16,2,false),0)</f>
        <v>5</v>
      </c>
      <c r="I65" s="10">
        <f>IFERROR(vlookup('3.2'!H:H,lookup!$A$18:$B$20,2,false),0)</f>
        <v>5</v>
      </c>
      <c r="J65" s="10">
        <f>IFERROR(vlookup('3.2'!I:I,lookup!$A$22:$B$24,2,false),0)</f>
        <v>5</v>
      </c>
      <c r="K65" s="10">
        <f>IFERROR(vlookup('3.2'!J:J,lookup!$A$26:$B$28,2,false),0)</f>
        <v>5</v>
      </c>
      <c r="M65" s="10">
        <v>64.0</v>
      </c>
      <c r="N65" s="11" t="str">
        <f t="shared" si="1"/>
        <v>bnco0964@signalschool.ac.th</v>
      </c>
      <c r="O65" s="12">
        <f t="shared" si="2"/>
        <v>1</v>
      </c>
      <c r="R65" s="17" t="s">
        <v>281</v>
      </c>
    </row>
    <row r="66">
      <c r="A66" s="8">
        <f>'3.2'!A:A</f>
        <v>46212.63189</v>
      </c>
      <c r="B66" s="2" t="str">
        <f>'3.2'!B:B</f>
        <v>bnco0959@signalschool.ac.th</v>
      </c>
      <c r="C66" s="2" t="str">
        <f>'3.2'!C:C</f>
        <v>ร.อ.ธัญญพัทธ์ ตรีศักดิ์ศรี , จ.ส.อ.ชัยยุทธ ดิษบุตร</v>
      </c>
      <c r="D66" s="9">
        <v>1.0</v>
      </c>
      <c r="E66" s="10">
        <f>IFERROR(vlookup('3.2'!D:D,lookup!$A$2:$B$4,2,false),0)</f>
        <v>5</v>
      </c>
      <c r="F66" s="10">
        <f>IFERROR(vlookup('3.2'!E:E,lookup!$A$6:$B$8,2,false),0)</f>
        <v>5</v>
      </c>
      <c r="G66" s="10">
        <f>IFERROR(vlookup('3.2'!F:F,lookup!$A$10:$B$12,2,false),0)</f>
        <v>5</v>
      </c>
      <c r="H66" s="10">
        <f>IFERROR(vlookup('3.2'!G:G,lookup!$A$14:$B$16,2,false),0)</f>
        <v>5</v>
      </c>
      <c r="I66" s="10">
        <f>IFERROR(vlookup('3.2'!H:H,lookup!$A$18:$B$20,2,false),0)</f>
        <v>5</v>
      </c>
      <c r="J66" s="10">
        <f>IFERROR(vlookup('3.2'!I:I,lookup!$A$22:$B$24,2,false),0)</f>
        <v>5</v>
      </c>
      <c r="K66" s="10">
        <f>IFERROR(vlookup('3.2'!J:J,lookup!$A$26:$B$28,2,false),0)</f>
        <v>5</v>
      </c>
      <c r="M66" s="10">
        <v>65.0</v>
      </c>
      <c r="N66" s="11" t="str">
        <f t="shared" si="1"/>
        <v>bnco0965@signalschool.ac.th</v>
      </c>
      <c r="O66" s="12">
        <f t="shared" si="2"/>
        <v>1</v>
      </c>
      <c r="R66" s="17" t="s">
        <v>282</v>
      </c>
    </row>
    <row r="67">
      <c r="A67" s="8">
        <f>'3.2'!A:A</f>
        <v>46212.63219</v>
      </c>
      <c r="B67" s="2" t="str">
        <f>'3.2'!B:B</f>
        <v>bnco0905@signalschool.ac.th</v>
      </c>
      <c r="C67" s="2" t="str">
        <f>'3.2'!C:C</f>
        <v> ร.อ.ธัญญพัทธ์ ตรีศักดิ์ศรี , จ.ส.อ.ชัยยุทธ ดิษบุตร</v>
      </c>
      <c r="D67" s="9">
        <v>1.0</v>
      </c>
      <c r="E67" s="10">
        <f>IFERROR(vlookup('3.2'!D:D,lookup!$A$2:$B$4,2,false),0)</f>
        <v>5</v>
      </c>
      <c r="F67" s="10">
        <f>IFERROR(vlookup('3.2'!E:E,lookup!$A$6:$B$8,2,false),0)</f>
        <v>5</v>
      </c>
      <c r="G67" s="10">
        <f>IFERROR(vlookup('3.2'!F:F,lookup!$A$10:$B$12,2,false),0)</f>
        <v>5</v>
      </c>
      <c r="H67" s="10">
        <f>IFERROR(vlookup('3.2'!G:G,lookup!$A$14:$B$16,2,false),0)</f>
        <v>5</v>
      </c>
      <c r="I67" s="10">
        <f>IFERROR(vlookup('3.2'!H:H,lookup!$A$18:$B$20,2,false),0)</f>
        <v>5</v>
      </c>
      <c r="J67" s="10">
        <f>IFERROR(vlookup('3.2'!I:I,lookup!$A$22:$B$24,2,false),0)</f>
        <v>5</v>
      </c>
      <c r="K67" s="10">
        <f>IFERROR(vlookup('3.2'!J:J,lookup!$A$26:$B$28,2,false),0)</f>
        <v>5</v>
      </c>
      <c r="M67" s="10">
        <v>66.0</v>
      </c>
      <c r="N67" s="11" t="str">
        <f t="shared" si="1"/>
        <v>bnco0966@signalschool.ac.th</v>
      </c>
      <c r="O67" s="12">
        <f t="shared" si="2"/>
        <v>1</v>
      </c>
      <c r="R67" s="17" t="s">
        <v>283</v>
      </c>
    </row>
    <row r="68">
      <c r="A68" s="8">
        <f>'3.2'!A:A</f>
        <v>46212.63246</v>
      </c>
      <c r="B68" s="2" t="str">
        <f>'3.2'!B:B</f>
        <v>bnco0974@signalschool.ac.th</v>
      </c>
      <c r="C68" s="2" t="str">
        <f>'3.2'!C:C</f>
        <v>ร.อ.ธัญญพัทธ์ ตรีศักดิ์ศรี , จ.ส.อ.ชัยยุทธ ดิษบุตร</v>
      </c>
      <c r="D68" s="9">
        <v>1.0</v>
      </c>
      <c r="E68" s="10">
        <f>IFERROR(vlookup('3.2'!D:D,lookup!$A$2:$B$4,2,false),0)</f>
        <v>5</v>
      </c>
      <c r="F68" s="10">
        <f>IFERROR(vlookup('3.2'!E:E,lookup!$A$6:$B$8,2,false),0)</f>
        <v>5</v>
      </c>
      <c r="G68" s="10">
        <f>IFERROR(vlookup('3.2'!F:F,lookup!$A$10:$B$12,2,false),0)</f>
        <v>5</v>
      </c>
      <c r="H68" s="10">
        <f>IFERROR(vlookup('3.2'!G:G,lookup!$A$14:$B$16,2,false),0)</f>
        <v>5</v>
      </c>
      <c r="I68" s="10">
        <f>IFERROR(vlookup('3.2'!H:H,lookup!$A$18:$B$20,2,false),0)</f>
        <v>5</v>
      </c>
      <c r="J68" s="10">
        <f>IFERROR(vlookup('3.2'!I:I,lookup!$A$22:$B$24,2,false),0)</f>
        <v>5</v>
      </c>
      <c r="K68" s="10">
        <f>IFERROR(vlookup('3.2'!J:J,lookup!$A$26:$B$28,2,false),0)</f>
        <v>5</v>
      </c>
      <c r="M68" s="10">
        <v>67.0</v>
      </c>
      <c r="N68" s="11" t="str">
        <f t="shared" si="1"/>
        <v>bnco0967@signalschool.ac.th</v>
      </c>
      <c r="O68" s="12">
        <f t="shared" si="2"/>
        <v>1</v>
      </c>
      <c r="R68" s="17" t="s">
        <v>284</v>
      </c>
    </row>
    <row r="69">
      <c r="A69" s="8">
        <f>'3.2'!A:A</f>
        <v>46212.63353</v>
      </c>
      <c r="B69" s="2" t="str">
        <f>'3.2'!B:B</f>
        <v>bnco0922@signalschool.ac.th</v>
      </c>
      <c r="C69" s="2" t="str">
        <f>'3.2'!C:C</f>
        <v>ร.อ.ธัญญพัทธ์ ตรีศักดิ์ศรี , จ.ส.อ.ชัยยุทธ ดิษบุตร</v>
      </c>
      <c r="D69" s="9">
        <v>1.0</v>
      </c>
      <c r="E69" s="10">
        <f>IFERROR(vlookup('3.2'!D:D,lookup!$A$2:$B$4,2,false),0)</f>
        <v>5</v>
      </c>
      <c r="F69" s="10">
        <f>IFERROR(vlookup('3.2'!E:E,lookup!$A$6:$B$8,2,false),0)</f>
        <v>5</v>
      </c>
      <c r="G69" s="10">
        <f>IFERROR(vlookup('3.2'!F:F,lookup!$A$10:$B$12,2,false),0)</f>
        <v>5</v>
      </c>
      <c r="H69" s="10">
        <f>IFERROR(vlookup('3.2'!G:G,lookup!$A$14:$B$16,2,false),0)</f>
        <v>5</v>
      </c>
      <c r="I69" s="10">
        <f>IFERROR(vlookup('3.2'!H:H,lookup!$A$18:$B$20,2,false),0)</f>
        <v>5</v>
      </c>
      <c r="J69" s="10">
        <f>IFERROR(vlookup('3.2'!I:I,lookup!$A$22:$B$24,2,false),0)</f>
        <v>5</v>
      </c>
      <c r="K69" s="10">
        <f>IFERROR(vlookup('3.2'!J:J,lookup!$A$26:$B$28,2,false),0)</f>
        <v>5</v>
      </c>
      <c r="M69" s="10">
        <v>68.0</v>
      </c>
      <c r="N69" s="11" t="str">
        <f t="shared" si="1"/>
        <v>bnco0968@signalschool.ac.th</v>
      </c>
      <c r="O69" s="12">
        <f t="shared" si="2"/>
        <v>1</v>
      </c>
      <c r="R69" s="17" t="s">
        <v>285</v>
      </c>
    </row>
    <row r="70">
      <c r="A70" s="8">
        <f>'3.2'!A:A</f>
        <v>46212.63367</v>
      </c>
      <c r="B70" s="2" t="str">
        <f>'3.2'!B:B</f>
        <v>bnco0976@signalschool.ac.th</v>
      </c>
      <c r="C70" s="2" t="str">
        <f>'3.2'!C:C</f>
        <v>จ.ส.อ.ชัยยุทธ ดิษบุตร</v>
      </c>
      <c r="D70" s="9">
        <v>1.0</v>
      </c>
      <c r="E70" s="10">
        <f>IFERROR(vlookup('3.2'!D:D,lookup!$A$2:$B$4,2,false),0)</f>
        <v>5</v>
      </c>
      <c r="F70" s="10">
        <f>IFERROR(vlookup('3.2'!E:E,lookup!$A$6:$B$8,2,false),0)</f>
        <v>5</v>
      </c>
      <c r="G70" s="10">
        <f>IFERROR(vlookup('3.2'!F:F,lookup!$A$10:$B$12,2,false),0)</f>
        <v>5</v>
      </c>
      <c r="H70" s="10">
        <f>IFERROR(vlookup('3.2'!G:G,lookup!$A$14:$B$16,2,false),0)</f>
        <v>5</v>
      </c>
      <c r="I70" s="10">
        <f>IFERROR(vlookup('3.2'!H:H,lookup!$A$18:$B$20,2,false),0)</f>
        <v>5</v>
      </c>
      <c r="J70" s="10">
        <f>IFERROR(vlookup('3.2'!I:I,lookup!$A$22:$B$24,2,false),0)</f>
        <v>5</v>
      </c>
      <c r="K70" s="10">
        <f>IFERROR(vlookup('3.2'!J:J,lookup!$A$26:$B$28,2,false),0)</f>
        <v>5</v>
      </c>
      <c r="M70" s="10">
        <v>69.0</v>
      </c>
      <c r="N70" s="11" t="str">
        <f t="shared" si="1"/>
        <v>bnco0969@signalschool.ac.th</v>
      </c>
      <c r="O70" s="12">
        <f t="shared" si="2"/>
        <v>1</v>
      </c>
      <c r="R70" s="17" t="s">
        <v>286</v>
      </c>
    </row>
    <row r="71">
      <c r="A71" s="8">
        <f>'3.2'!A:A</f>
        <v>46212.63369</v>
      </c>
      <c r="B71" s="2" t="str">
        <f>'3.2'!B:B</f>
        <v>bnco0944@signalschool.ac.th</v>
      </c>
      <c r="C71" s="2" t="str">
        <f>'3.2'!C:C</f>
        <v>ร.อ.ธัญญพัทธ์ ตรีศักดิ์ศรี </v>
      </c>
      <c r="D71" s="9">
        <v>1.0</v>
      </c>
      <c r="E71" s="10">
        <f>IFERROR(vlookup('3.2'!D:D,lookup!$A$2:$B$4,2,false),0)</f>
        <v>5</v>
      </c>
      <c r="F71" s="10">
        <f>IFERROR(vlookup('3.2'!E:E,lookup!$A$6:$B$8,2,false),0)</f>
        <v>5</v>
      </c>
      <c r="G71" s="10">
        <f>IFERROR(vlookup('3.2'!F:F,lookup!$A$10:$B$12,2,false),0)</f>
        <v>5</v>
      </c>
      <c r="H71" s="10">
        <f>IFERROR(vlookup('3.2'!G:G,lookup!$A$14:$B$16,2,false),0)</f>
        <v>5</v>
      </c>
      <c r="I71" s="10">
        <f>IFERROR(vlookup('3.2'!H:H,lookup!$A$18:$B$20,2,false),0)</f>
        <v>5</v>
      </c>
      <c r="J71" s="10">
        <f>IFERROR(vlookup('3.2'!I:I,lookup!$A$22:$B$24,2,false),0)</f>
        <v>5</v>
      </c>
      <c r="K71" s="10">
        <f>IFERROR(vlookup('3.2'!J:J,lookup!$A$26:$B$28,2,false),0)</f>
        <v>5</v>
      </c>
      <c r="M71" s="10">
        <v>70.0</v>
      </c>
      <c r="N71" s="11" t="str">
        <f t="shared" si="1"/>
        <v>bnco0970@signalschool.ac.th</v>
      </c>
      <c r="O71" s="12">
        <f t="shared" si="2"/>
        <v>1</v>
      </c>
      <c r="R71" s="17" t="s">
        <v>287</v>
      </c>
    </row>
    <row r="72">
      <c r="A72" s="8">
        <f>'3.2'!A:A</f>
        <v>46212.63514</v>
      </c>
      <c r="B72" s="2" t="str">
        <f>'3.2'!B:B</f>
        <v>bnco0966@signalschool.ac.th</v>
      </c>
      <c r="C72" s="2" t="str">
        <f>'3.2'!C:C</f>
        <v>ครู-อาจารย์ กศ.รร.ส.สส.</v>
      </c>
      <c r="D72" s="9">
        <v>1.0</v>
      </c>
      <c r="E72" s="10">
        <f>IFERROR(vlookup('3.2'!D:D,lookup!$A$2:$B$4,2,false),0)</f>
        <v>5</v>
      </c>
      <c r="F72" s="10">
        <f>IFERROR(vlookup('3.2'!E:E,lookup!$A$6:$B$8,2,false),0)</f>
        <v>5</v>
      </c>
      <c r="G72" s="10">
        <f>IFERROR(vlookup('3.2'!F:F,lookup!$A$10:$B$12,2,false),0)</f>
        <v>5</v>
      </c>
      <c r="H72" s="10">
        <f>IFERROR(vlookup('3.2'!G:G,lookup!$A$14:$B$16,2,false),0)</f>
        <v>5</v>
      </c>
      <c r="I72" s="10">
        <f>IFERROR(vlookup('3.2'!H:H,lookup!$A$18:$B$20,2,false),0)</f>
        <v>5</v>
      </c>
      <c r="J72" s="10">
        <f>IFERROR(vlookup('3.2'!I:I,lookup!$A$22:$B$24,2,false),0)</f>
        <v>5</v>
      </c>
      <c r="K72" s="10">
        <f>IFERROR(vlookup('3.2'!J:J,lookup!$A$26:$B$28,2,false),0)</f>
        <v>5</v>
      </c>
      <c r="M72" s="10">
        <v>71.0</v>
      </c>
      <c r="N72" s="11" t="str">
        <f t="shared" si="1"/>
        <v>bnco0971@signalschool.ac.th</v>
      </c>
      <c r="O72" s="12">
        <f t="shared" si="2"/>
        <v>1</v>
      </c>
      <c r="R72" s="17" t="s">
        <v>288</v>
      </c>
    </row>
    <row r="73">
      <c r="A73" s="8">
        <f>'3.2'!A:A</f>
        <v>46212.63792</v>
      </c>
      <c r="B73" s="2" t="str">
        <f>'3.2'!B:B</f>
        <v>bnco0953@signalschool.ac.th</v>
      </c>
      <c r="C73" s="2" t="str">
        <f>'3.2'!C:C</f>
        <v>ร.อ.ธัญญพัทธ์ ตรีศักดิ์ศรี , จ.ส.อ.ชัยยุทธ ดิษบุตร</v>
      </c>
      <c r="D73" s="9">
        <v>1.0</v>
      </c>
      <c r="E73" s="10">
        <f>IFERROR(vlookup('3.2'!D:D,lookup!$A$2:$B$4,2,false),0)</f>
        <v>5</v>
      </c>
      <c r="F73" s="10">
        <f>IFERROR(vlookup('3.2'!E:E,lookup!$A$6:$B$8,2,false),0)</f>
        <v>5</v>
      </c>
      <c r="G73" s="10">
        <f>IFERROR(vlookup('3.2'!F:F,lookup!$A$10:$B$12,2,false),0)</f>
        <v>5</v>
      </c>
      <c r="H73" s="10">
        <f>IFERROR(vlookup('3.2'!G:G,lookup!$A$14:$B$16,2,false),0)</f>
        <v>5</v>
      </c>
      <c r="I73" s="10">
        <f>IFERROR(vlookup('3.2'!H:H,lookup!$A$18:$B$20,2,false),0)</f>
        <v>5</v>
      </c>
      <c r="J73" s="10">
        <f>IFERROR(vlookup('3.2'!I:I,lookup!$A$22:$B$24,2,false),0)</f>
        <v>5</v>
      </c>
      <c r="K73" s="10">
        <f>IFERROR(vlookup('3.2'!J:J,lookup!$A$26:$B$28,2,false),0)</f>
        <v>5</v>
      </c>
      <c r="M73" s="10">
        <v>72.0</v>
      </c>
      <c r="N73" s="11" t="str">
        <f t="shared" si="1"/>
        <v>bnco0972@signalschool.ac.th</v>
      </c>
      <c r="O73" s="12">
        <f t="shared" si="2"/>
        <v>1</v>
      </c>
      <c r="R73" s="17" t="s">
        <v>289</v>
      </c>
    </row>
    <row r="74">
      <c r="A74" s="8">
        <f>'3.2'!A:A</f>
        <v>46212.63979</v>
      </c>
      <c r="B74" s="2" t="str">
        <f>'3.2'!B:B</f>
        <v>bnco0917@signalschool.ac.th</v>
      </c>
      <c r="C74" s="2" t="str">
        <f>'3.2'!C:C</f>
        <v>พ.ต.ไมตรี บุญเหลือม</v>
      </c>
      <c r="D74" s="9">
        <v>1.0</v>
      </c>
      <c r="E74" s="10">
        <f>IFERROR(vlookup('3.2'!D:D,lookup!$A$2:$B$4,2,false),0)</f>
        <v>5</v>
      </c>
      <c r="F74" s="10">
        <f>IFERROR(vlookup('3.2'!E:E,lookup!$A$6:$B$8,2,false),0)</f>
        <v>5</v>
      </c>
      <c r="G74" s="10">
        <f>IFERROR(vlookup('3.2'!F:F,lookup!$A$10:$B$12,2,false),0)</f>
        <v>5</v>
      </c>
      <c r="H74" s="10">
        <f>IFERROR(vlookup('3.2'!G:G,lookup!$A$14:$B$16,2,false),0)</f>
        <v>5</v>
      </c>
      <c r="I74" s="10">
        <f>IFERROR(vlookup('3.2'!H:H,lookup!$A$18:$B$20,2,false),0)</f>
        <v>5</v>
      </c>
      <c r="J74" s="10">
        <f>IFERROR(vlookup('3.2'!I:I,lookup!$A$22:$B$24,2,false),0)</f>
        <v>5</v>
      </c>
      <c r="K74" s="10">
        <f>IFERROR(vlookup('3.2'!J:J,lookup!$A$26:$B$28,2,false),0)</f>
        <v>5</v>
      </c>
      <c r="M74" s="10">
        <v>73.0</v>
      </c>
      <c r="N74" s="11" t="str">
        <f t="shared" si="1"/>
        <v>bnco0973@signalschool.ac.th</v>
      </c>
      <c r="O74" s="12">
        <f t="shared" si="2"/>
        <v>1</v>
      </c>
      <c r="R74" s="17" t="s">
        <v>290</v>
      </c>
    </row>
    <row r="75">
      <c r="A75" s="8">
        <f>'3.2'!A:A</f>
        <v>46212.64356</v>
      </c>
      <c r="B75" s="2" t="str">
        <f>'3.2'!B:B</f>
        <v>bnco0946@signalschool.ac.th</v>
      </c>
      <c r="C75" s="2" t="str">
        <f>'3.2'!C:C</f>
        <v>ร.อ.ธัญญพัทธ์ ตรีศักดิ์ศรี , จ.ส.อ.ชัยยุทธ ดิษบุตร</v>
      </c>
      <c r="D75" s="9">
        <v>1.0</v>
      </c>
      <c r="E75" s="10">
        <f>IFERROR(vlookup('3.2'!D:D,lookup!$A$2:$B$4,2,false),0)</f>
        <v>5</v>
      </c>
      <c r="F75" s="10">
        <f>IFERROR(vlookup('3.2'!E:E,lookup!$A$6:$B$8,2,false),0)</f>
        <v>5</v>
      </c>
      <c r="G75" s="10">
        <f>IFERROR(vlookup('3.2'!F:F,lookup!$A$10:$B$12,2,false),0)</f>
        <v>5</v>
      </c>
      <c r="H75" s="10">
        <f>IFERROR(vlookup('3.2'!G:G,lookup!$A$14:$B$16,2,false),0)</f>
        <v>5</v>
      </c>
      <c r="I75" s="10">
        <f>IFERROR(vlookup('3.2'!H:H,lookup!$A$18:$B$20,2,false),0)</f>
        <v>5</v>
      </c>
      <c r="J75" s="10">
        <f>IFERROR(vlookup('3.2'!I:I,lookup!$A$22:$B$24,2,false),0)</f>
        <v>5</v>
      </c>
      <c r="K75" s="10">
        <f>IFERROR(vlookup('3.2'!J:J,lookup!$A$26:$B$28,2,false),0)</f>
        <v>5</v>
      </c>
      <c r="M75" s="10">
        <v>74.0</v>
      </c>
      <c r="N75" s="11" t="str">
        <f t="shared" si="1"/>
        <v>bnco0974@signalschool.ac.th</v>
      </c>
      <c r="O75" s="12">
        <f t="shared" si="2"/>
        <v>1</v>
      </c>
      <c r="R75" s="17" t="s">
        <v>291</v>
      </c>
    </row>
    <row r="76">
      <c r="A76" s="8">
        <f>'3.2'!A:A</f>
        <v>46212.64654</v>
      </c>
      <c r="B76" s="2" t="str">
        <f>'3.2'!B:B</f>
        <v>bnco0961@signalschool.ac.th</v>
      </c>
      <c r="C76" s="2" t="str">
        <f>'3.2'!C:C</f>
        <v>.อ.ธัญญพัทธ์ ตรีศักดิ์ศรี จ.ส.อ.ชัยยุทธ ดิษบุตร</v>
      </c>
      <c r="D76" s="9">
        <v>1.0</v>
      </c>
      <c r="E76" s="10">
        <f>IFERROR(vlookup('3.2'!D:D,lookup!$A$2:$B$4,2,false),0)</f>
        <v>5</v>
      </c>
      <c r="F76" s="10">
        <f>IFERROR(vlookup('3.2'!E:E,lookup!$A$6:$B$8,2,false),0)</f>
        <v>5</v>
      </c>
      <c r="G76" s="10">
        <f>IFERROR(vlookup('3.2'!F:F,lookup!$A$10:$B$12,2,false),0)</f>
        <v>5</v>
      </c>
      <c r="H76" s="10">
        <f>IFERROR(vlookup('3.2'!G:G,lookup!$A$14:$B$16,2,false),0)</f>
        <v>5</v>
      </c>
      <c r="I76" s="10">
        <f>IFERROR(vlookup('3.2'!H:H,lookup!$A$18:$B$20,2,false),0)</f>
        <v>5</v>
      </c>
      <c r="J76" s="10">
        <f>IFERROR(vlookup('3.2'!I:I,lookup!$A$22:$B$24,2,false),0)</f>
        <v>5</v>
      </c>
      <c r="K76" s="10">
        <f>IFERROR(vlookup('3.2'!J:J,lookup!$A$26:$B$28,2,false),0)</f>
        <v>5</v>
      </c>
      <c r="M76" s="10">
        <v>75.0</v>
      </c>
      <c r="N76" s="11" t="str">
        <f t="shared" si="1"/>
        <v>bnco0975@signalschool.ac.th</v>
      </c>
      <c r="O76" s="12">
        <f t="shared" si="2"/>
        <v>1</v>
      </c>
      <c r="R76" s="17" t="s">
        <v>292</v>
      </c>
    </row>
    <row r="77">
      <c r="A77" s="8">
        <f>'3.2'!A:A</f>
        <v>46212.71424</v>
      </c>
      <c r="B77" s="2" t="str">
        <f>'3.2'!B:B</f>
        <v>bnco0954@signalschool.ac.th</v>
      </c>
      <c r="C77" s="2" t="str">
        <f>'3.2'!C:C</f>
        <v>ร.อ.ธัญญพัทธ์ ตรีศักดิ์ศรี , จ.ส.อ.ชัยยุทธ ดิษบุตร</v>
      </c>
      <c r="D77" s="9">
        <v>1.0</v>
      </c>
      <c r="E77" s="10">
        <f>IFERROR(vlookup('3.2'!D:D,lookup!$A$2:$B$4,2,false),0)</f>
        <v>5</v>
      </c>
      <c r="F77" s="10">
        <f>IFERROR(vlookup('3.2'!E:E,lookup!$A$6:$B$8,2,false),0)</f>
        <v>5</v>
      </c>
      <c r="G77" s="10">
        <f>IFERROR(vlookup('3.2'!F:F,lookup!$A$10:$B$12,2,false),0)</f>
        <v>5</v>
      </c>
      <c r="H77" s="10">
        <f>IFERROR(vlookup('3.2'!G:G,lookup!$A$14:$B$16,2,false),0)</f>
        <v>5</v>
      </c>
      <c r="I77" s="10">
        <f>IFERROR(vlookup('3.2'!H:H,lookup!$A$18:$B$20,2,false),0)</f>
        <v>5</v>
      </c>
      <c r="J77" s="10">
        <f>IFERROR(vlookup('3.2'!I:I,lookup!$A$22:$B$24,2,false),0)</f>
        <v>5</v>
      </c>
      <c r="K77" s="10">
        <f>IFERROR(vlookup('3.2'!J:J,lookup!$A$26:$B$28,2,false),0)</f>
        <v>5</v>
      </c>
      <c r="M77" s="10">
        <v>76.0</v>
      </c>
      <c r="N77" s="11" t="str">
        <f t="shared" si="1"/>
        <v>bnco0976@signalschool.ac.th</v>
      </c>
      <c r="O77" s="12">
        <f t="shared" si="2"/>
        <v>1</v>
      </c>
      <c r="R77" s="17" t="s">
        <v>293</v>
      </c>
    </row>
    <row r="78">
      <c r="A78" s="8">
        <f>'3.2'!A:A</f>
        <v>46212.83845</v>
      </c>
      <c r="B78" s="2" t="str">
        <f>'3.2'!B:B</f>
        <v>bnco0907@signalschool.ac.th</v>
      </c>
      <c r="C78" s="2" t="str">
        <f>'3.2'!C:C</f>
        <v>ร.อ.ธัญญพัทธ์ ตรีศักดิ์ศรี , จ.ส.อ.ชัยยุทธ ดิษบุตร</v>
      </c>
      <c r="D78" s="9">
        <v>1.0</v>
      </c>
      <c r="E78" s="10">
        <f>IFERROR(vlookup('3.2'!D:D,lookup!$A$2:$B$4,2,false),0)</f>
        <v>5</v>
      </c>
      <c r="F78" s="10">
        <f>IFERROR(vlookup('3.2'!E:E,lookup!$A$6:$B$8,2,false),0)</f>
        <v>5</v>
      </c>
      <c r="G78" s="10">
        <f>IFERROR(vlookup('3.2'!F:F,lookup!$A$10:$B$12,2,false),0)</f>
        <v>5</v>
      </c>
      <c r="H78" s="10">
        <f>IFERROR(vlookup('3.2'!G:G,lookup!$A$14:$B$16,2,false),0)</f>
        <v>5</v>
      </c>
      <c r="I78" s="10">
        <f>IFERROR(vlookup('3.2'!H:H,lookup!$A$18:$B$20,2,false),0)</f>
        <v>5</v>
      </c>
      <c r="J78" s="10">
        <f>IFERROR(vlookup('3.2'!I:I,lookup!$A$22:$B$24,2,false),0)</f>
        <v>5</v>
      </c>
      <c r="K78" s="10">
        <f>IFERROR(vlookup('3.2'!J:J,lookup!$A$26:$B$28,2,false),0)</f>
        <v>5</v>
      </c>
      <c r="M78" s="10">
        <v>77.0</v>
      </c>
      <c r="N78" s="11" t="str">
        <f t="shared" si="1"/>
        <v>bnco0977@signalschool.ac.th</v>
      </c>
      <c r="O78" s="12">
        <f t="shared" si="2"/>
        <v>1</v>
      </c>
      <c r="R78" s="17" t="s">
        <v>294</v>
      </c>
    </row>
    <row r="79">
      <c r="A79" s="8">
        <f>'3.2'!A:A</f>
        <v>46213.40354</v>
      </c>
      <c r="B79" s="2" t="str">
        <f>'3.2'!B:B</f>
        <v>bnco0912@signalschool.ac.th</v>
      </c>
      <c r="C79" s="2" t="str">
        <f>'3.2'!C:C</f>
        <v>ร.อ.ธัญญพัทธ์ ตรีศักดิ์ศรี , จ.ส.อ.ชัยยุทธ ดิษบุตร</v>
      </c>
      <c r="D79" s="9">
        <v>1.0</v>
      </c>
      <c r="E79" s="10">
        <f>IFERROR(vlookup('3.2'!D:D,lookup!$A$2:$B$4,2,false),0)</f>
        <v>5</v>
      </c>
      <c r="F79" s="10">
        <f>IFERROR(vlookup('3.2'!E:E,lookup!$A$6:$B$8,2,false),0)</f>
        <v>5</v>
      </c>
      <c r="G79" s="10">
        <f>IFERROR(vlookup('3.2'!F:F,lookup!$A$10:$B$12,2,false),0)</f>
        <v>5</v>
      </c>
      <c r="H79" s="10">
        <f>IFERROR(vlookup('3.2'!G:G,lookup!$A$14:$B$16,2,false),0)</f>
        <v>5</v>
      </c>
      <c r="I79" s="10">
        <f>IFERROR(vlookup('3.2'!H:H,lookup!$A$18:$B$20,2,false),0)</f>
        <v>5</v>
      </c>
      <c r="J79" s="10">
        <f>IFERROR(vlookup('3.2'!I:I,lookup!$A$22:$B$24,2,false),0)</f>
        <v>5</v>
      </c>
      <c r="K79" s="10">
        <f>IFERROR(vlookup('3.2'!J:J,lookup!$A$26:$B$28,2,false),0)</f>
        <v>5</v>
      </c>
      <c r="M79" s="10">
        <v>78.0</v>
      </c>
      <c r="N79" s="11" t="str">
        <f t="shared" si="1"/>
        <v>bnco0978@signalschool.ac.th</v>
      </c>
      <c r="O79" s="12">
        <f t="shared" si="2"/>
        <v>1</v>
      </c>
      <c r="R79" s="17" t="s">
        <v>295</v>
      </c>
    </row>
    <row r="80">
      <c r="A80" s="8">
        <f>'3.2'!A:A</f>
        <v>46213.41657</v>
      </c>
      <c r="B80" s="2" t="str">
        <f>'3.2'!B:B</f>
        <v>bnco0931@signalschool.ac.th</v>
      </c>
      <c r="C80" s="2" t="str">
        <f>'3.2'!C:C</f>
        <v>ร.อ.ธัญญพัทธ์ ตรีศักดิ์ศรี</v>
      </c>
      <c r="D80" s="9">
        <v>1.0</v>
      </c>
      <c r="E80" s="10">
        <f>IFERROR(vlookup('3.2'!D:D,lookup!$A$2:$B$4,2,false),0)</f>
        <v>5</v>
      </c>
      <c r="F80" s="10">
        <f>IFERROR(vlookup('3.2'!E:E,lookup!$A$6:$B$8,2,false),0)</f>
        <v>5</v>
      </c>
      <c r="G80" s="10">
        <f>IFERROR(vlookup('3.2'!F:F,lookup!$A$10:$B$12,2,false),0)</f>
        <v>5</v>
      </c>
      <c r="H80" s="10">
        <f>IFERROR(vlookup('3.2'!G:G,lookup!$A$14:$B$16,2,false),0)</f>
        <v>5</v>
      </c>
      <c r="I80" s="10">
        <f>IFERROR(vlookup('3.2'!H:H,lookup!$A$18:$B$20,2,false),0)</f>
        <v>5</v>
      </c>
      <c r="J80" s="10">
        <f>IFERROR(vlookup('3.2'!I:I,lookup!$A$22:$B$24,2,false),0)</f>
        <v>5</v>
      </c>
      <c r="K80" s="10">
        <f>IFERROR(vlookup('3.2'!J:J,lookup!$A$26:$B$28,2,false),0)</f>
        <v>5</v>
      </c>
      <c r="M80" s="10">
        <v>79.0</v>
      </c>
      <c r="N80" s="11" t="str">
        <f t="shared" si="1"/>
        <v>bnco0979@signalschool.ac.th</v>
      </c>
      <c r="O80" s="12">
        <f t="shared" si="2"/>
        <v>1</v>
      </c>
      <c r="R80" s="17" t="s">
        <v>296</v>
      </c>
    </row>
    <row r="81">
      <c r="A81" s="8">
        <f>'3.2'!A:A</f>
        <v>46213.46114</v>
      </c>
      <c r="B81" s="2" t="str">
        <f>'3.2'!B:B</f>
        <v>bnco0975@signalschool.ac.th</v>
      </c>
      <c r="C81" s="2" t="str">
        <f>'3.2'!C:C</f>
        <v>ร.อ.ธัญญพัทธ์ ตรีศักดิ์ศรี , จ.ส.อ.ชัยยุทธ ดิษบุต</v>
      </c>
      <c r="D81" s="9">
        <v>1.0</v>
      </c>
      <c r="E81" s="10">
        <f>IFERROR(vlookup('3.2'!D:D,lookup!$A$2:$B$4,2,false),0)</f>
        <v>5</v>
      </c>
      <c r="F81" s="10">
        <f>IFERROR(vlookup('3.2'!E:E,lookup!$A$6:$B$8,2,false),0)</f>
        <v>5</v>
      </c>
      <c r="G81" s="10">
        <f>IFERROR(vlookup('3.2'!F:F,lookup!$A$10:$B$12,2,false),0)</f>
        <v>5</v>
      </c>
      <c r="H81" s="10">
        <f>IFERROR(vlookup('3.2'!G:G,lookup!$A$14:$B$16,2,false),0)</f>
        <v>5</v>
      </c>
      <c r="I81" s="10">
        <f>IFERROR(vlookup('3.2'!H:H,lookup!$A$18:$B$20,2,false),0)</f>
        <v>5</v>
      </c>
      <c r="J81" s="10">
        <f>IFERROR(vlookup('3.2'!I:I,lookup!$A$22:$B$24,2,false),0)</f>
        <v>5</v>
      </c>
      <c r="K81" s="10">
        <f>IFERROR(vlookup('3.2'!J:J,lookup!$A$26:$B$28,2,false),0)</f>
        <v>5</v>
      </c>
      <c r="M81" s="10">
        <v>80.0</v>
      </c>
      <c r="N81" s="11" t="str">
        <f t="shared" si="1"/>
        <v>bnco0980@signalschool.ac.th</v>
      </c>
      <c r="O81" s="12">
        <f t="shared" si="2"/>
        <v>1</v>
      </c>
      <c r="R81" s="17" t="s">
        <v>297</v>
      </c>
    </row>
    <row r="82">
      <c r="A82" s="8"/>
      <c r="B82" s="2"/>
      <c r="C82" s="2"/>
      <c r="E82" s="14">
        <f t="shared" ref="E82:K82" si="3">AVERAGE(E2:E81)</f>
        <v>4.975</v>
      </c>
      <c r="F82" s="14">
        <f t="shared" si="3"/>
        <v>4.95</v>
      </c>
      <c r="G82" s="14">
        <f t="shared" si="3"/>
        <v>4.975</v>
      </c>
      <c r="H82" s="14">
        <f t="shared" si="3"/>
        <v>4.975</v>
      </c>
      <c r="I82" s="14">
        <f t="shared" si="3"/>
        <v>4.975</v>
      </c>
      <c r="J82" s="14">
        <f t="shared" si="3"/>
        <v>4.95</v>
      </c>
      <c r="K82" s="14">
        <f t="shared" si="3"/>
        <v>4.975</v>
      </c>
      <c r="L82" s="15">
        <f>AVERAGE(E82:K82)</f>
        <v>4.967857143</v>
      </c>
      <c r="N82" s="2" t="s">
        <v>298</v>
      </c>
      <c r="O82" s="10">
        <f>SUM(O2:O81)</f>
        <v>80</v>
      </c>
    </row>
    <row r="83">
      <c r="A83" s="8"/>
      <c r="B83" s="2"/>
      <c r="C83" s="2"/>
      <c r="E83" s="10"/>
      <c r="F83" s="10"/>
      <c r="G83" s="10"/>
      <c r="H83" s="10"/>
      <c r="I83" s="10"/>
      <c r="J83" s="10"/>
      <c r="K83" s="10"/>
      <c r="N83" s="2" t="s">
        <v>299</v>
      </c>
      <c r="O83" s="10">
        <f>(O82*100)/80</f>
        <v>100</v>
      </c>
    </row>
    <row r="84">
      <c r="A84" s="8"/>
      <c r="B84" s="2"/>
      <c r="C84" s="2"/>
      <c r="E84" s="10"/>
      <c r="K84" s="10"/>
    </row>
    <row r="85">
      <c r="A85" s="8"/>
      <c r="B85" s="2"/>
      <c r="C85" s="2"/>
      <c r="E85" s="10"/>
    </row>
    <row r="86">
      <c r="A86" s="8"/>
      <c r="B86" s="2"/>
      <c r="C86" s="2"/>
      <c r="E86" s="10"/>
    </row>
    <row r="87">
      <c r="A87" s="8"/>
      <c r="B87" s="2"/>
      <c r="C87" s="2"/>
      <c r="E87" s="10"/>
    </row>
    <row r="88">
      <c r="A88" s="8"/>
      <c r="B88" s="2"/>
      <c r="C88" s="2"/>
      <c r="E88" s="10"/>
    </row>
    <row r="89">
      <c r="A89" s="8"/>
      <c r="B89" s="2"/>
      <c r="C89" s="2"/>
      <c r="E89" s="10"/>
    </row>
    <row r="90">
      <c r="A90" s="8"/>
      <c r="B90" s="2"/>
      <c r="C90" s="2"/>
      <c r="E90" s="10"/>
    </row>
    <row r="91">
      <c r="A91" s="8"/>
      <c r="B91" s="2"/>
      <c r="C91" s="2"/>
      <c r="E91" s="10"/>
    </row>
    <row r="92">
      <c r="A92" s="8"/>
      <c r="B92" s="2"/>
      <c r="C92" s="2"/>
      <c r="E92" s="10"/>
    </row>
    <row r="93">
      <c r="A93" s="8"/>
      <c r="B93" s="2"/>
      <c r="C93" s="2"/>
      <c r="E93" s="10"/>
    </row>
    <row r="94">
      <c r="A94" s="8"/>
      <c r="B94" s="2"/>
      <c r="C94" s="2"/>
      <c r="E94" s="10"/>
    </row>
    <row r="95">
      <c r="A95" s="8"/>
      <c r="B95" s="2"/>
      <c r="C95" s="2"/>
      <c r="E95" s="10"/>
    </row>
    <row r="96">
      <c r="A96" s="8"/>
      <c r="B96" s="2"/>
      <c r="C96" s="2"/>
      <c r="E96" s="10"/>
    </row>
    <row r="97">
      <c r="A97" s="8"/>
      <c r="B97" s="2"/>
      <c r="C97" s="2"/>
      <c r="E97" s="10"/>
    </row>
    <row r="98">
      <c r="A98" s="8"/>
      <c r="C98" s="2"/>
      <c r="E98" s="10"/>
    </row>
    <row r="99">
      <c r="A99" s="8"/>
      <c r="C99" s="2"/>
      <c r="E99" s="10"/>
    </row>
    <row r="100">
      <c r="A100" s="8"/>
      <c r="C100" s="2"/>
    </row>
    <row r="101">
      <c r="A101" s="8"/>
      <c r="C101" s="2"/>
    </row>
    <row r="102">
      <c r="A102" s="8"/>
      <c r="C102" s="2"/>
    </row>
    <row r="103">
      <c r="A103" s="8"/>
      <c r="C103" s="2"/>
    </row>
    <row r="104">
      <c r="A104" s="8"/>
      <c r="C104" s="2"/>
    </row>
    <row r="105">
      <c r="A105" s="8"/>
      <c r="C105" s="2"/>
    </row>
    <row r="106">
      <c r="A106" s="8"/>
      <c r="C106" s="2"/>
    </row>
    <row r="107">
      <c r="A107" s="8"/>
      <c r="C107" s="2"/>
    </row>
    <row r="108">
      <c r="A108" s="8"/>
      <c r="C108" s="2"/>
    </row>
    <row r="109">
      <c r="A109" s="8"/>
      <c r="C109" s="2"/>
    </row>
    <row r="110">
      <c r="A110" s="8"/>
      <c r="C110" s="2"/>
    </row>
    <row r="111">
      <c r="A111" s="8"/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</sheetData>
  <mergeCells count="1">
    <mergeCell ref="M1:O1"/>
  </mergeCell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7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4">
        <v>46212.59219627315</v>
      </c>
      <c r="B2" s="6" t="s">
        <v>40</v>
      </c>
      <c r="C2" s="6" t="s">
        <v>509</v>
      </c>
      <c r="D2" s="6" t="s">
        <v>41</v>
      </c>
      <c r="E2" s="6" t="s">
        <v>33</v>
      </c>
      <c r="F2" s="6" t="s">
        <v>43</v>
      </c>
      <c r="G2" s="6" t="s">
        <v>44</v>
      </c>
      <c r="H2" s="6" t="s">
        <v>46</v>
      </c>
      <c r="I2" s="6" t="s">
        <v>47</v>
      </c>
      <c r="J2" s="6" t="s">
        <v>48</v>
      </c>
    </row>
    <row r="3">
      <c r="A3" s="4">
        <v>46212.618073888894</v>
      </c>
      <c r="B3" s="6" t="s">
        <v>37</v>
      </c>
      <c r="C3" s="6" t="s">
        <v>510</v>
      </c>
      <c r="D3" s="6" t="s">
        <v>15</v>
      </c>
      <c r="E3" s="6" t="s">
        <v>16</v>
      </c>
      <c r="F3" s="6" t="s">
        <v>17</v>
      </c>
      <c r="G3" s="6" t="s">
        <v>18</v>
      </c>
      <c r="H3" s="6" t="s">
        <v>19</v>
      </c>
      <c r="I3" s="6" t="s">
        <v>20</v>
      </c>
      <c r="J3" s="6" t="s">
        <v>21</v>
      </c>
      <c r="K3" s="6" t="s">
        <v>511</v>
      </c>
    </row>
    <row r="4">
      <c r="A4" s="4">
        <v>46212.61926327547</v>
      </c>
      <c r="B4" s="6" t="s">
        <v>30</v>
      </c>
      <c r="C4" s="6" t="s">
        <v>506</v>
      </c>
      <c r="D4" s="6" t="s">
        <v>15</v>
      </c>
      <c r="E4" s="6" t="s">
        <v>16</v>
      </c>
      <c r="F4" s="6" t="s">
        <v>17</v>
      </c>
      <c r="G4" s="6" t="s">
        <v>18</v>
      </c>
      <c r="H4" s="6" t="s">
        <v>19</v>
      </c>
      <c r="I4" s="6" t="s">
        <v>20</v>
      </c>
      <c r="J4" s="6" t="s">
        <v>21</v>
      </c>
      <c r="K4" s="6" t="s">
        <v>512</v>
      </c>
    </row>
    <row r="5">
      <c r="A5" s="4">
        <v>46212.619502534726</v>
      </c>
      <c r="B5" s="6" t="s">
        <v>35</v>
      </c>
      <c r="C5" s="6" t="s">
        <v>506</v>
      </c>
      <c r="D5" s="6" t="s">
        <v>15</v>
      </c>
      <c r="E5" s="6" t="s">
        <v>16</v>
      </c>
      <c r="F5" s="6" t="s">
        <v>17</v>
      </c>
      <c r="G5" s="6" t="s">
        <v>18</v>
      </c>
      <c r="H5" s="6" t="s">
        <v>19</v>
      </c>
      <c r="I5" s="6" t="s">
        <v>20</v>
      </c>
      <c r="J5" s="6" t="s">
        <v>21</v>
      </c>
    </row>
    <row r="6">
      <c r="A6" s="4">
        <v>46212.620269756946</v>
      </c>
      <c r="B6" s="6" t="s">
        <v>27</v>
      </c>
      <c r="C6" s="6" t="s">
        <v>506</v>
      </c>
      <c r="D6" s="6" t="s">
        <v>15</v>
      </c>
      <c r="E6" s="6" t="s">
        <v>16</v>
      </c>
      <c r="F6" s="6" t="s">
        <v>17</v>
      </c>
      <c r="G6" s="6" t="s">
        <v>18</v>
      </c>
      <c r="H6" s="6" t="s">
        <v>19</v>
      </c>
      <c r="I6" s="6" t="s">
        <v>20</v>
      </c>
      <c r="J6" s="6" t="s">
        <v>21</v>
      </c>
      <c r="K6" s="6" t="s">
        <v>29</v>
      </c>
    </row>
    <row r="7">
      <c r="A7" s="4">
        <v>46212.62196645833</v>
      </c>
      <c r="B7" s="6" t="s">
        <v>49</v>
      </c>
      <c r="C7" s="6" t="s">
        <v>513</v>
      </c>
      <c r="D7" s="6" t="s">
        <v>15</v>
      </c>
      <c r="E7" s="6" t="s">
        <v>16</v>
      </c>
      <c r="F7" s="6" t="s">
        <v>17</v>
      </c>
      <c r="G7" s="6" t="s">
        <v>18</v>
      </c>
      <c r="H7" s="6" t="s">
        <v>19</v>
      </c>
      <c r="I7" s="6" t="s">
        <v>20</v>
      </c>
      <c r="J7" s="6" t="s">
        <v>21</v>
      </c>
    </row>
    <row r="8">
      <c r="A8" s="4">
        <v>46212.622042083334</v>
      </c>
      <c r="B8" s="6" t="s">
        <v>11</v>
      </c>
      <c r="C8" s="6" t="s">
        <v>514</v>
      </c>
      <c r="D8" s="6" t="s">
        <v>15</v>
      </c>
      <c r="E8" s="6" t="s">
        <v>16</v>
      </c>
      <c r="F8" s="6" t="s">
        <v>17</v>
      </c>
      <c r="G8" s="6" t="s">
        <v>18</v>
      </c>
      <c r="H8" s="6" t="s">
        <v>19</v>
      </c>
      <c r="I8" s="6" t="s">
        <v>20</v>
      </c>
      <c r="J8" s="6" t="s">
        <v>21</v>
      </c>
    </row>
    <row r="9">
      <c r="A9" s="4">
        <v>46212.62237858796</v>
      </c>
      <c r="B9" s="6" t="s">
        <v>12</v>
      </c>
      <c r="C9" s="6" t="s">
        <v>510</v>
      </c>
      <c r="D9" s="6" t="s">
        <v>15</v>
      </c>
      <c r="E9" s="6" t="s">
        <v>16</v>
      </c>
      <c r="F9" s="6" t="s">
        <v>17</v>
      </c>
      <c r="G9" s="6" t="s">
        <v>18</v>
      </c>
      <c r="H9" s="6" t="s">
        <v>19</v>
      </c>
      <c r="I9" s="6" t="s">
        <v>20</v>
      </c>
      <c r="J9" s="6" t="s">
        <v>21</v>
      </c>
    </row>
    <row r="10">
      <c r="A10" s="4">
        <v>46212.624025578705</v>
      </c>
      <c r="B10" s="6" t="s">
        <v>79</v>
      </c>
      <c r="C10" s="6" t="s">
        <v>316</v>
      </c>
      <c r="D10" s="6" t="s">
        <v>15</v>
      </c>
      <c r="E10" s="6" t="s">
        <v>16</v>
      </c>
      <c r="F10" s="6" t="s">
        <v>17</v>
      </c>
      <c r="G10" s="6" t="s">
        <v>18</v>
      </c>
      <c r="H10" s="6" t="s">
        <v>19</v>
      </c>
      <c r="I10" s="6" t="s">
        <v>20</v>
      </c>
      <c r="J10" s="6" t="s">
        <v>21</v>
      </c>
    </row>
    <row r="11">
      <c r="A11" s="4">
        <v>46212.62628737268</v>
      </c>
      <c r="B11" s="6" t="s">
        <v>31</v>
      </c>
      <c r="C11" s="6" t="s">
        <v>506</v>
      </c>
      <c r="D11" s="6" t="s">
        <v>15</v>
      </c>
      <c r="E11" s="6" t="s">
        <v>16</v>
      </c>
      <c r="F11" s="6" t="s">
        <v>17</v>
      </c>
      <c r="G11" s="6" t="s">
        <v>18</v>
      </c>
      <c r="H11" s="6" t="s">
        <v>19</v>
      </c>
      <c r="I11" s="6" t="s">
        <v>20</v>
      </c>
      <c r="J11" s="6" t="s">
        <v>21</v>
      </c>
    </row>
    <row r="12">
      <c r="A12" s="4">
        <v>46212.62632524305</v>
      </c>
      <c r="B12" s="6" t="s">
        <v>57</v>
      </c>
      <c r="C12" s="6" t="s">
        <v>510</v>
      </c>
      <c r="D12" s="6" t="s">
        <v>15</v>
      </c>
      <c r="E12" s="6" t="s">
        <v>16</v>
      </c>
      <c r="F12" s="6" t="s">
        <v>17</v>
      </c>
      <c r="G12" s="6" t="s">
        <v>18</v>
      </c>
      <c r="H12" s="6" t="s">
        <v>19</v>
      </c>
      <c r="I12" s="6" t="s">
        <v>20</v>
      </c>
      <c r="J12" s="6" t="s">
        <v>21</v>
      </c>
    </row>
    <row r="13">
      <c r="A13" s="4">
        <v>46212.626454375</v>
      </c>
      <c r="B13" s="6" t="s">
        <v>106</v>
      </c>
      <c r="C13" s="6" t="s">
        <v>515</v>
      </c>
      <c r="D13" s="6" t="s">
        <v>15</v>
      </c>
      <c r="E13" s="6" t="s">
        <v>16</v>
      </c>
      <c r="F13" s="6" t="s">
        <v>17</v>
      </c>
      <c r="G13" s="6" t="s">
        <v>18</v>
      </c>
      <c r="H13" s="6" t="s">
        <v>19</v>
      </c>
      <c r="I13" s="6" t="s">
        <v>20</v>
      </c>
      <c r="J13" s="6" t="s">
        <v>21</v>
      </c>
    </row>
    <row r="14">
      <c r="A14" s="4">
        <v>46212.62651805556</v>
      </c>
      <c r="B14" s="6" t="s">
        <v>119</v>
      </c>
      <c r="C14" s="6" t="s">
        <v>510</v>
      </c>
      <c r="D14" s="6" t="s">
        <v>15</v>
      </c>
      <c r="E14" s="6" t="s">
        <v>16</v>
      </c>
      <c r="F14" s="6" t="s">
        <v>17</v>
      </c>
      <c r="G14" s="6" t="s">
        <v>18</v>
      </c>
      <c r="H14" s="6" t="s">
        <v>19</v>
      </c>
      <c r="I14" s="6" t="s">
        <v>20</v>
      </c>
      <c r="J14" s="6" t="s">
        <v>21</v>
      </c>
    </row>
    <row r="15">
      <c r="A15" s="4">
        <v>46212.6266284375</v>
      </c>
      <c r="B15" s="6" t="s">
        <v>166</v>
      </c>
      <c r="C15" s="6" t="s">
        <v>514</v>
      </c>
      <c r="D15" s="6" t="s">
        <v>15</v>
      </c>
      <c r="E15" s="6" t="s">
        <v>16</v>
      </c>
      <c r="F15" s="6" t="s">
        <v>17</v>
      </c>
      <c r="G15" s="6" t="s">
        <v>18</v>
      </c>
      <c r="H15" s="6" t="s">
        <v>19</v>
      </c>
      <c r="I15" s="6" t="s">
        <v>20</v>
      </c>
      <c r="J15" s="6" t="s">
        <v>21</v>
      </c>
    </row>
    <row r="16">
      <c r="A16" s="4">
        <v>46212.62739501157</v>
      </c>
      <c r="B16" s="6" t="s">
        <v>74</v>
      </c>
      <c r="C16" s="6" t="s">
        <v>514</v>
      </c>
      <c r="D16" s="6" t="s">
        <v>15</v>
      </c>
      <c r="E16" s="6" t="s">
        <v>16</v>
      </c>
      <c r="F16" s="6" t="s">
        <v>17</v>
      </c>
      <c r="G16" s="6" t="s">
        <v>18</v>
      </c>
      <c r="H16" s="6" t="s">
        <v>19</v>
      </c>
      <c r="I16" s="6" t="s">
        <v>20</v>
      </c>
      <c r="J16" s="6" t="s">
        <v>21</v>
      </c>
    </row>
    <row r="17">
      <c r="A17" s="4">
        <v>46212.62754478009</v>
      </c>
      <c r="B17" s="6" t="s">
        <v>42</v>
      </c>
      <c r="C17" s="6" t="s">
        <v>459</v>
      </c>
      <c r="D17" s="6" t="s">
        <v>15</v>
      </c>
      <c r="E17" s="6" t="s">
        <v>16</v>
      </c>
      <c r="F17" s="6" t="s">
        <v>17</v>
      </c>
      <c r="G17" s="6" t="s">
        <v>18</v>
      </c>
      <c r="H17" s="6" t="s">
        <v>19</v>
      </c>
      <c r="I17" s="6" t="s">
        <v>20</v>
      </c>
      <c r="J17" s="6" t="s">
        <v>21</v>
      </c>
    </row>
    <row r="18">
      <c r="A18" s="4">
        <v>46212.62798174769</v>
      </c>
      <c r="B18" s="6" t="s">
        <v>63</v>
      </c>
      <c r="C18" s="6" t="s">
        <v>516</v>
      </c>
      <c r="D18" s="6" t="s">
        <v>15</v>
      </c>
      <c r="E18" s="6" t="s">
        <v>16</v>
      </c>
      <c r="F18" s="6" t="s">
        <v>17</v>
      </c>
      <c r="G18" s="6" t="s">
        <v>18</v>
      </c>
      <c r="H18" s="6" t="s">
        <v>19</v>
      </c>
      <c r="I18" s="6" t="s">
        <v>20</v>
      </c>
      <c r="J18" s="6" t="s">
        <v>21</v>
      </c>
    </row>
    <row r="19">
      <c r="A19" s="4">
        <v>46212.62807548611</v>
      </c>
      <c r="B19" s="6" t="s">
        <v>108</v>
      </c>
      <c r="C19" s="6" t="s">
        <v>510</v>
      </c>
      <c r="D19" s="6" t="s">
        <v>15</v>
      </c>
      <c r="E19" s="6" t="s">
        <v>16</v>
      </c>
      <c r="F19" s="6" t="s">
        <v>17</v>
      </c>
      <c r="G19" s="6" t="s">
        <v>18</v>
      </c>
      <c r="H19" s="6" t="s">
        <v>19</v>
      </c>
      <c r="I19" s="6" t="s">
        <v>20</v>
      </c>
      <c r="J19" s="6" t="s">
        <v>21</v>
      </c>
    </row>
    <row r="20">
      <c r="A20" s="4">
        <v>46212.628121828704</v>
      </c>
      <c r="B20" s="6" t="s">
        <v>142</v>
      </c>
      <c r="C20" s="6" t="s">
        <v>517</v>
      </c>
      <c r="D20" s="6" t="s">
        <v>15</v>
      </c>
      <c r="E20" s="6" t="s">
        <v>16</v>
      </c>
      <c r="F20" s="6" t="s">
        <v>17</v>
      </c>
      <c r="G20" s="6" t="s">
        <v>18</v>
      </c>
      <c r="H20" s="6" t="s">
        <v>19</v>
      </c>
      <c r="I20" s="6" t="s">
        <v>20</v>
      </c>
      <c r="J20" s="6" t="s">
        <v>21</v>
      </c>
    </row>
    <row r="21">
      <c r="A21" s="4">
        <v>46212.62828247686</v>
      </c>
      <c r="B21" s="6" t="s">
        <v>110</v>
      </c>
      <c r="C21" s="6" t="s">
        <v>510</v>
      </c>
      <c r="D21" s="6" t="s">
        <v>15</v>
      </c>
      <c r="E21" s="6" t="s">
        <v>16</v>
      </c>
      <c r="F21" s="6" t="s">
        <v>17</v>
      </c>
      <c r="G21" s="6" t="s">
        <v>18</v>
      </c>
      <c r="H21" s="6" t="s">
        <v>19</v>
      </c>
      <c r="I21" s="6" t="s">
        <v>20</v>
      </c>
      <c r="J21" s="6" t="s">
        <v>21</v>
      </c>
    </row>
    <row r="22">
      <c r="A22" s="4">
        <v>46212.62858952546</v>
      </c>
      <c r="B22" s="6" t="s">
        <v>76</v>
      </c>
      <c r="C22" s="6" t="s">
        <v>506</v>
      </c>
      <c r="D22" s="6" t="s">
        <v>15</v>
      </c>
      <c r="E22" s="6" t="s">
        <v>16</v>
      </c>
      <c r="F22" s="6" t="s">
        <v>17</v>
      </c>
      <c r="G22" s="6" t="s">
        <v>18</v>
      </c>
      <c r="H22" s="6" t="s">
        <v>19</v>
      </c>
      <c r="I22" s="6" t="s">
        <v>20</v>
      </c>
      <c r="J22" s="6" t="s">
        <v>21</v>
      </c>
    </row>
    <row r="23">
      <c r="A23" s="4">
        <v>46212.62877130787</v>
      </c>
      <c r="B23" s="6" t="s">
        <v>98</v>
      </c>
      <c r="C23" s="6" t="s">
        <v>518</v>
      </c>
      <c r="D23" s="6" t="s">
        <v>15</v>
      </c>
      <c r="E23" s="6" t="s">
        <v>16</v>
      </c>
      <c r="F23" s="6" t="s">
        <v>17</v>
      </c>
      <c r="G23" s="6" t="s">
        <v>18</v>
      </c>
      <c r="H23" s="6" t="s">
        <v>19</v>
      </c>
      <c r="I23" s="6" t="s">
        <v>20</v>
      </c>
      <c r="J23" s="6" t="s">
        <v>21</v>
      </c>
      <c r="K23" s="6" t="s">
        <v>34</v>
      </c>
    </row>
    <row r="24">
      <c r="A24" s="4">
        <v>46212.628815034725</v>
      </c>
      <c r="B24" s="6" t="s">
        <v>93</v>
      </c>
      <c r="C24" s="6" t="s">
        <v>510</v>
      </c>
      <c r="D24" s="6" t="s">
        <v>15</v>
      </c>
      <c r="E24" s="6" t="s">
        <v>16</v>
      </c>
      <c r="F24" s="6" t="s">
        <v>17</v>
      </c>
      <c r="G24" s="6" t="s">
        <v>18</v>
      </c>
      <c r="H24" s="6" t="s">
        <v>19</v>
      </c>
      <c r="I24" s="6" t="s">
        <v>20</v>
      </c>
      <c r="J24" s="6" t="s">
        <v>21</v>
      </c>
    </row>
    <row r="25">
      <c r="A25" s="4">
        <v>46212.62897494213</v>
      </c>
      <c r="B25" s="6" t="s">
        <v>144</v>
      </c>
      <c r="C25" s="6" t="s">
        <v>510</v>
      </c>
      <c r="D25" s="6" t="s">
        <v>15</v>
      </c>
      <c r="E25" s="6" t="s">
        <v>16</v>
      </c>
      <c r="F25" s="6" t="s">
        <v>17</v>
      </c>
      <c r="G25" s="6" t="s">
        <v>18</v>
      </c>
      <c r="H25" s="6" t="s">
        <v>19</v>
      </c>
      <c r="I25" s="6" t="s">
        <v>20</v>
      </c>
      <c r="J25" s="6" t="s">
        <v>21</v>
      </c>
    </row>
    <row r="26">
      <c r="A26" s="4">
        <v>46212.629206909725</v>
      </c>
      <c r="B26" s="6" t="s">
        <v>25</v>
      </c>
      <c r="C26" s="6" t="s">
        <v>510</v>
      </c>
      <c r="D26" s="6" t="s">
        <v>15</v>
      </c>
      <c r="E26" s="6" t="s">
        <v>16</v>
      </c>
      <c r="F26" s="6" t="s">
        <v>17</v>
      </c>
      <c r="G26" s="6" t="s">
        <v>18</v>
      </c>
      <c r="H26" s="6" t="s">
        <v>19</v>
      </c>
      <c r="I26" s="6" t="s">
        <v>20</v>
      </c>
      <c r="J26" s="6" t="s">
        <v>21</v>
      </c>
    </row>
    <row r="27">
      <c r="A27" s="4">
        <v>46212.62939606482</v>
      </c>
      <c r="B27" s="6" t="s">
        <v>105</v>
      </c>
      <c r="C27" s="6" t="s">
        <v>495</v>
      </c>
      <c r="D27" s="6" t="s">
        <v>15</v>
      </c>
      <c r="E27" s="6" t="s">
        <v>16</v>
      </c>
      <c r="F27" s="6" t="s">
        <v>17</v>
      </c>
      <c r="G27" s="6" t="s">
        <v>18</v>
      </c>
      <c r="H27" s="6" t="s">
        <v>19</v>
      </c>
      <c r="I27" s="6" t="s">
        <v>20</v>
      </c>
      <c r="J27" s="6" t="s">
        <v>21</v>
      </c>
    </row>
    <row r="28">
      <c r="A28" s="4">
        <v>46212.62977759259</v>
      </c>
      <c r="B28" s="6" t="s">
        <v>54</v>
      </c>
      <c r="C28" s="6" t="s">
        <v>510</v>
      </c>
      <c r="D28" s="6" t="s">
        <v>15</v>
      </c>
      <c r="E28" s="6" t="s">
        <v>16</v>
      </c>
      <c r="F28" s="6" t="s">
        <v>17</v>
      </c>
      <c r="G28" s="6" t="s">
        <v>18</v>
      </c>
      <c r="H28" s="6" t="s">
        <v>19</v>
      </c>
      <c r="I28" s="6" t="s">
        <v>20</v>
      </c>
      <c r="J28" s="6" t="s">
        <v>21</v>
      </c>
    </row>
    <row r="29">
      <c r="A29" s="4">
        <v>46212.6298790625</v>
      </c>
      <c r="B29" s="6" t="s">
        <v>22</v>
      </c>
      <c r="C29" s="6" t="s">
        <v>514</v>
      </c>
      <c r="D29" s="6" t="s">
        <v>15</v>
      </c>
      <c r="E29" s="6" t="s">
        <v>16</v>
      </c>
      <c r="F29" s="6" t="s">
        <v>17</v>
      </c>
      <c r="G29" s="6" t="s">
        <v>18</v>
      </c>
      <c r="H29" s="6" t="s">
        <v>19</v>
      </c>
      <c r="I29" s="6" t="s">
        <v>20</v>
      </c>
      <c r="J29" s="6" t="s">
        <v>21</v>
      </c>
    </row>
    <row r="30">
      <c r="A30" s="4">
        <v>46212.63026792824</v>
      </c>
      <c r="B30" s="6" t="s">
        <v>124</v>
      </c>
      <c r="C30" s="6" t="s">
        <v>510</v>
      </c>
      <c r="D30" s="6" t="s">
        <v>15</v>
      </c>
      <c r="E30" s="6" t="s">
        <v>16</v>
      </c>
      <c r="F30" s="6" t="s">
        <v>17</v>
      </c>
      <c r="G30" s="6" t="s">
        <v>18</v>
      </c>
      <c r="H30" s="6" t="s">
        <v>19</v>
      </c>
      <c r="I30" s="6" t="s">
        <v>20</v>
      </c>
      <c r="J30" s="6" t="s">
        <v>21</v>
      </c>
    </row>
    <row r="31">
      <c r="A31" s="4">
        <v>46212.63035502315</v>
      </c>
      <c r="B31" s="6" t="s">
        <v>62</v>
      </c>
      <c r="C31" s="6" t="s">
        <v>510</v>
      </c>
      <c r="D31" s="6" t="s">
        <v>15</v>
      </c>
      <c r="E31" s="6" t="s">
        <v>16</v>
      </c>
      <c r="F31" s="6" t="s">
        <v>17</v>
      </c>
      <c r="G31" s="6" t="s">
        <v>18</v>
      </c>
      <c r="H31" s="6" t="s">
        <v>19</v>
      </c>
      <c r="I31" s="6" t="s">
        <v>20</v>
      </c>
      <c r="J31" s="6" t="s">
        <v>21</v>
      </c>
    </row>
    <row r="32">
      <c r="A32" s="4">
        <v>46212.63046060185</v>
      </c>
      <c r="B32" s="6" t="s">
        <v>53</v>
      </c>
      <c r="C32" s="6" t="s">
        <v>510</v>
      </c>
      <c r="D32" s="6" t="s">
        <v>15</v>
      </c>
      <c r="E32" s="6" t="s">
        <v>16</v>
      </c>
      <c r="F32" s="6" t="s">
        <v>17</v>
      </c>
      <c r="G32" s="6" t="s">
        <v>18</v>
      </c>
      <c r="H32" s="6" t="s">
        <v>19</v>
      </c>
      <c r="I32" s="6" t="s">
        <v>20</v>
      </c>
      <c r="J32" s="6" t="s">
        <v>21</v>
      </c>
    </row>
    <row r="33">
      <c r="A33" s="4">
        <v>46212.6305031713</v>
      </c>
      <c r="B33" s="6" t="s">
        <v>118</v>
      </c>
      <c r="C33" s="6" t="s">
        <v>519</v>
      </c>
      <c r="D33" s="6" t="s">
        <v>15</v>
      </c>
      <c r="E33" s="6" t="s">
        <v>16</v>
      </c>
      <c r="F33" s="6" t="s">
        <v>17</v>
      </c>
      <c r="G33" s="6" t="s">
        <v>18</v>
      </c>
      <c r="H33" s="6" t="s">
        <v>19</v>
      </c>
      <c r="I33" s="6" t="s">
        <v>20</v>
      </c>
      <c r="J33" s="6" t="s">
        <v>21</v>
      </c>
    </row>
    <row r="34">
      <c r="A34" s="4">
        <v>46212.630524699074</v>
      </c>
      <c r="B34" s="6" t="s">
        <v>94</v>
      </c>
      <c r="C34" s="6" t="s">
        <v>506</v>
      </c>
      <c r="D34" s="6" t="s">
        <v>15</v>
      </c>
      <c r="E34" s="6" t="s">
        <v>16</v>
      </c>
      <c r="F34" s="6" t="s">
        <v>17</v>
      </c>
      <c r="G34" s="6" t="s">
        <v>18</v>
      </c>
      <c r="H34" s="6" t="s">
        <v>19</v>
      </c>
      <c r="I34" s="6" t="s">
        <v>20</v>
      </c>
      <c r="J34" s="6" t="s">
        <v>21</v>
      </c>
    </row>
    <row r="35">
      <c r="A35" s="4">
        <v>46212.63053628472</v>
      </c>
      <c r="B35" s="6" t="s">
        <v>104</v>
      </c>
      <c r="C35" s="6" t="s">
        <v>510</v>
      </c>
      <c r="D35" s="6" t="s">
        <v>15</v>
      </c>
      <c r="E35" s="6" t="s">
        <v>16</v>
      </c>
      <c r="F35" s="6" t="s">
        <v>17</v>
      </c>
      <c r="G35" s="6" t="s">
        <v>18</v>
      </c>
      <c r="H35" s="6" t="s">
        <v>19</v>
      </c>
      <c r="I35" s="6" t="s">
        <v>20</v>
      </c>
      <c r="J35" s="6" t="s">
        <v>21</v>
      </c>
    </row>
    <row r="36">
      <c r="A36" s="4">
        <v>46212.630543136576</v>
      </c>
      <c r="B36" s="6" t="s">
        <v>82</v>
      </c>
      <c r="C36" s="6" t="s">
        <v>510</v>
      </c>
      <c r="D36" s="6" t="s">
        <v>15</v>
      </c>
      <c r="E36" s="6" t="s">
        <v>16</v>
      </c>
      <c r="F36" s="6" t="s">
        <v>17</v>
      </c>
      <c r="G36" s="6" t="s">
        <v>18</v>
      </c>
      <c r="H36" s="6" t="s">
        <v>19</v>
      </c>
      <c r="I36" s="6" t="s">
        <v>20</v>
      </c>
      <c r="J36" s="6" t="s">
        <v>21</v>
      </c>
    </row>
    <row r="37">
      <c r="A37" s="4">
        <v>46212.63054957176</v>
      </c>
      <c r="B37" s="6" t="s">
        <v>91</v>
      </c>
      <c r="C37" s="6" t="s">
        <v>510</v>
      </c>
      <c r="D37" s="6" t="s">
        <v>15</v>
      </c>
      <c r="E37" s="6" t="s">
        <v>16</v>
      </c>
      <c r="F37" s="6" t="s">
        <v>17</v>
      </c>
      <c r="G37" s="6" t="s">
        <v>18</v>
      </c>
      <c r="H37" s="6" t="s">
        <v>19</v>
      </c>
      <c r="I37" s="6" t="s">
        <v>20</v>
      </c>
      <c r="J37" s="6" t="s">
        <v>21</v>
      </c>
    </row>
    <row r="38">
      <c r="A38" s="4">
        <v>46212.630598449075</v>
      </c>
      <c r="B38" s="6" t="s">
        <v>55</v>
      </c>
      <c r="C38" s="6" t="s">
        <v>519</v>
      </c>
      <c r="D38" s="6" t="s">
        <v>15</v>
      </c>
      <c r="E38" s="6" t="s">
        <v>16</v>
      </c>
      <c r="F38" s="6" t="s">
        <v>17</v>
      </c>
      <c r="G38" s="6" t="s">
        <v>18</v>
      </c>
      <c r="H38" s="6" t="s">
        <v>19</v>
      </c>
      <c r="I38" s="6" t="s">
        <v>20</v>
      </c>
      <c r="J38" s="6" t="s">
        <v>21</v>
      </c>
    </row>
    <row r="39">
      <c r="A39" s="4">
        <v>46212.63061310185</v>
      </c>
      <c r="B39" s="6" t="s">
        <v>95</v>
      </c>
      <c r="C39" s="6" t="s">
        <v>520</v>
      </c>
      <c r="D39" s="6" t="s">
        <v>15</v>
      </c>
      <c r="E39" s="6" t="s">
        <v>16</v>
      </c>
      <c r="F39" s="6" t="s">
        <v>17</v>
      </c>
      <c r="G39" s="6" t="s">
        <v>18</v>
      </c>
      <c r="H39" s="6" t="s">
        <v>19</v>
      </c>
      <c r="I39" s="6" t="s">
        <v>20</v>
      </c>
      <c r="J39" s="6" t="s">
        <v>21</v>
      </c>
    </row>
    <row r="40">
      <c r="A40" s="4">
        <v>46212.63064209491</v>
      </c>
      <c r="B40" s="6" t="s">
        <v>71</v>
      </c>
      <c r="C40" s="6" t="s">
        <v>510</v>
      </c>
      <c r="D40" s="6" t="s">
        <v>15</v>
      </c>
      <c r="E40" s="6" t="s">
        <v>16</v>
      </c>
      <c r="F40" s="6" t="s">
        <v>17</v>
      </c>
      <c r="G40" s="6" t="s">
        <v>18</v>
      </c>
      <c r="H40" s="6" t="s">
        <v>19</v>
      </c>
      <c r="I40" s="6" t="s">
        <v>20</v>
      </c>
      <c r="J40" s="6" t="s">
        <v>21</v>
      </c>
    </row>
    <row r="41">
      <c r="A41" s="4">
        <v>46212.63064658565</v>
      </c>
      <c r="B41" s="6" t="s">
        <v>123</v>
      </c>
      <c r="C41" s="6" t="s">
        <v>506</v>
      </c>
      <c r="D41" s="6" t="s">
        <v>15</v>
      </c>
      <c r="E41" s="6" t="s">
        <v>16</v>
      </c>
      <c r="F41" s="6" t="s">
        <v>17</v>
      </c>
      <c r="G41" s="6" t="s">
        <v>18</v>
      </c>
      <c r="H41" s="6" t="s">
        <v>19</v>
      </c>
      <c r="I41" s="6" t="s">
        <v>20</v>
      </c>
      <c r="J41" s="6" t="s">
        <v>21</v>
      </c>
    </row>
    <row r="42">
      <c r="A42" s="4">
        <v>46212.630647743055</v>
      </c>
      <c r="B42" s="6" t="s">
        <v>121</v>
      </c>
      <c r="C42" s="6" t="s">
        <v>510</v>
      </c>
      <c r="D42" s="6" t="s">
        <v>15</v>
      </c>
      <c r="E42" s="6" t="s">
        <v>16</v>
      </c>
      <c r="F42" s="6" t="s">
        <v>17</v>
      </c>
      <c r="G42" s="6" t="s">
        <v>18</v>
      </c>
      <c r="H42" s="6" t="s">
        <v>19</v>
      </c>
      <c r="I42" s="6" t="s">
        <v>20</v>
      </c>
      <c r="J42" s="6" t="s">
        <v>21</v>
      </c>
    </row>
    <row r="43">
      <c r="A43" s="4">
        <v>46212.63065710648</v>
      </c>
      <c r="B43" s="6" t="s">
        <v>134</v>
      </c>
      <c r="C43" s="6" t="s">
        <v>510</v>
      </c>
      <c r="D43" s="6" t="s">
        <v>15</v>
      </c>
      <c r="E43" s="6" t="s">
        <v>16</v>
      </c>
      <c r="F43" s="6" t="s">
        <v>17</v>
      </c>
      <c r="G43" s="6" t="s">
        <v>18</v>
      </c>
      <c r="H43" s="6" t="s">
        <v>19</v>
      </c>
      <c r="I43" s="6" t="s">
        <v>20</v>
      </c>
      <c r="J43" s="6" t="s">
        <v>21</v>
      </c>
    </row>
    <row r="44">
      <c r="A44" s="4">
        <v>46212.63067571759</v>
      </c>
      <c r="B44" s="6" t="s">
        <v>75</v>
      </c>
      <c r="C44" s="6" t="s">
        <v>510</v>
      </c>
      <c r="D44" s="6" t="s">
        <v>15</v>
      </c>
      <c r="E44" s="6" t="s">
        <v>16</v>
      </c>
      <c r="F44" s="6" t="s">
        <v>17</v>
      </c>
      <c r="G44" s="6" t="s">
        <v>18</v>
      </c>
      <c r="H44" s="6" t="s">
        <v>19</v>
      </c>
      <c r="I44" s="6" t="s">
        <v>20</v>
      </c>
      <c r="J44" s="6" t="s">
        <v>21</v>
      </c>
    </row>
    <row r="45">
      <c r="A45" s="4">
        <v>46212.63077788195</v>
      </c>
      <c r="B45" s="6" t="s">
        <v>101</v>
      </c>
      <c r="C45" s="6" t="s">
        <v>506</v>
      </c>
      <c r="D45" s="6" t="s">
        <v>15</v>
      </c>
      <c r="E45" s="6" t="s">
        <v>16</v>
      </c>
      <c r="F45" s="6" t="s">
        <v>17</v>
      </c>
      <c r="G45" s="6" t="s">
        <v>18</v>
      </c>
      <c r="H45" s="6" t="s">
        <v>19</v>
      </c>
      <c r="I45" s="6" t="s">
        <v>20</v>
      </c>
      <c r="J45" s="6" t="s">
        <v>21</v>
      </c>
    </row>
    <row r="46">
      <c r="A46" s="4">
        <v>46212.63087620371</v>
      </c>
      <c r="B46" s="6" t="s">
        <v>102</v>
      </c>
      <c r="C46" s="6" t="s">
        <v>514</v>
      </c>
      <c r="D46" s="6" t="s">
        <v>15</v>
      </c>
      <c r="E46" s="6" t="s">
        <v>16</v>
      </c>
      <c r="F46" s="6" t="s">
        <v>17</v>
      </c>
      <c r="G46" s="6" t="s">
        <v>18</v>
      </c>
      <c r="H46" s="6" t="s">
        <v>19</v>
      </c>
      <c r="I46" s="6" t="s">
        <v>20</v>
      </c>
      <c r="J46" s="6" t="s">
        <v>21</v>
      </c>
    </row>
    <row r="47">
      <c r="A47" s="4">
        <v>46212.63090043981</v>
      </c>
      <c r="B47" s="6" t="s">
        <v>88</v>
      </c>
      <c r="C47" s="6" t="s">
        <v>519</v>
      </c>
      <c r="D47" s="6" t="s">
        <v>15</v>
      </c>
      <c r="E47" s="6" t="s">
        <v>16</v>
      </c>
      <c r="F47" s="6" t="s">
        <v>17</v>
      </c>
      <c r="G47" s="6" t="s">
        <v>18</v>
      </c>
      <c r="H47" s="6" t="s">
        <v>19</v>
      </c>
      <c r="I47" s="6" t="s">
        <v>20</v>
      </c>
      <c r="J47" s="6" t="s">
        <v>21</v>
      </c>
    </row>
    <row r="48">
      <c r="A48" s="4">
        <v>46212.63090875</v>
      </c>
      <c r="B48" s="6" t="s">
        <v>137</v>
      </c>
      <c r="C48" s="6" t="s">
        <v>521</v>
      </c>
      <c r="D48" s="6" t="s">
        <v>15</v>
      </c>
      <c r="E48" s="6" t="s">
        <v>16</v>
      </c>
      <c r="F48" s="6" t="s">
        <v>17</v>
      </c>
      <c r="G48" s="6" t="s">
        <v>18</v>
      </c>
      <c r="H48" s="6" t="s">
        <v>19</v>
      </c>
      <c r="I48" s="6" t="s">
        <v>20</v>
      </c>
      <c r="J48" s="6" t="s">
        <v>21</v>
      </c>
    </row>
    <row r="49">
      <c r="A49" s="4">
        <v>46212.630941944444</v>
      </c>
      <c r="B49" s="6" t="s">
        <v>138</v>
      </c>
      <c r="C49" s="6" t="s">
        <v>522</v>
      </c>
      <c r="D49" s="6" t="s">
        <v>15</v>
      </c>
      <c r="E49" s="6" t="s">
        <v>16</v>
      </c>
      <c r="F49" s="6" t="s">
        <v>17</v>
      </c>
      <c r="G49" s="6" t="s">
        <v>18</v>
      </c>
      <c r="H49" s="6" t="s">
        <v>19</v>
      </c>
      <c r="I49" s="6" t="s">
        <v>20</v>
      </c>
      <c r="J49" s="6" t="s">
        <v>21</v>
      </c>
    </row>
    <row r="50">
      <c r="A50" s="4">
        <v>46212.631036273146</v>
      </c>
      <c r="B50" s="6" t="s">
        <v>100</v>
      </c>
      <c r="C50" s="6" t="s">
        <v>514</v>
      </c>
      <c r="D50" s="6" t="s">
        <v>15</v>
      </c>
      <c r="E50" s="6" t="s">
        <v>16</v>
      </c>
      <c r="F50" s="6" t="s">
        <v>17</v>
      </c>
      <c r="G50" s="6" t="s">
        <v>18</v>
      </c>
      <c r="H50" s="6" t="s">
        <v>19</v>
      </c>
      <c r="I50" s="6" t="s">
        <v>20</v>
      </c>
      <c r="J50" s="6" t="s">
        <v>21</v>
      </c>
    </row>
    <row r="51">
      <c r="A51" s="4">
        <v>46212.6310425</v>
      </c>
      <c r="B51" s="6" t="s">
        <v>147</v>
      </c>
      <c r="C51" s="6" t="s">
        <v>510</v>
      </c>
      <c r="D51" s="6" t="s">
        <v>15</v>
      </c>
      <c r="E51" s="6" t="s">
        <v>16</v>
      </c>
      <c r="F51" s="6" t="s">
        <v>17</v>
      </c>
      <c r="G51" s="6" t="s">
        <v>18</v>
      </c>
      <c r="H51" s="6" t="s">
        <v>19</v>
      </c>
      <c r="I51" s="6" t="s">
        <v>20</v>
      </c>
      <c r="J51" s="6" t="s">
        <v>21</v>
      </c>
    </row>
    <row r="52">
      <c r="A52" s="4">
        <v>46212.63107208333</v>
      </c>
      <c r="B52" s="6" t="s">
        <v>81</v>
      </c>
      <c r="C52" s="6" t="s">
        <v>510</v>
      </c>
      <c r="D52" s="6" t="s">
        <v>15</v>
      </c>
      <c r="E52" s="6" t="s">
        <v>16</v>
      </c>
      <c r="F52" s="6" t="s">
        <v>17</v>
      </c>
      <c r="G52" s="6" t="s">
        <v>18</v>
      </c>
      <c r="H52" s="6" t="s">
        <v>19</v>
      </c>
      <c r="I52" s="6" t="s">
        <v>20</v>
      </c>
      <c r="J52" s="6" t="s">
        <v>21</v>
      </c>
    </row>
    <row r="53">
      <c r="A53" s="4">
        <v>46212.63117298611</v>
      </c>
      <c r="B53" s="6" t="s">
        <v>59</v>
      </c>
      <c r="C53" s="6" t="s">
        <v>521</v>
      </c>
      <c r="D53" s="6" t="s">
        <v>15</v>
      </c>
      <c r="E53" s="6" t="s">
        <v>16</v>
      </c>
      <c r="F53" s="6" t="s">
        <v>17</v>
      </c>
      <c r="G53" s="6" t="s">
        <v>18</v>
      </c>
      <c r="H53" s="6" t="s">
        <v>19</v>
      </c>
      <c r="I53" s="6" t="s">
        <v>20</v>
      </c>
      <c r="J53" s="6" t="s">
        <v>21</v>
      </c>
    </row>
    <row r="54">
      <c r="A54" s="4">
        <v>46212.631176724535</v>
      </c>
      <c r="B54" s="6" t="s">
        <v>65</v>
      </c>
      <c r="C54" s="6" t="s">
        <v>510</v>
      </c>
      <c r="D54" s="6" t="s">
        <v>15</v>
      </c>
      <c r="E54" s="6" t="s">
        <v>33</v>
      </c>
      <c r="F54" s="6" t="s">
        <v>17</v>
      </c>
      <c r="G54" s="6" t="s">
        <v>18</v>
      </c>
      <c r="H54" s="6" t="s">
        <v>46</v>
      </c>
      <c r="I54" s="6" t="s">
        <v>47</v>
      </c>
      <c r="J54" s="6" t="s">
        <v>21</v>
      </c>
    </row>
    <row r="55">
      <c r="A55" s="4">
        <v>46212.6312190625</v>
      </c>
      <c r="B55" s="6" t="s">
        <v>128</v>
      </c>
      <c r="C55" s="6" t="s">
        <v>510</v>
      </c>
      <c r="D55" s="6" t="s">
        <v>15</v>
      </c>
      <c r="E55" s="6" t="s">
        <v>16</v>
      </c>
      <c r="F55" s="6" t="s">
        <v>17</v>
      </c>
      <c r="G55" s="6" t="s">
        <v>18</v>
      </c>
      <c r="H55" s="6" t="s">
        <v>19</v>
      </c>
      <c r="I55" s="6" t="s">
        <v>20</v>
      </c>
      <c r="J55" s="6" t="s">
        <v>21</v>
      </c>
      <c r="K55" s="6" t="s">
        <v>29</v>
      </c>
    </row>
    <row r="56">
      <c r="A56" s="4">
        <v>46212.63122862269</v>
      </c>
      <c r="B56" s="6" t="s">
        <v>67</v>
      </c>
      <c r="C56" s="6" t="s">
        <v>514</v>
      </c>
      <c r="D56" s="6" t="s">
        <v>15</v>
      </c>
      <c r="E56" s="6" t="s">
        <v>16</v>
      </c>
      <c r="F56" s="6" t="s">
        <v>17</v>
      </c>
      <c r="G56" s="6" t="s">
        <v>18</v>
      </c>
      <c r="H56" s="6" t="s">
        <v>19</v>
      </c>
      <c r="I56" s="6" t="s">
        <v>20</v>
      </c>
      <c r="J56" s="6" t="s">
        <v>21</v>
      </c>
    </row>
    <row r="57">
      <c r="A57" s="4">
        <v>46212.63137079861</v>
      </c>
      <c r="B57" s="6" t="s">
        <v>158</v>
      </c>
      <c r="C57" s="6" t="s">
        <v>510</v>
      </c>
      <c r="D57" s="6" t="s">
        <v>15</v>
      </c>
      <c r="E57" s="6" t="s">
        <v>16</v>
      </c>
      <c r="F57" s="6" t="s">
        <v>17</v>
      </c>
      <c r="G57" s="6" t="s">
        <v>18</v>
      </c>
      <c r="H57" s="6" t="s">
        <v>19</v>
      </c>
      <c r="I57" s="6" t="s">
        <v>20</v>
      </c>
      <c r="J57" s="6" t="s">
        <v>21</v>
      </c>
    </row>
    <row r="58">
      <c r="A58" s="4">
        <v>46212.6314183912</v>
      </c>
      <c r="B58" s="6" t="s">
        <v>151</v>
      </c>
      <c r="C58" s="6" t="s">
        <v>506</v>
      </c>
      <c r="D58" s="6" t="s">
        <v>15</v>
      </c>
      <c r="E58" s="6" t="s">
        <v>16</v>
      </c>
      <c r="F58" s="6" t="s">
        <v>17</v>
      </c>
      <c r="G58" s="6" t="s">
        <v>18</v>
      </c>
      <c r="H58" s="6" t="s">
        <v>19</v>
      </c>
      <c r="I58" s="6" t="s">
        <v>20</v>
      </c>
      <c r="J58" s="6" t="s">
        <v>21</v>
      </c>
    </row>
    <row r="59">
      <c r="A59" s="4">
        <v>46212.63145288195</v>
      </c>
      <c r="B59" s="6" t="s">
        <v>61</v>
      </c>
      <c r="C59" s="6" t="s">
        <v>510</v>
      </c>
      <c r="D59" s="6" t="s">
        <v>15</v>
      </c>
      <c r="E59" s="6" t="s">
        <v>16</v>
      </c>
      <c r="F59" s="6" t="s">
        <v>17</v>
      </c>
      <c r="G59" s="6" t="s">
        <v>18</v>
      </c>
      <c r="H59" s="6" t="s">
        <v>19</v>
      </c>
      <c r="I59" s="6" t="s">
        <v>20</v>
      </c>
      <c r="J59" s="6" t="s">
        <v>21</v>
      </c>
    </row>
    <row r="60">
      <c r="A60" s="4">
        <v>46212.6317109375</v>
      </c>
      <c r="B60" s="6" t="s">
        <v>125</v>
      </c>
      <c r="C60" s="6" t="s">
        <v>510</v>
      </c>
      <c r="D60" s="6" t="s">
        <v>15</v>
      </c>
      <c r="E60" s="6" t="s">
        <v>16</v>
      </c>
      <c r="F60" s="6" t="s">
        <v>17</v>
      </c>
      <c r="G60" s="6" t="s">
        <v>18</v>
      </c>
      <c r="H60" s="6" t="s">
        <v>19</v>
      </c>
      <c r="I60" s="6" t="s">
        <v>20</v>
      </c>
      <c r="J60" s="6" t="s">
        <v>21</v>
      </c>
    </row>
    <row r="61">
      <c r="A61" s="4">
        <v>46212.63174642361</v>
      </c>
      <c r="B61" s="6" t="s">
        <v>92</v>
      </c>
      <c r="C61" s="6" t="s">
        <v>523</v>
      </c>
      <c r="D61" s="6" t="s">
        <v>15</v>
      </c>
      <c r="E61" s="6" t="s">
        <v>16</v>
      </c>
      <c r="F61" s="6" t="s">
        <v>17</v>
      </c>
      <c r="G61" s="6" t="s">
        <v>18</v>
      </c>
      <c r="H61" s="6" t="s">
        <v>19</v>
      </c>
      <c r="I61" s="6" t="s">
        <v>20</v>
      </c>
      <c r="J61" s="6" t="s">
        <v>21</v>
      </c>
    </row>
    <row r="62">
      <c r="A62" s="4">
        <v>46212.631979791666</v>
      </c>
      <c r="B62" s="6" t="s">
        <v>86</v>
      </c>
      <c r="C62" s="6" t="s">
        <v>524</v>
      </c>
      <c r="D62" s="6" t="s">
        <v>15</v>
      </c>
      <c r="E62" s="6" t="s">
        <v>16</v>
      </c>
      <c r="F62" s="6" t="s">
        <v>17</v>
      </c>
      <c r="G62" s="6" t="s">
        <v>18</v>
      </c>
      <c r="H62" s="6" t="s">
        <v>19</v>
      </c>
      <c r="I62" s="6" t="s">
        <v>20</v>
      </c>
      <c r="J62" s="6" t="s">
        <v>21</v>
      </c>
    </row>
    <row r="63">
      <c r="A63" s="4">
        <v>46212.63226233797</v>
      </c>
      <c r="B63" s="6" t="s">
        <v>148</v>
      </c>
      <c r="C63" s="6" t="s">
        <v>510</v>
      </c>
      <c r="D63" s="6" t="s">
        <v>15</v>
      </c>
      <c r="E63" s="6" t="s">
        <v>16</v>
      </c>
      <c r="F63" s="6" t="s">
        <v>17</v>
      </c>
      <c r="G63" s="6" t="s">
        <v>18</v>
      </c>
      <c r="H63" s="6" t="s">
        <v>19</v>
      </c>
      <c r="I63" s="6" t="s">
        <v>20</v>
      </c>
      <c r="J63" s="6" t="s">
        <v>21</v>
      </c>
    </row>
    <row r="64">
      <c r="A64" s="4">
        <v>46212.632337511575</v>
      </c>
      <c r="B64" s="6" t="s">
        <v>114</v>
      </c>
      <c r="C64" s="6" t="s">
        <v>510</v>
      </c>
      <c r="D64" s="6" t="s">
        <v>15</v>
      </c>
      <c r="E64" s="6" t="s">
        <v>16</v>
      </c>
      <c r="F64" s="6" t="s">
        <v>17</v>
      </c>
      <c r="G64" s="6" t="s">
        <v>18</v>
      </c>
      <c r="H64" s="6" t="s">
        <v>19</v>
      </c>
      <c r="I64" s="6" t="s">
        <v>20</v>
      </c>
      <c r="J64" s="6" t="s">
        <v>21</v>
      </c>
    </row>
    <row r="65">
      <c r="A65" s="4">
        <v>46212.63239087963</v>
      </c>
      <c r="B65" s="6" t="s">
        <v>73</v>
      </c>
      <c r="C65" s="6" t="s">
        <v>510</v>
      </c>
      <c r="D65" s="6" t="s">
        <v>15</v>
      </c>
      <c r="E65" s="6" t="s">
        <v>16</v>
      </c>
      <c r="F65" s="6" t="s">
        <v>17</v>
      </c>
      <c r="G65" s="6" t="s">
        <v>18</v>
      </c>
      <c r="H65" s="6" t="s">
        <v>19</v>
      </c>
      <c r="I65" s="6" t="s">
        <v>20</v>
      </c>
      <c r="J65" s="6" t="s">
        <v>21</v>
      </c>
    </row>
    <row r="66">
      <c r="A66" s="4">
        <v>46212.632523946755</v>
      </c>
      <c r="B66" s="6" t="s">
        <v>135</v>
      </c>
      <c r="C66" s="6" t="s">
        <v>510</v>
      </c>
      <c r="D66" s="6" t="s">
        <v>15</v>
      </c>
      <c r="E66" s="6" t="s">
        <v>16</v>
      </c>
      <c r="F66" s="6" t="s">
        <v>17</v>
      </c>
      <c r="G66" s="6" t="s">
        <v>18</v>
      </c>
      <c r="H66" s="6" t="s">
        <v>19</v>
      </c>
      <c r="I66" s="6" t="s">
        <v>20</v>
      </c>
      <c r="J66" s="6" t="s">
        <v>21</v>
      </c>
    </row>
    <row r="67">
      <c r="A67" s="4">
        <v>46212.6325865625</v>
      </c>
      <c r="B67" s="6" t="s">
        <v>68</v>
      </c>
      <c r="C67" s="6" t="s">
        <v>510</v>
      </c>
      <c r="D67" s="6" t="s">
        <v>15</v>
      </c>
      <c r="E67" s="6" t="s">
        <v>16</v>
      </c>
      <c r="F67" s="6" t="s">
        <v>17</v>
      </c>
      <c r="G67" s="6" t="s">
        <v>18</v>
      </c>
      <c r="H67" s="6" t="s">
        <v>19</v>
      </c>
      <c r="I67" s="6" t="s">
        <v>20</v>
      </c>
      <c r="J67" s="6" t="s">
        <v>21</v>
      </c>
    </row>
    <row r="68">
      <c r="A68" s="4">
        <v>46212.63358659722</v>
      </c>
      <c r="B68" s="6" t="s">
        <v>51</v>
      </c>
      <c r="C68" s="6" t="s">
        <v>510</v>
      </c>
      <c r="D68" s="6" t="s">
        <v>15</v>
      </c>
      <c r="E68" s="6" t="s">
        <v>16</v>
      </c>
      <c r="F68" s="6" t="s">
        <v>17</v>
      </c>
      <c r="G68" s="6" t="s">
        <v>18</v>
      </c>
      <c r="H68" s="6" t="s">
        <v>46</v>
      </c>
      <c r="I68" s="6" t="s">
        <v>47</v>
      </c>
      <c r="J68" s="6" t="s">
        <v>48</v>
      </c>
    </row>
    <row r="69">
      <c r="A69" s="4">
        <v>46212.634060937504</v>
      </c>
      <c r="B69" s="6" t="s">
        <v>89</v>
      </c>
      <c r="C69" s="6" t="s">
        <v>510</v>
      </c>
      <c r="D69" s="6" t="s">
        <v>15</v>
      </c>
      <c r="E69" s="6" t="s">
        <v>16</v>
      </c>
      <c r="F69" s="6" t="s">
        <v>17</v>
      </c>
      <c r="G69" s="6" t="s">
        <v>18</v>
      </c>
      <c r="H69" s="6" t="s">
        <v>19</v>
      </c>
      <c r="I69" s="6" t="s">
        <v>20</v>
      </c>
      <c r="J69" s="6" t="s">
        <v>21</v>
      </c>
      <c r="K69" s="6" t="s">
        <v>29</v>
      </c>
    </row>
    <row r="70">
      <c r="A70" s="4">
        <v>46212.634481851856</v>
      </c>
      <c r="B70" s="6" t="s">
        <v>133</v>
      </c>
      <c r="C70" s="6" t="s">
        <v>525</v>
      </c>
      <c r="D70" s="6" t="s">
        <v>15</v>
      </c>
      <c r="E70" s="6" t="s">
        <v>16</v>
      </c>
      <c r="F70" s="6" t="s">
        <v>17</v>
      </c>
      <c r="G70" s="6" t="s">
        <v>18</v>
      </c>
      <c r="H70" s="6" t="s">
        <v>19</v>
      </c>
      <c r="I70" s="6" t="s">
        <v>20</v>
      </c>
      <c r="J70" s="6" t="s">
        <v>21</v>
      </c>
    </row>
    <row r="71">
      <c r="A71" s="4">
        <v>46212.634566203706</v>
      </c>
      <c r="B71" s="6" t="s">
        <v>130</v>
      </c>
      <c r="C71" s="6" t="s">
        <v>526</v>
      </c>
      <c r="D71" s="6" t="s">
        <v>15</v>
      </c>
      <c r="E71" s="6" t="s">
        <v>16</v>
      </c>
      <c r="F71" s="6" t="s">
        <v>17</v>
      </c>
      <c r="G71" s="6" t="s">
        <v>18</v>
      </c>
      <c r="H71" s="6" t="s">
        <v>19</v>
      </c>
      <c r="I71" s="6" t="s">
        <v>20</v>
      </c>
      <c r="J71" s="6" t="s">
        <v>21</v>
      </c>
    </row>
    <row r="72">
      <c r="A72" s="4">
        <v>46212.63521245371</v>
      </c>
      <c r="B72" s="6" t="s">
        <v>161</v>
      </c>
      <c r="C72" s="6" t="s">
        <v>510</v>
      </c>
      <c r="D72" s="6" t="s">
        <v>15</v>
      </c>
      <c r="E72" s="6" t="s">
        <v>16</v>
      </c>
      <c r="F72" s="6" t="s">
        <v>17</v>
      </c>
      <c r="G72" s="6" t="s">
        <v>18</v>
      </c>
      <c r="H72" s="6" t="s">
        <v>19</v>
      </c>
      <c r="I72" s="6" t="s">
        <v>20</v>
      </c>
      <c r="J72" s="6" t="s">
        <v>21</v>
      </c>
    </row>
    <row r="73">
      <c r="A73" s="4">
        <v>46212.6390277662</v>
      </c>
      <c r="B73" s="6" t="s">
        <v>113</v>
      </c>
      <c r="C73" s="6" t="s">
        <v>495</v>
      </c>
      <c r="D73" s="6" t="s">
        <v>15</v>
      </c>
      <c r="E73" s="6" t="s">
        <v>16</v>
      </c>
      <c r="F73" s="6" t="s">
        <v>17</v>
      </c>
      <c r="G73" s="6" t="s">
        <v>18</v>
      </c>
      <c r="H73" s="6" t="s">
        <v>19</v>
      </c>
      <c r="I73" s="6" t="s">
        <v>20</v>
      </c>
      <c r="J73" s="6" t="s">
        <v>21</v>
      </c>
    </row>
    <row r="74">
      <c r="A74" s="4">
        <v>46212.64099216435</v>
      </c>
      <c r="B74" s="6" t="s">
        <v>169</v>
      </c>
      <c r="C74" s="6" t="s">
        <v>506</v>
      </c>
      <c r="D74" s="6" t="s">
        <v>15</v>
      </c>
      <c r="E74" s="6" t="s">
        <v>16</v>
      </c>
      <c r="F74" s="6" t="s">
        <v>17</v>
      </c>
      <c r="G74" s="6" t="s">
        <v>18</v>
      </c>
      <c r="H74" s="6" t="s">
        <v>19</v>
      </c>
      <c r="I74" s="6" t="s">
        <v>20</v>
      </c>
      <c r="J74" s="6" t="s">
        <v>21</v>
      </c>
    </row>
    <row r="75">
      <c r="A75" s="4">
        <v>46212.647941550924</v>
      </c>
      <c r="B75" s="6" t="s">
        <v>162</v>
      </c>
      <c r="C75" s="6" t="s">
        <v>527</v>
      </c>
      <c r="D75" s="6" t="s">
        <v>15</v>
      </c>
      <c r="E75" s="6" t="s">
        <v>16</v>
      </c>
      <c r="F75" s="6" t="s">
        <v>17</v>
      </c>
      <c r="G75" s="6" t="s">
        <v>18</v>
      </c>
      <c r="H75" s="6" t="s">
        <v>19</v>
      </c>
      <c r="I75" s="6" t="s">
        <v>20</v>
      </c>
      <c r="J75" s="6" t="s">
        <v>21</v>
      </c>
    </row>
    <row r="76">
      <c r="A76" s="4">
        <v>46212.65512866898</v>
      </c>
      <c r="B76" s="6" t="s">
        <v>150</v>
      </c>
      <c r="C76" s="6" t="s">
        <v>510</v>
      </c>
      <c r="D76" s="6" t="s">
        <v>15</v>
      </c>
      <c r="E76" s="6" t="s">
        <v>16</v>
      </c>
      <c r="F76" s="6" t="s">
        <v>17</v>
      </c>
      <c r="G76" s="6" t="s">
        <v>18</v>
      </c>
      <c r="H76" s="6" t="s">
        <v>19</v>
      </c>
      <c r="I76" s="6" t="s">
        <v>20</v>
      </c>
      <c r="J76" s="6" t="s">
        <v>21</v>
      </c>
    </row>
    <row r="77">
      <c r="A77" s="4">
        <v>46212.714738194445</v>
      </c>
      <c r="B77" s="6" t="s">
        <v>70</v>
      </c>
      <c r="C77" s="6" t="s">
        <v>510</v>
      </c>
      <c r="D77" s="6" t="s">
        <v>15</v>
      </c>
      <c r="E77" s="6" t="s">
        <v>16</v>
      </c>
      <c r="F77" s="6" t="s">
        <v>17</v>
      </c>
      <c r="G77" s="6" t="s">
        <v>18</v>
      </c>
      <c r="H77" s="6" t="s">
        <v>19</v>
      </c>
      <c r="I77" s="6" t="s">
        <v>20</v>
      </c>
      <c r="J77" s="6" t="s">
        <v>21</v>
      </c>
    </row>
    <row r="78">
      <c r="A78" s="4">
        <v>46212.83878081018</v>
      </c>
      <c r="B78" s="6" t="s">
        <v>155</v>
      </c>
      <c r="C78" s="6" t="s">
        <v>521</v>
      </c>
      <c r="D78" s="6" t="s">
        <v>15</v>
      </c>
      <c r="E78" s="6" t="s">
        <v>16</v>
      </c>
      <c r="F78" s="6" t="s">
        <v>17</v>
      </c>
      <c r="G78" s="6" t="s">
        <v>18</v>
      </c>
      <c r="H78" s="6" t="s">
        <v>19</v>
      </c>
      <c r="I78" s="6" t="s">
        <v>20</v>
      </c>
      <c r="J78" s="6" t="s">
        <v>21</v>
      </c>
    </row>
    <row r="79">
      <c r="A79" s="4">
        <v>46213.39855100695</v>
      </c>
      <c r="B79" s="6" t="s">
        <v>126</v>
      </c>
      <c r="C79" s="6" t="s">
        <v>506</v>
      </c>
      <c r="D79" s="6" t="s">
        <v>15</v>
      </c>
      <c r="E79" s="6" t="s">
        <v>16</v>
      </c>
      <c r="F79" s="6" t="s">
        <v>17</v>
      </c>
      <c r="G79" s="6" t="s">
        <v>18</v>
      </c>
      <c r="H79" s="6" t="s">
        <v>19</v>
      </c>
      <c r="I79" s="6" t="s">
        <v>20</v>
      </c>
      <c r="J79" s="6" t="s">
        <v>21</v>
      </c>
    </row>
    <row r="80">
      <c r="A80" s="4">
        <v>46213.425614074076</v>
      </c>
      <c r="B80" s="6" t="s">
        <v>171</v>
      </c>
      <c r="C80" s="6" t="s">
        <v>506</v>
      </c>
      <c r="D80" s="6" t="s">
        <v>15</v>
      </c>
      <c r="E80" s="6" t="s">
        <v>16</v>
      </c>
      <c r="F80" s="6" t="s">
        <v>17</v>
      </c>
      <c r="G80" s="6" t="s">
        <v>18</v>
      </c>
      <c r="H80" s="6" t="s">
        <v>19</v>
      </c>
      <c r="I80" s="6" t="s">
        <v>20</v>
      </c>
      <c r="J80" s="6" t="s">
        <v>21</v>
      </c>
    </row>
    <row r="81">
      <c r="A81" s="4">
        <v>46213.461938657405</v>
      </c>
      <c r="B81" s="6" t="s">
        <v>172</v>
      </c>
      <c r="C81" s="6" t="s">
        <v>510</v>
      </c>
      <c r="D81" s="6" t="s">
        <v>15</v>
      </c>
      <c r="E81" s="6" t="s">
        <v>16</v>
      </c>
      <c r="F81" s="6" t="s">
        <v>17</v>
      </c>
      <c r="G81" s="6" t="s">
        <v>18</v>
      </c>
      <c r="H81" s="6" t="s">
        <v>46</v>
      </c>
      <c r="I81" s="6" t="s">
        <v>47</v>
      </c>
      <c r="J81" s="6" t="s">
        <v>21</v>
      </c>
      <c r="K81" s="6" t="s">
        <v>115</v>
      </c>
    </row>
  </sheetData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4" max="4" width="2.13"/>
    <col customWidth="1" min="14" max="14" width="24.5"/>
  </cols>
  <sheetData>
    <row r="1">
      <c r="A1" s="2" t="s">
        <v>0</v>
      </c>
      <c r="B1" s="2" t="s">
        <v>1</v>
      </c>
      <c r="C1" s="3" t="s">
        <v>2</v>
      </c>
      <c r="D1" s="5"/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3" t="s">
        <v>9</v>
      </c>
      <c r="L1" s="2"/>
      <c r="M1" s="7" t="s">
        <v>24</v>
      </c>
    </row>
    <row r="2">
      <c r="A2" s="8">
        <f>'4.1'!A:A</f>
        <v>46212.5922</v>
      </c>
      <c r="B2" s="2" t="str">
        <f>'4.1'!B:B</f>
        <v>bnco0906@signalschool.ac.th</v>
      </c>
      <c r="C2" s="2" t="str">
        <f>'4.1'!C:C</f>
        <v>ครู-อาจารย์ รร.ส.สส.</v>
      </c>
      <c r="D2" s="9">
        <v>1.0</v>
      </c>
      <c r="E2" s="10">
        <f>IFERROR(vlookup('4.1'!D:D,lookup!$A$2:$B$4,2,false),0)</f>
        <v>3</v>
      </c>
      <c r="F2" s="10">
        <f>IFERROR(vlookup('4.1'!E:E,lookup!$A$6:$B$8,2,false),0)</f>
        <v>3</v>
      </c>
      <c r="G2" s="10">
        <f>IFERROR(vlookup('4.1'!F:F,lookup!$A$10:$B$12,2,false),0)</f>
        <v>3</v>
      </c>
      <c r="H2" s="10">
        <f>IFERROR(vlookup('4.1'!G:G,lookup!$A$14:$B$16,2,false),0)</f>
        <v>3</v>
      </c>
      <c r="I2" s="10">
        <f>IFERROR(vlookup('4.1'!H:H,lookup!$A$18:$B$20,2,false),0)</f>
        <v>3</v>
      </c>
      <c r="J2" s="10">
        <f>IFERROR(vlookup('4.1'!I:I,lookup!$A$22:$B$24,2,false),0)</f>
        <v>3</v>
      </c>
      <c r="K2" s="10">
        <f>IFERROR(vlookup('4.1'!J:J,lookup!$A$26:$B$28,2,false),0)</f>
        <v>3</v>
      </c>
      <c r="L2" s="2"/>
      <c r="M2" s="10">
        <v>1.0</v>
      </c>
      <c r="N2" s="11" t="str">
        <f t="shared" ref="N2:N81" si="1">CONCAT(R2,"@signalschool.ac.th")</f>
        <v>bnco0901@signalschool.ac.th</v>
      </c>
      <c r="O2" s="12">
        <f t="shared" ref="O2:O81" si="2">IFERROR(VLOOKUP(N2,B$2:D$81,3,FALSE),0)</f>
        <v>1</v>
      </c>
      <c r="R2" s="17" t="s">
        <v>116</v>
      </c>
    </row>
    <row r="3">
      <c r="A3" s="8">
        <f>'4.1'!A:A</f>
        <v>46212.61807</v>
      </c>
      <c r="B3" s="2" t="str">
        <f>'4.1'!B:B</f>
        <v>bnco0920@signalschool.ac.th</v>
      </c>
      <c r="C3" s="2" t="str">
        <f>'4.1'!C:C</f>
        <v>ครู - อาจารย์ กศ.รร.ส.สส.</v>
      </c>
      <c r="D3" s="9">
        <v>1.0</v>
      </c>
      <c r="E3" s="10">
        <f>IFERROR(vlookup('4.1'!D:D,lookup!$A$2:$B$4,2,false),0)</f>
        <v>5</v>
      </c>
      <c r="F3" s="10">
        <f>IFERROR(vlookup('4.1'!E:E,lookup!$A$6:$B$8,2,false),0)</f>
        <v>5</v>
      </c>
      <c r="G3" s="10">
        <f>IFERROR(vlookup('4.1'!F:F,lookup!$A$10:$B$12,2,false),0)</f>
        <v>5</v>
      </c>
      <c r="H3" s="10">
        <f>IFERROR(vlookup('4.1'!G:G,lookup!$A$14:$B$16,2,false),0)</f>
        <v>5</v>
      </c>
      <c r="I3" s="10">
        <f>IFERROR(vlookup('4.1'!H:H,lookup!$A$18:$B$20,2,false),0)</f>
        <v>5</v>
      </c>
      <c r="J3" s="10">
        <f>IFERROR(vlookup('4.1'!I:I,lookup!$A$22:$B$24,2,false),0)</f>
        <v>5</v>
      </c>
      <c r="K3" s="10">
        <f>IFERROR(vlookup('4.1'!J:J,lookup!$A$26:$B$28,2,false),0)</f>
        <v>5</v>
      </c>
      <c r="L3" s="2"/>
      <c r="M3" s="10">
        <v>2.0</v>
      </c>
      <c r="N3" s="11" t="str">
        <f t="shared" si="1"/>
        <v>bnco0902@signalschool.ac.th</v>
      </c>
      <c r="O3" s="12">
        <f t="shared" si="2"/>
        <v>1</v>
      </c>
      <c r="R3" s="17" t="s">
        <v>157</v>
      </c>
    </row>
    <row r="4">
      <c r="A4" s="8">
        <f>'4.1'!A:A</f>
        <v>46212.61926</v>
      </c>
      <c r="B4" s="2" t="str">
        <f>'4.1'!B:B</f>
        <v>bnco0950@signalschool.ac.th</v>
      </c>
      <c r="C4" s="2" t="str">
        <f>'4.1'!C:C</f>
        <v>ครู-อาจารย์ กศ.รร.ส.สส.</v>
      </c>
      <c r="D4" s="9">
        <v>1.0</v>
      </c>
      <c r="E4" s="10">
        <f>IFERROR(vlookup('4.1'!D:D,lookup!$A$2:$B$4,2,false),0)</f>
        <v>5</v>
      </c>
      <c r="F4" s="10">
        <f>IFERROR(vlookup('4.1'!E:E,lookup!$A$6:$B$8,2,false),0)</f>
        <v>5</v>
      </c>
      <c r="G4" s="10">
        <f>IFERROR(vlookup('4.1'!F:F,lookup!$A$10:$B$12,2,false),0)</f>
        <v>5</v>
      </c>
      <c r="H4" s="10">
        <f>IFERROR(vlookup('4.1'!G:G,lookup!$A$14:$B$16,2,false),0)</f>
        <v>5</v>
      </c>
      <c r="I4" s="10">
        <f>IFERROR(vlookup('4.1'!H:H,lookup!$A$18:$B$20,2,false),0)</f>
        <v>5</v>
      </c>
      <c r="J4" s="10">
        <f>IFERROR(vlookup('4.1'!I:I,lookup!$A$22:$B$24,2,false),0)</f>
        <v>5</v>
      </c>
      <c r="K4" s="10">
        <f>IFERROR(vlookup('4.1'!J:J,lookup!$A$26:$B$28,2,false),0)</f>
        <v>5</v>
      </c>
      <c r="L4" s="2"/>
      <c r="M4" s="10">
        <v>3.0</v>
      </c>
      <c r="N4" s="11" t="str">
        <f t="shared" si="1"/>
        <v>bnco0903@signalschool.ac.th</v>
      </c>
      <c r="O4" s="12">
        <f t="shared" si="2"/>
        <v>1</v>
      </c>
      <c r="R4" s="17" t="s">
        <v>182</v>
      </c>
    </row>
    <row r="5">
      <c r="A5" s="8">
        <f>'4.1'!A:A</f>
        <v>46212.6195</v>
      </c>
      <c r="B5" s="2" t="str">
        <f>'4.1'!B:B</f>
        <v>bnco0951@signalschool.ac.th</v>
      </c>
      <c r="C5" s="2" t="str">
        <f>'4.1'!C:C</f>
        <v>ครู-อาจารย์ กศ.รร.ส.สส.</v>
      </c>
      <c r="D5" s="9">
        <v>1.0</v>
      </c>
      <c r="E5" s="10">
        <f>IFERROR(vlookup('4.1'!D:D,lookup!$A$2:$B$4,2,false),0)</f>
        <v>5</v>
      </c>
      <c r="F5" s="10">
        <f>IFERROR(vlookup('4.1'!E:E,lookup!$A$6:$B$8,2,false),0)</f>
        <v>5</v>
      </c>
      <c r="G5" s="10">
        <f>IFERROR(vlookup('4.1'!F:F,lookup!$A$10:$B$12,2,false),0)</f>
        <v>5</v>
      </c>
      <c r="H5" s="10">
        <f>IFERROR(vlookup('4.1'!G:G,lookup!$A$14:$B$16,2,false),0)</f>
        <v>5</v>
      </c>
      <c r="I5" s="10">
        <f>IFERROR(vlookup('4.1'!H:H,lookup!$A$18:$B$20,2,false),0)</f>
        <v>5</v>
      </c>
      <c r="J5" s="10">
        <f>IFERROR(vlookup('4.1'!I:I,lookup!$A$22:$B$24,2,false),0)</f>
        <v>5</v>
      </c>
      <c r="K5" s="10">
        <f>IFERROR(vlookup('4.1'!J:J,lookup!$A$26:$B$28,2,false),0)</f>
        <v>5</v>
      </c>
      <c r="L5" s="2"/>
      <c r="M5" s="10">
        <v>4.0</v>
      </c>
      <c r="N5" s="11" t="str">
        <f t="shared" si="1"/>
        <v>bnco0904@signalschool.ac.th</v>
      </c>
      <c r="O5" s="12">
        <f t="shared" si="2"/>
        <v>1</v>
      </c>
      <c r="R5" s="17" t="s">
        <v>193</v>
      </c>
    </row>
    <row r="6">
      <c r="A6" s="8">
        <f>'4.1'!A:A</f>
        <v>46212.62027</v>
      </c>
      <c r="B6" s="2" t="str">
        <f>'4.1'!B:B</f>
        <v>bnco0940@signalschool.ac.th</v>
      </c>
      <c r="C6" s="2" t="str">
        <f>'4.1'!C:C</f>
        <v>ครู-อาจารย์ กศ.รร.ส.สส.</v>
      </c>
      <c r="D6" s="9">
        <v>1.0</v>
      </c>
      <c r="E6" s="10">
        <f>IFERROR(vlookup('4.1'!D:D,lookup!$A$2:$B$4,2,false),0)</f>
        <v>5</v>
      </c>
      <c r="F6" s="10">
        <f>IFERROR(vlookup('4.1'!E:E,lookup!$A$6:$B$8,2,false),0)</f>
        <v>5</v>
      </c>
      <c r="G6" s="10">
        <f>IFERROR(vlookup('4.1'!F:F,lookup!$A$10:$B$12,2,false),0)</f>
        <v>5</v>
      </c>
      <c r="H6" s="10">
        <f>IFERROR(vlookup('4.1'!G:G,lookup!$A$14:$B$16,2,false),0)</f>
        <v>5</v>
      </c>
      <c r="I6" s="10">
        <f>IFERROR(vlookup('4.1'!H:H,lookup!$A$18:$B$20,2,false),0)</f>
        <v>5</v>
      </c>
      <c r="J6" s="10">
        <f>IFERROR(vlookup('4.1'!I:I,lookup!$A$22:$B$24,2,false),0)</f>
        <v>5</v>
      </c>
      <c r="K6" s="10">
        <f>IFERROR(vlookup('4.1'!J:J,lookup!$A$26:$B$28,2,false),0)</f>
        <v>5</v>
      </c>
      <c r="L6" s="2"/>
      <c r="M6" s="10">
        <v>5.0</v>
      </c>
      <c r="N6" s="11" t="str">
        <f t="shared" si="1"/>
        <v>bnco0905@signalschool.ac.th</v>
      </c>
      <c r="O6" s="12">
        <f t="shared" si="2"/>
        <v>1</v>
      </c>
      <c r="R6" s="17" t="s">
        <v>197</v>
      </c>
    </row>
    <row r="7">
      <c r="A7" s="8">
        <f>'4.1'!A:A</f>
        <v>46212.62197</v>
      </c>
      <c r="B7" s="2" t="str">
        <f>'4.1'!B:B</f>
        <v>bnco0955@signalschool.ac.th</v>
      </c>
      <c r="C7" s="2" t="str">
        <f>'4.1'!C:C</f>
        <v>วิชาฝึกทบทวนการใช้เครื่องมือสื่อสาร</v>
      </c>
      <c r="D7" s="9">
        <v>1.0</v>
      </c>
      <c r="E7" s="10">
        <f>IFERROR(vlookup('4.1'!D:D,lookup!$A$2:$B$4,2,false),0)</f>
        <v>5</v>
      </c>
      <c r="F7" s="10">
        <f>IFERROR(vlookup('4.1'!E:E,lookup!$A$6:$B$8,2,false),0)</f>
        <v>5</v>
      </c>
      <c r="G7" s="10">
        <f>IFERROR(vlookup('4.1'!F:F,lookup!$A$10:$B$12,2,false),0)</f>
        <v>5</v>
      </c>
      <c r="H7" s="10">
        <f>IFERROR(vlookup('4.1'!G:G,lookup!$A$14:$B$16,2,false),0)</f>
        <v>5</v>
      </c>
      <c r="I7" s="10">
        <f>IFERROR(vlookup('4.1'!H:H,lookup!$A$18:$B$20,2,false),0)</f>
        <v>5</v>
      </c>
      <c r="J7" s="10">
        <f>IFERROR(vlookup('4.1'!I:I,lookup!$A$22:$B$24,2,false),0)</f>
        <v>5</v>
      </c>
      <c r="K7" s="10">
        <f>IFERROR(vlookup('4.1'!J:J,lookup!$A$26:$B$28,2,false),0)</f>
        <v>5</v>
      </c>
      <c r="L7" s="2"/>
      <c r="M7" s="10">
        <v>6.0</v>
      </c>
      <c r="N7" s="11" t="str">
        <f t="shared" si="1"/>
        <v>bnco0906@signalschool.ac.th</v>
      </c>
      <c r="O7" s="12">
        <f t="shared" si="2"/>
        <v>1</v>
      </c>
      <c r="R7" s="17" t="s">
        <v>203</v>
      </c>
    </row>
    <row r="8">
      <c r="A8" s="8">
        <f>'4.1'!A:A</f>
        <v>46212.62204</v>
      </c>
      <c r="B8" s="2" t="str">
        <f>'4.1'!B:B</f>
        <v>bnco0910@signalschool.ac.th</v>
      </c>
      <c r="C8" s="2" t="str">
        <f>'4.1'!C:C</f>
        <v>ครู อาจารย์ กศ.รร.ส.สส.</v>
      </c>
      <c r="D8" s="9">
        <v>1.0</v>
      </c>
      <c r="E8" s="10">
        <f>IFERROR(vlookup('4.1'!D:D,lookup!$A$2:$B$4,2,false),0)</f>
        <v>5</v>
      </c>
      <c r="F8" s="10">
        <f>IFERROR(vlookup('4.1'!E:E,lookup!$A$6:$B$8,2,false),0)</f>
        <v>5</v>
      </c>
      <c r="G8" s="10">
        <f>IFERROR(vlookup('4.1'!F:F,lookup!$A$10:$B$12,2,false),0)</f>
        <v>5</v>
      </c>
      <c r="H8" s="10">
        <f>IFERROR(vlookup('4.1'!G:G,lookup!$A$14:$B$16,2,false),0)</f>
        <v>5</v>
      </c>
      <c r="I8" s="10">
        <f>IFERROR(vlookup('4.1'!H:H,lookup!$A$18:$B$20,2,false),0)</f>
        <v>5</v>
      </c>
      <c r="J8" s="10">
        <f>IFERROR(vlookup('4.1'!I:I,lookup!$A$22:$B$24,2,false),0)</f>
        <v>5</v>
      </c>
      <c r="K8" s="10">
        <f>IFERROR(vlookup('4.1'!J:J,lookup!$A$26:$B$28,2,false),0)</f>
        <v>5</v>
      </c>
      <c r="L8" s="2"/>
      <c r="M8" s="10">
        <v>7.0</v>
      </c>
      <c r="N8" s="11" t="str">
        <f t="shared" si="1"/>
        <v>bnco0907@signalschool.ac.th</v>
      </c>
      <c r="O8" s="12">
        <f t="shared" si="2"/>
        <v>1</v>
      </c>
      <c r="R8" s="17" t="s">
        <v>206</v>
      </c>
    </row>
    <row r="9">
      <c r="A9" s="8">
        <f>'4.1'!A:A</f>
        <v>46212.62238</v>
      </c>
      <c r="B9" s="2" t="str">
        <f>'4.1'!B:B</f>
        <v>bnco0958@signalschool.ac.th</v>
      </c>
      <c r="C9" s="2" t="str">
        <f>'4.1'!C:C</f>
        <v>ครู - อาจารย์ กศ.รร.ส.สส.</v>
      </c>
      <c r="D9" s="9">
        <v>1.0</v>
      </c>
      <c r="E9" s="10">
        <f>IFERROR(vlookup('4.1'!D:D,lookup!$A$2:$B$4,2,false),0)</f>
        <v>5</v>
      </c>
      <c r="F9" s="10">
        <f>IFERROR(vlookup('4.1'!E:E,lookup!$A$6:$B$8,2,false),0)</f>
        <v>5</v>
      </c>
      <c r="G9" s="10">
        <f>IFERROR(vlookup('4.1'!F:F,lookup!$A$10:$B$12,2,false),0)</f>
        <v>5</v>
      </c>
      <c r="H9" s="10">
        <f>IFERROR(vlookup('4.1'!G:G,lookup!$A$14:$B$16,2,false),0)</f>
        <v>5</v>
      </c>
      <c r="I9" s="10">
        <f>IFERROR(vlookup('4.1'!H:H,lookup!$A$18:$B$20,2,false),0)</f>
        <v>5</v>
      </c>
      <c r="J9" s="10">
        <f>IFERROR(vlookup('4.1'!I:I,lookup!$A$22:$B$24,2,false),0)</f>
        <v>5</v>
      </c>
      <c r="K9" s="10">
        <f>IFERROR(vlookup('4.1'!J:J,lookup!$A$26:$B$28,2,false),0)</f>
        <v>5</v>
      </c>
      <c r="L9" s="2"/>
      <c r="M9" s="10">
        <v>8.0</v>
      </c>
      <c r="N9" s="11" t="str">
        <f t="shared" si="1"/>
        <v>bnco0908@signalschool.ac.th</v>
      </c>
      <c r="O9" s="12">
        <f t="shared" si="2"/>
        <v>1</v>
      </c>
      <c r="R9" s="17" t="s">
        <v>211</v>
      </c>
    </row>
    <row r="10">
      <c r="A10" s="8">
        <f>'4.1'!A:A</f>
        <v>46212.62403</v>
      </c>
      <c r="B10" s="2" t="str">
        <f>'4.1'!B:B</f>
        <v>bnco0932@signalschool.ac.th</v>
      </c>
      <c r="C10" s="2" t="str">
        <f>'4.1'!C:C</f>
        <v>ร.ต.วสันต์ ทัศนามล , จ.ส.อ.ประกาศิต แช่เจียม , จ.ส.อ.วรากร ไตรศัพท์ , จ.ส.ท.ศุภกิตติ์ ปัญญาจักร</v>
      </c>
      <c r="D10" s="9">
        <v>1.0</v>
      </c>
      <c r="E10" s="10">
        <f>IFERROR(vlookup('4.1'!D:D,lookup!$A$2:$B$4,2,false),0)</f>
        <v>5</v>
      </c>
      <c r="F10" s="10">
        <f>IFERROR(vlookup('4.1'!E:E,lookup!$A$6:$B$8,2,false),0)</f>
        <v>5</v>
      </c>
      <c r="G10" s="10">
        <f>IFERROR(vlookup('4.1'!F:F,lookup!$A$10:$B$12,2,false),0)</f>
        <v>5</v>
      </c>
      <c r="H10" s="10">
        <f>IFERROR(vlookup('4.1'!G:G,lookup!$A$14:$B$16,2,false),0)</f>
        <v>5</v>
      </c>
      <c r="I10" s="10">
        <f>IFERROR(vlookup('4.1'!H:H,lookup!$A$18:$B$20,2,false),0)</f>
        <v>5</v>
      </c>
      <c r="J10" s="10">
        <f>IFERROR(vlookup('4.1'!I:I,lookup!$A$22:$B$24,2,false),0)</f>
        <v>5</v>
      </c>
      <c r="K10" s="10">
        <f>IFERROR(vlookup('4.1'!J:J,lookup!$A$26:$B$28,2,false),0)</f>
        <v>5</v>
      </c>
      <c r="L10" s="2"/>
      <c r="M10" s="10">
        <v>9.0</v>
      </c>
      <c r="N10" s="11" t="str">
        <f t="shared" si="1"/>
        <v>bnco0909@signalschool.ac.th</v>
      </c>
      <c r="O10" s="12">
        <f t="shared" si="2"/>
        <v>1</v>
      </c>
      <c r="R10" s="17" t="s">
        <v>212</v>
      </c>
    </row>
    <row r="11">
      <c r="A11" s="8">
        <f>'4.1'!A:A</f>
        <v>46212.62629</v>
      </c>
      <c r="B11" s="2" t="str">
        <f>'4.1'!B:B</f>
        <v>bnco0971@signalschool.ac.th</v>
      </c>
      <c r="C11" s="2" t="str">
        <f>'4.1'!C:C</f>
        <v>ครู-อาจารย์ กศ.รร.ส.สส.</v>
      </c>
      <c r="D11" s="9">
        <v>1.0</v>
      </c>
      <c r="E11" s="10">
        <f>IFERROR(vlookup('4.1'!D:D,lookup!$A$2:$B$4,2,false),0)</f>
        <v>5</v>
      </c>
      <c r="F11" s="10">
        <f>IFERROR(vlookup('4.1'!E:E,lookup!$A$6:$B$8,2,false),0)</f>
        <v>5</v>
      </c>
      <c r="G11" s="10">
        <f>IFERROR(vlookup('4.1'!F:F,lookup!$A$10:$B$12,2,false),0)</f>
        <v>5</v>
      </c>
      <c r="H11" s="10">
        <f>IFERROR(vlookup('4.1'!G:G,lookup!$A$14:$B$16,2,false),0)</f>
        <v>5</v>
      </c>
      <c r="I11" s="10">
        <f>IFERROR(vlookup('4.1'!H:H,lookup!$A$18:$B$20,2,false),0)</f>
        <v>5</v>
      </c>
      <c r="J11" s="10">
        <f>IFERROR(vlookup('4.1'!I:I,lookup!$A$22:$B$24,2,false),0)</f>
        <v>5</v>
      </c>
      <c r="K11" s="10">
        <f>IFERROR(vlookup('4.1'!J:J,lookup!$A$26:$B$28,2,false),0)</f>
        <v>5</v>
      </c>
      <c r="L11" s="2"/>
      <c r="M11" s="10">
        <v>10.0</v>
      </c>
      <c r="N11" s="11" t="str">
        <f t="shared" si="1"/>
        <v>bnco0910@signalschool.ac.th</v>
      </c>
      <c r="O11" s="12">
        <f t="shared" si="2"/>
        <v>1</v>
      </c>
      <c r="R11" s="17" t="s">
        <v>213</v>
      </c>
    </row>
    <row r="12">
      <c r="A12" s="8">
        <f>'4.1'!A:A</f>
        <v>46212.62633</v>
      </c>
      <c r="B12" s="2" t="str">
        <f>'4.1'!B:B</f>
        <v>bnco0924@signalschool.ac.th</v>
      </c>
      <c r="C12" s="2" t="str">
        <f>'4.1'!C:C</f>
        <v>ครู - อาจารย์ กศ.รร.ส.สส.</v>
      </c>
      <c r="D12" s="9">
        <v>1.0</v>
      </c>
      <c r="E12" s="10">
        <f>IFERROR(vlookup('4.1'!D:D,lookup!$A$2:$B$4,2,false),0)</f>
        <v>5</v>
      </c>
      <c r="F12" s="10">
        <f>IFERROR(vlookup('4.1'!E:E,lookup!$A$6:$B$8,2,false),0)</f>
        <v>5</v>
      </c>
      <c r="G12" s="10">
        <f>IFERROR(vlookup('4.1'!F:F,lookup!$A$10:$B$12,2,false),0)</f>
        <v>5</v>
      </c>
      <c r="H12" s="10">
        <f>IFERROR(vlookup('4.1'!G:G,lookup!$A$14:$B$16,2,false),0)</f>
        <v>5</v>
      </c>
      <c r="I12" s="10">
        <f>IFERROR(vlookup('4.1'!H:H,lookup!$A$18:$B$20,2,false),0)</f>
        <v>5</v>
      </c>
      <c r="J12" s="10">
        <f>IFERROR(vlookup('4.1'!I:I,lookup!$A$22:$B$24,2,false),0)</f>
        <v>5</v>
      </c>
      <c r="K12" s="10">
        <f>IFERROR(vlookup('4.1'!J:J,lookup!$A$26:$B$28,2,false),0)</f>
        <v>5</v>
      </c>
      <c r="L12" s="2"/>
      <c r="M12" s="10">
        <v>11.0</v>
      </c>
      <c r="N12" s="11" t="str">
        <f t="shared" si="1"/>
        <v>bnco0911@signalschool.ac.th</v>
      </c>
      <c r="O12" s="12">
        <f t="shared" si="2"/>
        <v>1</v>
      </c>
      <c r="R12" s="17" t="s">
        <v>214</v>
      </c>
    </row>
    <row r="13">
      <c r="A13" s="8">
        <f>'4.1'!A:A</f>
        <v>46212.62645</v>
      </c>
      <c r="B13" s="2" t="str">
        <f>'4.1'!B:B</f>
        <v>bnco0972@signalschool.ac.th</v>
      </c>
      <c r="C13" s="2" t="str">
        <f>'4.1'!C:C</f>
        <v>ครู -  อาจารย์ กศ.รร.ส.สส</v>
      </c>
      <c r="D13" s="9">
        <v>1.0</v>
      </c>
      <c r="E13" s="10">
        <f>IFERROR(vlookup('4.1'!D:D,lookup!$A$2:$B$4,2,false),0)</f>
        <v>5</v>
      </c>
      <c r="F13" s="10">
        <f>IFERROR(vlookup('4.1'!E:E,lookup!$A$6:$B$8,2,false),0)</f>
        <v>5</v>
      </c>
      <c r="G13" s="10">
        <f>IFERROR(vlookup('4.1'!F:F,lookup!$A$10:$B$12,2,false),0)</f>
        <v>5</v>
      </c>
      <c r="H13" s="10">
        <f>IFERROR(vlookup('4.1'!G:G,lookup!$A$14:$B$16,2,false),0)</f>
        <v>5</v>
      </c>
      <c r="I13" s="10">
        <f>IFERROR(vlookup('4.1'!H:H,lookup!$A$18:$B$20,2,false),0)</f>
        <v>5</v>
      </c>
      <c r="J13" s="10">
        <f>IFERROR(vlookup('4.1'!I:I,lookup!$A$22:$B$24,2,false),0)</f>
        <v>5</v>
      </c>
      <c r="K13" s="10">
        <f>IFERROR(vlookup('4.1'!J:J,lookup!$A$26:$B$28,2,false),0)</f>
        <v>5</v>
      </c>
      <c r="L13" s="2"/>
      <c r="M13" s="10">
        <v>12.0</v>
      </c>
      <c r="N13" s="11" t="str">
        <f t="shared" si="1"/>
        <v>bnco0912@signalschool.ac.th</v>
      </c>
      <c r="O13" s="12">
        <f t="shared" si="2"/>
        <v>1</v>
      </c>
      <c r="R13" s="17" t="s">
        <v>222</v>
      </c>
    </row>
    <row r="14">
      <c r="A14" s="8">
        <f>'4.1'!A:A</f>
        <v>46212.62652</v>
      </c>
      <c r="B14" s="2" t="str">
        <f>'4.1'!B:B</f>
        <v>bnco0928@signalschool.ac.th</v>
      </c>
      <c r="C14" s="2" t="str">
        <f>'4.1'!C:C</f>
        <v>ครู - อาจารย์ กศ.รร.ส.สส.</v>
      </c>
      <c r="D14" s="9">
        <v>1.0</v>
      </c>
      <c r="E14" s="10">
        <f>IFERROR(vlookup('4.1'!D:D,lookup!$A$2:$B$4,2,false),0)</f>
        <v>5</v>
      </c>
      <c r="F14" s="10">
        <f>IFERROR(vlookup('4.1'!E:E,lookup!$A$6:$B$8,2,false),0)</f>
        <v>5</v>
      </c>
      <c r="G14" s="10">
        <f>IFERROR(vlookup('4.1'!F:F,lookup!$A$10:$B$12,2,false),0)</f>
        <v>5</v>
      </c>
      <c r="H14" s="10">
        <f>IFERROR(vlookup('4.1'!G:G,lookup!$A$14:$B$16,2,false),0)</f>
        <v>5</v>
      </c>
      <c r="I14" s="10">
        <f>IFERROR(vlookup('4.1'!H:H,lookup!$A$18:$B$20,2,false),0)</f>
        <v>5</v>
      </c>
      <c r="J14" s="10">
        <f>IFERROR(vlookup('4.1'!I:I,lookup!$A$22:$B$24,2,false),0)</f>
        <v>5</v>
      </c>
      <c r="K14" s="10">
        <f>IFERROR(vlookup('4.1'!J:J,lookup!$A$26:$B$28,2,false),0)</f>
        <v>5</v>
      </c>
      <c r="L14" s="2"/>
      <c r="M14" s="10">
        <v>13.0</v>
      </c>
      <c r="N14" s="11" t="str">
        <f t="shared" si="1"/>
        <v>bnco0913@signalschool.ac.th</v>
      </c>
      <c r="O14" s="12">
        <f t="shared" si="2"/>
        <v>1</v>
      </c>
      <c r="R14" s="17" t="s">
        <v>227</v>
      </c>
    </row>
    <row r="15">
      <c r="A15" s="8">
        <f>'4.1'!A:A</f>
        <v>46212.62663</v>
      </c>
      <c r="B15" s="2" t="str">
        <f>'4.1'!B:B</f>
        <v>bnco0980@signalschool.ac.th</v>
      </c>
      <c r="C15" s="2" t="str">
        <f>'4.1'!C:C</f>
        <v>ครู อาจารย์ กศ.รร.ส.สส.</v>
      </c>
      <c r="D15" s="9">
        <v>1.0</v>
      </c>
      <c r="E15" s="10">
        <f>IFERROR(vlookup('4.1'!D:D,lookup!$A$2:$B$4,2,false),0)</f>
        <v>5</v>
      </c>
      <c r="F15" s="10">
        <f>IFERROR(vlookup('4.1'!E:E,lookup!$A$6:$B$8,2,false),0)</f>
        <v>5</v>
      </c>
      <c r="G15" s="10">
        <f>IFERROR(vlookup('4.1'!F:F,lookup!$A$10:$B$12,2,false),0)</f>
        <v>5</v>
      </c>
      <c r="H15" s="10">
        <f>IFERROR(vlookup('4.1'!G:G,lookup!$A$14:$B$16,2,false),0)</f>
        <v>5</v>
      </c>
      <c r="I15" s="10">
        <f>IFERROR(vlookup('4.1'!H:H,lookup!$A$18:$B$20,2,false),0)</f>
        <v>5</v>
      </c>
      <c r="J15" s="10">
        <f>IFERROR(vlookup('4.1'!I:I,lookup!$A$22:$B$24,2,false),0)</f>
        <v>5</v>
      </c>
      <c r="K15" s="10">
        <f>IFERROR(vlookup('4.1'!J:J,lookup!$A$26:$B$28,2,false),0)</f>
        <v>5</v>
      </c>
      <c r="L15" s="2"/>
      <c r="M15" s="10">
        <v>14.0</v>
      </c>
      <c r="N15" s="11" t="str">
        <f t="shared" si="1"/>
        <v>bnco0914@signalschool.ac.th</v>
      </c>
      <c r="O15" s="12">
        <f t="shared" si="2"/>
        <v>1</v>
      </c>
      <c r="R15" s="17" t="s">
        <v>230</v>
      </c>
    </row>
    <row r="16">
      <c r="A16" s="8">
        <f>'4.1'!A:A</f>
        <v>46212.6274</v>
      </c>
      <c r="B16" s="2" t="str">
        <f>'4.1'!B:B</f>
        <v>bnco0903@signalschool.ac.th</v>
      </c>
      <c r="C16" s="2" t="str">
        <f>'4.1'!C:C</f>
        <v>ครู อาจารย์ กศ.รร.ส.สส.</v>
      </c>
      <c r="D16" s="9">
        <v>1.0</v>
      </c>
      <c r="E16" s="10">
        <f>IFERROR(vlookup('4.1'!D:D,lookup!$A$2:$B$4,2,false),0)</f>
        <v>5</v>
      </c>
      <c r="F16" s="10">
        <f>IFERROR(vlookup('4.1'!E:E,lookup!$A$6:$B$8,2,false),0)</f>
        <v>5</v>
      </c>
      <c r="G16" s="10">
        <f>IFERROR(vlookup('4.1'!F:F,lookup!$A$10:$B$12,2,false),0)</f>
        <v>5</v>
      </c>
      <c r="H16" s="10">
        <f>IFERROR(vlookup('4.1'!G:G,lookup!$A$14:$B$16,2,false),0)</f>
        <v>5</v>
      </c>
      <c r="I16" s="10">
        <f>IFERROR(vlookup('4.1'!H:H,lookup!$A$18:$B$20,2,false),0)</f>
        <v>5</v>
      </c>
      <c r="J16" s="10">
        <f>IFERROR(vlookup('4.1'!I:I,lookup!$A$22:$B$24,2,false),0)</f>
        <v>5</v>
      </c>
      <c r="K16" s="10">
        <f>IFERROR(vlookup('4.1'!J:J,lookup!$A$26:$B$28,2,false),0)</f>
        <v>5</v>
      </c>
      <c r="L16" s="2"/>
      <c r="M16" s="10">
        <v>15.0</v>
      </c>
      <c r="N16" s="11" t="str">
        <f t="shared" si="1"/>
        <v>bnco0915@signalschool.ac.th</v>
      </c>
      <c r="O16" s="12">
        <f t="shared" si="2"/>
        <v>1</v>
      </c>
      <c r="R16" s="17" t="s">
        <v>232</v>
      </c>
    </row>
    <row r="17">
      <c r="A17" s="8">
        <f>'4.1'!A:A</f>
        <v>46212.62754</v>
      </c>
      <c r="B17" s="2" t="str">
        <f>'4.1'!B:B</f>
        <v>bnco0967@signalschool.ac.th</v>
      </c>
      <c r="C17" s="2" t="str">
        <f>'4.1'!C:C</f>
        <v>พ.ต.ไมตรี บุญเหลื่อม</v>
      </c>
      <c r="D17" s="9">
        <v>1.0</v>
      </c>
      <c r="E17" s="10">
        <f>IFERROR(vlookup('4.1'!D:D,lookup!$A$2:$B$4,2,false),0)</f>
        <v>5</v>
      </c>
      <c r="F17" s="10">
        <f>IFERROR(vlookup('4.1'!E:E,lookup!$A$6:$B$8,2,false),0)</f>
        <v>5</v>
      </c>
      <c r="G17" s="10">
        <f>IFERROR(vlookup('4.1'!F:F,lookup!$A$10:$B$12,2,false),0)</f>
        <v>5</v>
      </c>
      <c r="H17" s="10">
        <f>IFERROR(vlookup('4.1'!G:G,lookup!$A$14:$B$16,2,false),0)</f>
        <v>5</v>
      </c>
      <c r="I17" s="10">
        <f>IFERROR(vlookup('4.1'!H:H,lookup!$A$18:$B$20,2,false),0)</f>
        <v>5</v>
      </c>
      <c r="J17" s="10">
        <f>IFERROR(vlookup('4.1'!I:I,lookup!$A$22:$B$24,2,false),0)</f>
        <v>5</v>
      </c>
      <c r="K17" s="10">
        <f>IFERROR(vlookup('4.1'!J:J,lookup!$A$26:$B$28,2,false),0)</f>
        <v>5</v>
      </c>
      <c r="L17" s="2"/>
      <c r="M17" s="10">
        <v>16.0</v>
      </c>
      <c r="N17" s="11" t="str">
        <f t="shared" si="1"/>
        <v>bnco0916@signalschool.ac.th</v>
      </c>
      <c r="O17" s="12">
        <f t="shared" si="2"/>
        <v>1</v>
      </c>
      <c r="R17" s="17" t="s">
        <v>233</v>
      </c>
    </row>
    <row r="18">
      <c r="A18" s="8">
        <f>'4.1'!A:A</f>
        <v>46212.62798</v>
      </c>
      <c r="B18" s="2" t="str">
        <f>'4.1'!B:B</f>
        <v>bnco0925@signalschool.ac.th</v>
      </c>
      <c r="C18" s="2" t="str">
        <f>'4.1'!C:C</f>
        <v>ครู อาจารย์ กศ.รร.ส.สส</v>
      </c>
      <c r="D18" s="9">
        <v>1.0</v>
      </c>
      <c r="E18" s="10">
        <f>IFERROR(vlookup('4.1'!D:D,lookup!$A$2:$B$4,2,false),0)</f>
        <v>5</v>
      </c>
      <c r="F18" s="10">
        <f>IFERROR(vlookup('4.1'!E:E,lookup!$A$6:$B$8,2,false),0)</f>
        <v>5</v>
      </c>
      <c r="G18" s="10">
        <f>IFERROR(vlookup('4.1'!F:F,lookup!$A$10:$B$12,2,false),0)</f>
        <v>5</v>
      </c>
      <c r="H18" s="10">
        <f>IFERROR(vlookup('4.1'!G:G,lookup!$A$14:$B$16,2,false),0)</f>
        <v>5</v>
      </c>
      <c r="I18" s="10">
        <f>IFERROR(vlookup('4.1'!H:H,lookup!$A$18:$B$20,2,false),0)</f>
        <v>5</v>
      </c>
      <c r="J18" s="10">
        <f>IFERROR(vlookup('4.1'!I:I,lookup!$A$22:$B$24,2,false),0)</f>
        <v>5</v>
      </c>
      <c r="K18" s="10">
        <f>IFERROR(vlookup('4.1'!J:J,lookup!$A$26:$B$28,2,false),0)</f>
        <v>5</v>
      </c>
      <c r="L18" s="2"/>
      <c r="M18" s="10">
        <v>17.0</v>
      </c>
      <c r="N18" s="11" t="str">
        <f t="shared" si="1"/>
        <v>bnco0917@signalschool.ac.th</v>
      </c>
      <c r="O18" s="12">
        <f t="shared" si="2"/>
        <v>1</v>
      </c>
      <c r="R18" s="17" t="s">
        <v>234</v>
      </c>
    </row>
    <row r="19">
      <c r="A19" s="8">
        <f>'4.1'!A:A</f>
        <v>46212.62808</v>
      </c>
      <c r="B19" s="2" t="str">
        <f>'4.1'!B:B</f>
        <v>bnco0926@signalschool.ac.th</v>
      </c>
      <c r="C19" s="2" t="str">
        <f>'4.1'!C:C</f>
        <v>ครู - อาจารย์ กศ.รร.ส.สส.</v>
      </c>
      <c r="D19" s="9">
        <v>1.0</v>
      </c>
      <c r="E19" s="10">
        <f>IFERROR(vlookup('4.1'!D:D,lookup!$A$2:$B$4,2,false),0)</f>
        <v>5</v>
      </c>
      <c r="F19" s="10">
        <f>IFERROR(vlookup('4.1'!E:E,lookup!$A$6:$B$8,2,false),0)</f>
        <v>5</v>
      </c>
      <c r="G19" s="10">
        <f>IFERROR(vlookup('4.1'!F:F,lookup!$A$10:$B$12,2,false),0)</f>
        <v>5</v>
      </c>
      <c r="H19" s="10">
        <f>IFERROR(vlookup('4.1'!G:G,lookup!$A$14:$B$16,2,false),0)</f>
        <v>5</v>
      </c>
      <c r="I19" s="10">
        <f>IFERROR(vlookup('4.1'!H:H,lookup!$A$18:$B$20,2,false),0)</f>
        <v>5</v>
      </c>
      <c r="J19" s="10">
        <f>IFERROR(vlookup('4.1'!I:I,lookup!$A$22:$B$24,2,false),0)</f>
        <v>5</v>
      </c>
      <c r="K19" s="10">
        <f>IFERROR(vlookup('4.1'!J:J,lookup!$A$26:$B$28,2,false),0)</f>
        <v>5</v>
      </c>
      <c r="L19" s="2"/>
      <c r="M19" s="10">
        <v>18.0</v>
      </c>
      <c r="N19" s="11" t="str">
        <f t="shared" si="1"/>
        <v>bnco0918@signalschool.ac.th</v>
      </c>
      <c r="O19" s="12">
        <f t="shared" si="2"/>
        <v>1</v>
      </c>
      <c r="R19" s="17" t="s">
        <v>235</v>
      </c>
    </row>
    <row r="20">
      <c r="A20" s="8">
        <f>'4.1'!A:A</f>
        <v>46212.62812</v>
      </c>
      <c r="B20" s="2" t="str">
        <f>'4.1'!B:B</f>
        <v>bnco0942@signalschool.ac.th</v>
      </c>
      <c r="C20" s="2" t="str">
        <f>'4.1'!C:C</f>
        <v>ครู -อาจารย์ กศ.รร.ส.สส.</v>
      </c>
      <c r="D20" s="9">
        <v>1.0</v>
      </c>
      <c r="E20" s="10">
        <f>IFERROR(vlookup('4.1'!D:D,lookup!$A$2:$B$4,2,false),0)</f>
        <v>5</v>
      </c>
      <c r="F20" s="10">
        <f>IFERROR(vlookup('4.1'!E:E,lookup!$A$6:$B$8,2,false),0)</f>
        <v>5</v>
      </c>
      <c r="G20" s="10">
        <f>IFERROR(vlookup('4.1'!F:F,lookup!$A$10:$B$12,2,false),0)</f>
        <v>5</v>
      </c>
      <c r="H20" s="10">
        <f>IFERROR(vlookup('4.1'!G:G,lookup!$A$14:$B$16,2,false),0)</f>
        <v>5</v>
      </c>
      <c r="I20" s="10">
        <f>IFERROR(vlookup('4.1'!H:H,lookup!$A$18:$B$20,2,false),0)</f>
        <v>5</v>
      </c>
      <c r="J20" s="10">
        <f>IFERROR(vlookup('4.1'!I:I,lookup!$A$22:$B$24,2,false),0)</f>
        <v>5</v>
      </c>
      <c r="K20" s="10">
        <f>IFERROR(vlookup('4.1'!J:J,lookup!$A$26:$B$28,2,false),0)</f>
        <v>5</v>
      </c>
      <c r="L20" s="2"/>
      <c r="M20" s="10">
        <v>19.0</v>
      </c>
      <c r="N20" s="11" t="str">
        <f t="shared" si="1"/>
        <v>bnco0919@signalschool.ac.th</v>
      </c>
      <c r="O20" s="12">
        <f t="shared" si="2"/>
        <v>1</v>
      </c>
      <c r="R20" s="17" t="s">
        <v>236</v>
      </c>
    </row>
    <row r="21">
      <c r="A21" s="8">
        <f>'4.1'!A:A</f>
        <v>46212.62828</v>
      </c>
      <c r="B21" s="2" t="str">
        <f>'4.1'!B:B</f>
        <v>bnco0918@signalschool.ac.th</v>
      </c>
      <c r="C21" s="2" t="str">
        <f>'4.1'!C:C</f>
        <v>ครู - อาจารย์ กศ.รร.ส.สส.</v>
      </c>
      <c r="D21" s="9">
        <v>1.0</v>
      </c>
      <c r="E21" s="10">
        <f>IFERROR(vlookup('4.1'!D:D,lookup!$A$2:$B$4,2,false),0)</f>
        <v>5</v>
      </c>
      <c r="F21" s="10">
        <f>IFERROR(vlookup('4.1'!E:E,lookup!$A$6:$B$8,2,false),0)</f>
        <v>5</v>
      </c>
      <c r="G21" s="10">
        <f>IFERROR(vlookup('4.1'!F:F,lookup!$A$10:$B$12,2,false),0)</f>
        <v>5</v>
      </c>
      <c r="H21" s="10">
        <f>IFERROR(vlookup('4.1'!G:G,lookup!$A$14:$B$16,2,false),0)</f>
        <v>5</v>
      </c>
      <c r="I21" s="10">
        <f>IFERROR(vlookup('4.1'!H:H,lookup!$A$18:$B$20,2,false),0)</f>
        <v>5</v>
      </c>
      <c r="J21" s="10">
        <f>IFERROR(vlookup('4.1'!I:I,lookup!$A$22:$B$24,2,false),0)</f>
        <v>5</v>
      </c>
      <c r="K21" s="10">
        <f>IFERROR(vlookup('4.1'!J:J,lookup!$A$26:$B$28,2,false),0)</f>
        <v>5</v>
      </c>
      <c r="L21" s="2"/>
      <c r="M21" s="10">
        <v>20.0</v>
      </c>
      <c r="N21" s="11" t="str">
        <f t="shared" si="1"/>
        <v>bnco0920@signalschool.ac.th</v>
      </c>
      <c r="O21" s="12">
        <f t="shared" si="2"/>
        <v>1</v>
      </c>
      <c r="R21" s="17" t="s">
        <v>237</v>
      </c>
    </row>
    <row r="22">
      <c r="A22" s="8">
        <f>'4.1'!A:A</f>
        <v>46212.62859</v>
      </c>
      <c r="B22" s="2" t="str">
        <f>'4.1'!B:B</f>
        <v>bnco0962@signalschool.ac.th</v>
      </c>
      <c r="C22" s="2" t="str">
        <f>'4.1'!C:C</f>
        <v>ครู-อาจารย์ กศ.รร.ส.สส.</v>
      </c>
      <c r="D22" s="9">
        <v>1.0</v>
      </c>
      <c r="E22" s="10">
        <f>IFERROR(vlookup('4.1'!D:D,lookup!$A$2:$B$4,2,false),0)</f>
        <v>5</v>
      </c>
      <c r="F22" s="10">
        <f>IFERROR(vlookup('4.1'!E:E,lookup!$A$6:$B$8,2,false),0)</f>
        <v>5</v>
      </c>
      <c r="G22" s="10">
        <f>IFERROR(vlookup('4.1'!F:F,lookup!$A$10:$B$12,2,false),0)</f>
        <v>5</v>
      </c>
      <c r="H22" s="10">
        <f>IFERROR(vlookup('4.1'!G:G,lookup!$A$14:$B$16,2,false),0)</f>
        <v>5</v>
      </c>
      <c r="I22" s="10">
        <f>IFERROR(vlookup('4.1'!H:H,lookup!$A$18:$B$20,2,false),0)</f>
        <v>5</v>
      </c>
      <c r="J22" s="10">
        <f>IFERROR(vlookup('4.1'!I:I,lookup!$A$22:$B$24,2,false),0)</f>
        <v>5</v>
      </c>
      <c r="K22" s="10">
        <f>IFERROR(vlookup('4.1'!J:J,lookup!$A$26:$B$28,2,false),0)</f>
        <v>5</v>
      </c>
      <c r="L22" s="2"/>
      <c r="M22" s="10">
        <v>21.0</v>
      </c>
      <c r="N22" s="11" t="str">
        <f t="shared" si="1"/>
        <v>bnco0921@signalschool.ac.th</v>
      </c>
      <c r="O22" s="12">
        <f t="shared" si="2"/>
        <v>1</v>
      </c>
      <c r="R22" s="17" t="s">
        <v>238</v>
      </c>
    </row>
    <row r="23">
      <c r="A23" s="8">
        <f>'4.1'!A:A</f>
        <v>46212.62877</v>
      </c>
      <c r="B23" s="2" t="str">
        <f>'4.1'!B:B</f>
        <v>bnco0948@signalschool.ac.th</v>
      </c>
      <c r="C23" s="2" t="str">
        <f>'4.1'!C:C</f>
        <v>ครู- อาจารย์ กศ.รร.ส.สส.</v>
      </c>
      <c r="D23" s="9">
        <v>1.0</v>
      </c>
      <c r="E23" s="10">
        <f>IFERROR(vlookup('4.1'!D:D,lookup!$A$2:$B$4,2,false),0)</f>
        <v>5</v>
      </c>
      <c r="F23" s="10">
        <f>IFERROR(vlookup('4.1'!E:E,lookup!$A$6:$B$8,2,false),0)</f>
        <v>5</v>
      </c>
      <c r="G23" s="10">
        <f>IFERROR(vlookup('4.1'!F:F,lookup!$A$10:$B$12,2,false),0)</f>
        <v>5</v>
      </c>
      <c r="H23" s="10">
        <f>IFERROR(vlookup('4.1'!G:G,lookup!$A$14:$B$16,2,false),0)</f>
        <v>5</v>
      </c>
      <c r="I23" s="10">
        <f>IFERROR(vlookup('4.1'!H:H,lookup!$A$18:$B$20,2,false),0)</f>
        <v>5</v>
      </c>
      <c r="J23" s="10">
        <f>IFERROR(vlookup('4.1'!I:I,lookup!$A$22:$B$24,2,false),0)</f>
        <v>5</v>
      </c>
      <c r="K23" s="10">
        <f>IFERROR(vlookup('4.1'!J:J,lookup!$A$26:$B$28,2,false),0)</f>
        <v>5</v>
      </c>
      <c r="L23" s="2"/>
      <c r="M23" s="10">
        <v>22.0</v>
      </c>
      <c r="N23" s="11" t="str">
        <f t="shared" si="1"/>
        <v>bnco0922@signalschool.ac.th</v>
      </c>
      <c r="O23" s="12">
        <f t="shared" si="2"/>
        <v>1</v>
      </c>
      <c r="R23" s="17" t="s">
        <v>239</v>
      </c>
    </row>
    <row r="24">
      <c r="A24" s="8">
        <f>'4.1'!A:A</f>
        <v>46212.62882</v>
      </c>
      <c r="B24" s="2" t="str">
        <f>'4.1'!B:B</f>
        <v>bnco0904@signalschool.ac.th</v>
      </c>
      <c r="C24" s="2" t="str">
        <f>'4.1'!C:C</f>
        <v>ครู - อาจารย์ กศ.รร.ส.สส.</v>
      </c>
      <c r="D24" s="9">
        <v>1.0</v>
      </c>
      <c r="E24" s="10">
        <f>IFERROR(vlookup('4.1'!D:D,lookup!$A$2:$B$4,2,false),0)</f>
        <v>5</v>
      </c>
      <c r="F24" s="10">
        <f>IFERROR(vlookup('4.1'!E:E,lookup!$A$6:$B$8,2,false),0)</f>
        <v>5</v>
      </c>
      <c r="G24" s="10">
        <f>IFERROR(vlookup('4.1'!F:F,lookup!$A$10:$B$12,2,false),0)</f>
        <v>5</v>
      </c>
      <c r="H24" s="10">
        <f>IFERROR(vlookup('4.1'!G:G,lookup!$A$14:$B$16,2,false),0)</f>
        <v>5</v>
      </c>
      <c r="I24" s="10">
        <f>IFERROR(vlookup('4.1'!H:H,lookup!$A$18:$B$20,2,false),0)</f>
        <v>5</v>
      </c>
      <c r="J24" s="10">
        <f>IFERROR(vlookup('4.1'!I:I,lookup!$A$22:$B$24,2,false),0)</f>
        <v>5</v>
      </c>
      <c r="K24" s="10">
        <f>IFERROR(vlookup('4.1'!J:J,lookup!$A$26:$B$28,2,false),0)</f>
        <v>5</v>
      </c>
      <c r="L24" s="2"/>
      <c r="M24" s="10">
        <v>23.0</v>
      </c>
      <c r="N24" s="11" t="str">
        <f t="shared" si="1"/>
        <v>bnco0923@signalschool.ac.th</v>
      </c>
      <c r="O24" s="12">
        <f t="shared" si="2"/>
        <v>1</v>
      </c>
      <c r="R24" s="17" t="s">
        <v>240</v>
      </c>
    </row>
    <row r="25">
      <c r="A25" s="8">
        <f>'4.1'!A:A</f>
        <v>46212.62897</v>
      </c>
      <c r="B25" s="2" t="str">
        <f>'4.1'!B:B</f>
        <v>bnco0913@signalschool.ac.th</v>
      </c>
      <c r="C25" s="2" t="str">
        <f>'4.1'!C:C</f>
        <v>ครู - อาจารย์ กศ.รร.ส.สส.</v>
      </c>
      <c r="D25" s="9">
        <v>1.0</v>
      </c>
      <c r="E25" s="10">
        <f>IFERROR(vlookup('4.1'!D:D,lookup!$A$2:$B$4,2,false),0)</f>
        <v>5</v>
      </c>
      <c r="F25" s="10">
        <f>IFERROR(vlookup('4.1'!E:E,lookup!$A$6:$B$8,2,false),0)</f>
        <v>5</v>
      </c>
      <c r="G25" s="10">
        <f>IFERROR(vlookup('4.1'!F:F,lookup!$A$10:$B$12,2,false),0)</f>
        <v>5</v>
      </c>
      <c r="H25" s="10">
        <f>IFERROR(vlookup('4.1'!G:G,lookup!$A$14:$B$16,2,false),0)</f>
        <v>5</v>
      </c>
      <c r="I25" s="10">
        <f>IFERROR(vlookup('4.1'!H:H,lookup!$A$18:$B$20,2,false),0)</f>
        <v>5</v>
      </c>
      <c r="J25" s="10">
        <f>IFERROR(vlookup('4.1'!I:I,lookup!$A$22:$B$24,2,false),0)</f>
        <v>5</v>
      </c>
      <c r="K25" s="10">
        <f>IFERROR(vlookup('4.1'!J:J,lookup!$A$26:$B$28,2,false),0)</f>
        <v>5</v>
      </c>
      <c r="L25" s="2"/>
      <c r="M25" s="10">
        <v>24.0</v>
      </c>
      <c r="N25" s="11" t="str">
        <f t="shared" si="1"/>
        <v>bnco0924@signalschool.ac.th</v>
      </c>
      <c r="O25" s="12">
        <f t="shared" si="2"/>
        <v>1</v>
      </c>
      <c r="R25" s="17" t="s">
        <v>241</v>
      </c>
    </row>
    <row r="26">
      <c r="A26" s="8">
        <f>'4.1'!A:A</f>
        <v>46212.62921</v>
      </c>
      <c r="B26" s="2" t="str">
        <f>'4.1'!B:B</f>
        <v>bnco0934@signalschool.ac.th</v>
      </c>
      <c r="C26" s="2" t="str">
        <f>'4.1'!C:C</f>
        <v>ครู - อาจารย์ กศ.รร.ส.สส.</v>
      </c>
      <c r="D26" s="9">
        <v>1.0</v>
      </c>
      <c r="E26" s="10">
        <f>IFERROR(vlookup('4.1'!D:D,lookup!$A$2:$B$4,2,false),0)</f>
        <v>5</v>
      </c>
      <c r="F26" s="10">
        <f>IFERROR(vlookup('4.1'!E:E,lookup!$A$6:$B$8,2,false),0)</f>
        <v>5</v>
      </c>
      <c r="G26" s="10">
        <f>IFERROR(vlookup('4.1'!F:F,lookup!$A$10:$B$12,2,false),0)</f>
        <v>5</v>
      </c>
      <c r="H26" s="10">
        <f>IFERROR(vlookup('4.1'!G:G,lookup!$A$14:$B$16,2,false),0)</f>
        <v>5</v>
      </c>
      <c r="I26" s="10">
        <f>IFERROR(vlookup('4.1'!H:H,lookup!$A$18:$B$20,2,false),0)</f>
        <v>5</v>
      </c>
      <c r="J26" s="10">
        <f>IFERROR(vlookup('4.1'!I:I,lookup!$A$22:$B$24,2,false),0)</f>
        <v>5</v>
      </c>
      <c r="K26" s="10">
        <f>IFERROR(vlookup('4.1'!J:J,lookup!$A$26:$B$28,2,false),0)</f>
        <v>5</v>
      </c>
      <c r="L26" s="2"/>
      <c r="M26" s="10">
        <v>25.0</v>
      </c>
      <c r="N26" s="11" t="str">
        <f t="shared" si="1"/>
        <v>bnco0925@signalschool.ac.th</v>
      </c>
      <c r="O26" s="12">
        <f t="shared" si="2"/>
        <v>1</v>
      </c>
      <c r="R26" s="17" t="s">
        <v>242</v>
      </c>
    </row>
    <row r="27">
      <c r="A27" s="8">
        <f>'4.1'!A:A</f>
        <v>46212.6294</v>
      </c>
      <c r="B27" s="2" t="str">
        <f>'4.1'!B:B</f>
        <v>bnco0968@signalschool.ac.th</v>
      </c>
      <c r="C27" s="2" t="str">
        <f>'4.1'!C:C</f>
        <v>ร.อ.ธัญญพัทธ์ ตรีศักดิ์ศรี , จ.ส.อ.ชัยยุทธ ดิษบุตร</v>
      </c>
      <c r="D27" s="9">
        <v>1.0</v>
      </c>
      <c r="E27" s="10">
        <f>IFERROR(vlookup('4.1'!D:D,lookup!$A$2:$B$4,2,false),0)</f>
        <v>5</v>
      </c>
      <c r="F27" s="10">
        <f>IFERROR(vlookup('4.1'!E:E,lookup!$A$6:$B$8,2,false),0)</f>
        <v>5</v>
      </c>
      <c r="G27" s="10">
        <f>IFERROR(vlookup('4.1'!F:F,lookup!$A$10:$B$12,2,false),0)</f>
        <v>5</v>
      </c>
      <c r="H27" s="10">
        <f>IFERROR(vlookup('4.1'!G:G,lookup!$A$14:$B$16,2,false),0)</f>
        <v>5</v>
      </c>
      <c r="I27" s="10">
        <f>IFERROR(vlookup('4.1'!H:H,lookup!$A$18:$B$20,2,false),0)</f>
        <v>5</v>
      </c>
      <c r="J27" s="10">
        <f>IFERROR(vlookup('4.1'!I:I,lookup!$A$22:$B$24,2,false),0)</f>
        <v>5</v>
      </c>
      <c r="K27" s="10">
        <f>IFERROR(vlookup('4.1'!J:J,lookup!$A$26:$B$28,2,false),0)</f>
        <v>5</v>
      </c>
      <c r="L27" s="2"/>
      <c r="M27" s="10">
        <v>26.0</v>
      </c>
      <c r="N27" s="11" t="str">
        <f t="shared" si="1"/>
        <v>bnco0926@signalschool.ac.th</v>
      </c>
      <c r="O27" s="12">
        <f t="shared" si="2"/>
        <v>1</v>
      </c>
      <c r="R27" s="17" t="s">
        <v>243</v>
      </c>
    </row>
    <row r="28">
      <c r="A28" s="8">
        <f>'4.1'!A:A</f>
        <v>46212.62978</v>
      </c>
      <c r="B28" s="2" t="str">
        <f>'4.1'!B:B</f>
        <v>bnco0919@signalschool.ac.th</v>
      </c>
      <c r="C28" s="2" t="str">
        <f>'4.1'!C:C</f>
        <v>ครู - อาจารย์ กศ.รร.ส.สส.</v>
      </c>
      <c r="D28" s="9">
        <v>1.0</v>
      </c>
      <c r="E28" s="10">
        <f>IFERROR(vlookup('4.1'!D:D,lookup!$A$2:$B$4,2,false),0)</f>
        <v>5</v>
      </c>
      <c r="F28" s="10">
        <f>IFERROR(vlookup('4.1'!E:E,lookup!$A$6:$B$8,2,false),0)</f>
        <v>5</v>
      </c>
      <c r="G28" s="10">
        <f>IFERROR(vlookup('4.1'!F:F,lookup!$A$10:$B$12,2,false),0)</f>
        <v>5</v>
      </c>
      <c r="H28" s="10">
        <f>IFERROR(vlookup('4.1'!G:G,lookup!$A$14:$B$16,2,false),0)</f>
        <v>5</v>
      </c>
      <c r="I28" s="10">
        <f>IFERROR(vlookup('4.1'!H:H,lookup!$A$18:$B$20,2,false),0)</f>
        <v>5</v>
      </c>
      <c r="J28" s="10">
        <f>IFERROR(vlookup('4.1'!I:I,lookup!$A$22:$B$24,2,false),0)</f>
        <v>5</v>
      </c>
      <c r="K28" s="10">
        <f>IFERROR(vlookup('4.1'!J:J,lookup!$A$26:$B$28,2,false),0)</f>
        <v>5</v>
      </c>
      <c r="L28" s="2"/>
      <c r="M28" s="10">
        <v>27.0</v>
      </c>
      <c r="N28" s="11" t="str">
        <f t="shared" si="1"/>
        <v>bnco0927@signalschool.ac.th</v>
      </c>
      <c r="O28" s="12">
        <f t="shared" si="2"/>
        <v>1</v>
      </c>
      <c r="R28" s="17" t="s">
        <v>244</v>
      </c>
    </row>
    <row r="29">
      <c r="A29" s="8">
        <f>'4.1'!A:A</f>
        <v>46212.62988</v>
      </c>
      <c r="B29" s="2" t="str">
        <f>'4.1'!B:B</f>
        <v>bnco0936@signalschool.ac.th</v>
      </c>
      <c r="C29" s="2" t="str">
        <f>'4.1'!C:C</f>
        <v>ครู อาจารย์ กศ.รร.ส.สส.</v>
      </c>
      <c r="D29" s="9">
        <v>1.0</v>
      </c>
      <c r="E29" s="10">
        <f>IFERROR(vlookup('4.1'!D:D,lookup!$A$2:$B$4,2,false),0)</f>
        <v>5</v>
      </c>
      <c r="F29" s="10">
        <f>IFERROR(vlookup('4.1'!E:E,lookup!$A$6:$B$8,2,false),0)</f>
        <v>5</v>
      </c>
      <c r="G29" s="10">
        <f>IFERROR(vlookup('4.1'!F:F,lookup!$A$10:$B$12,2,false),0)</f>
        <v>5</v>
      </c>
      <c r="H29" s="10">
        <f>IFERROR(vlookup('4.1'!G:G,lookup!$A$14:$B$16,2,false),0)</f>
        <v>5</v>
      </c>
      <c r="I29" s="10">
        <f>IFERROR(vlookup('4.1'!H:H,lookup!$A$18:$B$20,2,false),0)</f>
        <v>5</v>
      </c>
      <c r="J29" s="10">
        <f>IFERROR(vlookup('4.1'!I:I,lookup!$A$22:$B$24,2,false),0)</f>
        <v>5</v>
      </c>
      <c r="K29" s="10">
        <f>IFERROR(vlookup('4.1'!J:J,lookup!$A$26:$B$28,2,false),0)</f>
        <v>5</v>
      </c>
      <c r="L29" s="2"/>
      <c r="M29" s="10">
        <v>28.0</v>
      </c>
      <c r="N29" s="11" t="str">
        <f t="shared" si="1"/>
        <v>bnco0928@signalschool.ac.th</v>
      </c>
      <c r="O29" s="12">
        <f t="shared" si="2"/>
        <v>1</v>
      </c>
      <c r="R29" s="17" t="s">
        <v>245</v>
      </c>
    </row>
    <row r="30">
      <c r="A30" s="8">
        <f>'4.1'!A:A</f>
        <v>46212.63027</v>
      </c>
      <c r="B30" s="2" t="str">
        <f>'4.1'!B:B</f>
        <v>bnco0908@signalschool.ac.th</v>
      </c>
      <c r="C30" s="2" t="str">
        <f>'4.1'!C:C</f>
        <v>ครู - อาจารย์ กศ.รร.ส.สส.</v>
      </c>
      <c r="D30" s="9">
        <v>1.0</v>
      </c>
      <c r="E30" s="10">
        <f>IFERROR(vlookup('4.1'!D:D,lookup!$A$2:$B$4,2,false),0)</f>
        <v>5</v>
      </c>
      <c r="F30" s="10">
        <f>IFERROR(vlookup('4.1'!E:E,lookup!$A$6:$B$8,2,false),0)</f>
        <v>5</v>
      </c>
      <c r="G30" s="10">
        <f>IFERROR(vlookup('4.1'!F:F,lookup!$A$10:$B$12,2,false),0)</f>
        <v>5</v>
      </c>
      <c r="H30" s="10">
        <f>IFERROR(vlookup('4.1'!G:G,lookup!$A$14:$B$16,2,false),0)</f>
        <v>5</v>
      </c>
      <c r="I30" s="10">
        <f>IFERROR(vlookup('4.1'!H:H,lookup!$A$18:$B$20,2,false),0)</f>
        <v>5</v>
      </c>
      <c r="J30" s="10">
        <f>IFERROR(vlookup('4.1'!I:I,lookup!$A$22:$B$24,2,false),0)</f>
        <v>5</v>
      </c>
      <c r="K30" s="10">
        <f>IFERROR(vlookup('4.1'!J:J,lookup!$A$26:$B$28,2,false),0)</f>
        <v>5</v>
      </c>
      <c r="L30" s="2"/>
      <c r="M30" s="10">
        <v>29.0</v>
      </c>
      <c r="N30" s="11" t="str">
        <f t="shared" si="1"/>
        <v>bnco0929@signalschool.ac.th</v>
      </c>
      <c r="O30" s="12">
        <f t="shared" si="2"/>
        <v>1</v>
      </c>
      <c r="R30" s="17" t="s">
        <v>246</v>
      </c>
    </row>
    <row r="31">
      <c r="A31" s="8">
        <f>'4.1'!A:A</f>
        <v>46212.63036</v>
      </c>
      <c r="B31" s="2" t="str">
        <f>'4.1'!B:B</f>
        <v>bnco0973@signalschool.ac.th</v>
      </c>
      <c r="C31" s="2" t="str">
        <f>'4.1'!C:C</f>
        <v>ครู - อาจารย์ กศ.รร.ส.สส.</v>
      </c>
      <c r="D31" s="9">
        <v>1.0</v>
      </c>
      <c r="E31" s="10">
        <f>IFERROR(vlookup('4.1'!D:D,lookup!$A$2:$B$4,2,false),0)</f>
        <v>5</v>
      </c>
      <c r="F31" s="10">
        <f>IFERROR(vlookup('4.1'!E:E,lookup!$A$6:$B$8,2,false),0)</f>
        <v>5</v>
      </c>
      <c r="G31" s="10">
        <f>IFERROR(vlookup('4.1'!F:F,lookup!$A$10:$B$12,2,false),0)</f>
        <v>5</v>
      </c>
      <c r="H31" s="10">
        <f>IFERROR(vlookup('4.1'!G:G,lookup!$A$14:$B$16,2,false),0)</f>
        <v>5</v>
      </c>
      <c r="I31" s="10">
        <f>IFERROR(vlookup('4.1'!H:H,lookup!$A$18:$B$20,2,false),0)</f>
        <v>5</v>
      </c>
      <c r="J31" s="10">
        <f>IFERROR(vlookup('4.1'!I:I,lookup!$A$22:$B$24,2,false),0)</f>
        <v>5</v>
      </c>
      <c r="K31" s="10">
        <f>IFERROR(vlookup('4.1'!J:J,lookup!$A$26:$B$28,2,false),0)</f>
        <v>5</v>
      </c>
      <c r="L31" s="2"/>
      <c r="M31" s="10">
        <v>30.0</v>
      </c>
      <c r="N31" s="11" t="str">
        <f t="shared" si="1"/>
        <v>bnco0930@signalschool.ac.th</v>
      </c>
      <c r="O31" s="12">
        <f t="shared" si="2"/>
        <v>1</v>
      </c>
      <c r="R31" s="17" t="s">
        <v>247</v>
      </c>
    </row>
    <row r="32">
      <c r="A32" s="8">
        <f>'4.1'!A:A</f>
        <v>46212.63046</v>
      </c>
      <c r="B32" s="2" t="str">
        <f>'4.1'!B:B</f>
        <v>bnco0943@signalschool.ac.th</v>
      </c>
      <c r="C32" s="2" t="str">
        <f>'4.1'!C:C</f>
        <v>ครู - อาจารย์ กศ.รร.ส.สส.</v>
      </c>
      <c r="D32" s="9">
        <v>1.0</v>
      </c>
      <c r="E32" s="10">
        <f>IFERROR(vlookup('4.1'!D:D,lookup!$A$2:$B$4,2,false),0)</f>
        <v>5</v>
      </c>
      <c r="F32" s="10">
        <f>IFERROR(vlookup('4.1'!E:E,lookup!$A$6:$B$8,2,false),0)</f>
        <v>5</v>
      </c>
      <c r="G32" s="10">
        <f>IFERROR(vlookup('4.1'!F:F,lookup!$A$10:$B$12,2,false),0)</f>
        <v>5</v>
      </c>
      <c r="H32" s="10">
        <f>IFERROR(vlookup('4.1'!G:G,lookup!$A$14:$B$16,2,false),0)</f>
        <v>5</v>
      </c>
      <c r="I32" s="10">
        <f>IFERROR(vlookup('4.1'!H:H,lookup!$A$18:$B$20,2,false),0)</f>
        <v>5</v>
      </c>
      <c r="J32" s="10">
        <f>IFERROR(vlookup('4.1'!I:I,lookup!$A$22:$B$24,2,false),0)</f>
        <v>5</v>
      </c>
      <c r="K32" s="10">
        <f>IFERROR(vlookup('4.1'!J:J,lookup!$A$26:$B$28,2,false),0)</f>
        <v>5</v>
      </c>
      <c r="L32" s="2"/>
      <c r="M32" s="10">
        <v>31.0</v>
      </c>
      <c r="N32" s="11" t="str">
        <f t="shared" si="1"/>
        <v>bnco0931@signalschool.ac.th</v>
      </c>
      <c r="O32" s="12">
        <f t="shared" si="2"/>
        <v>1</v>
      </c>
      <c r="R32" s="17" t="s">
        <v>248</v>
      </c>
    </row>
    <row r="33">
      <c r="A33" s="8">
        <f>'4.1'!A:A</f>
        <v>46212.6305</v>
      </c>
      <c r="B33" s="2" t="str">
        <f>'4.1'!B:B</f>
        <v>bnco0921@signalschool.ac.th</v>
      </c>
      <c r="C33" s="2" t="str">
        <f>'4.1'!C:C</f>
        <v>ครูอาจารย์ กศ.รร.ส.สส.</v>
      </c>
      <c r="D33" s="9">
        <v>1.0</v>
      </c>
      <c r="E33" s="10">
        <f>IFERROR(vlookup('4.1'!D:D,lookup!$A$2:$B$4,2,false),0)</f>
        <v>5</v>
      </c>
      <c r="F33" s="10">
        <f>IFERROR(vlookup('4.1'!E:E,lookup!$A$6:$B$8,2,false),0)</f>
        <v>5</v>
      </c>
      <c r="G33" s="10">
        <f>IFERROR(vlookup('4.1'!F:F,lookup!$A$10:$B$12,2,false),0)</f>
        <v>5</v>
      </c>
      <c r="H33" s="10">
        <f>IFERROR(vlookup('4.1'!G:G,lookup!$A$14:$B$16,2,false),0)</f>
        <v>5</v>
      </c>
      <c r="I33" s="10">
        <f>IFERROR(vlookup('4.1'!H:H,lookup!$A$18:$B$20,2,false),0)</f>
        <v>5</v>
      </c>
      <c r="J33" s="10">
        <f>IFERROR(vlookup('4.1'!I:I,lookup!$A$22:$B$24,2,false),0)</f>
        <v>5</v>
      </c>
      <c r="K33" s="10">
        <f>IFERROR(vlookup('4.1'!J:J,lookup!$A$26:$B$28,2,false),0)</f>
        <v>5</v>
      </c>
      <c r="L33" s="2"/>
      <c r="M33" s="10">
        <v>32.0</v>
      </c>
      <c r="N33" s="11" t="str">
        <f t="shared" si="1"/>
        <v>bnco0932@signalschool.ac.th</v>
      </c>
      <c r="O33" s="12">
        <f t="shared" si="2"/>
        <v>1</v>
      </c>
      <c r="R33" s="17" t="s">
        <v>249</v>
      </c>
    </row>
    <row r="34">
      <c r="A34" s="8">
        <f>'4.1'!A:A</f>
        <v>46212.63052</v>
      </c>
      <c r="B34" s="2" t="str">
        <f>'4.1'!B:B</f>
        <v>bnco0978@signalschool.ac.th</v>
      </c>
      <c r="C34" s="2" t="str">
        <f>'4.1'!C:C</f>
        <v>ครู-อาจารย์ กศ.รร.ส.สส.</v>
      </c>
      <c r="D34" s="9">
        <v>1.0</v>
      </c>
      <c r="E34" s="10">
        <f>IFERROR(vlookup('4.1'!D:D,lookup!$A$2:$B$4,2,false),0)</f>
        <v>5</v>
      </c>
      <c r="F34" s="10">
        <f>IFERROR(vlookup('4.1'!E:E,lookup!$A$6:$B$8,2,false),0)</f>
        <v>5</v>
      </c>
      <c r="G34" s="10">
        <f>IFERROR(vlookup('4.1'!F:F,lookup!$A$10:$B$12,2,false),0)</f>
        <v>5</v>
      </c>
      <c r="H34" s="10">
        <f>IFERROR(vlookup('4.1'!G:G,lookup!$A$14:$B$16,2,false),0)</f>
        <v>5</v>
      </c>
      <c r="I34" s="10">
        <f>IFERROR(vlookup('4.1'!H:H,lookup!$A$18:$B$20,2,false),0)</f>
        <v>5</v>
      </c>
      <c r="J34" s="10">
        <f>IFERROR(vlookup('4.1'!I:I,lookup!$A$22:$B$24,2,false),0)</f>
        <v>5</v>
      </c>
      <c r="K34" s="10">
        <f>IFERROR(vlookup('4.1'!J:J,lookup!$A$26:$B$28,2,false),0)</f>
        <v>5</v>
      </c>
      <c r="L34" s="2"/>
      <c r="M34" s="10">
        <v>33.0</v>
      </c>
      <c r="N34" s="11" t="str">
        <f t="shared" si="1"/>
        <v>bnco0933@signalschool.ac.th</v>
      </c>
      <c r="O34" s="12">
        <f t="shared" si="2"/>
        <v>1</v>
      </c>
      <c r="R34" s="17" t="s">
        <v>250</v>
      </c>
    </row>
    <row r="35">
      <c r="A35" s="8">
        <f>'4.1'!A:A</f>
        <v>46212.63054</v>
      </c>
      <c r="B35" s="2" t="str">
        <f>'4.1'!B:B</f>
        <v>bnco0960@signalschool.ac.th</v>
      </c>
      <c r="C35" s="2" t="str">
        <f>'4.1'!C:C</f>
        <v>ครู - อาจารย์ กศ.รร.ส.สส.</v>
      </c>
      <c r="D35" s="9">
        <v>1.0</v>
      </c>
      <c r="E35" s="10">
        <f>IFERROR(vlookup('4.1'!D:D,lookup!$A$2:$B$4,2,false),0)</f>
        <v>5</v>
      </c>
      <c r="F35" s="10">
        <f>IFERROR(vlookup('4.1'!E:E,lookup!$A$6:$B$8,2,false),0)</f>
        <v>5</v>
      </c>
      <c r="G35" s="10">
        <f>IFERROR(vlookup('4.1'!F:F,lookup!$A$10:$B$12,2,false),0)</f>
        <v>5</v>
      </c>
      <c r="H35" s="10">
        <f>IFERROR(vlookup('4.1'!G:G,lookup!$A$14:$B$16,2,false),0)</f>
        <v>5</v>
      </c>
      <c r="I35" s="10">
        <f>IFERROR(vlookup('4.1'!H:H,lookup!$A$18:$B$20,2,false),0)</f>
        <v>5</v>
      </c>
      <c r="J35" s="10">
        <f>IFERROR(vlookup('4.1'!I:I,lookup!$A$22:$B$24,2,false),0)</f>
        <v>5</v>
      </c>
      <c r="K35" s="10">
        <f>IFERROR(vlookup('4.1'!J:J,lookup!$A$26:$B$28,2,false),0)</f>
        <v>5</v>
      </c>
      <c r="L35" s="2"/>
      <c r="M35" s="10">
        <v>34.0</v>
      </c>
      <c r="N35" s="11" t="str">
        <f t="shared" si="1"/>
        <v>bnco0934@signalschool.ac.th</v>
      </c>
      <c r="O35" s="12">
        <f t="shared" si="2"/>
        <v>1</v>
      </c>
      <c r="R35" s="17" t="s">
        <v>251</v>
      </c>
    </row>
    <row r="36">
      <c r="A36" s="8">
        <f>'4.1'!A:A</f>
        <v>46212.63054</v>
      </c>
      <c r="B36" s="2" t="str">
        <f>'4.1'!B:B</f>
        <v>bnco0941@signalschool.ac.th</v>
      </c>
      <c r="C36" s="2" t="str">
        <f>'4.1'!C:C</f>
        <v>ครู - อาจารย์ กศ.รร.ส.สส.</v>
      </c>
      <c r="D36" s="9">
        <v>1.0</v>
      </c>
      <c r="E36" s="10">
        <f>IFERROR(vlookup('4.1'!D:D,lookup!$A$2:$B$4,2,false),0)</f>
        <v>5</v>
      </c>
      <c r="F36" s="10">
        <f>IFERROR(vlookup('4.1'!E:E,lookup!$A$6:$B$8,2,false),0)</f>
        <v>5</v>
      </c>
      <c r="G36" s="10">
        <f>IFERROR(vlookup('4.1'!F:F,lookup!$A$10:$B$12,2,false),0)</f>
        <v>5</v>
      </c>
      <c r="H36" s="10">
        <f>IFERROR(vlookup('4.1'!G:G,lookup!$A$14:$B$16,2,false),0)</f>
        <v>5</v>
      </c>
      <c r="I36" s="10">
        <f>IFERROR(vlookup('4.1'!H:H,lookup!$A$18:$B$20,2,false),0)</f>
        <v>5</v>
      </c>
      <c r="J36" s="10">
        <f>IFERROR(vlookup('4.1'!I:I,lookup!$A$22:$B$24,2,false),0)</f>
        <v>5</v>
      </c>
      <c r="K36" s="10">
        <f>IFERROR(vlookup('4.1'!J:J,lookup!$A$26:$B$28,2,false),0)</f>
        <v>5</v>
      </c>
      <c r="L36" s="2"/>
      <c r="M36" s="10">
        <v>35.0</v>
      </c>
      <c r="N36" s="11" t="str">
        <f t="shared" si="1"/>
        <v>bnco0935@signalschool.ac.th</v>
      </c>
      <c r="O36" s="12">
        <f t="shared" si="2"/>
        <v>1</v>
      </c>
      <c r="R36" s="17" t="s">
        <v>252</v>
      </c>
    </row>
    <row r="37">
      <c r="A37" s="8">
        <f>'4.1'!A:A</f>
        <v>46212.63055</v>
      </c>
      <c r="B37" s="2" t="str">
        <f>'4.1'!B:B</f>
        <v>bnco0949@signalschool.ac.th</v>
      </c>
      <c r="C37" s="2" t="str">
        <f>'4.1'!C:C</f>
        <v>ครู - อาจารย์ กศ.รร.ส.สส.</v>
      </c>
      <c r="D37" s="9">
        <v>1.0</v>
      </c>
      <c r="E37" s="10">
        <f>IFERROR(vlookup('4.1'!D:D,lookup!$A$2:$B$4,2,false),0)</f>
        <v>5</v>
      </c>
      <c r="F37" s="10">
        <f>IFERROR(vlookup('4.1'!E:E,lookup!$A$6:$B$8,2,false),0)</f>
        <v>5</v>
      </c>
      <c r="G37" s="10">
        <f>IFERROR(vlookup('4.1'!F:F,lookup!$A$10:$B$12,2,false),0)</f>
        <v>5</v>
      </c>
      <c r="H37" s="10">
        <f>IFERROR(vlookup('4.1'!G:G,lookup!$A$14:$B$16,2,false),0)</f>
        <v>5</v>
      </c>
      <c r="I37" s="10">
        <f>IFERROR(vlookup('4.1'!H:H,lookup!$A$18:$B$20,2,false),0)</f>
        <v>5</v>
      </c>
      <c r="J37" s="10">
        <f>IFERROR(vlookup('4.1'!I:I,lookup!$A$22:$B$24,2,false),0)</f>
        <v>5</v>
      </c>
      <c r="K37" s="10">
        <f>IFERROR(vlookup('4.1'!J:J,lookup!$A$26:$B$28,2,false),0)</f>
        <v>5</v>
      </c>
      <c r="L37" s="2"/>
      <c r="M37" s="10">
        <v>36.0</v>
      </c>
      <c r="N37" s="11" t="str">
        <f t="shared" si="1"/>
        <v>bnco0936@signalschool.ac.th</v>
      </c>
      <c r="O37" s="12">
        <f t="shared" si="2"/>
        <v>1</v>
      </c>
      <c r="R37" s="17" t="s">
        <v>253</v>
      </c>
    </row>
    <row r="38">
      <c r="A38" s="8">
        <f>'4.1'!A:A</f>
        <v>46212.6306</v>
      </c>
      <c r="B38" s="2" t="str">
        <f>'4.1'!B:B</f>
        <v>bnco0937@signalschool.ac.th</v>
      </c>
      <c r="C38" s="2" t="str">
        <f>'4.1'!C:C</f>
        <v>ครูอาจารย์ กศ.รร.ส.สส.</v>
      </c>
      <c r="D38" s="9">
        <v>1.0</v>
      </c>
      <c r="E38" s="10">
        <f>IFERROR(vlookup('4.1'!D:D,lookup!$A$2:$B$4,2,false),0)</f>
        <v>5</v>
      </c>
      <c r="F38" s="10">
        <f>IFERROR(vlookup('4.1'!E:E,lookup!$A$6:$B$8,2,false),0)</f>
        <v>5</v>
      </c>
      <c r="G38" s="10">
        <f>IFERROR(vlookup('4.1'!F:F,lookup!$A$10:$B$12,2,false),0)</f>
        <v>5</v>
      </c>
      <c r="H38" s="10">
        <f>IFERROR(vlookup('4.1'!G:G,lookup!$A$14:$B$16,2,false),0)</f>
        <v>5</v>
      </c>
      <c r="I38" s="10">
        <f>IFERROR(vlookup('4.1'!H:H,lookup!$A$18:$B$20,2,false),0)</f>
        <v>5</v>
      </c>
      <c r="J38" s="10">
        <f>IFERROR(vlookup('4.1'!I:I,lookup!$A$22:$B$24,2,false),0)</f>
        <v>5</v>
      </c>
      <c r="K38" s="10">
        <f>IFERROR(vlookup('4.1'!J:J,lookup!$A$26:$B$28,2,false),0)</f>
        <v>5</v>
      </c>
      <c r="L38" s="2"/>
      <c r="M38" s="10">
        <v>37.0</v>
      </c>
      <c r="N38" s="11" t="str">
        <f t="shared" si="1"/>
        <v>bnco0937@signalschool.ac.th</v>
      </c>
      <c r="O38" s="12">
        <f t="shared" si="2"/>
        <v>1</v>
      </c>
      <c r="R38" s="17" t="s">
        <v>254</v>
      </c>
    </row>
    <row r="39">
      <c r="A39" s="8">
        <f>'4.1'!A:A</f>
        <v>46212.63061</v>
      </c>
      <c r="B39" s="2" t="str">
        <f>'4.1'!B:B</f>
        <v>bnco0965@signalschool.ac.th</v>
      </c>
      <c r="C39" s="2" t="str">
        <f>'4.1'!C:C</f>
        <v>ครูอาจารย์โรงเรียนสื่อสาร</v>
      </c>
      <c r="D39" s="9">
        <v>1.0</v>
      </c>
      <c r="E39" s="10">
        <f>IFERROR(vlookup('4.1'!D:D,lookup!$A$2:$B$4,2,false),0)</f>
        <v>5</v>
      </c>
      <c r="F39" s="10">
        <f>IFERROR(vlookup('4.1'!E:E,lookup!$A$6:$B$8,2,false),0)</f>
        <v>5</v>
      </c>
      <c r="G39" s="10">
        <f>IFERROR(vlookup('4.1'!F:F,lookup!$A$10:$B$12,2,false),0)</f>
        <v>5</v>
      </c>
      <c r="H39" s="10">
        <f>IFERROR(vlookup('4.1'!G:G,lookup!$A$14:$B$16,2,false),0)</f>
        <v>5</v>
      </c>
      <c r="I39" s="10">
        <f>IFERROR(vlookup('4.1'!H:H,lookup!$A$18:$B$20,2,false),0)</f>
        <v>5</v>
      </c>
      <c r="J39" s="10">
        <f>IFERROR(vlookup('4.1'!I:I,lookup!$A$22:$B$24,2,false),0)</f>
        <v>5</v>
      </c>
      <c r="K39" s="10">
        <f>IFERROR(vlookup('4.1'!J:J,lookup!$A$26:$B$28,2,false),0)</f>
        <v>5</v>
      </c>
      <c r="L39" s="2"/>
      <c r="M39" s="10">
        <v>38.0</v>
      </c>
      <c r="N39" s="11" t="str">
        <f t="shared" si="1"/>
        <v>bnco0938@signalschool.ac.th</v>
      </c>
      <c r="O39" s="12">
        <f t="shared" si="2"/>
        <v>1</v>
      </c>
      <c r="R39" s="17" t="s">
        <v>255</v>
      </c>
    </row>
    <row r="40">
      <c r="A40" s="8">
        <f>'4.1'!A:A</f>
        <v>46212.63064</v>
      </c>
      <c r="B40" s="2" t="str">
        <f>'4.1'!B:B</f>
        <v>bnco0933@signalschool.ac.th</v>
      </c>
      <c r="C40" s="2" t="str">
        <f>'4.1'!C:C</f>
        <v>ครู - อาจารย์ กศ.รร.ส.สส.</v>
      </c>
      <c r="D40" s="9">
        <v>1.0</v>
      </c>
      <c r="E40" s="10">
        <f>IFERROR(vlookup('4.1'!D:D,lookup!$A$2:$B$4,2,false),0)</f>
        <v>5</v>
      </c>
      <c r="F40" s="10">
        <f>IFERROR(vlookup('4.1'!E:E,lookup!$A$6:$B$8,2,false),0)</f>
        <v>5</v>
      </c>
      <c r="G40" s="10">
        <f>IFERROR(vlookup('4.1'!F:F,lookup!$A$10:$B$12,2,false),0)</f>
        <v>5</v>
      </c>
      <c r="H40" s="10">
        <f>IFERROR(vlookup('4.1'!G:G,lookup!$A$14:$B$16,2,false),0)</f>
        <v>5</v>
      </c>
      <c r="I40" s="10">
        <f>IFERROR(vlookup('4.1'!H:H,lookup!$A$18:$B$20,2,false),0)</f>
        <v>5</v>
      </c>
      <c r="J40" s="10">
        <f>IFERROR(vlookup('4.1'!I:I,lookup!$A$22:$B$24,2,false),0)</f>
        <v>5</v>
      </c>
      <c r="K40" s="10">
        <f>IFERROR(vlookup('4.1'!J:J,lookup!$A$26:$B$28,2,false),0)</f>
        <v>5</v>
      </c>
      <c r="L40" s="2"/>
      <c r="M40" s="10">
        <v>39.0</v>
      </c>
      <c r="N40" s="11" t="str">
        <f t="shared" si="1"/>
        <v>bnco0939@signalschool.ac.th</v>
      </c>
      <c r="O40" s="12">
        <f t="shared" si="2"/>
        <v>1</v>
      </c>
      <c r="R40" s="17" t="s">
        <v>256</v>
      </c>
    </row>
    <row r="41">
      <c r="A41" s="8">
        <f>'4.1'!A:A</f>
        <v>46212.63065</v>
      </c>
      <c r="B41" s="2" t="str">
        <f>'4.1'!B:B</f>
        <v>bnco0964@signalschool.ac.th</v>
      </c>
      <c r="C41" s="2" t="str">
        <f>'4.1'!C:C</f>
        <v>ครู-อาจารย์ กศ.รร.ส.สส.</v>
      </c>
      <c r="D41" s="9">
        <v>1.0</v>
      </c>
      <c r="E41" s="10">
        <f>IFERROR(vlookup('4.1'!D:D,lookup!$A$2:$B$4,2,false),0)</f>
        <v>5</v>
      </c>
      <c r="F41" s="10">
        <f>IFERROR(vlookup('4.1'!E:E,lookup!$A$6:$B$8,2,false),0)</f>
        <v>5</v>
      </c>
      <c r="G41" s="10">
        <f>IFERROR(vlookup('4.1'!F:F,lookup!$A$10:$B$12,2,false),0)</f>
        <v>5</v>
      </c>
      <c r="H41" s="10">
        <f>IFERROR(vlookup('4.1'!G:G,lookup!$A$14:$B$16,2,false),0)</f>
        <v>5</v>
      </c>
      <c r="I41" s="10">
        <f>IFERROR(vlookup('4.1'!H:H,lookup!$A$18:$B$20,2,false),0)</f>
        <v>5</v>
      </c>
      <c r="J41" s="10">
        <f>IFERROR(vlookup('4.1'!I:I,lookup!$A$22:$B$24,2,false),0)</f>
        <v>5</v>
      </c>
      <c r="K41" s="10">
        <f>IFERROR(vlookup('4.1'!J:J,lookup!$A$26:$B$28,2,false),0)</f>
        <v>5</v>
      </c>
      <c r="L41" s="2"/>
      <c r="M41" s="10">
        <v>40.0</v>
      </c>
      <c r="N41" s="11" t="str">
        <f t="shared" si="1"/>
        <v>bnco0940@signalschool.ac.th</v>
      </c>
      <c r="O41" s="12">
        <f t="shared" si="2"/>
        <v>1</v>
      </c>
      <c r="R41" s="17" t="s">
        <v>257</v>
      </c>
    </row>
    <row r="42">
      <c r="A42" s="8">
        <f>'4.1'!A:A</f>
        <v>46212.63065</v>
      </c>
      <c r="B42" s="2" t="str">
        <f>'4.1'!B:B</f>
        <v>bnco0915@signalschool.ac.th</v>
      </c>
      <c r="C42" s="2" t="str">
        <f>'4.1'!C:C</f>
        <v>ครู - อาจารย์ กศ.รร.ส.สส.</v>
      </c>
      <c r="D42" s="9">
        <v>1.0</v>
      </c>
      <c r="E42" s="10">
        <f>IFERROR(vlookup('4.1'!D:D,lookup!$A$2:$B$4,2,false),0)</f>
        <v>5</v>
      </c>
      <c r="F42" s="10">
        <f>IFERROR(vlookup('4.1'!E:E,lookup!$A$6:$B$8,2,false),0)</f>
        <v>5</v>
      </c>
      <c r="G42" s="10">
        <f>IFERROR(vlookup('4.1'!F:F,lookup!$A$10:$B$12,2,false),0)</f>
        <v>5</v>
      </c>
      <c r="H42" s="10">
        <f>IFERROR(vlookup('4.1'!G:G,lookup!$A$14:$B$16,2,false),0)</f>
        <v>5</v>
      </c>
      <c r="I42" s="10">
        <f>IFERROR(vlookup('4.1'!H:H,lookup!$A$18:$B$20,2,false),0)</f>
        <v>5</v>
      </c>
      <c r="J42" s="10">
        <f>IFERROR(vlookup('4.1'!I:I,lookup!$A$22:$B$24,2,false),0)</f>
        <v>5</v>
      </c>
      <c r="K42" s="10">
        <f>IFERROR(vlookup('4.1'!J:J,lookup!$A$26:$B$28,2,false),0)</f>
        <v>5</v>
      </c>
      <c r="L42" s="2"/>
      <c r="M42" s="10">
        <v>41.0</v>
      </c>
      <c r="N42" s="11" t="str">
        <f t="shared" si="1"/>
        <v>bnco0941@signalschool.ac.th</v>
      </c>
      <c r="O42" s="12">
        <f t="shared" si="2"/>
        <v>1</v>
      </c>
      <c r="R42" s="17" t="s">
        <v>258</v>
      </c>
    </row>
    <row r="43">
      <c r="A43" s="8">
        <f>'4.1'!A:A</f>
        <v>46212.63066</v>
      </c>
      <c r="B43" s="2" t="str">
        <f>'4.1'!B:B</f>
        <v>bnco0927@signalschool.ac.th</v>
      </c>
      <c r="C43" s="2" t="str">
        <f>'4.1'!C:C</f>
        <v>ครู - อาจารย์ กศ.รร.ส.สส.</v>
      </c>
      <c r="D43" s="9">
        <v>1.0</v>
      </c>
      <c r="E43" s="10">
        <f>IFERROR(vlookup('4.1'!D:D,lookup!$A$2:$B$4,2,false),0)</f>
        <v>5</v>
      </c>
      <c r="F43" s="10">
        <f>IFERROR(vlookup('4.1'!E:E,lookup!$A$6:$B$8,2,false),0)</f>
        <v>5</v>
      </c>
      <c r="G43" s="10">
        <f>IFERROR(vlookup('4.1'!F:F,lookup!$A$10:$B$12,2,false),0)</f>
        <v>5</v>
      </c>
      <c r="H43" s="10">
        <f>IFERROR(vlookup('4.1'!G:G,lookup!$A$14:$B$16,2,false),0)</f>
        <v>5</v>
      </c>
      <c r="I43" s="10">
        <f>IFERROR(vlookup('4.1'!H:H,lookup!$A$18:$B$20,2,false),0)</f>
        <v>5</v>
      </c>
      <c r="J43" s="10">
        <f>IFERROR(vlookup('4.1'!I:I,lookup!$A$22:$B$24,2,false),0)</f>
        <v>5</v>
      </c>
      <c r="K43" s="10">
        <f>IFERROR(vlookup('4.1'!J:J,lookup!$A$26:$B$28,2,false),0)</f>
        <v>5</v>
      </c>
      <c r="L43" s="2"/>
      <c r="M43" s="10">
        <v>42.0</v>
      </c>
      <c r="N43" s="11" t="str">
        <f t="shared" si="1"/>
        <v>bnco0942@signalschool.ac.th</v>
      </c>
      <c r="O43" s="12">
        <f t="shared" si="2"/>
        <v>1</v>
      </c>
      <c r="R43" s="17" t="s">
        <v>259</v>
      </c>
    </row>
    <row r="44">
      <c r="A44" s="8">
        <f>'4.1'!A:A</f>
        <v>46212.63068</v>
      </c>
      <c r="B44" s="2" t="str">
        <f>'4.1'!B:B</f>
        <v>bnco0923@signalschool.ac.th</v>
      </c>
      <c r="C44" s="2" t="str">
        <f>'4.1'!C:C</f>
        <v>ครู - อาจารย์ กศ.รร.ส.สส.</v>
      </c>
      <c r="D44" s="9">
        <v>1.0</v>
      </c>
      <c r="E44" s="10">
        <f>IFERROR(vlookup('4.1'!D:D,lookup!$A$2:$B$4,2,false),0)</f>
        <v>5</v>
      </c>
      <c r="F44" s="10">
        <f>IFERROR(vlookup('4.1'!E:E,lookup!$A$6:$B$8,2,false),0)</f>
        <v>5</v>
      </c>
      <c r="G44" s="10">
        <f>IFERROR(vlookup('4.1'!F:F,lookup!$A$10:$B$12,2,false),0)</f>
        <v>5</v>
      </c>
      <c r="H44" s="10">
        <f>IFERROR(vlookup('4.1'!G:G,lookup!$A$14:$B$16,2,false),0)</f>
        <v>5</v>
      </c>
      <c r="I44" s="10">
        <f>IFERROR(vlookup('4.1'!H:H,lookup!$A$18:$B$20,2,false),0)</f>
        <v>5</v>
      </c>
      <c r="J44" s="10">
        <f>IFERROR(vlookup('4.1'!I:I,lookup!$A$22:$B$24,2,false),0)</f>
        <v>5</v>
      </c>
      <c r="K44" s="10">
        <f>IFERROR(vlookup('4.1'!J:J,lookup!$A$26:$B$28,2,false),0)</f>
        <v>5</v>
      </c>
      <c r="L44" s="2"/>
      <c r="M44" s="10">
        <v>43.0</v>
      </c>
      <c r="N44" s="11" t="str">
        <f t="shared" si="1"/>
        <v>bnco0943@signalschool.ac.th</v>
      </c>
      <c r="O44" s="12">
        <f t="shared" si="2"/>
        <v>1</v>
      </c>
      <c r="R44" s="17" t="s">
        <v>260</v>
      </c>
    </row>
    <row r="45">
      <c r="A45" s="8">
        <f>'4.1'!A:A</f>
        <v>46212.63078</v>
      </c>
      <c r="B45" s="2" t="str">
        <f>'4.1'!B:B</f>
        <v>bnco0977@signalschool.ac.th</v>
      </c>
      <c r="C45" s="2" t="str">
        <f>'4.1'!C:C</f>
        <v>ครู-อาจารย์ กศ.รร.ส.สส.</v>
      </c>
      <c r="D45" s="9">
        <v>1.0</v>
      </c>
      <c r="E45" s="10">
        <f>IFERROR(vlookup('4.1'!D:D,lookup!$A$2:$B$4,2,false),0)</f>
        <v>5</v>
      </c>
      <c r="F45" s="10">
        <f>IFERROR(vlookup('4.1'!E:E,lookup!$A$6:$B$8,2,false),0)</f>
        <v>5</v>
      </c>
      <c r="G45" s="10">
        <f>IFERROR(vlookup('4.1'!F:F,lookup!$A$10:$B$12,2,false),0)</f>
        <v>5</v>
      </c>
      <c r="H45" s="10">
        <f>IFERROR(vlookup('4.1'!G:G,lookup!$A$14:$B$16,2,false),0)</f>
        <v>5</v>
      </c>
      <c r="I45" s="10">
        <f>IFERROR(vlookup('4.1'!H:H,lookup!$A$18:$B$20,2,false),0)</f>
        <v>5</v>
      </c>
      <c r="J45" s="10">
        <f>IFERROR(vlookup('4.1'!I:I,lookup!$A$22:$B$24,2,false),0)</f>
        <v>5</v>
      </c>
      <c r="K45" s="10">
        <f>IFERROR(vlookup('4.1'!J:J,lookup!$A$26:$B$28,2,false),0)</f>
        <v>5</v>
      </c>
      <c r="L45" s="2"/>
      <c r="M45" s="10">
        <v>44.0</v>
      </c>
      <c r="N45" s="11" t="str">
        <f t="shared" si="1"/>
        <v>bnco0944@signalschool.ac.th</v>
      </c>
      <c r="O45" s="12">
        <f t="shared" si="2"/>
        <v>1</v>
      </c>
      <c r="R45" s="17" t="s">
        <v>261</v>
      </c>
    </row>
    <row r="46">
      <c r="A46" s="8">
        <f>'4.1'!A:A</f>
        <v>46212.63088</v>
      </c>
      <c r="B46" s="2" t="str">
        <f>'4.1'!B:B</f>
        <v>bnco0914@signalschool.ac.th</v>
      </c>
      <c r="C46" s="2" t="str">
        <f>'4.1'!C:C</f>
        <v>ครู อาจารย์ กศ.รร.ส.สส.</v>
      </c>
      <c r="D46" s="9">
        <v>1.0</v>
      </c>
      <c r="E46" s="10">
        <f>IFERROR(vlookup('4.1'!D:D,lookup!$A$2:$B$4,2,false),0)</f>
        <v>5</v>
      </c>
      <c r="F46" s="10">
        <f>IFERROR(vlookup('4.1'!E:E,lookup!$A$6:$B$8,2,false),0)</f>
        <v>5</v>
      </c>
      <c r="G46" s="10">
        <f>IFERROR(vlookup('4.1'!F:F,lookup!$A$10:$B$12,2,false),0)</f>
        <v>5</v>
      </c>
      <c r="H46" s="10">
        <f>IFERROR(vlookup('4.1'!G:G,lookup!$A$14:$B$16,2,false),0)</f>
        <v>5</v>
      </c>
      <c r="I46" s="10">
        <f>IFERROR(vlookup('4.1'!H:H,lookup!$A$18:$B$20,2,false),0)</f>
        <v>5</v>
      </c>
      <c r="J46" s="10">
        <f>IFERROR(vlookup('4.1'!I:I,lookup!$A$22:$B$24,2,false),0)</f>
        <v>5</v>
      </c>
      <c r="K46" s="10">
        <f>IFERROR(vlookup('4.1'!J:J,lookup!$A$26:$B$28,2,false),0)</f>
        <v>5</v>
      </c>
      <c r="L46" s="2"/>
      <c r="M46" s="10">
        <v>45.0</v>
      </c>
      <c r="N46" s="11" t="str">
        <f t="shared" si="1"/>
        <v>bnco0945@signalschool.ac.th</v>
      </c>
      <c r="O46" s="12">
        <f t="shared" si="2"/>
        <v>1</v>
      </c>
      <c r="R46" s="17" t="s">
        <v>262</v>
      </c>
    </row>
    <row r="47">
      <c r="A47" s="8">
        <f>'4.1'!A:A</f>
        <v>46212.6309</v>
      </c>
      <c r="B47" s="2" t="str">
        <f>'4.1'!B:B</f>
        <v>bnco0963@signalschool.ac.th</v>
      </c>
      <c r="C47" s="2" t="str">
        <f>'4.1'!C:C</f>
        <v>ครูอาจารย์ กศ.รร.ส.สส.</v>
      </c>
      <c r="D47" s="9">
        <v>1.0</v>
      </c>
      <c r="E47" s="10">
        <f>IFERROR(vlookup('4.1'!D:D,lookup!$A$2:$B$4,2,false),0)</f>
        <v>5</v>
      </c>
      <c r="F47" s="10">
        <f>IFERROR(vlookup('4.1'!E:E,lookup!$A$6:$B$8,2,false),0)</f>
        <v>5</v>
      </c>
      <c r="G47" s="10">
        <f>IFERROR(vlookup('4.1'!F:F,lookup!$A$10:$B$12,2,false),0)</f>
        <v>5</v>
      </c>
      <c r="H47" s="10">
        <f>IFERROR(vlookup('4.1'!G:G,lookup!$A$14:$B$16,2,false),0)</f>
        <v>5</v>
      </c>
      <c r="I47" s="10">
        <f>IFERROR(vlookup('4.1'!H:H,lookup!$A$18:$B$20,2,false),0)</f>
        <v>5</v>
      </c>
      <c r="J47" s="10">
        <f>IFERROR(vlookup('4.1'!I:I,lookup!$A$22:$B$24,2,false),0)</f>
        <v>5</v>
      </c>
      <c r="K47" s="10">
        <f>IFERROR(vlookup('4.1'!J:J,lookup!$A$26:$B$28,2,false),0)</f>
        <v>5</v>
      </c>
      <c r="L47" s="2"/>
      <c r="M47" s="10">
        <v>46.0</v>
      </c>
      <c r="N47" s="11" t="str">
        <f t="shared" si="1"/>
        <v>bnco0946@signalschool.ac.th</v>
      </c>
      <c r="O47" s="12">
        <f t="shared" si="2"/>
        <v>1</v>
      </c>
      <c r="R47" s="17" t="s">
        <v>263</v>
      </c>
    </row>
    <row r="48">
      <c r="A48" s="8">
        <f>'4.1'!A:A</f>
        <v>46212.63091</v>
      </c>
      <c r="B48" s="2" t="str">
        <f>'4.1'!B:B</f>
        <v>bnco0945@signalschool.ac.th</v>
      </c>
      <c r="C48" s="2" t="str">
        <f>'4.1'!C:C</f>
        <v>ครู - อาจารย์ กศ.รร.ส.สส</v>
      </c>
      <c r="D48" s="9">
        <v>1.0</v>
      </c>
      <c r="E48" s="10">
        <f>IFERROR(vlookup('4.1'!D:D,lookup!$A$2:$B$4,2,false),0)</f>
        <v>5</v>
      </c>
      <c r="F48" s="10">
        <f>IFERROR(vlookup('4.1'!E:E,lookup!$A$6:$B$8,2,false),0)</f>
        <v>5</v>
      </c>
      <c r="G48" s="10">
        <f>IFERROR(vlookup('4.1'!F:F,lookup!$A$10:$B$12,2,false),0)</f>
        <v>5</v>
      </c>
      <c r="H48" s="10">
        <f>IFERROR(vlookup('4.1'!G:G,lookup!$A$14:$B$16,2,false),0)</f>
        <v>5</v>
      </c>
      <c r="I48" s="10">
        <f>IFERROR(vlookup('4.1'!H:H,lookup!$A$18:$B$20,2,false),0)</f>
        <v>5</v>
      </c>
      <c r="J48" s="10">
        <f>IFERROR(vlookup('4.1'!I:I,lookup!$A$22:$B$24,2,false),0)</f>
        <v>5</v>
      </c>
      <c r="K48" s="10">
        <f>IFERROR(vlookup('4.1'!J:J,lookup!$A$26:$B$28,2,false),0)</f>
        <v>5</v>
      </c>
      <c r="L48" s="2"/>
      <c r="M48" s="10">
        <v>47.0</v>
      </c>
      <c r="N48" s="11" t="str">
        <f t="shared" si="1"/>
        <v>bnco0947@signalschool.ac.th</v>
      </c>
      <c r="O48" s="12">
        <f t="shared" si="2"/>
        <v>1</v>
      </c>
      <c r="R48" s="17" t="s">
        <v>264</v>
      </c>
    </row>
    <row r="49">
      <c r="A49" s="8">
        <f>'4.1'!A:A</f>
        <v>46212.63094</v>
      </c>
      <c r="B49" s="2" t="str">
        <f>'4.1'!B:B</f>
        <v>bnco0909@signalschool.ac.th</v>
      </c>
      <c r="C49" s="2" t="str">
        <f>'4.1'!C:C</f>
        <v>ครู-อาจารย์ กศ.รร.สส.ส.</v>
      </c>
      <c r="D49" s="9">
        <v>1.0</v>
      </c>
      <c r="E49" s="10">
        <f>IFERROR(vlookup('4.1'!D:D,lookup!$A$2:$B$4,2,false),0)</f>
        <v>5</v>
      </c>
      <c r="F49" s="10">
        <f>IFERROR(vlookup('4.1'!E:E,lookup!$A$6:$B$8,2,false),0)</f>
        <v>5</v>
      </c>
      <c r="G49" s="10">
        <f>IFERROR(vlookup('4.1'!F:F,lookup!$A$10:$B$12,2,false),0)</f>
        <v>5</v>
      </c>
      <c r="H49" s="10">
        <f>IFERROR(vlookup('4.1'!G:G,lookup!$A$14:$B$16,2,false),0)</f>
        <v>5</v>
      </c>
      <c r="I49" s="10">
        <f>IFERROR(vlookup('4.1'!H:H,lookup!$A$18:$B$20,2,false),0)</f>
        <v>5</v>
      </c>
      <c r="J49" s="10">
        <f>IFERROR(vlookup('4.1'!I:I,lookup!$A$22:$B$24,2,false),0)</f>
        <v>5</v>
      </c>
      <c r="K49" s="10">
        <f>IFERROR(vlookup('4.1'!J:J,lookup!$A$26:$B$28,2,false),0)</f>
        <v>5</v>
      </c>
      <c r="L49" s="2"/>
      <c r="M49" s="10">
        <v>48.0</v>
      </c>
      <c r="N49" s="11" t="str">
        <f t="shared" si="1"/>
        <v>bnco0948@signalschool.ac.th</v>
      </c>
      <c r="O49" s="12">
        <f t="shared" si="2"/>
        <v>1</v>
      </c>
      <c r="R49" s="17" t="s">
        <v>265</v>
      </c>
    </row>
    <row r="50">
      <c r="A50" s="8">
        <f>'4.1'!A:A</f>
        <v>46212.63104</v>
      </c>
      <c r="B50" s="2" t="str">
        <f>'4.1'!B:B</f>
        <v>bnco0916@signalschool.ac.th</v>
      </c>
      <c r="C50" s="2" t="str">
        <f>'4.1'!C:C</f>
        <v>ครู อาจารย์ กศ.รร.ส.สส.</v>
      </c>
      <c r="D50" s="9">
        <v>1.0</v>
      </c>
      <c r="E50" s="10">
        <f>IFERROR(vlookup('4.1'!D:D,lookup!$A$2:$B$4,2,false),0)</f>
        <v>5</v>
      </c>
      <c r="F50" s="10">
        <f>IFERROR(vlookup('4.1'!E:E,lookup!$A$6:$B$8,2,false),0)</f>
        <v>5</v>
      </c>
      <c r="G50" s="10">
        <f>IFERROR(vlookup('4.1'!F:F,lookup!$A$10:$B$12,2,false),0)</f>
        <v>5</v>
      </c>
      <c r="H50" s="10">
        <f>IFERROR(vlookup('4.1'!G:G,lookup!$A$14:$B$16,2,false),0)</f>
        <v>5</v>
      </c>
      <c r="I50" s="10">
        <f>IFERROR(vlookup('4.1'!H:H,lookup!$A$18:$B$20,2,false),0)</f>
        <v>5</v>
      </c>
      <c r="J50" s="10">
        <f>IFERROR(vlookup('4.1'!I:I,lookup!$A$22:$B$24,2,false),0)</f>
        <v>5</v>
      </c>
      <c r="K50" s="10">
        <f>IFERROR(vlookup('4.1'!J:J,lookup!$A$26:$B$28,2,false),0)</f>
        <v>5</v>
      </c>
      <c r="L50" s="2"/>
      <c r="M50" s="10">
        <v>49.0</v>
      </c>
      <c r="N50" s="11" t="str">
        <f t="shared" si="1"/>
        <v>bnco0949@signalschool.ac.th</v>
      </c>
      <c r="O50" s="12">
        <f t="shared" si="2"/>
        <v>1</v>
      </c>
      <c r="R50" s="17" t="s">
        <v>266</v>
      </c>
    </row>
    <row r="51">
      <c r="A51" s="8">
        <f>'4.1'!A:A</f>
        <v>46212.63104</v>
      </c>
      <c r="B51" s="2" t="str">
        <f>'4.1'!B:B</f>
        <v>bnco0902@signalschool.ac.th</v>
      </c>
      <c r="C51" s="2" t="str">
        <f>'4.1'!C:C</f>
        <v>ครู - อาจารย์ กศ.รร.ส.สส.</v>
      </c>
      <c r="D51" s="9">
        <v>1.0</v>
      </c>
      <c r="E51" s="10">
        <f>IFERROR(vlookup('4.1'!D:D,lookup!$A$2:$B$4,2,false),0)</f>
        <v>5</v>
      </c>
      <c r="F51" s="10">
        <f>IFERROR(vlookup('4.1'!E:E,lookup!$A$6:$B$8,2,false),0)</f>
        <v>5</v>
      </c>
      <c r="G51" s="10">
        <f>IFERROR(vlookup('4.1'!F:F,lookup!$A$10:$B$12,2,false),0)</f>
        <v>5</v>
      </c>
      <c r="H51" s="10">
        <f>IFERROR(vlookup('4.1'!G:G,lookup!$A$14:$B$16,2,false),0)</f>
        <v>5</v>
      </c>
      <c r="I51" s="10">
        <f>IFERROR(vlookup('4.1'!H:H,lookup!$A$18:$B$20,2,false),0)</f>
        <v>5</v>
      </c>
      <c r="J51" s="10">
        <f>IFERROR(vlookup('4.1'!I:I,lookup!$A$22:$B$24,2,false),0)</f>
        <v>5</v>
      </c>
      <c r="K51" s="10">
        <f>IFERROR(vlookup('4.1'!J:J,lookup!$A$26:$B$28,2,false),0)</f>
        <v>5</v>
      </c>
      <c r="L51" s="2"/>
      <c r="M51" s="10">
        <v>50.0</v>
      </c>
      <c r="N51" s="11" t="str">
        <f t="shared" si="1"/>
        <v>bnco0950@signalschool.ac.th</v>
      </c>
      <c r="O51" s="12">
        <f t="shared" si="2"/>
        <v>1</v>
      </c>
      <c r="R51" s="17" t="s">
        <v>267</v>
      </c>
    </row>
    <row r="52">
      <c r="A52" s="8">
        <f>'4.1'!A:A</f>
        <v>46212.63107</v>
      </c>
      <c r="B52" s="2" t="str">
        <f>'4.1'!B:B</f>
        <v>bnco0901@signalschool.ac.th</v>
      </c>
      <c r="C52" s="2" t="str">
        <f>'4.1'!C:C</f>
        <v>ครู - อาจารย์ กศ.รร.ส.สส.</v>
      </c>
      <c r="D52" s="9">
        <v>1.0</v>
      </c>
      <c r="E52" s="10">
        <f>IFERROR(vlookup('4.1'!D:D,lookup!$A$2:$B$4,2,false),0)</f>
        <v>5</v>
      </c>
      <c r="F52" s="10">
        <f>IFERROR(vlookup('4.1'!E:E,lookup!$A$6:$B$8,2,false),0)</f>
        <v>5</v>
      </c>
      <c r="G52" s="10">
        <f>IFERROR(vlookup('4.1'!F:F,lookup!$A$10:$B$12,2,false),0)</f>
        <v>5</v>
      </c>
      <c r="H52" s="10">
        <f>IFERROR(vlookup('4.1'!G:G,lookup!$A$14:$B$16,2,false),0)</f>
        <v>5</v>
      </c>
      <c r="I52" s="10">
        <f>IFERROR(vlookup('4.1'!H:H,lookup!$A$18:$B$20,2,false),0)</f>
        <v>5</v>
      </c>
      <c r="J52" s="10">
        <f>IFERROR(vlookup('4.1'!I:I,lookup!$A$22:$B$24,2,false),0)</f>
        <v>5</v>
      </c>
      <c r="K52" s="10">
        <f>IFERROR(vlookup('4.1'!J:J,lookup!$A$26:$B$28,2,false),0)</f>
        <v>5</v>
      </c>
      <c r="L52" s="2"/>
      <c r="M52" s="10">
        <v>51.0</v>
      </c>
      <c r="N52" s="11" t="str">
        <f t="shared" si="1"/>
        <v>bnco0951@signalschool.ac.th</v>
      </c>
      <c r="O52" s="12">
        <f t="shared" si="2"/>
        <v>1</v>
      </c>
      <c r="R52" s="17" t="s">
        <v>268</v>
      </c>
    </row>
    <row r="53">
      <c r="A53" s="8">
        <f>'4.1'!A:A</f>
        <v>46212.63117</v>
      </c>
      <c r="B53" s="2" t="str">
        <f>'4.1'!B:B</f>
        <v>bnco0970@signalschool.ac.th</v>
      </c>
      <c r="C53" s="2" t="str">
        <f>'4.1'!C:C</f>
        <v>ครู - อาจารย์ กศ.รร.ส.สส</v>
      </c>
      <c r="D53" s="9">
        <v>1.0</v>
      </c>
      <c r="E53" s="10">
        <f>IFERROR(vlookup('4.1'!D:D,lookup!$A$2:$B$4,2,false),0)</f>
        <v>5</v>
      </c>
      <c r="F53" s="10">
        <f>IFERROR(vlookup('4.1'!E:E,lookup!$A$6:$B$8,2,false),0)</f>
        <v>5</v>
      </c>
      <c r="G53" s="10">
        <f>IFERROR(vlookup('4.1'!F:F,lookup!$A$10:$B$12,2,false),0)</f>
        <v>5</v>
      </c>
      <c r="H53" s="10">
        <f>IFERROR(vlookup('4.1'!G:G,lookup!$A$14:$B$16,2,false),0)</f>
        <v>5</v>
      </c>
      <c r="I53" s="10">
        <f>IFERROR(vlookup('4.1'!H:H,lookup!$A$18:$B$20,2,false),0)</f>
        <v>5</v>
      </c>
      <c r="J53" s="10">
        <f>IFERROR(vlookup('4.1'!I:I,lookup!$A$22:$B$24,2,false),0)</f>
        <v>5</v>
      </c>
      <c r="K53" s="10">
        <f>IFERROR(vlookup('4.1'!J:J,lookup!$A$26:$B$28,2,false),0)</f>
        <v>5</v>
      </c>
      <c r="L53" s="2"/>
      <c r="M53" s="10">
        <v>52.0</v>
      </c>
      <c r="N53" s="11" t="str">
        <f t="shared" si="1"/>
        <v>bnco0952@signalschool.ac.th</v>
      </c>
      <c r="O53" s="12">
        <f t="shared" si="2"/>
        <v>1</v>
      </c>
      <c r="R53" s="17" t="s">
        <v>269</v>
      </c>
    </row>
    <row r="54">
      <c r="A54" s="8">
        <f>'4.1'!A:A</f>
        <v>46212.63118</v>
      </c>
      <c r="B54" s="2" t="str">
        <f>'4.1'!B:B</f>
        <v>bnco0938@signalschool.ac.th</v>
      </c>
      <c r="C54" s="2" t="str">
        <f>'4.1'!C:C</f>
        <v>ครู - อาจารย์ กศ.รร.ส.สส.</v>
      </c>
      <c r="D54" s="9">
        <v>1.0</v>
      </c>
      <c r="E54" s="10">
        <f>IFERROR(vlookup('4.1'!D:D,lookup!$A$2:$B$4,2,false),0)</f>
        <v>5</v>
      </c>
      <c r="F54" s="10">
        <f>IFERROR(vlookup('4.1'!E:E,lookup!$A$6:$B$8,2,false),0)</f>
        <v>3</v>
      </c>
      <c r="G54" s="10">
        <f>IFERROR(vlookup('4.1'!F:F,lookup!$A$10:$B$12,2,false),0)</f>
        <v>5</v>
      </c>
      <c r="H54" s="10">
        <f>IFERROR(vlookup('4.1'!G:G,lookup!$A$14:$B$16,2,false),0)</f>
        <v>5</v>
      </c>
      <c r="I54" s="10">
        <f>IFERROR(vlookup('4.1'!H:H,lookup!$A$18:$B$20,2,false),0)</f>
        <v>3</v>
      </c>
      <c r="J54" s="10">
        <f>IFERROR(vlookup('4.1'!I:I,lookup!$A$22:$B$24,2,false),0)</f>
        <v>3</v>
      </c>
      <c r="K54" s="10">
        <f>IFERROR(vlookup('4.1'!J:J,lookup!$A$26:$B$28,2,false),0)</f>
        <v>5</v>
      </c>
      <c r="L54" s="2"/>
      <c r="M54" s="10">
        <v>53.0</v>
      </c>
      <c r="N54" s="11" t="str">
        <f t="shared" si="1"/>
        <v>bnco0953@signalschool.ac.th</v>
      </c>
      <c r="O54" s="12">
        <f t="shared" si="2"/>
        <v>1</v>
      </c>
      <c r="R54" s="17" t="s">
        <v>270</v>
      </c>
    </row>
    <row r="55">
      <c r="A55" s="8">
        <f>'4.1'!A:A</f>
        <v>46212.63122</v>
      </c>
      <c r="B55" s="2" t="str">
        <f>'4.1'!B:B</f>
        <v>bnco0957@signalschool.ac.th</v>
      </c>
      <c r="C55" s="2" t="str">
        <f>'4.1'!C:C</f>
        <v>ครู - อาจารย์ กศ.รร.ส.สส.</v>
      </c>
      <c r="D55" s="9">
        <v>1.0</v>
      </c>
      <c r="E55" s="10">
        <f>IFERROR(vlookup('4.1'!D:D,lookup!$A$2:$B$4,2,false),0)</f>
        <v>5</v>
      </c>
      <c r="F55" s="10">
        <f>IFERROR(vlookup('4.1'!E:E,lookup!$A$6:$B$8,2,false),0)</f>
        <v>5</v>
      </c>
      <c r="G55" s="10">
        <f>IFERROR(vlookup('4.1'!F:F,lookup!$A$10:$B$12,2,false),0)</f>
        <v>5</v>
      </c>
      <c r="H55" s="10">
        <f>IFERROR(vlookup('4.1'!G:G,lookup!$A$14:$B$16,2,false),0)</f>
        <v>5</v>
      </c>
      <c r="I55" s="10">
        <f>IFERROR(vlookup('4.1'!H:H,lookup!$A$18:$B$20,2,false),0)</f>
        <v>5</v>
      </c>
      <c r="J55" s="10">
        <f>IFERROR(vlookup('4.1'!I:I,lookup!$A$22:$B$24,2,false),0)</f>
        <v>5</v>
      </c>
      <c r="K55" s="10">
        <f>IFERROR(vlookup('4.1'!J:J,lookup!$A$26:$B$28,2,false),0)</f>
        <v>5</v>
      </c>
      <c r="L55" s="2"/>
      <c r="M55" s="10">
        <v>54.0</v>
      </c>
      <c r="N55" s="11" t="str">
        <f t="shared" si="1"/>
        <v>bnco0954@signalschool.ac.th</v>
      </c>
      <c r="O55" s="12">
        <f t="shared" si="2"/>
        <v>1</v>
      </c>
      <c r="R55" s="17" t="s">
        <v>271</v>
      </c>
    </row>
    <row r="56">
      <c r="A56" s="8">
        <f>'4.1'!A:A</f>
        <v>46212.63123</v>
      </c>
      <c r="B56" s="2" t="str">
        <f>'4.1'!B:B</f>
        <v>bnco0935@signalschool.ac.th</v>
      </c>
      <c r="C56" s="2" t="str">
        <f>'4.1'!C:C</f>
        <v>ครู อาจารย์ กศ.รร.ส.สส.</v>
      </c>
      <c r="D56" s="9">
        <v>1.0</v>
      </c>
      <c r="E56" s="10">
        <f>IFERROR(vlookup('4.1'!D:D,lookup!$A$2:$B$4,2,false),0)</f>
        <v>5</v>
      </c>
      <c r="F56" s="10">
        <f>IFERROR(vlookup('4.1'!E:E,lookup!$A$6:$B$8,2,false),0)</f>
        <v>5</v>
      </c>
      <c r="G56" s="10">
        <f>IFERROR(vlookup('4.1'!F:F,lookup!$A$10:$B$12,2,false),0)</f>
        <v>5</v>
      </c>
      <c r="H56" s="10">
        <f>IFERROR(vlookup('4.1'!G:G,lookup!$A$14:$B$16,2,false),0)</f>
        <v>5</v>
      </c>
      <c r="I56" s="10">
        <f>IFERROR(vlookup('4.1'!H:H,lookup!$A$18:$B$20,2,false),0)</f>
        <v>5</v>
      </c>
      <c r="J56" s="10">
        <f>IFERROR(vlookup('4.1'!I:I,lookup!$A$22:$B$24,2,false),0)</f>
        <v>5</v>
      </c>
      <c r="K56" s="10">
        <f>IFERROR(vlookup('4.1'!J:J,lookup!$A$26:$B$28,2,false),0)</f>
        <v>5</v>
      </c>
      <c r="L56" s="13"/>
      <c r="M56" s="10">
        <v>55.0</v>
      </c>
      <c r="N56" s="11" t="str">
        <f t="shared" si="1"/>
        <v>bnco0955@signalschool.ac.th</v>
      </c>
      <c r="O56" s="12">
        <f t="shared" si="2"/>
        <v>1</v>
      </c>
      <c r="R56" s="17" t="s">
        <v>272</v>
      </c>
    </row>
    <row r="57">
      <c r="A57" s="8">
        <f>'4.1'!A:A</f>
        <v>46212.63137</v>
      </c>
      <c r="B57" s="2" t="str">
        <f>'4.1'!B:B</f>
        <v>bnco0947@signalschool.ac.th</v>
      </c>
      <c r="C57" s="2" t="str">
        <f>'4.1'!C:C</f>
        <v>ครู - อาจารย์ กศ.รร.ส.สส.</v>
      </c>
      <c r="D57" s="9">
        <v>1.0</v>
      </c>
      <c r="E57" s="10">
        <f>IFERROR(vlookup('4.1'!D:D,lookup!$A$2:$B$4,2,false),0)</f>
        <v>5</v>
      </c>
      <c r="F57" s="10">
        <f>IFERROR(vlookup('4.1'!E:E,lookup!$A$6:$B$8,2,false),0)</f>
        <v>5</v>
      </c>
      <c r="G57" s="10">
        <f>IFERROR(vlookup('4.1'!F:F,lookup!$A$10:$B$12,2,false),0)</f>
        <v>5</v>
      </c>
      <c r="H57" s="10">
        <f>IFERROR(vlookup('4.1'!G:G,lookup!$A$14:$B$16,2,false),0)</f>
        <v>5</v>
      </c>
      <c r="I57" s="10">
        <f>IFERROR(vlookup('4.1'!H:H,lookup!$A$18:$B$20,2,false),0)</f>
        <v>5</v>
      </c>
      <c r="J57" s="10">
        <f>IFERROR(vlookup('4.1'!I:I,lookup!$A$22:$B$24,2,false),0)</f>
        <v>5</v>
      </c>
      <c r="K57" s="10">
        <f>IFERROR(vlookup('4.1'!J:J,lookup!$A$26:$B$28,2,false),0)</f>
        <v>5</v>
      </c>
      <c r="L57" s="13"/>
      <c r="M57" s="10">
        <v>56.0</v>
      </c>
      <c r="N57" s="11" t="str">
        <f t="shared" si="1"/>
        <v>bnco0956@signalschool.ac.th</v>
      </c>
      <c r="O57" s="12">
        <f t="shared" si="2"/>
        <v>1</v>
      </c>
      <c r="R57" s="17" t="s">
        <v>273</v>
      </c>
    </row>
    <row r="58">
      <c r="A58" s="8">
        <f>'4.1'!A:A</f>
        <v>46212.63142</v>
      </c>
      <c r="B58" s="2" t="str">
        <f>'4.1'!B:B</f>
        <v>bnco0979@signalschool.ac.th</v>
      </c>
      <c r="C58" s="2" t="str">
        <f>'4.1'!C:C</f>
        <v>ครู-อาจารย์ กศ.รร.ส.สส.</v>
      </c>
      <c r="D58" s="9">
        <v>1.0</v>
      </c>
      <c r="E58" s="10">
        <f>IFERROR(vlookup('4.1'!D:D,lookup!$A$2:$B$4,2,false),0)</f>
        <v>5</v>
      </c>
      <c r="F58" s="10">
        <f>IFERROR(vlookup('4.1'!E:E,lookup!$A$6:$B$8,2,false),0)</f>
        <v>5</v>
      </c>
      <c r="G58" s="10">
        <f>IFERROR(vlookup('4.1'!F:F,lookup!$A$10:$B$12,2,false),0)</f>
        <v>5</v>
      </c>
      <c r="H58" s="10">
        <f>IFERROR(vlookup('4.1'!G:G,lookup!$A$14:$B$16,2,false),0)</f>
        <v>5</v>
      </c>
      <c r="I58" s="10">
        <f>IFERROR(vlookup('4.1'!H:H,lookup!$A$18:$B$20,2,false),0)</f>
        <v>5</v>
      </c>
      <c r="J58" s="10">
        <f>IFERROR(vlookup('4.1'!I:I,lookup!$A$22:$B$24,2,false),0)</f>
        <v>5</v>
      </c>
      <c r="K58" s="10">
        <f>IFERROR(vlookup('4.1'!J:J,lookup!$A$26:$B$28,2,false),0)</f>
        <v>5</v>
      </c>
      <c r="L58" s="13"/>
      <c r="M58" s="10">
        <v>57.0</v>
      </c>
      <c r="N58" s="11" t="str">
        <f t="shared" si="1"/>
        <v>bnco0957@signalschool.ac.th</v>
      </c>
      <c r="O58" s="12">
        <f t="shared" si="2"/>
        <v>1</v>
      </c>
      <c r="R58" s="17" t="s">
        <v>274</v>
      </c>
    </row>
    <row r="59">
      <c r="A59" s="8">
        <f>'4.1'!A:A</f>
        <v>46212.63145</v>
      </c>
      <c r="B59" s="2" t="str">
        <f>'4.1'!B:B</f>
        <v>bnco0939@signalschool.ac.th</v>
      </c>
      <c r="C59" s="2" t="str">
        <f>'4.1'!C:C</f>
        <v>ครู - อาจารย์ กศ.รร.ส.สส.</v>
      </c>
      <c r="D59" s="9">
        <v>1.0</v>
      </c>
      <c r="E59" s="10">
        <f>IFERROR(vlookup('4.1'!D:D,lookup!$A$2:$B$4,2,false),0)</f>
        <v>5</v>
      </c>
      <c r="F59" s="10">
        <f>IFERROR(vlookup('4.1'!E:E,lookup!$A$6:$B$8,2,false),0)</f>
        <v>5</v>
      </c>
      <c r="G59" s="10">
        <f>IFERROR(vlookup('4.1'!F:F,lookup!$A$10:$B$12,2,false),0)</f>
        <v>5</v>
      </c>
      <c r="H59" s="10">
        <f>IFERROR(vlookup('4.1'!G:G,lookup!$A$14:$B$16,2,false),0)</f>
        <v>5</v>
      </c>
      <c r="I59" s="10">
        <f>IFERROR(vlookup('4.1'!H:H,lookup!$A$18:$B$20,2,false),0)</f>
        <v>5</v>
      </c>
      <c r="J59" s="10">
        <f>IFERROR(vlookup('4.1'!I:I,lookup!$A$22:$B$24,2,false),0)</f>
        <v>5</v>
      </c>
      <c r="K59" s="10">
        <f>IFERROR(vlookup('4.1'!J:J,lookup!$A$26:$B$28,2,false),0)</f>
        <v>5</v>
      </c>
      <c r="L59" s="14"/>
      <c r="M59" s="10">
        <v>58.0</v>
      </c>
      <c r="N59" s="11" t="str">
        <f t="shared" si="1"/>
        <v>bnco0958@signalschool.ac.th</v>
      </c>
      <c r="O59" s="12">
        <f t="shared" si="2"/>
        <v>1</v>
      </c>
      <c r="R59" s="17" t="s">
        <v>275</v>
      </c>
    </row>
    <row r="60">
      <c r="A60" s="8">
        <f>'4.1'!A:A</f>
        <v>46212.63171</v>
      </c>
      <c r="B60" s="2" t="str">
        <f>'4.1'!B:B</f>
        <v>bnco0930@signalschool.ac.th</v>
      </c>
      <c r="C60" s="2" t="str">
        <f>'4.1'!C:C</f>
        <v>ครู - อาจารย์ กศ.รร.ส.สส.</v>
      </c>
      <c r="D60" s="9">
        <v>1.0</v>
      </c>
      <c r="E60" s="10">
        <f>IFERROR(vlookup('4.1'!D:D,lookup!$A$2:$B$4,2,false),0)</f>
        <v>5</v>
      </c>
      <c r="F60" s="10">
        <f>IFERROR(vlookup('4.1'!E:E,lookup!$A$6:$B$8,2,false),0)</f>
        <v>5</v>
      </c>
      <c r="G60" s="10">
        <f>IFERROR(vlookup('4.1'!F:F,lookup!$A$10:$B$12,2,false),0)</f>
        <v>5</v>
      </c>
      <c r="H60" s="10">
        <f>IFERROR(vlookup('4.1'!G:G,lookup!$A$14:$B$16,2,false),0)</f>
        <v>5</v>
      </c>
      <c r="I60" s="10">
        <f>IFERROR(vlookup('4.1'!H:H,lookup!$A$18:$B$20,2,false),0)</f>
        <v>5</v>
      </c>
      <c r="J60" s="10">
        <f>IFERROR(vlookup('4.1'!I:I,lookup!$A$22:$B$24,2,false),0)</f>
        <v>5</v>
      </c>
      <c r="K60" s="10">
        <f>IFERROR(vlookup('4.1'!J:J,lookup!$A$26:$B$28,2,false),0)</f>
        <v>5</v>
      </c>
      <c r="L60" s="10"/>
      <c r="M60" s="10">
        <v>59.0</v>
      </c>
      <c r="N60" s="11" t="str">
        <f t="shared" si="1"/>
        <v>bnco0959@signalschool.ac.th</v>
      </c>
      <c r="O60" s="12">
        <f t="shared" si="2"/>
        <v>1</v>
      </c>
      <c r="R60" s="17" t="s">
        <v>276</v>
      </c>
    </row>
    <row r="61">
      <c r="A61" s="8">
        <f>'4.1'!A:A</f>
        <v>46212.63175</v>
      </c>
      <c r="B61" s="2" t="str">
        <f>'4.1'!B:B</f>
        <v>bnco0911@signalschool.ac.th</v>
      </c>
      <c r="C61" s="2" t="str">
        <f>'4.1'!C:C</f>
        <v>ครู อาจารย์ </v>
      </c>
      <c r="D61" s="9">
        <v>1.0</v>
      </c>
      <c r="E61" s="10">
        <f>IFERROR(vlookup('4.1'!D:D,lookup!$A$2:$B$4,2,false),0)</f>
        <v>5</v>
      </c>
      <c r="F61" s="10">
        <f>IFERROR(vlookup('4.1'!E:E,lookup!$A$6:$B$8,2,false),0)</f>
        <v>5</v>
      </c>
      <c r="G61" s="10">
        <f>IFERROR(vlookup('4.1'!F:F,lookup!$A$10:$B$12,2,false),0)</f>
        <v>5</v>
      </c>
      <c r="H61" s="10">
        <f>IFERROR(vlookup('4.1'!G:G,lookup!$A$14:$B$16,2,false),0)</f>
        <v>5</v>
      </c>
      <c r="I61" s="10">
        <f>IFERROR(vlookup('4.1'!H:H,lookup!$A$18:$B$20,2,false),0)</f>
        <v>5</v>
      </c>
      <c r="J61" s="10">
        <f>IFERROR(vlookup('4.1'!I:I,lookup!$A$22:$B$24,2,false),0)</f>
        <v>5</v>
      </c>
      <c r="K61" s="10">
        <f>IFERROR(vlookup('4.1'!J:J,lookup!$A$26:$B$28,2,false),0)</f>
        <v>5</v>
      </c>
      <c r="M61" s="10">
        <v>60.0</v>
      </c>
      <c r="N61" s="11" t="str">
        <f t="shared" si="1"/>
        <v>bnco0960@signalschool.ac.th</v>
      </c>
      <c r="O61" s="12">
        <f t="shared" si="2"/>
        <v>1</v>
      </c>
      <c r="R61" s="17" t="s">
        <v>277</v>
      </c>
    </row>
    <row r="62">
      <c r="A62" s="8">
        <f>'4.1'!A:A</f>
        <v>46212.63198</v>
      </c>
      <c r="B62" s="2" t="str">
        <f>'4.1'!B:B</f>
        <v>bnco0956@signalschool.ac.th</v>
      </c>
      <c r="C62" s="2" t="str">
        <f>'4.1'!C:C</f>
        <v>ครู-อาจารย์ผู้สอน</v>
      </c>
      <c r="D62" s="9">
        <v>1.0</v>
      </c>
      <c r="E62" s="10">
        <f>IFERROR(vlookup('4.1'!D:D,lookup!$A$2:$B$4,2,false),0)</f>
        <v>5</v>
      </c>
      <c r="F62" s="10">
        <f>IFERROR(vlookup('4.1'!E:E,lookup!$A$6:$B$8,2,false),0)</f>
        <v>5</v>
      </c>
      <c r="G62" s="10">
        <f>IFERROR(vlookup('4.1'!F:F,lookup!$A$10:$B$12,2,false),0)</f>
        <v>5</v>
      </c>
      <c r="H62" s="10">
        <f>IFERROR(vlookup('4.1'!G:G,lookup!$A$14:$B$16,2,false),0)</f>
        <v>5</v>
      </c>
      <c r="I62" s="10">
        <f>IFERROR(vlookup('4.1'!H:H,lookup!$A$18:$B$20,2,false),0)</f>
        <v>5</v>
      </c>
      <c r="J62" s="10">
        <f>IFERROR(vlookup('4.1'!I:I,lookup!$A$22:$B$24,2,false),0)</f>
        <v>5</v>
      </c>
      <c r="K62" s="10">
        <f>IFERROR(vlookup('4.1'!J:J,lookup!$A$26:$B$28,2,false),0)</f>
        <v>5</v>
      </c>
      <c r="M62" s="10">
        <v>61.0</v>
      </c>
      <c r="N62" s="11" t="str">
        <f t="shared" si="1"/>
        <v>bnco0961@signalschool.ac.th</v>
      </c>
      <c r="O62" s="12">
        <f t="shared" si="2"/>
        <v>1</v>
      </c>
      <c r="R62" s="17" t="s">
        <v>278</v>
      </c>
    </row>
    <row r="63">
      <c r="A63" s="8">
        <f>'4.1'!A:A</f>
        <v>46212.63226</v>
      </c>
      <c r="B63" s="2" t="str">
        <f>'4.1'!B:B</f>
        <v>bnco0912@signalschool.ac.th</v>
      </c>
      <c r="C63" s="2" t="str">
        <f>'4.1'!C:C</f>
        <v>ครู - อาจารย์ กศ.รร.ส.สส.</v>
      </c>
      <c r="D63" s="9">
        <v>1.0</v>
      </c>
      <c r="E63" s="10">
        <f>IFERROR(vlookup('4.1'!D:D,lookup!$A$2:$B$4,2,false),0)</f>
        <v>5</v>
      </c>
      <c r="F63" s="10">
        <f>IFERROR(vlookup('4.1'!E:E,lookup!$A$6:$B$8,2,false),0)</f>
        <v>5</v>
      </c>
      <c r="G63" s="10">
        <f>IFERROR(vlookup('4.1'!F:F,lookup!$A$10:$B$12,2,false),0)</f>
        <v>5</v>
      </c>
      <c r="H63" s="10">
        <f>IFERROR(vlookup('4.1'!G:G,lookup!$A$14:$B$16,2,false),0)</f>
        <v>5</v>
      </c>
      <c r="I63" s="10">
        <f>IFERROR(vlookup('4.1'!H:H,lookup!$A$18:$B$20,2,false),0)</f>
        <v>5</v>
      </c>
      <c r="J63" s="10">
        <f>IFERROR(vlookup('4.1'!I:I,lookup!$A$22:$B$24,2,false),0)</f>
        <v>5</v>
      </c>
      <c r="K63" s="10">
        <f>IFERROR(vlookup('4.1'!J:J,lookup!$A$26:$B$28,2,false),0)</f>
        <v>5</v>
      </c>
      <c r="M63" s="10">
        <v>62.0</v>
      </c>
      <c r="N63" s="11" t="str">
        <f t="shared" si="1"/>
        <v>bnco0962@signalschool.ac.th</v>
      </c>
      <c r="O63" s="12">
        <f t="shared" si="2"/>
        <v>1</v>
      </c>
      <c r="R63" s="17" t="s">
        <v>279</v>
      </c>
    </row>
    <row r="64">
      <c r="A64" s="8">
        <f>'4.1'!A:A</f>
        <v>46212.63234</v>
      </c>
      <c r="B64" s="2" t="str">
        <f>'4.1'!B:B</f>
        <v>bnco0959@signalschool.ac.th</v>
      </c>
      <c r="C64" s="2" t="str">
        <f>'4.1'!C:C</f>
        <v>ครู - อาจารย์ กศ.รร.ส.สส.</v>
      </c>
      <c r="D64" s="9">
        <v>1.0</v>
      </c>
      <c r="E64" s="10">
        <f>IFERROR(vlookup('4.1'!D:D,lookup!$A$2:$B$4,2,false),0)</f>
        <v>5</v>
      </c>
      <c r="F64" s="10">
        <f>IFERROR(vlookup('4.1'!E:E,lookup!$A$6:$B$8,2,false),0)</f>
        <v>5</v>
      </c>
      <c r="G64" s="10">
        <f>IFERROR(vlookup('4.1'!F:F,lookup!$A$10:$B$12,2,false),0)</f>
        <v>5</v>
      </c>
      <c r="H64" s="10">
        <f>IFERROR(vlookup('4.1'!G:G,lookup!$A$14:$B$16,2,false),0)</f>
        <v>5</v>
      </c>
      <c r="I64" s="10">
        <f>IFERROR(vlookup('4.1'!H:H,lookup!$A$18:$B$20,2,false),0)</f>
        <v>5</v>
      </c>
      <c r="J64" s="10">
        <f>IFERROR(vlookup('4.1'!I:I,lookup!$A$22:$B$24,2,false),0)</f>
        <v>5</v>
      </c>
      <c r="K64" s="10">
        <f>IFERROR(vlookup('4.1'!J:J,lookup!$A$26:$B$28,2,false),0)</f>
        <v>5</v>
      </c>
      <c r="M64" s="10">
        <v>63.0</v>
      </c>
      <c r="N64" s="11" t="str">
        <f t="shared" si="1"/>
        <v>bnco0963@signalschool.ac.th</v>
      </c>
      <c r="O64" s="12">
        <f t="shared" si="2"/>
        <v>1</v>
      </c>
      <c r="R64" s="17" t="s">
        <v>280</v>
      </c>
    </row>
    <row r="65">
      <c r="A65" s="8">
        <f>'4.1'!A:A</f>
        <v>46212.63239</v>
      </c>
      <c r="B65" s="2" t="str">
        <f>'4.1'!B:B</f>
        <v>bnco0952@signalschool.ac.th</v>
      </c>
      <c r="C65" s="2" t="str">
        <f>'4.1'!C:C</f>
        <v>ครู - อาจารย์ กศ.รร.ส.สส.</v>
      </c>
      <c r="D65" s="9">
        <v>1.0</v>
      </c>
      <c r="E65" s="10">
        <f>IFERROR(vlookup('4.1'!D:D,lookup!$A$2:$B$4,2,false),0)</f>
        <v>5</v>
      </c>
      <c r="F65" s="10">
        <f>IFERROR(vlookup('4.1'!E:E,lookup!$A$6:$B$8,2,false),0)</f>
        <v>5</v>
      </c>
      <c r="G65" s="10">
        <f>IFERROR(vlookup('4.1'!F:F,lookup!$A$10:$B$12,2,false),0)</f>
        <v>5</v>
      </c>
      <c r="H65" s="10">
        <f>IFERROR(vlookup('4.1'!G:G,lookup!$A$14:$B$16,2,false),0)</f>
        <v>5</v>
      </c>
      <c r="I65" s="10">
        <f>IFERROR(vlookup('4.1'!H:H,lookup!$A$18:$B$20,2,false),0)</f>
        <v>5</v>
      </c>
      <c r="J65" s="10">
        <f>IFERROR(vlookup('4.1'!I:I,lookup!$A$22:$B$24,2,false),0)</f>
        <v>5</v>
      </c>
      <c r="K65" s="10">
        <f>IFERROR(vlookup('4.1'!J:J,lookup!$A$26:$B$28,2,false),0)</f>
        <v>5</v>
      </c>
      <c r="M65" s="10">
        <v>64.0</v>
      </c>
      <c r="N65" s="11" t="str">
        <f t="shared" si="1"/>
        <v>bnco0964@signalschool.ac.th</v>
      </c>
      <c r="O65" s="12">
        <f t="shared" si="2"/>
        <v>1</v>
      </c>
      <c r="R65" s="17" t="s">
        <v>281</v>
      </c>
    </row>
    <row r="66">
      <c r="A66" s="8">
        <f>'4.1'!A:A</f>
        <v>46212.63252</v>
      </c>
      <c r="B66" s="2" t="str">
        <f>'4.1'!B:B</f>
        <v>bnco0969@signalschool.ac.th</v>
      </c>
      <c r="C66" s="2" t="str">
        <f>'4.1'!C:C</f>
        <v>ครู - อาจารย์ กศ.รร.ส.สส.</v>
      </c>
      <c r="D66" s="9">
        <v>1.0</v>
      </c>
      <c r="E66" s="10">
        <f>IFERROR(vlookup('4.1'!D:D,lookup!$A$2:$B$4,2,false),0)</f>
        <v>5</v>
      </c>
      <c r="F66" s="10">
        <f>IFERROR(vlookup('4.1'!E:E,lookup!$A$6:$B$8,2,false),0)</f>
        <v>5</v>
      </c>
      <c r="G66" s="10">
        <f>IFERROR(vlookup('4.1'!F:F,lookup!$A$10:$B$12,2,false),0)</f>
        <v>5</v>
      </c>
      <c r="H66" s="10">
        <f>IFERROR(vlookup('4.1'!G:G,lookup!$A$14:$B$16,2,false),0)</f>
        <v>5</v>
      </c>
      <c r="I66" s="10">
        <f>IFERROR(vlookup('4.1'!H:H,lookup!$A$18:$B$20,2,false),0)</f>
        <v>5</v>
      </c>
      <c r="J66" s="10">
        <f>IFERROR(vlookup('4.1'!I:I,lookup!$A$22:$B$24,2,false),0)</f>
        <v>5</v>
      </c>
      <c r="K66" s="10">
        <f>IFERROR(vlookup('4.1'!J:J,lookup!$A$26:$B$28,2,false),0)</f>
        <v>5</v>
      </c>
      <c r="M66" s="10">
        <v>65.0</v>
      </c>
      <c r="N66" s="11" t="str">
        <f t="shared" si="1"/>
        <v>bnco0965@signalschool.ac.th</v>
      </c>
      <c r="O66" s="12">
        <f t="shared" si="2"/>
        <v>1</v>
      </c>
      <c r="R66" s="17" t="s">
        <v>282</v>
      </c>
    </row>
    <row r="67">
      <c r="A67" s="8">
        <f>'4.1'!A:A</f>
        <v>46212.63259</v>
      </c>
      <c r="B67" s="2" t="str">
        <f>'4.1'!B:B</f>
        <v>bnco0905@signalschool.ac.th</v>
      </c>
      <c r="C67" s="2" t="str">
        <f>'4.1'!C:C</f>
        <v>ครู - อาจารย์ กศ.รร.ส.สส.</v>
      </c>
      <c r="D67" s="9">
        <v>1.0</v>
      </c>
      <c r="E67" s="10">
        <f>IFERROR(vlookup('4.1'!D:D,lookup!$A$2:$B$4,2,false),0)</f>
        <v>5</v>
      </c>
      <c r="F67" s="10">
        <f>IFERROR(vlookup('4.1'!E:E,lookup!$A$6:$B$8,2,false),0)</f>
        <v>5</v>
      </c>
      <c r="G67" s="10">
        <f>IFERROR(vlookup('4.1'!F:F,lookup!$A$10:$B$12,2,false),0)</f>
        <v>5</v>
      </c>
      <c r="H67" s="10">
        <f>IFERROR(vlookup('4.1'!G:G,lookup!$A$14:$B$16,2,false),0)</f>
        <v>5</v>
      </c>
      <c r="I67" s="10">
        <f>IFERROR(vlookup('4.1'!H:H,lookup!$A$18:$B$20,2,false),0)</f>
        <v>5</v>
      </c>
      <c r="J67" s="10">
        <f>IFERROR(vlookup('4.1'!I:I,lookup!$A$22:$B$24,2,false),0)</f>
        <v>5</v>
      </c>
      <c r="K67" s="10">
        <f>IFERROR(vlookup('4.1'!J:J,lookup!$A$26:$B$28,2,false),0)</f>
        <v>5</v>
      </c>
      <c r="M67" s="10">
        <v>66.0</v>
      </c>
      <c r="N67" s="11" t="str">
        <f t="shared" si="1"/>
        <v>bnco0966@signalschool.ac.th</v>
      </c>
      <c r="O67" s="12">
        <f t="shared" si="2"/>
        <v>1</v>
      </c>
      <c r="R67" s="17" t="s">
        <v>283</v>
      </c>
    </row>
    <row r="68">
      <c r="A68" s="8">
        <f>'4.1'!A:A</f>
        <v>46212.63359</v>
      </c>
      <c r="B68" s="2" t="str">
        <f>'4.1'!B:B</f>
        <v>bnco0974@signalschool.ac.th</v>
      </c>
      <c r="C68" s="2" t="str">
        <f>'4.1'!C:C</f>
        <v>ครู - อาจารย์ กศ.รร.ส.สส.</v>
      </c>
      <c r="D68" s="9">
        <v>1.0</v>
      </c>
      <c r="E68" s="10">
        <f>IFERROR(vlookup('4.1'!D:D,lookup!$A$2:$B$4,2,false),0)</f>
        <v>5</v>
      </c>
      <c r="F68" s="10">
        <f>IFERROR(vlookup('4.1'!E:E,lookup!$A$6:$B$8,2,false),0)</f>
        <v>5</v>
      </c>
      <c r="G68" s="10">
        <f>IFERROR(vlookup('4.1'!F:F,lookup!$A$10:$B$12,2,false),0)</f>
        <v>5</v>
      </c>
      <c r="H68" s="10">
        <f>IFERROR(vlookup('4.1'!G:G,lookup!$A$14:$B$16,2,false),0)</f>
        <v>5</v>
      </c>
      <c r="I68" s="10">
        <f>IFERROR(vlookup('4.1'!H:H,lookup!$A$18:$B$20,2,false),0)</f>
        <v>3</v>
      </c>
      <c r="J68" s="10">
        <f>IFERROR(vlookup('4.1'!I:I,lookup!$A$22:$B$24,2,false),0)</f>
        <v>3</v>
      </c>
      <c r="K68" s="10">
        <f>IFERROR(vlookup('4.1'!J:J,lookup!$A$26:$B$28,2,false),0)</f>
        <v>3</v>
      </c>
      <c r="M68" s="10">
        <v>67.0</v>
      </c>
      <c r="N68" s="11" t="str">
        <f t="shared" si="1"/>
        <v>bnco0967@signalschool.ac.th</v>
      </c>
      <c r="O68" s="12">
        <f t="shared" si="2"/>
        <v>1</v>
      </c>
      <c r="R68" s="17" t="s">
        <v>284</v>
      </c>
    </row>
    <row r="69">
      <c r="A69" s="8">
        <f>'4.1'!A:A</f>
        <v>46212.63406</v>
      </c>
      <c r="B69" s="2" t="str">
        <f>'4.1'!B:B</f>
        <v>bnco0922@signalschool.ac.th</v>
      </c>
      <c r="C69" s="2" t="str">
        <f>'4.1'!C:C</f>
        <v>ครู - อาจารย์ กศ.รร.ส.สส.</v>
      </c>
      <c r="D69" s="9">
        <v>1.0</v>
      </c>
      <c r="E69" s="10">
        <f>IFERROR(vlookup('4.1'!D:D,lookup!$A$2:$B$4,2,false),0)</f>
        <v>5</v>
      </c>
      <c r="F69" s="10">
        <f>IFERROR(vlookup('4.1'!E:E,lookup!$A$6:$B$8,2,false),0)</f>
        <v>5</v>
      </c>
      <c r="G69" s="10">
        <f>IFERROR(vlookup('4.1'!F:F,lookup!$A$10:$B$12,2,false),0)</f>
        <v>5</v>
      </c>
      <c r="H69" s="10">
        <f>IFERROR(vlookup('4.1'!G:G,lookup!$A$14:$B$16,2,false),0)</f>
        <v>5</v>
      </c>
      <c r="I69" s="10">
        <f>IFERROR(vlookup('4.1'!H:H,lookup!$A$18:$B$20,2,false),0)</f>
        <v>5</v>
      </c>
      <c r="J69" s="10">
        <f>IFERROR(vlookup('4.1'!I:I,lookup!$A$22:$B$24,2,false),0)</f>
        <v>5</v>
      </c>
      <c r="K69" s="10">
        <f>IFERROR(vlookup('4.1'!J:J,lookup!$A$26:$B$28,2,false),0)</f>
        <v>5</v>
      </c>
      <c r="M69" s="10">
        <v>68.0</v>
      </c>
      <c r="N69" s="11" t="str">
        <f t="shared" si="1"/>
        <v>bnco0968@signalschool.ac.th</v>
      </c>
      <c r="O69" s="12">
        <f t="shared" si="2"/>
        <v>1</v>
      </c>
      <c r="R69" s="17" t="s">
        <v>285</v>
      </c>
    </row>
    <row r="70">
      <c r="A70" s="8">
        <f>'4.1'!A:A</f>
        <v>46212.63448</v>
      </c>
      <c r="B70" s="2" t="str">
        <f>'4.1'!B:B</f>
        <v>bnco0944@signalschool.ac.th</v>
      </c>
      <c r="C70" s="2" t="str">
        <f>'4.1'!C:C</f>
        <v>ครู-อาจารย์</v>
      </c>
      <c r="D70" s="9">
        <v>1.0</v>
      </c>
      <c r="E70" s="10">
        <f>IFERROR(vlookup('4.1'!D:D,lookup!$A$2:$B$4,2,false),0)</f>
        <v>5</v>
      </c>
      <c r="F70" s="10">
        <f>IFERROR(vlookup('4.1'!E:E,lookup!$A$6:$B$8,2,false),0)</f>
        <v>5</v>
      </c>
      <c r="G70" s="10">
        <f>IFERROR(vlookup('4.1'!F:F,lookup!$A$10:$B$12,2,false),0)</f>
        <v>5</v>
      </c>
      <c r="H70" s="10">
        <f>IFERROR(vlookup('4.1'!G:G,lookup!$A$14:$B$16,2,false),0)</f>
        <v>5</v>
      </c>
      <c r="I70" s="10">
        <f>IFERROR(vlookup('4.1'!H:H,lookup!$A$18:$B$20,2,false),0)</f>
        <v>5</v>
      </c>
      <c r="J70" s="10">
        <f>IFERROR(vlookup('4.1'!I:I,lookup!$A$22:$B$24,2,false),0)</f>
        <v>5</v>
      </c>
      <c r="K70" s="10">
        <f>IFERROR(vlookup('4.1'!J:J,lookup!$A$26:$B$28,2,false),0)</f>
        <v>5</v>
      </c>
      <c r="M70" s="10">
        <v>69.0</v>
      </c>
      <c r="N70" s="11" t="str">
        <f t="shared" si="1"/>
        <v>bnco0969@signalschool.ac.th</v>
      </c>
      <c r="O70" s="12">
        <f t="shared" si="2"/>
        <v>1</v>
      </c>
      <c r="R70" s="17" t="s">
        <v>286</v>
      </c>
    </row>
    <row r="71">
      <c r="A71" s="8">
        <f>'4.1'!A:A</f>
        <v>46212.63457</v>
      </c>
      <c r="B71" s="2" t="str">
        <f>'4.1'!B:B</f>
        <v>bnco0976@signalschool.ac.th</v>
      </c>
      <c r="C71" s="2" t="str">
        <f>'4.1'!C:C</f>
        <v>อาจารย์ กศ.รร.ส.สส.</v>
      </c>
      <c r="D71" s="9">
        <v>1.0</v>
      </c>
      <c r="E71" s="10">
        <f>IFERROR(vlookup('4.1'!D:D,lookup!$A$2:$B$4,2,false),0)</f>
        <v>5</v>
      </c>
      <c r="F71" s="10">
        <f>IFERROR(vlookup('4.1'!E:E,lookup!$A$6:$B$8,2,false),0)</f>
        <v>5</v>
      </c>
      <c r="G71" s="10">
        <f>IFERROR(vlookup('4.1'!F:F,lookup!$A$10:$B$12,2,false),0)</f>
        <v>5</v>
      </c>
      <c r="H71" s="10">
        <f>IFERROR(vlookup('4.1'!G:G,lookup!$A$14:$B$16,2,false),0)</f>
        <v>5</v>
      </c>
      <c r="I71" s="10">
        <f>IFERROR(vlookup('4.1'!H:H,lookup!$A$18:$B$20,2,false),0)</f>
        <v>5</v>
      </c>
      <c r="J71" s="10">
        <f>IFERROR(vlookup('4.1'!I:I,lookup!$A$22:$B$24,2,false),0)</f>
        <v>5</v>
      </c>
      <c r="K71" s="10">
        <f>IFERROR(vlookup('4.1'!J:J,lookup!$A$26:$B$28,2,false),0)</f>
        <v>5</v>
      </c>
      <c r="M71" s="10">
        <v>70.0</v>
      </c>
      <c r="N71" s="11" t="str">
        <f t="shared" si="1"/>
        <v>bnco0970@signalschool.ac.th</v>
      </c>
      <c r="O71" s="12">
        <f t="shared" si="2"/>
        <v>1</v>
      </c>
      <c r="R71" s="17" t="s">
        <v>287</v>
      </c>
    </row>
    <row r="72">
      <c r="A72" s="8">
        <f>'4.1'!A:A</f>
        <v>46212.63521</v>
      </c>
      <c r="B72" s="2" t="str">
        <f>'4.1'!B:B</f>
        <v>bnco0929@signalschool.ac.th</v>
      </c>
      <c r="C72" s="2" t="str">
        <f>'4.1'!C:C</f>
        <v>ครู - อาจารย์ กศ.รร.ส.สส.</v>
      </c>
      <c r="D72" s="9">
        <v>1.0</v>
      </c>
      <c r="E72" s="10">
        <f>IFERROR(vlookup('4.1'!D:D,lookup!$A$2:$B$4,2,false),0)</f>
        <v>5</v>
      </c>
      <c r="F72" s="10">
        <f>IFERROR(vlookup('4.1'!E:E,lookup!$A$6:$B$8,2,false),0)</f>
        <v>5</v>
      </c>
      <c r="G72" s="10">
        <f>IFERROR(vlookup('4.1'!F:F,lookup!$A$10:$B$12,2,false),0)</f>
        <v>5</v>
      </c>
      <c r="H72" s="10">
        <f>IFERROR(vlookup('4.1'!G:G,lookup!$A$14:$B$16,2,false),0)</f>
        <v>5</v>
      </c>
      <c r="I72" s="10">
        <f>IFERROR(vlookup('4.1'!H:H,lookup!$A$18:$B$20,2,false),0)</f>
        <v>5</v>
      </c>
      <c r="J72" s="10">
        <f>IFERROR(vlookup('4.1'!I:I,lookup!$A$22:$B$24,2,false),0)</f>
        <v>5</v>
      </c>
      <c r="K72" s="10">
        <f>IFERROR(vlookup('4.1'!J:J,lookup!$A$26:$B$28,2,false),0)</f>
        <v>5</v>
      </c>
      <c r="M72" s="10">
        <v>71.0</v>
      </c>
      <c r="N72" s="11" t="str">
        <f t="shared" si="1"/>
        <v>bnco0971@signalschool.ac.th</v>
      </c>
      <c r="O72" s="12">
        <f t="shared" si="2"/>
        <v>1</v>
      </c>
      <c r="R72" s="17" t="s">
        <v>288</v>
      </c>
    </row>
    <row r="73">
      <c r="A73" s="8">
        <f>'4.1'!A:A</f>
        <v>46212.63903</v>
      </c>
      <c r="B73" s="2" t="str">
        <f>'4.1'!B:B</f>
        <v>bnco0953@signalschool.ac.th</v>
      </c>
      <c r="C73" s="2" t="str">
        <f>'4.1'!C:C</f>
        <v>ร.อ.ธัญญพัทธ์ ตรีศักดิ์ศรี , จ.ส.อ.ชัยยุทธ ดิษบุตร</v>
      </c>
      <c r="D73" s="9">
        <v>1.0</v>
      </c>
      <c r="E73" s="10">
        <f>IFERROR(vlookup('4.1'!D:D,lookup!$A$2:$B$4,2,false),0)</f>
        <v>5</v>
      </c>
      <c r="F73" s="10">
        <f>IFERROR(vlookup('4.1'!E:E,lookup!$A$6:$B$8,2,false),0)</f>
        <v>5</v>
      </c>
      <c r="G73" s="10">
        <f>IFERROR(vlookup('4.1'!F:F,lookup!$A$10:$B$12,2,false),0)</f>
        <v>5</v>
      </c>
      <c r="H73" s="10">
        <f>IFERROR(vlookup('4.1'!G:G,lookup!$A$14:$B$16,2,false),0)</f>
        <v>5</v>
      </c>
      <c r="I73" s="10">
        <f>IFERROR(vlookup('4.1'!H:H,lookup!$A$18:$B$20,2,false),0)</f>
        <v>5</v>
      </c>
      <c r="J73" s="10">
        <f>IFERROR(vlookup('4.1'!I:I,lookup!$A$22:$B$24,2,false),0)</f>
        <v>5</v>
      </c>
      <c r="K73" s="10">
        <f>IFERROR(vlookup('4.1'!J:J,lookup!$A$26:$B$28,2,false),0)</f>
        <v>5</v>
      </c>
      <c r="M73" s="10">
        <v>72.0</v>
      </c>
      <c r="N73" s="11" t="str">
        <f t="shared" si="1"/>
        <v>bnco0972@signalschool.ac.th</v>
      </c>
      <c r="O73" s="12">
        <f t="shared" si="2"/>
        <v>1</v>
      </c>
      <c r="R73" s="17" t="s">
        <v>289</v>
      </c>
    </row>
    <row r="74">
      <c r="A74" s="8">
        <f>'4.1'!A:A</f>
        <v>46212.64099</v>
      </c>
      <c r="B74" s="2" t="str">
        <f>'4.1'!B:B</f>
        <v>bnco0917@signalschool.ac.th</v>
      </c>
      <c r="C74" s="2" t="str">
        <f>'4.1'!C:C</f>
        <v>ครู-อาจารย์ กศ.รร.ส.สส.</v>
      </c>
      <c r="D74" s="9">
        <v>1.0</v>
      </c>
      <c r="E74" s="10">
        <f>IFERROR(vlookup('4.1'!D:D,lookup!$A$2:$B$4,2,false),0)</f>
        <v>5</v>
      </c>
      <c r="F74" s="10">
        <f>IFERROR(vlookup('4.1'!E:E,lookup!$A$6:$B$8,2,false),0)</f>
        <v>5</v>
      </c>
      <c r="G74" s="10">
        <f>IFERROR(vlookup('4.1'!F:F,lookup!$A$10:$B$12,2,false),0)</f>
        <v>5</v>
      </c>
      <c r="H74" s="10">
        <f>IFERROR(vlookup('4.1'!G:G,lookup!$A$14:$B$16,2,false),0)</f>
        <v>5</v>
      </c>
      <c r="I74" s="10">
        <f>IFERROR(vlookup('4.1'!H:H,lookup!$A$18:$B$20,2,false),0)</f>
        <v>5</v>
      </c>
      <c r="J74" s="10">
        <f>IFERROR(vlookup('4.1'!I:I,lookup!$A$22:$B$24,2,false),0)</f>
        <v>5</v>
      </c>
      <c r="K74" s="10">
        <f>IFERROR(vlookup('4.1'!J:J,lookup!$A$26:$B$28,2,false),0)</f>
        <v>5</v>
      </c>
      <c r="M74" s="10">
        <v>73.0</v>
      </c>
      <c r="N74" s="11" t="str">
        <f t="shared" si="1"/>
        <v>bnco0973@signalschool.ac.th</v>
      </c>
      <c r="O74" s="12">
        <f t="shared" si="2"/>
        <v>1</v>
      </c>
      <c r="R74" s="17" t="s">
        <v>290</v>
      </c>
    </row>
    <row r="75">
      <c r="A75" s="8">
        <f>'4.1'!A:A</f>
        <v>46212.64794</v>
      </c>
      <c r="B75" s="2" t="str">
        <f>'4.1'!B:B</f>
        <v>bnco0961@signalschool.ac.th</v>
      </c>
      <c r="C75" s="2" t="str">
        <f>'4.1'!C:C</f>
        <v> ครู - อาจารย์ กศ.รร.ส.สส.</v>
      </c>
      <c r="D75" s="9">
        <v>1.0</v>
      </c>
      <c r="E75" s="10">
        <f>IFERROR(vlookup('4.1'!D:D,lookup!$A$2:$B$4,2,false),0)</f>
        <v>5</v>
      </c>
      <c r="F75" s="10">
        <f>IFERROR(vlookup('4.1'!E:E,lookup!$A$6:$B$8,2,false),0)</f>
        <v>5</v>
      </c>
      <c r="G75" s="10">
        <f>IFERROR(vlookup('4.1'!F:F,lookup!$A$10:$B$12,2,false),0)</f>
        <v>5</v>
      </c>
      <c r="H75" s="10">
        <f>IFERROR(vlookup('4.1'!G:G,lookup!$A$14:$B$16,2,false),0)</f>
        <v>5</v>
      </c>
      <c r="I75" s="10">
        <f>IFERROR(vlookup('4.1'!H:H,lookup!$A$18:$B$20,2,false),0)</f>
        <v>5</v>
      </c>
      <c r="J75" s="10">
        <f>IFERROR(vlookup('4.1'!I:I,lookup!$A$22:$B$24,2,false),0)</f>
        <v>5</v>
      </c>
      <c r="K75" s="10">
        <f>IFERROR(vlookup('4.1'!J:J,lookup!$A$26:$B$28,2,false),0)</f>
        <v>5</v>
      </c>
      <c r="M75" s="10">
        <v>74.0</v>
      </c>
      <c r="N75" s="11" t="str">
        <f t="shared" si="1"/>
        <v>bnco0974@signalschool.ac.th</v>
      </c>
      <c r="O75" s="12">
        <f t="shared" si="2"/>
        <v>1</v>
      </c>
      <c r="R75" s="17" t="s">
        <v>291</v>
      </c>
    </row>
    <row r="76">
      <c r="A76" s="8">
        <f>'4.1'!A:A</f>
        <v>46212.65513</v>
      </c>
      <c r="B76" s="2" t="str">
        <f>'4.1'!B:B</f>
        <v>bnco0946@signalschool.ac.th</v>
      </c>
      <c r="C76" s="2" t="str">
        <f>'4.1'!C:C</f>
        <v>ครู - อาจารย์ กศ.รร.ส.สส.</v>
      </c>
      <c r="D76" s="9">
        <v>1.0</v>
      </c>
      <c r="E76" s="10">
        <f>IFERROR(vlookup('4.1'!D:D,lookup!$A$2:$B$4,2,false),0)</f>
        <v>5</v>
      </c>
      <c r="F76" s="10">
        <f>IFERROR(vlookup('4.1'!E:E,lookup!$A$6:$B$8,2,false),0)</f>
        <v>5</v>
      </c>
      <c r="G76" s="10">
        <f>IFERROR(vlookup('4.1'!F:F,lookup!$A$10:$B$12,2,false),0)</f>
        <v>5</v>
      </c>
      <c r="H76" s="10">
        <f>IFERROR(vlookup('4.1'!G:G,lookup!$A$14:$B$16,2,false),0)</f>
        <v>5</v>
      </c>
      <c r="I76" s="10">
        <f>IFERROR(vlookup('4.1'!H:H,lookup!$A$18:$B$20,2,false),0)</f>
        <v>5</v>
      </c>
      <c r="J76" s="10">
        <f>IFERROR(vlookup('4.1'!I:I,lookup!$A$22:$B$24,2,false),0)</f>
        <v>5</v>
      </c>
      <c r="K76" s="10">
        <f>IFERROR(vlookup('4.1'!J:J,lookup!$A$26:$B$28,2,false),0)</f>
        <v>5</v>
      </c>
      <c r="M76" s="10">
        <v>75.0</v>
      </c>
      <c r="N76" s="11" t="str">
        <f t="shared" si="1"/>
        <v>bnco0975@signalschool.ac.th</v>
      </c>
      <c r="O76" s="12">
        <f t="shared" si="2"/>
        <v>1</v>
      </c>
      <c r="R76" s="17" t="s">
        <v>292</v>
      </c>
    </row>
    <row r="77">
      <c r="A77" s="8">
        <f>'4.1'!A:A</f>
        <v>46212.71474</v>
      </c>
      <c r="B77" s="2" t="str">
        <f>'4.1'!B:B</f>
        <v>bnco0954@signalschool.ac.th</v>
      </c>
      <c r="C77" s="2" t="str">
        <f>'4.1'!C:C</f>
        <v>ครู - อาจารย์ กศ.รร.ส.สส.</v>
      </c>
      <c r="D77" s="9">
        <v>1.0</v>
      </c>
      <c r="E77" s="10">
        <f>IFERROR(vlookup('4.1'!D:D,lookup!$A$2:$B$4,2,false),0)</f>
        <v>5</v>
      </c>
      <c r="F77" s="10">
        <f>IFERROR(vlookup('4.1'!E:E,lookup!$A$6:$B$8,2,false),0)</f>
        <v>5</v>
      </c>
      <c r="G77" s="10">
        <f>IFERROR(vlookup('4.1'!F:F,lookup!$A$10:$B$12,2,false),0)</f>
        <v>5</v>
      </c>
      <c r="H77" s="10">
        <f>IFERROR(vlookup('4.1'!G:G,lookup!$A$14:$B$16,2,false),0)</f>
        <v>5</v>
      </c>
      <c r="I77" s="10">
        <f>IFERROR(vlookup('4.1'!H:H,lookup!$A$18:$B$20,2,false),0)</f>
        <v>5</v>
      </c>
      <c r="J77" s="10">
        <f>IFERROR(vlookup('4.1'!I:I,lookup!$A$22:$B$24,2,false),0)</f>
        <v>5</v>
      </c>
      <c r="K77" s="10">
        <f>IFERROR(vlookup('4.1'!J:J,lookup!$A$26:$B$28,2,false),0)</f>
        <v>5</v>
      </c>
      <c r="M77" s="10">
        <v>76.0</v>
      </c>
      <c r="N77" s="11" t="str">
        <f t="shared" si="1"/>
        <v>bnco0976@signalschool.ac.th</v>
      </c>
      <c r="O77" s="12">
        <f t="shared" si="2"/>
        <v>1</v>
      </c>
      <c r="R77" s="17" t="s">
        <v>293</v>
      </c>
    </row>
    <row r="78">
      <c r="A78" s="8">
        <f>'4.1'!A:A</f>
        <v>46212.83878</v>
      </c>
      <c r="B78" s="2" t="str">
        <f>'4.1'!B:B</f>
        <v>bnco0907@signalschool.ac.th</v>
      </c>
      <c r="C78" s="2" t="str">
        <f>'4.1'!C:C</f>
        <v>ครู - อาจารย์ กศ.รร.ส.สส</v>
      </c>
      <c r="D78" s="9">
        <v>1.0</v>
      </c>
      <c r="E78" s="10">
        <f>IFERROR(vlookup('4.1'!D:D,lookup!$A$2:$B$4,2,false),0)</f>
        <v>5</v>
      </c>
      <c r="F78" s="10">
        <f>IFERROR(vlookup('4.1'!E:E,lookup!$A$6:$B$8,2,false),0)</f>
        <v>5</v>
      </c>
      <c r="G78" s="10">
        <f>IFERROR(vlookup('4.1'!F:F,lookup!$A$10:$B$12,2,false),0)</f>
        <v>5</v>
      </c>
      <c r="H78" s="10">
        <f>IFERROR(vlookup('4.1'!G:G,lookup!$A$14:$B$16,2,false),0)</f>
        <v>5</v>
      </c>
      <c r="I78" s="10">
        <f>IFERROR(vlookup('4.1'!H:H,lookup!$A$18:$B$20,2,false),0)</f>
        <v>5</v>
      </c>
      <c r="J78" s="10">
        <f>IFERROR(vlookup('4.1'!I:I,lookup!$A$22:$B$24,2,false),0)</f>
        <v>5</v>
      </c>
      <c r="K78" s="10">
        <f>IFERROR(vlookup('4.1'!J:J,lookup!$A$26:$B$28,2,false),0)</f>
        <v>5</v>
      </c>
      <c r="M78" s="10">
        <v>77.0</v>
      </c>
      <c r="N78" s="11" t="str">
        <f t="shared" si="1"/>
        <v>bnco0977@signalschool.ac.th</v>
      </c>
      <c r="O78" s="12">
        <f t="shared" si="2"/>
        <v>1</v>
      </c>
      <c r="R78" s="17" t="s">
        <v>294</v>
      </c>
    </row>
    <row r="79">
      <c r="A79" s="8">
        <f>'4.1'!A:A</f>
        <v>46213.39855</v>
      </c>
      <c r="B79" s="2" t="str">
        <f>'4.1'!B:B</f>
        <v>bnco0966@signalschool.ac.th</v>
      </c>
      <c r="C79" s="2" t="str">
        <f>'4.1'!C:C</f>
        <v>ครู-อาจารย์ กศ.รร.ส.สส.</v>
      </c>
      <c r="D79" s="9">
        <v>1.0</v>
      </c>
      <c r="E79" s="10">
        <f>IFERROR(vlookup('4.1'!D:D,lookup!$A$2:$B$4,2,false),0)</f>
        <v>5</v>
      </c>
      <c r="F79" s="10">
        <f>IFERROR(vlookup('4.1'!E:E,lookup!$A$6:$B$8,2,false),0)</f>
        <v>5</v>
      </c>
      <c r="G79" s="10">
        <f>IFERROR(vlookup('4.1'!F:F,lookup!$A$10:$B$12,2,false),0)</f>
        <v>5</v>
      </c>
      <c r="H79" s="10">
        <f>IFERROR(vlookup('4.1'!G:G,lookup!$A$14:$B$16,2,false),0)</f>
        <v>5</v>
      </c>
      <c r="I79" s="10">
        <f>IFERROR(vlookup('4.1'!H:H,lookup!$A$18:$B$20,2,false),0)</f>
        <v>5</v>
      </c>
      <c r="J79" s="10">
        <f>IFERROR(vlookup('4.1'!I:I,lookup!$A$22:$B$24,2,false),0)</f>
        <v>5</v>
      </c>
      <c r="K79" s="10">
        <f>IFERROR(vlookup('4.1'!J:J,lookup!$A$26:$B$28,2,false),0)</f>
        <v>5</v>
      </c>
      <c r="M79" s="10">
        <v>78.0</v>
      </c>
      <c r="N79" s="11" t="str">
        <f t="shared" si="1"/>
        <v>bnco0978@signalschool.ac.th</v>
      </c>
      <c r="O79" s="12">
        <f t="shared" si="2"/>
        <v>1</v>
      </c>
      <c r="R79" s="17" t="s">
        <v>295</v>
      </c>
    </row>
    <row r="80">
      <c r="A80" s="8">
        <f>'4.1'!A:A</f>
        <v>46213.42561</v>
      </c>
      <c r="B80" s="2" t="str">
        <f>'4.1'!B:B</f>
        <v>bnco0931@signalschool.ac.th</v>
      </c>
      <c r="C80" s="2" t="str">
        <f>'4.1'!C:C</f>
        <v>ครู-อาจารย์ กศ.รร.ส.สส.</v>
      </c>
      <c r="D80" s="9">
        <v>1.0</v>
      </c>
      <c r="E80" s="10">
        <f>IFERROR(vlookup('4.1'!D:D,lookup!$A$2:$B$4,2,false),0)</f>
        <v>5</v>
      </c>
      <c r="F80" s="10">
        <f>IFERROR(vlookup('4.1'!E:E,lookup!$A$6:$B$8,2,false),0)</f>
        <v>5</v>
      </c>
      <c r="G80" s="10">
        <f>IFERROR(vlookup('4.1'!F:F,lookup!$A$10:$B$12,2,false),0)</f>
        <v>5</v>
      </c>
      <c r="H80" s="10">
        <f>IFERROR(vlookup('4.1'!G:G,lookup!$A$14:$B$16,2,false),0)</f>
        <v>5</v>
      </c>
      <c r="I80" s="10">
        <f>IFERROR(vlookup('4.1'!H:H,lookup!$A$18:$B$20,2,false),0)</f>
        <v>5</v>
      </c>
      <c r="J80" s="10">
        <f>IFERROR(vlookup('4.1'!I:I,lookup!$A$22:$B$24,2,false),0)</f>
        <v>5</v>
      </c>
      <c r="K80" s="10">
        <f>IFERROR(vlookup('4.1'!J:J,lookup!$A$26:$B$28,2,false),0)</f>
        <v>5</v>
      </c>
      <c r="M80" s="10">
        <v>79.0</v>
      </c>
      <c r="N80" s="11" t="str">
        <f t="shared" si="1"/>
        <v>bnco0979@signalschool.ac.th</v>
      </c>
      <c r="O80" s="12">
        <f t="shared" si="2"/>
        <v>1</v>
      </c>
      <c r="R80" s="17" t="s">
        <v>296</v>
      </c>
    </row>
    <row r="81">
      <c r="A81" s="8">
        <f>'4.1'!A:A</f>
        <v>46213.46194</v>
      </c>
      <c r="B81" s="2" t="str">
        <f>'4.1'!B:B</f>
        <v>bnco0975@signalschool.ac.th</v>
      </c>
      <c r="C81" s="2" t="str">
        <f>'4.1'!C:C</f>
        <v>ครู - อาจารย์ กศ.รร.ส.สส.</v>
      </c>
      <c r="D81" s="9">
        <v>1.0</v>
      </c>
      <c r="E81" s="10">
        <f>IFERROR(vlookup('4.1'!D:D,lookup!$A$2:$B$4,2,false),0)</f>
        <v>5</v>
      </c>
      <c r="F81" s="10">
        <f>IFERROR(vlookup('4.1'!E:E,lookup!$A$6:$B$8,2,false),0)</f>
        <v>5</v>
      </c>
      <c r="G81" s="10">
        <f>IFERROR(vlookup('4.1'!F:F,lookup!$A$10:$B$12,2,false),0)</f>
        <v>5</v>
      </c>
      <c r="H81" s="10">
        <f>IFERROR(vlookup('4.1'!G:G,lookup!$A$14:$B$16,2,false),0)</f>
        <v>5</v>
      </c>
      <c r="I81" s="10">
        <f>IFERROR(vlookup('4.1'!H:H,lookup!$A$18:$B$20,2,false),0)</f>
        <v>3</v>
      </c>
      <c r="J81" s="10">
        <f>IFERROR(vlookup('4.1'!I:I,lookup!$A$22:$B$24,2,false),0)</f>
        <v>3</v>
      </c>
      <c r="K81" s="10">
        <f>IFERROR(vlookup('4.1'!J:J,lookup!$A$26:$B$28,2,false),0)</f>
        <v>5</v>
      </c>
      <c r="M81" s="10">
        <v>80.0</v>
      </c>
      <c r="N81" s="11" t="str">
        <f t="shared" si="1"/>
        <v>bnco0980@signalschool.ac.th</v>
      </c>
      <c r="O81" s="12">
        <f t="shared" si="2"/>
        <v>1</v>
      </c>
      <c r="R81" s="17" t="s">
        <v>297</v>
      </c>
    </row>
    <row r="82">
      <c r="A82" s="8"/>
      <c r="B82" s="2"/>
      <c r="C82" s="2"/>
      <c r="E82" s="14">
        <f t="shared" ref="E82:K82" si="3">AVERAGE(E2:E81)</f>
        <v>4.975</v>
      </c>
      <c r="F82" s="14">
        <f t="shared" si="3"/>
        <v>4.95</v>
      </c>
      <c r="G82" s="14">
        <f t="shared" si="3"/>
        <v>4.975</v>
      </c>
      <c r="H82" s="14">
        <f t="shared" si="3"/>
        <v>4.975</v>
      </c>
      <c r="I82" s="14">
        <f t="shared" si="3"/>
        <v>4.9</v>
      </c>
      <c r="J82" s="14">
        <f t="shared" si="3"/>
        <v>4.9</v>
      </c>
      <c r="K82" s="14">
        <f t="shared" si="3"/>
        <v>4.95</v>
      </c>
      <c r="L82" s="15">
        <f>AVERAGE(E82:K82)</f>
        <v>4.946428571</v>
      </c>
      <c r="N82" s="2" t="s">
        <v>298</v>
      </c>
      <c r="O82" s="10">
        <f>SUM(O2:O81)</f>
        <v>80</v>
      </c>
    </row>
    <row r="83">
      <c r="A83" s="8"/>
      <c r="B83" s="2"/>
      <c r="C83" s="2"/>
      <c r="E83" s="10"/>
      <c r="F83" s="10"/>
      <c r="G83" s="10"/>
      <c r="H83" s="10"/>
      <c r="I83" s="10"/>
      <c r="J83" s="10"/>
      <c r="K83" s="10"/>
      <c r="N83" s="2" t="s">
        <v>299</v>
      </c>
      <c r="O83" s="10">
        <f>(O82*100)/80</f>
        <v>100</v>
      </c>
    </row>
    <row r="84">
      <c r="A84" s="8"/>
      <c r="B84" s="2"/>
      <c r="C84" s="2"/>
      <c r="E84" s="10"/>
      <c r="K84" s="10"/>
    </row>
    <row r="85">
      <c r="A85" s="8"/>
      <c r="B85" s="2"/>
      <c r="C85" s="2"/>
      <c r="E85" s="10"/>
    </row>
    <row r="86">
      <c r="A86" s="8"/>
      <c r="B86" s="2"/>
      <c r="C86" s="2"/>
      <c r="E86" s="10"/>
    </row>
    <row r="87">
      <c r="A87" s="8"/>
      <c r="B87" s="2"/>
      <c r="C87" s="2"/>
      <c r="E87" s="10"/>
    </row>
    <row r="88">
      <c r="A88" s="8"/>
      <c r="B88" s="2"/>
      <c r="C88" s="2"/>
      <c r="E88" s="10"/>
    </row>
    <row r="89">
      <c r="A89" s="8"/>
      <c r="B89" s="2"/>
      <c r="C89" s="2"/>
      <c r="E89" s="10"/>
    </row>
    <row r="90">
      <c r="A90" s="8"/>
      <c r="B90" s="2"/>
      <c r="C90" s="2"/>
      <c r="E90" s="10"/>
    </row>
    <row r="91">
      <c r="A91" s="8"/>
      <c r="B91" s="2"/>
      <c r="C91" s="2"/>
      <c r="E91" s="10"/>
    </row>
    <row r="92">
      <c r="A92" s="8"/>
      <c r="B92" s="2"/>
      <c r="C92" s="2"/>
      <c r="E92" s="10"/>
    </row>
    <row r="93">
      <c r="A93" s="8"/>
      <c r="B93" s="2"/>
      <c r="C93" s="2"/>
      <c r="E93" s="10"/>
    </row>
    <row r="94">
      <c r="A94" s="8"/>
      <c r="B94" s="2"/>
      <c r="C94" s="2"/>
      <c r="E94" s="10"/>
    </row>
    <row r="95">
      <c r="A95" s="8"/>
      <c r="B95" s="2"/>
      <c r="C95" s="2"/>
      <c r="E95" s="10"/>
    </row>
    <row r="96">
      <c r="A96" s="8"/>
      <c r="B96" s="2"/>
      <c r="C96" s="2"/>
      <c r="E96" s="10"/>
    </row>
    <row r="97">
      <c r="A97" s="8"/>
      <c r="B97" s="2"/>
      <c r="C97" s="2"/>
      <c r="E97" s="10"/>
    </row>
    <row r="98">
      <c r="A98" s="8"/>
      <c r="C98" s="2"/>
      <c r="E98" s="10"/>
    </row>
    <row r="99">
      <c r="A99" s="8"/>
      <c r="C99" s="2"/>
      <c r="E99" s="10"/>
    </row>
    <row r="100">
      <c r="A100" s="8"/>
      <c r="C100" s="2"/>
    </row>
    <row r="101">
      <c r="A101" s="8"/>
      <c r="C101" s="2"/>
    </row>
    <row r="102">
      <c r="A102" s="8"/>
      <c r="C102" s="2"/>
    </row>
    <row r="103">
      <c r="A103" s="8"/>
      <c r="C103" s="2"/>
    </row>
    <row r="104">
      <c r="A104" s="8"/>
      <c r="C104" s="2"/>
    </row>
    <row r="105">
      <c r="A105" s="8"/>
      <c r="C105" s="2"/>
    </row>
    <row r="106">
      <c r="A106" s="8"/>
      <c r="C106" s="2"/>
    </row>
    <row r="107">
      <c r="A107" s="8"/>
      <c r="C107" s="2"/>
    </row>
    <row r="108">
      <c r="A108" s="8"/>
      <c r="C108" s="2"/>
    </row>
    <row r="109">
      <c r="A109" s="8"/>
      <c r="C109" s="2"/>
    </row>
    <row r="110">
      <c r="A110" s="8"/>
      <c r="C110" s="2"/>
    </row>
    <row r="111">
      <c r="A111" s="8"/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</sheetData>
  <mergeCells count="1">
    <mergeCell ref="M1:O1"/>
  </mergeCell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2.13"/>
    <col customWidth="1" min="2" max="6" width="12.63"/>
  </cols>
  <sheetData>
    <row r="1"/>
    <row r="2">
      <c r="A2" s="21" t="s">
        <v>15</v>
      </c>
      <c r="B2" s="22">
        <v>5.0</v>
      </c>
    </row>
    <row r="3">
      <c r="A3" s="23" t="s">
        <v>41</v>
      </c>
      <c r="B3" s="22">
        <v>3.0</v>
      </c>
    </row>
    <row r="4">
      <c r="A4" s="23" t="s">
        <v>146</v>
      </c>
      <c r="B4" s="22">
        <v>1.0</v>
      </c>
    </row>
    <row r="5">
      <c r="A5" s="21"/>
      <c r="B5" s="22"/>
    </row>
    <row r="6">
      <c r="A6" s="21" t="s">
        <v>16</v>
      </c>
      <c r="B6" s="22">
        <v>5.0</v>
      </c>
    </row>
    <row r="7">
      <c r="A7" s="23" t="s">
        <v>33</v>
      </c>
      <c r="B7" s="22">
        <v>3.0</v>
      </c>
    </row>
    <row r="8">
      <c r="A8" s="23" t="s">
        <v>528</v>
      </c>
      <c r="B8" s="22">
        <v>1.0</v>
      </c>
    </row>
    <row r="9"/>
    <row r="10">
      <c r="A10" s="21" t="s">
        <v>17</v>
      </c>
      <c r="B10" s="22">
        <v>5.0</v>
      </c>
    </row>
    <row r="11">
      <c r="A11" s="23" t="s">
        <v>43</v>
      </c>
      <c r="B11" s="22">
        <v>3.0</v>
      </c>
    </row>
    <row r="12">
      <c r="A12" s="23" t="s">
        <v>132</v>
      </c>
      <c r="B12" s="22">
        <v>1.0</v>
      </c>
    </row>
    <row r="13"/>
    <row r="14">
      <c r="A14" s="21" t="s">
        <v>18</v>
      </c>
      <c r="B14" s="22">
        <v>5.0</v>
      </c>
    </row>
    <row r="15">
      <c r="A15" s="23" t="s">
        <v>44</v>
      </c>
      <c r="B15" s="22">
        <v>3.0</v>
      </c>
    </row>
    <row r="16">
      <c r="A16" s="23" t="s">
        <v>529</v>
      </c>
      <c r="B16" s="22">
        <v>1.0</v>
      </c>
    </row>
    <row r="17"/>
    <row r="18">
      <c r="A18" s="21" t="s">
        <v>19</v>
      </c>
      <c r="B18" s="22">
        <v>5.0</v>
      </c>
    </row>
    <row r="19">
      <c r="A19" s="23" t="s">
        <v>530</v>
      </c>
      <c r="B19" s="22">
        <v>3.0</v>
      </c>
    </row>
    <row r="20">
      <c r="A20" s="23" t="s">
        <v>531</v>
      </c>
      <c r="B20" s="22">
        <v>1.0</v>
      </c>
    </row>
    <row r="21"/>
    <row r="22">
      <c r="A22" s="21" t="s">
        <v>532</v>
      </c>
      <c r="B22" s="22">
        <v>5.0</v>
      </c>
    </row>
    <row r="23">
      <c r="A23" s="23" t="s">
        <v>533</v>
      </c>
      <c r="B23" s="22">
        <v>3.0</v>
      </c>
    </row>
    <row r="24">
      <c r="A24" s="23" t="s">
        <v>228</v>
      </c>
      <c r="B24" s="22">
        <v>1.0</v>
      </c>
    </row>
    <row r="25"/>
    <row r="26">
      <c r="A26" s="21" t="s">
        <v>21</v>
      </c>
      <c r="B26" s="22">
        <v>5.0</v>
      </c>
    </row>
    <row r="27">
      <c r="A27" s="23" t="s">
        <v>48</v>
      </c>
      <c r="B27" s="22">
        <v>3.0</v>
      </c>
    </row>
    <row r="28">
      <c r="A28" s="23" t="s">
        <v>387</v>
      </c>
      <c r="B28" s="22">
        <v>1.0</v>
      </c>
    </row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5.75"/>
    <col customWidth="1" hidden="1" min="2" max="2" width="17.38"/>
    <col customWidth="1" min="3" max="3" width="23.25"/>
    <col customWidth="1" min="4" max="4" width="24.75"/>
    <col customWidth="1" min="5" max="5" width="5.13"/>
    <col customWidth="1" min="6" max="8" width="6.0"/>
    <col customWidth="1" min="9" max="15" width="5.13"/>
    <col customWidth="1" min="16" max="16" width="6.0"/>
    <col customWidth="1" min="17" max="20" width="5.13"/>
  </cols>
  <sheetData>
    <row r="1">
      <c r="A1" s="24" t="s">
        <v>534</v>
      </c>
      <c r="B1" s="25"/>
      <c r="C1" s="26" t="s">
        <v>24</v>
      </c>
      <c r="D1" s="27"/>
      <c r="E1" s="28" t="s">
        <v>535</v>
      </c>
      <c r="F1" s="28" t="s">
        <v>536</v>
      </c>
      <c r="G1" s="28" t="s">
        <v>537</v>
      </c>
      <c r="H1" s="28" t="s">
        <v>538</v>
      </c>
      <c r="I1" s="28" t="s">
        <v>539</v>
      </c>
      <c r="J1" s="28" t="s">
        <v>540</v>
      </c>
      <c r="K1" s="28" t="s">
        <v>541</v>
      </c>
      <c r="L1" s="28" t="s">
        <v>542</v>
      </c>
      <c r="M1" s="28" t="s">
        <v>543</v>
      </c>
      <c r="N1" s="28" t="s">
        <v>544</v>
      </c>
      <c r="O1" s="28" t="s">
        <v>545</v>
      </c>
      <c r="P1" s="28" t="s">
        <v>546</v>
      </c>
      <c r="Q1" s="28" t="s">
        <v>547</v>
      </c>
      <c r="R1" s="28" t="s">
        <v>548</v>
      </c>
      <c r="S1" s="28" t="s">
        <v>549</v>
      </c>
      <c r="T1" s="28" t="s">
        <v>550</v>
      </c>
    </row>
    <row r="2">
      <c r="A2" s="29">
        <v>1.0</v>
      </c>
      <c r="B2" s="30" t="s">
        <v>116</v>
      </c>
      <c r="C2" s="31"/>
      <c r="D2" s="32" t="str">
        <f t="shared" ref="D2:D81" si="1">CONCAT(B2,"@signalschool.ac.th")</f>
        <v>bnco0901@signalschool.ac.th</v>
      </c>
      <c r="E2" s="33">
        <f>'ค่า 1.1'!O2</f>
        <v>1</v>
      </c>
      <c r="F2" s="31">
        <f>'ค่า 1.2'!O2</f>
        <v>1</v>
      </c>
      <c r="G2" s="31">
        <f>'ค่า 1.3'!O2</f>
        <v>1</v>
      </c>
      <c r="H2" s="31">
        <f>'ค่า 1.4'!O2</f>
        <v>1</v>
      </c>
      <c r="I2" s="31">
        <f>'ค่า 1.5'!O2</f>
        <v>1</v>
      </c>
      <c r="J2" s="31">
        <f>'ค่า 1.6'!O2</f>
        <v>1</v>
      </c>
      <c r="K2" s="31">
        <f>'ค่า 1.7'!O2</f>
        <v>1</v>
      </c>
      <c r="L2" s="31">
        <f>'ค่า 1.8'!O2</f>
        <v>1</v>
      </c>
      <c r="M2" s="31">
        <f>'ค่า 1.9'!O2</f>
        <v>1</v>
      </c>
      <c r="N2" s="31">
        <f>'ค่า 2.1'!O2</f>
        <v>1</v>
      </c>
      <c r="O2" s="31">
        <f>'ค่า 2.2'!O2</f>
        <v>1</v>
      </c>
      <c r="P2" s="31">
        <f>'ค่า 2.3'!O2</f>
        <v>1</v>
      </c>
      <c r="Q2" s="31">
        <f>'ค่า 2.4'!O2</f>
        <v>1</v>
      </c>
      <c r="R2" s="31">
        <f>'ค่า 3.1'!O2</f>
        <v>1</v>
      </c>
      <c r="S2" s="31">
        <f>'ค่า 3.2'!O2</f>
        <v>1</v>
      </c>
      <c r="T2" s="31">
        <f>'ค่า 4.1'!O2</f>
        <v>1</v>
      </c>
    </row>
    <row r="3">
      <c r="A3" s="29">
        <v>2.0</v>
      </c>
      <c r="B3" s="30" t="s">
        <v>157</v>
      </c>
      <c r="C3" s="31"/>
      <c r="D3" s="32" t="str">
        <f t="shared" si="1"/>
        <v>bnco0902@signalschool.ac.th</v>
      </c>
      <c r="E3" s="33">
        <f>'ค่า 1.1'!O3</f>
        <v>1</v>
      </c>
      <c r="F3" s="31">
        <f>'ค่า 1.2'!O3</f>
        <v>1</v>
      </c>
      <c r="G3" s="31">
        <f>'ค่า 1.3'!O3</f>
        <v>1</v>
      </c>
      <c r="H3" s="31">
        <f>'ค่า 1.4'!O3</f>
        <v>1</v>
      </c>
      <c r="I3" s="31">
        <f>'ค่า 1.5'!O3</f>
        <v>1</v>
      </c>
      <c r="J3" s="31">
        <f>'ค่า 1.6'!O3</f>
        <v>1</v>
      </c>
      <c r="K3" s="31">
        <f>'ค่า 1.7'!O3</f>
        <v>1</v>
      </c>
      <c r="L3" s="31">
        <f>'ค่า 1.8'!O3</f>
        <v>1</v>
      </c>
      <c r="M3" s="31">
        <f>'ค่า 1.9'!O3</f>
        <v>1</v>
      </c>
      <c r="N3" s="31">
        <f>'ค่า 2.1'!O3</f>
        <v>1</v>
      </c>
      <c r="O3" s="31">
        <f>'ค่า 2.2'!O3</f>
        <v>1</v>
      </c>
      <c r="P3" s="31">
        <f>'ค่า 2.3'!O3</f>
        <v>1</v>
      </c>
      <c r="Q3" s="31">
        <f>'ค่า 2.4'!O3</f>
        <v>1</v>
      </c>
      <c r="R3" s="31">
        <f>'ค่า 3.1'!O3</f>
        <v>1</v>
      </c>
      <c r="S3" s="31">
        <f>'ค่า 3.2'!O3</f>
        <v>1</v>
      </c>
      <c r="T3" s="31">
        <f>'ค่า 4.1'!O3</f>
        <v>1</v>
      </c>
    </row>
    <row r="4">
      <c r="A4" s="29">
        <v>3.0</v>
      </c>
      <c r="B4" s="30" t="s">
        <v>182</v>
      </c>
      <c r="C4" s="31"/>
      <c r="D4" s="32" t="str">
        <f t="shared" si="1"/>
        <v>bnco0903@signalschool.ac.th</v>
      </c>
      <c r="E4" s="33">
        <f>'ค่า 1.1'!O4</f>
        <v>1</v>
      </c>
      <c r="F4" s="31">
        <f>'ค่า 1.2'!O4</f>
        <v>1</v>
      </c>
      <c r="G4" s="31">
        <f>'ค่า 1.3'!O4</f>
        <v>1</v>
      </c>
      <c r="H4" s="31">
        <f>'ค่า 1.4'!O4</f>
        <v>1</v>
      </c>
      <c r="I4" s="31">
        <f>'ค่า 1.5'!O4</f>
        <v>1</v>
      </c>
      <c r="J4" s="31">
        <f>'ค่า 1.6'!O4</f>
        <v>1</v>
      </c>
      <c r="K4" s="31">
        <f>'ค่า 1.7'!O4</f>
        <v>1</v>
      </c>
      <c r="L4" s="31">
        <f>'ค่า 1.8'!O4</f>
        <v>1</v>
      </c>
      <c r="M4" s="31">
        <f>'ค่า 1.9'!O4</f>
        <v>1</v>
      </c>
      <c r="N4" s="31">
        <f>'ค่า 2.1'!O4</f>
        <v>1</v>
      </c>
      <c r="O4" s="31">
        <f>'ค่า 2.2'!O4</f>
        <v>1</v>
      </c>
      <c r="P4" s="31">
        <f>'ค่า 2.3'!O4</f>
        <v>1</v>
      </c>
      <c r="Q4" s="31">
        <f>'ค่า 2.4'!O4</f>
        <v>1</v>
      </c>
      <c r="R4" s="31">
        <f>'ค่า 3.1'!O4</f>
        <v>1</v>
      </c>
      <c r="S4" s="31">
        <f>'ค่า 3.2'!O4</f>
        <v>1</v>
      </c>
      <c r="T4" s="31">
        <f>'ค่า 4.1'!O4</f>
        <v>1</v>
      </c>
    </row>
    <row r="5">
      <c r="A5" s="29">
        <v>4.0</v>
      </c>
      <c r="B5" s="30" t="s">
        <v>193</v>
      </c>
      <c r="C5" s="34"/>
      <c r="D5" s="32" t="str">
        <f t="shared" si="1"/>
        <v>bnco0904@signalschool.ac.th</v>
      </c>
      <c r="E5" s="33">
        <f>'ค่า 1.1'!O5</f>
        <v>1</v>
      </c>
      <c r="F5" s="31">
        <f>'ค่า 1.2'!O5</f>
        <v>1</v>
      </c>
      <c r="G5" s="31">
        <f>'ค่า 1.3'!O5</f>
        <v>1</v>
      </c>
      <c r="H5" s="31">
        <f>'ค่า 1.4'!O5</f>
        <v>1</v>
      </c>
      <c r="I5" s="31">
        <f>'ค่า 1.5'!O5</f>
        <v>1</v>
      </c>
      <c r="J5" s="31">
        <f>'ค่า 1.6'!O5</f>
        <v>1</v>
      </c>
      <c r="K5" s="31">
        <f>'ค่า 1.7'!O5</f>
        <v>1</v>
      </c>
      <c r="L5" s="31">
        <f>'ค่า 1.8'!O5</f>
        <v>1</v>
      </c>
      <c r="M5" s="31">
        <f>'ค่า 1.9'!O5</f>
        <v>1</v>
      </c>
      <c r="N5" s="31">
        <f>'ค่า 2.1'!O5</f>
        <v>1</v>
      </c>
      <c r="O5" s="31">
        <f>'ค่า 2.2'!O5</f>
        <v>1</v>
      </c>
      <c r="P5" s="31">
        <f>'ค่า 2.3'!O5</f>
        <v>1</v>
      </c>
      <c r="Q5" s="31">
        <f>'ค่า 2.4'!O5</f>
        <v>1</v>
      </c>
      <c r="R5" s="31">
        <f>'ค่า 3.1'!O5</f>
        <v>1</v>
      </c>
      <c r="S5" s="31">
        <f>'ค่า 3.2'!O5</f>
        <v>1</v>
      </c>
      <c r="T5" s="31">
        <f>'ค่า 4.1'!O5</f>
        <v>1</v>
      </c>
    </row>
    <row r="6">
      <c r="A6" s="29">
        <v>5.0</v>
      </c>
      <c r="B6" s="30" t="s">
        <v>197</v>
      </c>
      <c r="C6" s="31"/>
      <c r="D6" s="32" t="str">
        <f t="shared" si="1"/>
        <v>bnco0905@signalschool.ac.th</v>
      </c>
      <c r="E6" s="33">
        <f>'ค่า 1.1'!O6</f>
        <v>1</v>
      </c>
      <c r="F6" s="31">
        <f>'ค่า 1.2'!O6</f>
        <v>1</v>
      </c>
      <c r="G6" s="31">
        <f>'ค่า 1.3'!O6</f>
        <v>1</v>
      </c>
      <c r="H6" s="31">
        <f>'ค่า 1.4'!O6</f>
        <v>1</v>
      </c>
      <c r="I6" s="31">
        <f>'ค่า 1.5'!O6</f>
        <v>1</v>
      </c>
      <c r="J6" s="31">
        <f>'ค่า 1.6'!O6</f>
        <v>1</v>
      </c>
      <c r="K6" s="31">
        <f>'ค่า 1.7'!O6</f>
        <v>1</v>
      </c>
      <c r="L6" s="31">
        <f>'ค่า 1.8'!O6</f>
        <v>1</v>
      </c>
      <c r="M6" s="31">
        <f>'ค่า 1.9'!O6</f>
        <v>1</v>
      </c>
      <c r="N6" s="31">
        <f>'ค่า 2.1'!O6</f>
        <v>1</v>
      </c>
      <c r="O6" s="31">
        <f>'ค่า 2.2'!O6</f>
        <v>1</v>
      </c>
      <c r="P6" s="31">
        <f>'ค่า 2.3'!O6</f>
        <v>1</v>
      </c>
      <c r="Q6" s="31">
        <f>'ค่า 2.4'!O6</f>
        <v>1</v>
      </c>
      <c r="R6" s="31">
        <f>'ค่า 3.1'!O6</f>
        <v>1</v>
      </c>
      <c r="S6" s="31">
        <f>'ค่า 3.2'!O6</f>
        <v>1</v>
      </c>
      <c r="T6" s="31">
        <f>'ค่า 4.1'!O6</f>
        <v>1</v>
      </c>
    </row>
    <row r="7">
      <c r="A7" s="29">
        <v>6.0</v>
      </c>
      <c r="B7" s="30" t="s">
        <v>203</v>
      </c>
      <c r="C7" s="31"/>
      <c r="D7" s="32" t="str">
        <f t="shared" si="1"/>
        <v>bnco0906@signalschool.ac.th</v>
      </c>
      <c r="E7" s="33">
        <f>'ค่า 1.1'!O7</f>
        <v>1</v>
      </c>
      <c r="F7" s="31">
        <f>'ค่า 1.2'!O7</f>
        <v>1</v>
      </c>
      <c r="G7" s="31">
        <f>'ค่า 1.3'!O7</f>
        <v>1</v>
      </c>
      <c r="H7" s="31">
        <f>'ค่า 1.4'!O7</f>
        <v>1</v>
      </c>
      <c r="I7" s="31">
        <f>'ค่า 1.5'!O7</f>
        <v>1</v>
      </c>
      <c r="J7" s="31">
        <f>'ค่า 1.6'!O7</f>
        <v>1</v>
      </c>
      <c r="K7" s="31">
        <f>'ค่า 1.7'!O7</f>
        <v>1</v>
      </c>
      <c r="L7" s="31">
        <f>'ค่า 1.8'!O7</f>
        <v>1</v>
      </c>
      <c r="M7" s="31">
        <f>'ค่า 1.9'!O7</f>
        <v>1</v>
      </c>
      <c r="N7" s="31">
        <f>'ค่า 2.1'!O7</f>
        <v>1</v>
      </c>
      <c r="O7" s="31">
        <f>'ค่า 2.2'!O7</f>
        <v>1</v>
      </c>
      <c r="P7" s="31">
        <f>'ค่า 2.3'!O7</f>
        <v>1</v>
      </c>
      <c r="Q7" s="31">
        <f>'ค่า 2.4'!O7</f>
        <v>1</v>
      </c>
      <c r="R7" s="31">
        <f>'ค่า 3.1'!O7</f>
        <v>1</v>
      </c>
      <c r="S7" s="31">
        <f>'ค่า 3.2'!O7</f>
        <v>1</v>
      </c>
      <c r="T7" s="31">
        <f>'ค่า 4.1'!O7</f>
        <v>1</v>
      </c>
    </row>
    <row r="8">
      <c r="A8" s="29">
        <v>7.0</v>
      </c>
      <c r="B8" s="30" t="s">
        <v>206</v>
      </c>
      <c r="C8" s="31"/>
      <c r="D8" s="32" t="str">
        <f t="shared" si="1"/>
        <v>bnco0907@signalschool.ac.th</v>
      </c>
      <c r="E8" s="33">
        <f>'ค่า 1.1'!O8</f>
        <v>1</v>
      </c>
      <c r="F8" s="31">
        <f>'ค่า 1.2'!O8</f>
        <v>1</v>
      </c>
      <c r="G8" s="31">
        <f>'ค่า 1.3'!O8</f>
        <v>1</v>
      </c>
      <c r="H8" s="31">
        <f>'ค่า 1.4'!O8</f>
        <v>1</v>
      </c>
      <c r="I8" s="31">
        <f>'ค่า 1.5'!O8</f>
        <v>1</v>
      </c>
      <c r="J8" s="31">
        <f>'ค่า 1.6'!O8</f>
        <v>1</v>
      </c>
      <c r="K8" s="31">
        <f>'ค่า 1.7'!O8</f>
        <v>1</v>
      </c>
      <c r="L8" s="31">
        <f>'ค่า 1.8'!O8</f>
        <v>1</v>
      </c>
      <c r="M8" s="31">
        <f>'ค่า 1.9'!O8</f>
        <v>1</v>
      </c>
      <c r="N8" s="31">
        <f>'ค่า 2.1'!O8</f>
        <v>1</v>
      </c>
      <c r="O8" s="31">
        <f>'ค่า 2.2'!O8</f>
        <v>1</v>
      </c>
      <c r="P8" s="31">
        <f>'ค่า 2.3'!O8</f>
        <v>1</v>
      </c>
      <c r="Q8" s="31">
        <f>'ค่า 2.4'!O8</f>
        <v>1</v>
      </c>
      <c r="R8" s="31">
        <f>'ค่า 3.1'!O8</f>
        <v>1</v>
      </c>
      <c r="S8" s="31">
        <f>'ค่า 3.2'!O8</f>
        <v>1</v>
      </c>
      <c r="T8" s="31">
        <f>'ค่า 4.1'!O8</f>
        <v>1</v>
      </c>
    </row>
    <row r="9">
      <c r="A9" s="29">
        <v>8.0</v>
      </c>
      <c r="B9" s="30" t="s">
        <v>211</v>
      </c>
      <c r="C9" s="31"/>
      <c r="D9" s="32" t="str">
        <f t="shared" si="1"/>
        <v>bnco0908@signalschool.ac.th</v>
      </c>
      <c r="E9" s="33">
        <f>'ค่า 1.1'!O9</f>
        <v>1</v>
      </c>
      <c r="F9" s="31">
        <f>'ค่า 1.2'!O9</f>
        <v>1</v>
      </c>
      <c r="G9" s="31">
        <f>'ค่า 1.3'!O9</f>
        <v>1</v>
      </c>
      <c r="H9" s="31">
        <f>'ค่า 1.4'!O9</f>
        <v>1</v>
      </c>
      <c r="I9" s="31">
        <f>'ค่า 1.5'!O9</f>
        <v>1</v>
      </c>
      <c r="J9" s="31">
        <f>'ค่า 1.6'!O9</f>
        <v>1</v>
      </c>
      <c r="K9" s="31">
        <f>'ค่า 1.7'!O9</f>
        <v>1</v>
      </c>
      <c r="L9" s="31">
        <f>'ค่า 1.8'!O9</f>
        <v>1</v>
      </c>
      <c r="M9" s="31">
        <f>'ค่า 1.9'!O9</f>
        <v>1</v>
      </c>
      <c r="N9" s="31">
        <f>'ค่า 2.1'!O9</f>
        <v>1</v>
      </c>
      <c r="O9" s="31">
        <f>'ค่า 2.2'!O9</f>
        <v>1</v>
      </c>
      <c r="P9" s="31">
        <f>'ค่า 2.3'!O9</f>
        <v>1</v>
      </c>
      <c r="Q9" s="31">
        <f>'ค่า 2.4'!O9</f>
        <v>1</v>
      </c>
      <c r="R9" s="31">
        <f>'ค่า 3.1'!O9</f>
        <v>1</v>
      </c>
      <c r="S9" s="31">
        <f>'ค่า 3.2'!O9</f>
        <v>1</v>
      </c>
      <c r="T9" s="31">
        <f>'ค่า 4.1'!O9</f>
        <v>1</v>
      </c>
    </row>
    <row r="10">
      <c r="A10" s="29">
        <v>9.0</v>
      </c>
      <c r="B10" s="30" t="s">
        <v>212</v>
      </c>
      <c r="C10" s="31"/>
      <c r="D10" s="32" t="str">
        <f t="shared" si="1"/>
        <v>bnco0909@signalschool.ac.th</v>
      </c>
      <c r="E10" s="33">
        <f>'ค่า 1.1'!O10</f>
        <v>1</v>
      </c>
      <c r="F10" s="31">
        <f>'ค่า 1.2'!O10</f>
        <v>1</v>
      </c>
      <c r="G10" s="31">
        <f>'ค่า 1.3'!O10</f>
        <v>1</v>
      </c>
      <c r="H10" s="31">
        <f>'ค่า 1.4'!O10</f>
        <v>1</v>
      </c>
      <c r="I10" s="31">
        <f>'ค่า 1.5'!O10</f>
        <v>1</v>
      </c>
      <c r="J10" s="31">
        <f>'ค่า 1.6'!O10</f>
        <v>1</v>
      </c>
      <c r="K10" s="31">
        <f>'ค่า 1.7'!O10</f>
        <v>1</v>
      </c>
      <c r="L10" s="31">
        <f>'ค่า 1.8'!O10</f>
        <v>1</v>
      </c>
      <c r="M10" s="31">
        <f>'ค่า 1.9'!O10</f>
        <v>1</v>
      </c>
      <c r="N10" s="31">
        <f>'ค่า 2.1'!O10</f>
        <v>1</v>
      </c>
      <c r="O10" s="31">
        <f>'ค่า 2.2'!O10</f>
        <v>1</v>
      </c>
      <c r="P10" s="31">
        <f>'ค่า 2.3'!O10</f>
        <v>1</v>
      </c>
      <c r="Q10" s="31">
        <f>'ค่า 2.4'!O10</f>
        <v>1</v>
      </c>
      <c r="R10" s="31">
        <f>'ค่า 3.1'!O10</f>
        <v>1</v>
      </c>
      <c r="S10" s="31">
        <f>'ค่า 3.2'!O10</f>
        <v>1</v>
      </c>
      <c r="T10" s="31">
        <f>'ค่า 4.1'!O10</f>
        <v>1</v>
      </c>
    </row>
    <row r="11">
      <c r="A11" s="29">
        <v>10.0</v>
      </c>
      <c r="B11" s="30" t="s">
        <v>213</v>
      </c>
      <c r="C11" s="31"/>
      <c r="D11" s="32" t="str">
        <f t="shared" si="1"/>
        <v>bnco0910@signalschool.ac.th</v>
      </c>
      <c r="E11" s="33">
        <f>'ค่า 1.1'!O11</f>
        <v>1</v>
      </c>
      <c r="F11" s="31">
        <f>'ค่า 1.2'!O11</f>
        <v>1</v>
      </c>
      <c r="G11" s="31">
        <f>'ค่า 1.3'!O11</f>
        <v>1</v>
      </c>
      <c r="H11" s="31">
        <f>'ค่า 1.4'!O11</f>
        <v>1</v>
      </c>
      <c r="I11" s="31">
        <f>'ค่า 1.5'!O11</f>
        <v>1</v>
      </c>
      <c r="J11" s="31">
        <f>'ค่า 1.6'!O11</f>
        <v>1</v>
      </c>
      <c r="K11" s="31">
        <f>'ค่า 1.7'!O11</f>
        <v>1</v>
      </c>
      <c r="L11" s="31">
        <f>'ค่า 1.8'!O11</f>
        <v>1</v>
      </c>
      <c r="M11" s="31">
        <f>'ค่า 1.9'!O11</f>
        <v>1</v>
      </c>
      <c r="N11" s="31">
        <f>'ค่า 2.1'!O11</f>
        <v>1</v>
      </c>
      <c r="O11" s="31">
        <f>'ค่า 2.2'!O11</f>
        <v>1</v>
      </c>
      <c r="P11" s="31">
        <f>'ค่า 2.3'!O11</f>
        <v>1</v>
      </c>
      <c r="Q11" s="31">
        <f>'ค่า 2.4'!O11</f>
        <v>1</v>
      </c>
      <c r="R11" s="31">
        <f>'ค่า 3.1'!O11</f>
        <v>1</v>
      </c>
      <c r="S11" s="31">
        <f>'ค่า 3.2'!O11</f>
        <v>1</v>
      </c>
      <c r="T11" s="31">
        <f>'ค่า 4.1'!O11</f>
        <v>1</v>
      </c>
    </row>
    <row r="12">
      <c r="A12" s="29">
        <v>11.0</v>
      </c>
      <c r="B12" s="30" t="s">
        <v>214</v>
      </c>
      <c r="C12" s="31"/>
      <c r="D12" s="32" t="str">
        <f t="shared" si="1"/>
        <v>bnco0911@signalschool.ac.th</v>
      </c>
      <c r="E12" s="33">
        <f>'ค่า 1.1'!O12</f>
        <v>1</v>
      </c>
      <c r="F12" s="31">
        <f>'ค่า 1.2'!O12</f>
        <v>1</v>
      </c>
      <c r="G12" s="31">
        <f>'ค่า 1.3'!O12</f>
        <v>1</v>
      </c>
      <c r="H12" s="31">
        <f>'ค่า 1.4'!O12</f>
        <v>1</v>
      </c>
      <c r="I12" s="31">
        <f>'ค่า 1.5'!O12</f>
        <v>1</v>
      </c>
      <c r="J12" s="31">
        <f>'ค่า 1.6'!O12</f>
        <v>1</v>
      </c>
      <c r="K12" s="31">
        <f>'ค่า 1.7'!O12</f>
        <v>1</v>
      </c>
      <c r="L12" s="31">
        <f>'ค่า 1.8'!O12</f>
        <v>1</v>
      </c>
      <c r="M12" s="31">
        <f>'ค่า 1.9'!O12</f>
        <v>1</v>
      </c>
      <c r="N12" s="31">
        <f>'ค่า 2.1'!O12</f>
        <v>1</v>
      </c>
      <c r="O12" s="31">
        <f>'ค่า 2.2'!O12</f>
        <v>1</v>
      </c>
      <c r="P12" s="31">
        <f>'ค่า 2.3'!O12</f>
        <v>1</v>
      </c>
      <c r="Q12" s="31">
        <f>'ค่า 2.4'!O12</f>
        <v>1</v>
      </c>
      <c r="R12" s="31">
        <f>'ค่า 3.1'!O12</f>
        <v>1</v>
      </c>
      <c r="S12" s="31">
        <f>'ค่า 3.2'!O12</f>
        <v>1</v>
      </c>
      <c r="T12" s="31">
        <f>'ค่า 4.1'!O12</f>
        <v>1</v>
      </c>
    </row>
    <row r="13">
      <c r="A13" s="29">
        <v>12.0</v>
      </c>
      <c r="B13" s="30" t="s">
        <v>222</v>
      </c>
      <c r="C13" s="31"/>
      <c r="D13" s="32" t="str">
        <f t="shared" si="1"/>
        <v>bnco0912@signalschool.ac.th</v>
      </c>
      <c r="E13" s="33">
        <f>'ค่า 1.1'!O13</f>
        <v>1</v>
      </c>
      <c r="F13" s="31">
        <f>'ค่า 1.2'!O13</f>
        <v>1</v>
      </c>
      <c r="G13" s="31">
        <f>'ค่า 1.3'!O13</f>
        <v>1</v>
      </c>
      <c r="H13" s="31">
        <f>'ค่า 1.4'!O13</f>
        <v>1</v>
      </c>
      <c r="I13" s="31">
        <f>'ค่า 1.5'!O13</f>
        <v>1</v>
      </c>
      <c r="J13" s="31">
        <f>'ค่า 1.6'!O13</f>
        <v>1</v>
      </c>
      <c r="K13" s="31">
        <f>'ค่า 1.7'!O13</f>
        <v>1</v>
      </c>
      <c r="L13" s="31">
        <f>'ค่า 1.8'!O13</f>
        <v>1</v>
      </c>
      <c r="M13" s="31">
        <f>'ค่า 1.9'!O13</f>
        <v>1</v>
      </c>
      <c r="N13" s="31">
        <f>'ค่า 2.1'!O13</f>
        <v>1</v>
      </c>
      <c r="O13" s="31">
        <f>'ค่า 2.2'!O13</f>
        <v>1</v>
      </c>
      <c r="P13" s="31">
        <f>'ค่า 2.3'!O13</f>
        <v>1</v>
      </c>
      <c r="Q13" s="31">
        <f>'ค่า 2.4'!O13</f>
        <v>1</v>
      </c>
      <c r="R13" s="31">
        <f>'ค่า 3.1'!O13</f>
        <v>1</v>
      </c>
      <c r="S13" s="31">
        <f>'ค่า 3.2'!O13</f>
        <v>1</v>
      </c>
      <c r="T13" s="31">
        <f>'ค่า 4.1'!O13</f>
        <v>1</v>
      </c>
    </row>
    <row r="14">
      <c r="A14" s="29">
        <v>13.0</v>
      </c>
      <c r="B14" s="30" t="s">
        <v>227</v>
      </c>
      <c r="C14" s="31"/>
      <c r="D14" s="32" t="str">
        <f t="shared" si="1"/>
        <v>bnco0913@signalschool.ac.th</v>
      </c>
      <c r="E14" s="33">
        <f>'ค่า 1.1'!O14</f>
        <v>1</v>
      </c>
      <c r="F14" s="31">
        <f>'ค่า 1.2'!O14</f>
        <v>1</v>
      </c>
      <c r="G14" s="31">
        <f>'ค่า 1.3'!O14</f>
        <v>1</v>
      </c>
      <c r="H14" s="31">
        <f>'ค่า 1.4'!O14</f>
        <v>1</v>
      </c>
      <c r="I14" s="31">
        <f>'ค่า 1.5'!O14</f>
        <v>1</v>
      </c>
      <c r="J14" s="31">
        <f>'ค่า 1.6'!O14</f>
        <v>1</v>
      </c>
      <c r="K14" s="31">
        <f>'ค่า 1.7'!O14</f>
        <v>1</v>
      </c>
      <c r="L14" s="31">
        <f>'ค่า 1.8'!O14</f>
        <v>1</v>
      </c>
      <c r="M14" s="31">
        <f>'ค่า 1.9'!O14</f>
        <v>1</v>
      </c>
      <c r="N14" s="31">
        <f>'ค่า 2.1'!O14</f>
        <v>1</v>
      </c>
      <c r="O14" s="31">
        <f>'ค่า 2.2'!O14</f>
        <v>1</v>
      </c>
      <c r="P14" s="31">
        <f>'ค่า 2.3'!O14</f>
        <v>1</v>
      </c>
      <c r="Q14" s="31">
        <f>'ค่า 2.4'!O14</f>
        <v>1</v>
      </c>
      <c r="R14" s="31">
        <f>'ค่า 3.1'!O14</f>
        <v>1</v>
      </c>
      <c r="S14" s="31">
        <f>'ค่า 3.2'!O14</f>
        <v>1</v>
      </c>
      <c r="T14" s="31">
        <f>'ค่า 4.1'!O14</f>
        <v>1</v>
      </c>
    </row>
    <row r="15">
      <c r="A15" s="29">
        <v>14.0</v>
      </c>
      <c r="B15" s="30" t="s">
        <v>230</v>
      </c>
      <c r="C15" s="31"/>
      <c r="D15" s="32" t="str">
        <f t="shared" si="1"/>
        <v>bnco0914@signalschool.ac.th</v>
      </c>
      <c r="E15" s="33">
        <f>'ค่า 1.1'!O15</f>
        <v>1</v>
      </c>
      <c r="F15" s="31">
        <f>'ค่า 1.2'!O15</f>
        <v>1</v>
      </c>
      <c r="G15" s="31">
        <f>'ค่า 1.3'!O15</f>
        <v>1</v>
      </c>
      <c r="H15" s="31">
        <f>'ค่า 1.4'!O15</f>
        <v>1</v>
      </c>
      <c r="I15" s="31">
        <f>'ค่า 1.5'!O15</f>
        <v>1</v>
      </c>
      <c r="J15" s="31">
        <f>'ค่า 1.6'!O15</f>
        <v>1</v>
      </c>
      <c r="K15" s="31">
        <f>'ค่า 1.7'!O15</f>
        <v>1</v>
      </c>
      <c r="L15" s="31">
        <f>'ค่า 1.8'!O15</f>
        <v>1</v>
      </c>
      <c r="M15" s="31">
        <f>'ค่า 1.9'!O15</f>
        <v>1</v>
      </c>
      <c r="N15" s="31">
        <f>'ค่า 2.1'!O15</f>
        <v>1</v>
      </c>
      <c r="O15" s="31">
        <f>'ค่า 2.2'!O15</f>
        <v>1</v>
      </c>
      <c r="P15" s="31">
        <f>'ค่า 2.3'!O15</f>
        <v>1</v>
      </c>
      <c r="Q15" s="31">
        <f>'ค่า 2.4'!O15</f>
        <v>1</v>
      </c>
      <c r="R15" s="31">
        <f>'ค่า 3.1'!O15</f>
        <v>1</v>
      </c>
      <c r="S15" s="31">
        <f>'ค่า 3.2'!O15</f>
        <v>1</v>
      </c>
      <c r="T15" s="31">
        <f>'ค่า 4.1'!O15</f>
        <v>1</v>
      </c>
    </row>
    <row r="16">
      <c r="A16" s="29">
        <v>15.0</v>
      </c>
      <c r="B16" s="30" t="s">
        <v>232</v>
      </c>
      <c r="C16" s="31"/>
      <c r="D16" s="32" t="str">
        <f t="shared" si="1"/>
        <v>bnco0915@signalschool.ac.th</v>
      </c>
      <c r="E16" s="33">
        <f>'ค่า 1.1'!O16</f>
        <v>1</v>
      </c>
      <c r="F16" s="31">
        <f>'ค่า 1.2'!O16</f>
        <v>1</v>
      </c>
      <c r="G16" s="31">
        <f>'ค่า 1.3'!O16</f>
        <v>1</v>
      </c>
      <c r="H16" s="31">
        <f>'ค่า 1.4'!O16</f>
        <v>1</v>
      </c>
      <c r="I16" s="31">
        <f>'ค่า 1.5'!O16</f>
        <v>1</v>
      </c>
      <c r="J16" s="31">
        <f>'ค่า 1.6'!O16</f>
        <v>1</v>
      </c>
      <c r="K16" s="31">
        <f>'ค่า 1.7'!O16</f>
        <v>1</v>
      </c>
      <c r="L16" s="31">
        <f>'ค่า 1.8'!O16</f>
        <v>1</v>
      </c>
      <c r="M16" s="31">
        <f>'ค่า 1.9'!O16</f>
        <v>1</v>
      </c>
      <c r="N16" s="31">
        <f>'ค่า 2.1'!O16</f>
        <v>1</v>
      </c>
      <c r="O16" s="31">
        <f>'ค่า 2.2'!O16</f>
        <v>1</v>
      </c>
      <c r="P16" s="31">
        <f>'ค่า 2.3'!O16</f>
        <v>1</v>
      </c>
      <c r="Q16" s="31">
        <f>'ค่า 2.4'!O16</f>
        <v>1</v>
      </c>
      <c r="R16" s="31">
        <f>'ค่า 3.1'!O16</f>
        <v>1</v>
      </c>
      <c r="S16" s="31">
        <f>'ค่า 3.2'!O16</f>
        <v>1</v>
      </c>
      <c r="T16" s="31">
        <f>'ค่า 4.1'!O16</f>
        <v>1</v>
      </c>
    </row>
    <row r="17">
      <c r="A17" s="29">
        <v>16.0</v>
      </c>
      <c r="B17" s="30" t="s">
        <v>233</v>
      </c>
      <c r="C17" s="31"/>
      <c r="D17" s="32" t="str">
        <f t="shared" si="1"/>
        <v>bnco0916@signalschool.ac.th</v>
      </c>
      <c r="E17" s="33">
        <f>'ค่า 1.1'!O17</f>
        <v>1</v>
      </c>
      <c r="F17" s="31">
        <f>'ค่า 1.2'!O17</f>
        <v>1</v>
      </c>
      <c r="G17" s="31">
        <f>'ค่า 1.3'!O17</f>
        <v>1</v>
      </c>
      <c r="H17" s="31">
        <f>'ค่า 1.4'!O17</f>
        <v>1</v>
      </c>
      <c r="I17" s="31">
        <f>'ค่า 1.5'!O17</f>
        <v>1</v>
      </c>
      <c r="J17" s="31">
        <f>'ค่า 1.6'!O17</f>
        <v>1</v>
      </c>
      <c r="K17" s="31">
        <f>'ค่า 1.7'!O17</f>
        <v>1</v>
      </c>
      <c r="L17" s="31">
        <f>'ค่า 1.8'!O17</f>
        <v>1</v>
      </c>
      <c r="M17" s="31">
        <f>'ค่า 1.9'!O17</f>
        <v>1</v>
      </c>
      <c r="N17" s="31">
        <f>'ค่า 2.1'!O17</f>
        <v>1</v>
      </c>
      <c r="O17" s="31">
        <f>'ค่า 2.2'!O17</f>
        <v>1</v>
      </c>
      <c r="P17" s="31">
        <f>'ค่า 2.3'!O17</f>
        <v>1</v>
      </c>
      <c r="Q17" s="31">
        <f>'ค่า 2.4'!O17</f>
        <v>1</v>
      </c>
      <c r="R17" s="31">
        <f>'ค่า 3.1'!O17</f>
        <v>1</v>
      </c>
      <c r="S17" s="31">
        <f>'ค่า 3.2'!O17</f>
        <v>1</v>
      </c>
      <c r="T17" s="31">
        <f>'ค่า 4.1'!O17</f>
        <v>1</v>
      </c>
    </row>
    <row r="18">
      <c r="A18" s="29">
        <v>17.0</v>
      </c>
      <c r="B18" s="30" t="s">
        <v>234</v>
      </c>
      <c r="C18" s="31"/>
      <c r="D18" s="32" t="str">
        <f t="shared" si="1"/>
        <v>bnco0917@signalschool.ac.th</v>
      </c>
      <c r="E18" s="33">
        <f>'ค่า 1.1'!O18</f>
        <v>1</v>
      </c>
      <c r="F18" s="31">
        <f>'ค่า 1.2'!O18</f>
        <v>1</v>
      </c>
      <c r="G18" s="31">
        <f>'ค่า 1.3'!O18</f>
        <v>1</v>
      </c>
      <c r="H18" s="31">
        <f>'ค่า 1.4'!O18</f>
        <v>1</v>
      </c>
      <c r="I18" s="31">
        <f>'ค่า 1.5'!O18</f>
        <v>1</v>
      </c>
      <c r="J18" s="31">
        <f>'ค่า 1.6'!O18</f>
        <v>1</v>
      </c>
      <c r="K18" s="31">
        <f>'ค่า 1.7'!O18</f>
        <v>1</v>
      </c>
      <c r="L18" s="31">
        <f>'ค่า 1.8'!O18</f>
        <v>1</v>
      </c>
      <c r="M18" s="31">
        <f>'ค่า 1.9'!O18</f>
        <v>1</v>
      </c>
      <c r="N18" s="31">
        <f>'ค่า 2.1'!O18</f>
        <v>1</v>
      </c>
      <c r="O18" s="31">
        <f>'ค่า 2.2'!O18</f>
        <v>1</v>
      </c>
      <c r="P18" s="31">
        <f>'ค่า 2.3'!O18</f>
        <v>1</v>
      </c>
      <c r="Q18" s="31">
        <f>'ค่า 2.4'!O18</f>
        <v>1</v>
      </c>
      <c r="R18" s="31">
        <f>'ค่า 3.1'!O18</f>
        <v>1</v>
      </c>
      <c r="S18" s="31">
        <f>'ค่า 3.2'!O18</f>
        <v>1</v>
      </c>
      <c r="T18" s="31">
        <f>'ค่า 4.1'!O18</f>
        <v>1</v>
      </c>
    </row>
    <row r="19">
      <c r="A19" s="29">
        <v>18.0</v>
      </c>
      <c r="B19" s="30" t="s">
        <v>235</v>
      </c>
      <c r="C19" s="31"/>
      <c r="D19" s="32" t="str">
        <f t="shared" si="1"/>
        <v>bnco0918@signalschool.ac.th</v>
      </c>
      <c r="E19" s="33">
        <f>'ค่า 1.1'!O19</f>
        <v>1</v>
      </c>
      <c r="F19" s="31">
        <f>'ค่า 1.2'!O19</f>
        <v>1</v>
      </c>
      <c r="G19" s="31">
        <f>'ค่า 1.3'!O19</f>
        <v>1</v>
      </c>
      <c r="H19" s="31">
        <f>'ค่า 1.4'!O19</f>
        <v>1</v>
      </c>
      <c r="I19" s="31">
        <f>'ค่า 1.5'!O19</f>
        <v>1</v>
      </c>
      <c r="J19" s="31">
        <f>'ค่า 1.6'!O19</f>
        <v>1</v>
      </c>
      <c r="K19" s="31">
        <f>'ค่า 1.7'!O19</f>
        <v>1</v>
      </c>
      <c r="L19" s="31">
        <f>'ค่า 1.8'!O19</f>
        <v>1</v>
      </c>
      <c r="M19" s="31">
        <f>'ค่า 1.9'!O19</f>
        <v>1</v>
      </c>
      <c r="N19" s="31">
        <f>'ค่า 2.1'!O19</f>
        <v>1</v>
      </c>
      <c r="O19" s="31">
        <f>'ค่า 2.2'!O19</f>
        <v>1</v>
      </c>
      <c r="P19" s="31">
        <f>'ค่า 2.3'!O19</f>
        <v>1</v>
      </c>
      <c r="Q19" s="31">
        <f>'ค่า 2.4'!O19</f>
        <v>1</v>
      </c>
      <c r="R19" s="31">
        <f>'ค่า 3.1'!O19</f>
        <v>1</v>
      </c>
      <c r="S19" s="31">
        <f>'ค่า 3.2'!O19</f>
        <v>1</v>
      </c>
      <c r="T19" s="31">
        <f>'ค่า 4.1'!O19</f>
        <v>1</v>
      </c>
    </row>
    <row r="20">
      <c r="A20" s="29">
        <v>19.0</v>
      </c>
      <c r="B20" s="30" t="s">
        <v>236</v>
      </c>
      <c r="C20" s="31"/>
      <c r="D20" s="32" t="str">
        <f t="shared" si="1"/>
        <v>bnco0919@signalschool.ac.th</v>
      </c>
      <c r="E20" s="33">
        <f>'ค่า 1.1'!O20</f>
        <v>1</v>
      </c>
      <c r="F20" s="31">
        <f>'ค่า 1.2'!O20</f>
        <v>1</v>
      </c>
      <c r="G20" s="31">
        <f>'ค่า 1.3'!O20</f>
        <v>1</v>
      </c>
      <c r="H20" s="31">
        <f>'ค่า 1.4'!O20</f>
        <v>1</v>
      </c>
      <c r="I20" s="31">
        <f>'ค่า 1.5'!O20</f>
        <v>1</v>
      </c>
      <c r="J20" s="31">
        <f>'ค่า 1.6'!O20</f>
        <v>1</v>
      </c>
      <c r="K20" s="31">
        <f>'ค่า 1.7'!O20</f>
        <v>1</v>
      </c>
      <c r="L20" s="31">
        <f>'ค่า 1.8'!O20</f>
        <v>1</v>
      </c>
      <c r="M20" s="31">
        <f>'ค่า 1.9'!O20</f>
        <v>1</v>
      </c>
      <c r="N20" s="31">
        <f>'ค่า 2.1'!O20</f>
        <v>1</v>
      </c>
      <c r="O20" s="31">
        <f>'ค่า 2.2'!O20</f>
        <v>1</v>
      </c>
      <c r="P20" s="31">
        <f>'ค่า 2.3'!O20</f>
        <v>1</v>
      </c>
      <c r="Q20" s="31">
        <f>'ค่า 2.4'!O20</f>
        <v>1</v>
      </c>
      <c r="R20" s="31">
        <f>'ค่า 3.1'!O20</f>
        <v>1</v>
      </c>
      <c r="S20" s="31">
        <f>'ค่า 3.2'!O20</f>
        <v>1</v>
      </c>
      <c r="T20" s="31">
        <f>'ค่า 4.1'!O20</f>
        <v>1</v>
      </c>
    </row>
    <row r="21">
      <c r="A21" s="29">
        <v>20.0</v>
      </c>
      <c r="B21" s="30" t="s">
        <v>237</v>
      </c>
      <c r="C21" s="34"/>
      <c r="D21" s="32" t="str">
        <f t="shared" si="1"/>
        <v>bnco0920@signalschool.ac.th</v>
      </c>
      <c r="E21" s="33">
        <f>'ค่า 1.1'!O21</f>
        <v>1</v>
      </c>
      <c r="F21" s="31">
        <f>'ค่า 1.2'!O21</f>
        <v>1</v>
      </c>
      <c r="G21" s="31">
        <f>'ค่า 1.3'!O21</f>
        <v>1</v>
      </c>
      <c r="H21" s="31">
        <f>'ค่า 1.4'!O21</f>
        <v>1</v>
      </c>
      <c r="I21" s="31">
        <f>'ค่า 1.5'!O21</f>
        <v>1</v>
      </c>
      <c r="J21" s="31">
        <f>'ค่า 1.6'!O21</f>
        <v>1</v>
      </c>
      <c r="K21" s="31">
        <f>'ค่า 1.7'!O21</f>
        <v>1</v>
      </c>
      <c r="L21" s="31">
        <f>'ค่า 1.8'!O21</f>
        <v>1</v>
      </c>
      <c r="M21" s="31">
        <f>'ค่า 1.9'!O21</f>
        <v>1</v>
      </c>
      <c r="N21" s="31">
        <f>'ค่า 2.1'!O21</f>
        <v>1</v>
      </c>
      <c r="O21" s="31">
        <f>'ค่า 2.2'!O21</f>
        <v>1</v>
      </c>
      <c r="P21" s="31">
        <f>'ค่า 2.3'!O21</f>
        <v>1</v>
      </c>
      <c r="Q21" s="31">
        <f>'ค่า 2.4'!O21</f>
        <v>1</v>
      </c>
      <c r="R21" s="31">
        <f>'ค่า 3.1'!O21</f>
        <v>1</v>
      </c>
      <c r="S21" s="31">
        <f>'ค่า 3.2'!O21</f>
        <v>1</v>
      </c>
      <c r="T21" s="31">
        <f>'ค่า 4.1'!O21</f>
        <v>1</v>
      </c>
    </row>
    <row r="22">
      <c r="A22" s="29">
        <v>21.0</v>
      </c>
      <c r="B22" s="30" t="s">
        <v>238</v>
      </c>
      <c r="C22" s="31"/>
      <c r="D22" s="32" t="str">
        <f t="shared" si="1"/>
        <v>bnco0921@signalschool.ac.th</v>
      </c>
      <c r="E22" s="33">
        <f>'ค่า 1.1'!O22</f>
        <v>1</v>
      </c>
      <c r="F22" s="31">
        <f>'ค่า 1.2'!O22</f>
        <v>1</v>
      </c>
      <c r="G22" s="31">
        <f>'ค่า 1.3'!O22</f>
        <v>1</v>
      </c>
      <c r="H22" s="31">
        <f>'ค่า 1.4'!O22</f>
        <v>1</v>
      </c>
      <c r="I22" s="31">
        <f>'ค่า 1.5'!O22</f>
        <v>1</v>
      </c>
      <c r="J22" s="31">
        <f>'ค่า 1.6'!O22</f>
        <v>1</v>
      </c>
      <c r="K22" s="31">
        <f>'ค่า 1.7'!O22</f>
        <v>1</v>
      </c>
      <c r="L22" s="31">
        <f>'ค่า 1.8'!O22</f>
        <v>1</v>
      </c>
      <c r="M22" s="31">
        <f>'ค่า 1.9'!O22</f>
        <v>1</v>
      </c>
      <c r="N22" s="31">
        <f>'ค่า 2.1'!O22</f>
        <v>1</v>
      </c>
      <c r="O22" s="31">
        <f>'ค่า 2.2'!O22</f>
        <v>1</v>
      </c>
      <c r="P22" s="31">
        <f>'ค่า 2.3'!O22</f>
        <v>1</v>
      </c>
      <c r="Q22" s="31">
        <f>'ค่า 2.4'!O22</f>
        <v>1</v>
      </c>
      <c r="R22" s="31">
        <f>'ค่า 3.1'!O22</f>
        <v>1</v>
      </c>
      <c r="S22" s="31">
        <f>'ค่า 3.2'!O22</f>
        <v>1</v>
      </c>
      <c r="T22" s="31">
        <f>'ค่า 4.1'!O22</f>
        <v>1</v>
      </c>
    </row>
    <row r="23">
      <c r="A23" s="29">
        <v>22.0</v>
      </c>
      <c r="B23" s="30" t="s">
        <v>239</v>
      </c>
      <c r="C23" s="31"/>
      <c r="D23" s="32" t="str">
        <f t="shared" si="1"/>
        <v>bnco0922@signalschool.ac.th</v>
      </c>
      <c r="E23" s="33">
        <f>'ค่า 1.1'!O23</f>
        <v>1</v>
      </c>
      <c r="F23" s="31">
        <f>'ค่า 1.2'!O23</f>
        <v>1</v>
      </c>
      <c r="G23" s="31">
        <f>'ค่า 1.3'!O23</f>
        <v>1</v>
      </c>
      <c r="H23" s="31">
        <f>'ค่า 1.4'!O23</f>
        <v>1</v>
      </c>
      <c r="I23" s="31">
        <f>'ค่า 1.5'!O23</f>
        <v>1</v>
      </c>
      <c r="J23" s="31">
        <f>'ค่า 1.6'!O23</f>
        <v>1</v>
      </c>
      <c r="K23" s="31">
        <f>'ค่า 1.7'!O23</f>
        <v>1</v>
      </c>
      <c r="L23" s="31">
        <f>'ค่า 1.8'!O23</f>
        <v>1</v>
      </c>
      <c r="M23" s="31">
        <f>'ค่า 1.9'!O23</f>
        <v>1</v>
      </c>
      <c r="N23" s="31">
        <f>'ค่า 2.1'!O23</f>
        <v>1</v>
      </c>
      <c r="O23" s="31">
        <f>'ค่า 2.2'!O23</f>
        <v>1</v>
      </c>
      <c r="P23" s="31">
        <f>'ค่า 2.3'!O23</f>
        <v>1</v>
      </c>
      <c r="Q23" s="31">
        <f>'ค่า 2.4'!O23</f>
        <v>1</v>
      </c>
      <c r="R23" s="31">
        <f>'ค่า 3.1'!O23</f>
        <v>1</v>
      </c>
      <c r="S23" s="31">
        <f>'ค่า 3.2'!O23</f>
        <v>1</v>
      </c>
      <c r="T23" s="31">
        <f>'ค่า 4.1'!O23</f>
        <v>1</v>
      </c>
    </row>
    <row r="24">
      <c r="A24" s="29">
        <v>23.0</v>
      </c>
      <c r="B24" s="30" t="s">
        <v>240</v>
      </c>
      <c r="C24" s="31"/>
      <c r="D24" s="32" t="str">
        <f t="shared" si="1"/>
        <v>bnco0923@signalschool.ac.th</v>
      </c>
      <c r="E24" s="33">
        <f>'ค่า 1.1'!O24</f>
        <v>1</v>
      </c>
      <c r="F24" s="31">
        <f>'ค่า 1.2'!O24</f>
        <v>1</v>
      </c>
      <c r="G24" s="31">
        <f>'ค่า 1.3'!O24</f>
        <v>1</v>
      </c>
      <c r="H24" s="31">
        <f>'ค่า 1.4'!O24</f>
        <v>1</v>
      </c>
      <c r="I24" s="31">
        <f>'ค่า 1.5'!O24</f>
        <v>1</v>
      </c>
      <c r="J24" s="31">
        <f>'ค่า 1.6'!O24</f>
        <v>1</v>
      </c>
      <c r="K24" s="31">
        <f>'ค่า 1.7'!O24</f>
        <v>1</v>
      </c>
      <c r="L24" s="31">
        <f>'ค่า 1.8'!O24</f>
        <v>1</v>
      </c>
      <c r="M24" s="31">
        <f>'ค่า 1.9'!O24</f>
        <v>1</v>
      </c>
      <c r="N24" s="31">
        <f>'ค่า 2.1'!O24</f>
        <v>1</v>
      </c>
      <c r="O24" s="31">
        <f>'ค่า 2.2'!O24</f>
        <v>1</v>
      </c>
      <c r="P24" s="31">
        <f>'ค่า 2.3'!O24</f>
        <v>1</v>
      </c>
      <c r="Q24" s="31">
        <f>'ค่า 2.4'!O24</f>
        <v>1</v>
      </c>
      <c r="R24" s="31">
        <f>'ค่า 3.1'!O24</f>
        <v>1</v>
      </c>
      <c r="S24" s="31">
        <f>'ค่า 3.2'!O24</f>
        <v>1</v>
      </c>
      <c r="T24" s="31">
        <f>'ค่า 4.1'!O24</f>
        <v>1</v>
      </c>
    </row>
    <row r="25">
      <c r="A25" s="29">
        <v>24.0</v>
      </c>
      <c r="B25" s="30" t="s">
        <v>241</v>
      </c>
      <c r="C25" s="31"/>
      <c r="D25" s="32" t="str">
        <f t="shared" si="1"/>
        <v>bnco0924@signalschool.ac.th</v>
      </c>
      <c r="E25" s="33">
        <f>'ค่า 1.1'!O25</f>
        <v>1</v>
      </c>
      <c r="F25" s="31">
        <f>'ค่า 1.2'!O25</f>
        <v>1</v>
      </c>
      <c r="G25" s="31">
        <f>'ค่า 1.3'!O25</f>
        <v>1</v>
      </c>
      <c r="H25" s="31">
        <f>'ค่า 1.4'!O25</f>
        <v>1</v>
      </c>
      <c r="I25" s="31">
        <f>'ค่า 1.5'!O25</f>
        <v>1</v>
      </c>
      <c r="J25" s="31">
        <f>'ค่า 1.6'!O25</f>
        <v>1</v>
      </c>
      <c r="K25" s="31">
        <f>'ค่า 1.7'!O25</f>
        <v>1</v>
      </c>
      <c r="L25" s="31">
        <f>'ค่า 1.8'!O25</f>
        <v>1</v>
      </c>
      <c r="M25" s="31">
        <f>'ค่า 1.9'!O25</f>
        <v>1</v>
      </c>
      <c r="N25" s="31">
        <f>'ค่า 2.1'!O25</f>
        <v>1</v>
      </c>
      <c r="O25" s="31">
        <f>'ค่า 2.2'!O25</f>
        <v>1</v>
      </c>
      <c r="P25" s="31">
        <f>'ค่า 2.3'!O25</f>
        <v>1</v>
      </c>
      <c r="Q25" s="31">
        <f>'ค่า 2.4'!O25</f>
        <v>1</v>
      </c>
      <c r="R25" s="31">
        <f>'ค่า 3.1'!O25</f>
        <v>1</v>
      </c>
      <c r="S25" s="31">
        <f>'ค่า 3.2'!O25</f>
        <v>1</v>
      </c>
      <c r="T25" s="31">
        <f>'ค่า 4.1'!O25</f>
        <v>1</v>
      </c>
    </row>
    <row r="26">
      <c r="A26" s="29">
        <v>25.0</v>
      </c>
      <c r="B26" s="30" t="s">
        <v>242</v>
      </c>
      <c r="C26" s="31"/>
      <c r="D26" s="32" t="str">
        <f t="shared" si="1"/>
        <v>bnco0925@signalschool.ac.th</v>
      </c>
      <c r="E26" s="33">
        <f>'ค่า 1.1'!O26</f>
        <v>1</v>
      </c>
      <c r="F26" s="31">
        <f>'ค่า 1.2'!O26</f>
        <v>1</v>
      </c>
      <c r="G26" s="31">
        <f>'ค่า 1.3'!O26</f>
        <v>1</v>
      </c>
      <c r="H26" s="31">
        <f>'ค่า 1.4'!O26</f>
        <v>1</v>
      </c>
      <c r="I26" s="31">
        <f>'ค่า 1.5'!O26</f>
        <v>1</v>
      </c>
      <c r="J26" s="31">
        <f>'ค่า 1.6'!O26</f>
        <v>1</v>
      </c>
      <c r="K26" s="31">
        <f>'ค่า 1.7'!O26</f>
        <v>1</v>
      </c>
      <c r="L26" s="31">
        <f>'ค่า 1.8'!O26</f>
        <v>1</v>
      </c>
      <c r="M26" s="31">
        <f>'ค่า 1.9'!O26</f>
        <v>1</v>
      </c>
      <c r="N26" s="31">
        <f>'ค่า 2.1'!O26</f>
        <v>1</v>
      </c>
      <c r="O26" s="31">
        <f>'ค่า 2.2'!O26</f>
        <v>1</v>
      </c>
      <c r="P26" s="31">
        <f>'ค่า 2.3'!O26</f>
        <v>1</v>
      </c>
      <c r="Q26" s="31">
        <f>'ค่า 2.4'!O26</f>
        <v>1</v>
      </c>
      <c r="R26" s="31">
        <f>'ค่า 3.1'!O26</f>
        <v>1</v>
      </c>
      <c r="S26" s="31">
        <f>'ค่า 3.2'!O26</f>
        <v>1</v>
      </c>
      <c r="T26" s="31">
        <f>'ค่า 4.1'!O26</f>
        <v>1</v>
      </c>
    </row>
    <row r="27">
      <c r="A27" s="29">
        <v>26.0</v>
      </c>
      <c r="B27" s="30" t="s">
        <v>243</v>
      </c>
      <c r="C27" s="31"/>
      <c r="D27" s="32" t="str">
        <f t="shared" si="1"/>
        <v>bnco0926@signalschool.ac.th</v>
      </c>
      <c r="E27" s="33">
        <f>'ค่า 1.1'!O27</f>
        <v>1</v>
      </c>
      <c r="F27" s="31">
        <f>'ค่า 1.2'!O27</f>
        <v>1</v>
      </c>
      <c r="G27" s="31">
        <f>'ค่า 1.3'!O27</f>
        <v>1</v>
      </c>
      <c r="H27" s="31">
        <f>'ค่า 1.4'!O27</f>
        <v>1</v>
      </c>
      <c r="I27" s="31">
        <f>'ค่า 1.5'!O27</f>
        <v>1</v>
      </c>
      <c r="J27" s="31">
        <f>'ค่า 1.6'!O27</f>
        <v>1</v>
      </c>
      <c r="K27" s="31">
        <f>'ค่า 1.7'!O27</f>
        <v>1</v>
      </c>
      <c r="L27" s="31">
        <f>'ค่า 1.8'!O27</f>
        <v>1</v>
      </c>
      <c r="M27" s="31">
        <f>'ค่า 1.9'!O27</f>
        <v>1</v>
      </c>
      <c r="N27" s="31">
        <f>'ค่า 2.1'!O27</f>
        <v>1</v>
      </c>
      <c r="O27" s="31">
        <f>'ค่า 2.2'!O27</f>
        <v>1</v>
      </c>
      <c r="P27" s="31">
        <f>'ค่า 2.3'!O27</f>
        <v>1</v>
      </c>
      <c r="Q27" s="31">
        <f>'ค่า 2.4'!O27</f>
        <v>1</v>
      </c>
      <c r="R27" s="31">
        <f>'ค่า 3.1'!O27</f>
        <v>1</v>
      </c>
      <c r="S27" s="31">
        <f>'ค่า 3.2'!O27</f>
        <v>1</v>
      </c>
      <c r="T27" s="31">
        <f>'ค่า 4.1'!O27</f>
        <v>1</v>
      </c>
    </row>
    <row r="28">
      <c r="A28" s="29">
        <v>27.0</v>
      </c>
      <c r="B28" s="30" t="s">
        <v>244</v>
      </c>
      <c r="C28" s="31"/>
      <c r="D28" s="32" t="str">
        <f t="shared" si="1"/>
        <v>bnco0927@signalschool.ac.th</v>
      </c>
      <c r="E28" s="33">
        <f>'ค่า 1.1'!O28</f>
        <v>1</v>
      </c>
      <c r="F28" s="31">
        <f>'ค่า 1.2'!O28</f>
        <v>1</v>
      </c>
      <c r="G28" s="31">
        <f>'ค่า 1.3'!O28</f>
        <v>1</v>
      </c>
      <c r="H28" s="31">
        <f>'ค่า 1.4'!O28</f>
        <v>1</v>
      </c>
      <c r="I28" s="31">
        <f>'ค่า 1.5'!O28</f>
        <v>1</v>
      </c>
      <c r="J28" s="31">
        <f>'ค่า 1.6'!O28</f>
        <v>1</v>
      </c>
      <c r="K28" s="31">
        <f>'ค่า 1.7'!O28</f>
        <v>1</v>
      </c>
      <c r="L28" s="31">
        <f>'ค่า 1.8'!O28</f>
        <v>1</v>
      </c>
      <c r="M28" s="31">
        <f>'ค่า 1.9'!O28</f>
        <v>1</v>
      </c>
      <c r="N28" s="31">
        <f>'ค่า 2.1'!O28</f>
        <v>1</v>
      </c>
      <c r="O28" s="31">
        <f>'ค่า 2.2'!O28</f>
        <v>1</v>
      </c>
      <c r="P28" s="31">
        <f>'ค่า 2.3'!O28</f>
        <v>1</v>
      </c>
      <c r="Q28" s="31">
        <f>'ค่า 2.4'!O28</f>
        <v>1</v>
      </c>
      <c r="R28" s="31">
        <f>'ค่า 3.1'!O28</f>
        <v>1</v>
      </c>
      <c r="S28" s="31">
        <f>'ค่า 3.2'!O28</f>
        <v>1</v>
      </c>
      <c r="T28" s="31">
        <f>'ค่า 4.1'!O28</f>
        <v>1</v>
      </c>
    </row>
    <row r="29">
      <c r="A29" s="29">
        <v>28.0</v>
      </c>
      <c r="B29" s="30" t="s">
        <v>245</v>
      </c>
      <c r="C29" s="31"/>
      <c r="D29" s="32" t="str">
        <f t="shared" si="1"/>
        <v>bnco0928@signalschool.ac.th</v>
      </c>
      <c r="E29" s="33">
        <f>'ค่า 1.1'!O29</f>
        <v>1</v>
      </c>
      <c r="F29" s="31">
        <f>'ค่า 1.2'!O29</f>
        <v>1</v>
      </c>
      <c r="G29" s="31">
        <f>'ค่า 1.3'!O29</f>
        <v>1</v>
      </c>
      <c r="H29" s="31">
        <f>'ค่า 1.4'!O29</f>
        <v>1</v>
      </c>
      <c r="I29" s="31">
        <f>'ค่า 1.5'!O29</f>
        <v>1</v>
      </c>
      <c r="J29" s="31">
        <f>'ค่า 1.6'!O29</f>
        <v>1</v>
      </c>
      <c r="K29" s="31">
        <f>'ค่า 1.7'!O29</f>
        <v>1</v>
      </c>
      <c r="L29" s="31">
        <f>'ค่า 1.8'!O29</f>
        <v>1</v>
      </c>
      <c r="M29" s="31">
        <f>'ค่า 1.9'!O29</f>
        <v>1</v>
      </c>
      <c r="N29" s="31">
        <f>'ค่า 2.1'!O29</f>
        <v>1</v>
      </c>
      <c r="O29" s="31">
        <f>'ค่า 2.2'!O29</f>
        <v>1</v>
      </c>
      <c r="P29" s="31">
        <f>'ค่า 2.3'!O29</f>
        <v>1</v>
      </c>
      <c r="Q29" s="31">
        <f>'ค่า 2.4'!O29</f>
        <v>1</v>
      </c>
      <c r="R29" s="31">
        <f>'ค่า 3.1'!O29</f>
        <v>1</v>
      </c>
      <c r="S29" s="31">
        <f>'ค่า 3.2'!O29</f>
        <v>1</v>
      </c>
      <c r="T29" s="31">
        <f>'ค่า 4.1'!O29</f>
        <v>1</v>
      </c>
    </row>
    <row r="30">
      <c r="A30" s="29">
        <v>29.0</v>
      </c>
      <c r="B30" s="30" t="s">
        <v>246</v>
      </c>
      <c r="C30" s="34"/>
      <c r="D30" s="32" t="str">
        <f t="shared" si="1"/>
        <v>bnco0929@signalschool.ac.th</v>
      </c>
      <c r="E30" s="33">
        <f>'ค่า 1.1'!O30</f>
        <v>1</v>
      </c>
      <c r="F30" s="31">
        <f>'ค่า 1.2'!O30</f>
        <v>1</v>
      </c>
      <c r="G30" s="31">
        <f>'ค่า 1.3'!O30</f>
        <v>1</v>
      </c>
      <c r="H30" s="31">
        <f>'ค่า 1.4'!O30</f>
        <v>1</v>
      </c>
      <c r="I30" s="31">
        <f>'ค่า 1.5'!O30</f>
        <v>1</v>
      </c>
      <c r="J30" s="31">
        <f>'ค่า 1.6'!O30</f>
        <v>1</v>
      </c>
      <c r="K30" s="31">
        <f>'ค่า 1.7'!O30</f>
        <v>1</v>
      </c>
      <c r="L30" s="31">
        <f>'ค่า 1.8'!O30</f>
        <v>1</v>
      </c>
      <c r="M30" s="31">
        <f>'ค่า 1.9'!O30</f>
        <v>1</v>
      </c>
      <c r="N30" s="31">
        <f>'ค่า 2.1'!O30</f>
        <v>1</v>
      </c>
      <c r="O30" s="31">
        <f>'ค่า 2.2'!O30</f>
        <v>1</v>
      </c>
      <c r="P30" s="31">
        <f>'ค่า 2.3'!O30</f>
        <v>1</v>
      </c>
      <c r="Q30" s="31">
        <f>'ค่า 2.4'!O30</f>
        <v>1</v>
      </c>
      <c r="R30" s="31">
        <f>'ค่า 3.1'!O30</f>
        <v>1</v>
      </c>
      <c r="S30" s="31">
        <f>'ค่า 3.2'!O30</f>
        <v>1</v>
      </c>
      <c r="T30" s="31">
        <f>'ค่า 4.1'!O30</f>
        <v>1</v>
      </c>
    </row>
    <row r="31">
      <c r="A31" s="29">
        <v>30.0</v>
      </c>
      <c r="B31" s="30" t="s">
        <v>247</v>
      </c>
      <c r="C31" s="31"/>
      <c r="D31" s="32" t="str">
        <f t="shared" si="1"/>
        <v>bnco0930@signalschool.ac.th</v>
      </c>
      <c r="E31" s="33">
        <f>'ค่า 1.1'!O31</f>
        <v>1</v>
      </c>
      <c r="F31" s="31">
        <f>'ค่า 1.2'!O31</f>
        <v>1</v>
      </c>
      <c r="G31" s="31">
        <f>'ค่า 1.3'!O31</f>
        <v>1</v>
      </c>
      <c r="H31" s="31">
        <f>'ค่า 1.4'!O31</f>
        <v>1</v>
      </c>
      <c r="I31" s="31">
        <f>'ค่า 1.5'!O31</f>
        <v>1</v>
      </c>
      <c r="J31" s="31">
        <f>'ค่า 1.6'!O31</f>
        <v>1</v>
      </c>
      <c r="K31" s="31">
        <f>'ค่า 1.7'!O31</f>
        <v>1</v>
      </c>
      <c r="L31" s="31">
        <f>'ค่า 1.8'!O31</f>
        <v>1</v>
      </c>
      <c r="M31" s="31">
        <f>'ค่า 1.9'!O31</f>
        <v>1</v>
      </c>
      <c r="N31" s="31">
        <f>'ค่า 2.1'!O31</f>
        <v>1</v>
      </c>
      <c r="O31" s="31">
        <f>'ค่า 2.2'!O31</f>
        <v>1</v>
      </c>
      <c r="P31" s="31">
        <f>'ค่า 2.3'!O31</f>
        <v>1</v>
      </c>
      <c r="Q31" s="31">
        <f>'ค่า 2.4'!O31</f>
        <v>1</v>
      </c>
      <c r="R31" s="31">
        <f>'ค่า 3.1'!O31</f>
        <v>1</v>
      </c>
      <c r="S31" s="31">
        <f>'ค่า 3.2'!O31</f>
        <v>1</v>
      </c>
      <c r="T31" s="31">
        <f>'ค่า 4.1'!O31</f>
        <v>1</v>
      </c>
    </row>
    <row r="32">
      <c r="A32" s="29">
        <v>31.0</v>
      </c>
      <c r="B32" s="30" t="s">
        <v>248</v>
      </c>
      <c r="C32" s="31"/>
      <c r="D32" s="32" t="str">
        <f t="shared" si="1"/>
        <v>bnco0931@signalschool.ac.th</v>
      </c>
      <c r="E32" s="33">
        <f>'ค่า 1.1'!O32</f>
        <v>1</v>
      </c>
      <c r="F32" s="31">
        <f>'ค่า 1.2'!O32</f>
        <v>1</v>
      </c>
      <c r="G32" s="31">
        <f>'ค่า 1.3'!O32</f>
        <v>1</v>
      </c>
      <c r="H32" s="31">
        <f>'ค่า 1.4'!O32</f>
        <v>1</v>
      </c>
      <c r="I32" s="31">
        <f>'ค่า 1.5'!O32</f>
        <v>1</v>
      </c>
      <c r="J32" s="31">
        <f>'ค่า 1.6'!O32</f>
        <v>1</v>
      </c>
      <c r="K32" s="31">
        <f>'ค่า 1.7'!O32</f>
        <v>1</v>
      </c>
      <c r="L32" s="31">
        <f>'ค่า 1.8'!O32</f>
        <v>1</v>
      </c>
      <c r="M32" s="31">
        <f>'ค่า 1.9'!O32</f>
        <v>1</v>
      </c>
      <c r="N32" s="31">
        <f>'ค่า 2.1'!O32</f>
        <v>1</v>
      </c>
      <c r="O32" s="31">
        <f>'ค่า 2.2'!O32</f>
        <v>1</v>
      </c>
      <c r="P32" s="31">
        <f>'ค่า 2.3'!O32</f>
        <v>1</v>
      </c>
      <c r="Q32" s="31">
        <f>'ค่า 2.4'!O32</f>
        <v>1</v>
      </c>
      <c r="R32" s="31">
        <f>'ค่า 3.1'!O32</f>
        <v>1</v>
      </c>
      <c r="S32" s="31">
        <f>'ค่า 3.2'!O32</f>
        <v>1</v>
      </c>
      <c r="T32" s="31">
        <f>'ค่า 4.1'!O32</f>
        <v>1</v>
      </c>
    </row>
    <row r="33">
      <c r="A33" s="29">
        <v>32.0</v>
      </c>
      <c r="B33" s="30" t="s">
        <v>249</v>
      </c>
      <c r="C33" s="31"/>
      <c r="D33" s="32" t="str">
        <f t="shared" si="1"/>
        <v>bnco0932@signalschool.ac.th</v>
      </c>
      <c r="E33" s="33">
        <f>'ค่า 1.1'!O33</f>
        <v>1</v>
      </c>
      <c r="F33" s="31">
        <f>'ค่า 1.2'!O33</f>
        <v>1</v>
      </c>
      <c r="G33" s="31">
        <f>'ค่า 1.3'!O33</f>
        <v>1</v>
      </c>
      <c r="H33" s="31">
        <f>'ค่า 1.4'!O33</f>
        <v>1</v>
      </c>
      <c r="I33" s="31">
        <f>'ค่า 1.5'!O33</f>
        <v>1</v>
      </c>
      <c r="J33" s="31">
        <f>'ค่า 1.6'!O33</f>
        <v>1</v>
      </c>
      <c r="K33" s="31">
        <f>'ค่า 1.7'!O33</f>
        <v>1</v>
      </c>
      <c r="L33" s="31">
        <f>'ค่า 1.8'!O33</f>
        <v>1</v>
      </c>
      <c r="M33" s="31">
        <f>'ค่า 1.9'!O33</f>
        <v>1</v>
      </c>
      <c r="N33" s="31">
        <f>'ค่า 2.1'!O33</f>
        <v>1</v>
      </c>
      <c r="O33" s="31">
        <f>'ค่า 2.2'!O33</f>
        <v>1</v>
      </c>
      <c r="P33" s="31">
        <f>'ค่า 2.3'!O33</f>
        <v>1</v>
      </c>
      <c r="Q33" s="31">
        <f>'ค่า 2.4'!O33</f>
        <v>1</v>
      </c>
      <c r="R33" s="31">
        <f>'ค่า 3.1'!O33</f>
        <v>1</v>
      </c>
      <c r="S33" s="31">
        <f>'ค่า 3.2'!O33</f>
        <v>1</v>
      </c>
      <c r="T33" s="31">
        <f>'ค่า 4.1'!O33</f>
        <v>1</v>
      </c>
    </row>
    <row r="34">
      <c r="A34" s="29">
        <v>33.0</v>
      </c>
      <c r="B34" s="30" t="s">
        <v>250</v>
      </c>
      <c r="C34" s="31"/>
      <c r="D34" s="32" t="str">
        <f t="shared" si="1"/>
        <v>bnco0933@signalschool.ac.th</v>
      </c>
      <c r="E34" s="33">
        <f>'ค่า 1.1'!O34</f>
        <v>1</v>
      </c>
      <c r="F34" s="31">
        <f>'ค่า 1.2'!O34</f>
        <v>1</v>
      </c>
      <c r="G34" s="31">
        <f>'ค่า 1.3'!O34</f>
        <v>1</v>
      </c>
      <c r="H34" s="31">
        <f>'ค่า 1.4'!O34</f>
        <v>1</v>
      </c>
      <c r="I34" s="31">
        <f>'ค่า 1.5'!O34</f>
        <v>1</v>
      </c>
      <c r="J34" s="31">
        <f>'ค่า 1.6'!O34</f>
        <v>1</v>
      </c>
      <c r="K34" s="31">
        <f>'ค่า 1.7'!O34</f>
        <v>1</v>
      </c>
      <c r="L34" s="31">
        <f>'ค่า 1.8'!O34</f>
        <v>1</v>
      </c>
      <c r="M34" s="31">
        <f>'ค่า 1.9'!O34</f>
        <v>1</v>
      </c>
      <c r="N34" s="31">
        <f>'ค่า 2.1'!O34</f>
        <v>1</v>
      </c>
      <c r="O34" s="31">
        <f>'ค่า 2.2'!O34</f>
        <v>1</v>
      </c>
      <c r="P34" s="31">
        <f>'ค่า 2.3'!O34</f>
        <v>1</v>
      </c>
      <c r="Q34" s="31">
        <f>'ค่า 2.4'!O34</f>
        <v>1</v>
      </c>
      <c r="R34" s="31">
        <f>'ค่า 3.1'!O34</f>
        <v>1</v>
      </c>
      <c r="S34" s="31">
        <f>'ค่า 3.2'!O34</f>
        <v>1</v>
      </c>
      <c r="T34" s="31">
        <f>'ค่า 4.1'!O34</f>
        <v>1</v>
      </c>
    </row>
    <row r="35">
      <c r="A35" s="29">
        <v>34.0</v>
      </c>
      <c r="B35" s="30" t="s">
        <v>251</v>
      </c>
      <c r="C35" s="31"/>
      <c r="D35" s="32" t="str">
        <f t="shared" si="1"/>
        <v>bnco0934@signalschool.ac.th</v>
      </c>
      <c r="E35" s="33">
        <f>'ค่า 1.1'!O35</f>
        <v>1</v>
      </c>
      <c r="F35" s="31">
        <f>'ค่า 1.2'!O35</f>
        <v>1</v>
      </c>
      <c r="G35" s="31">
        <f>'ค่า 1.3'!O35</f>
        <v>1</v>
      </c>
      <c r="H35" s="31">
        <f>'ค่า 1.4'!O35</f>
        <v>1</v>
      </c>
      <c r="I35" s="31">
        <f>'ค่า 1.5'!O35</f>
        <v>1</v>
      </c>
      <c r="J35" s="31">
        <f>'ค่า 1.6'!O35</f>
        <v>1</v>
      </c>
      <c r="K35" s="31">
        <f>'ค่า 1.7'!O35</f>
        <v>1</v>
      </c>
      <c r="L35" s="31">
        <f>'ค่า 1.8'!O35</f>
        <v>1</v>
      </c>
      <c r="M35" s="31">
        <f>'ค่า 1.9'!O35</f>
        <v>1</v>
      </c>
      <c r="N35" s="31">
        <f>'ค่า 2.1'!O35</f>
        <v>1</v>
      </c>
      <c r="O35" s="31">
        <f>'ค่า 2.2'!O35</f>
        <v>1</v>
      </c>
      <c r="P35" s="31">
        <f>'ค่า 2.3'!O35</f>
        <v>1</v>
      </c>
      <c r="Q35" s="31">
        <f>'ค่า 2.4'!O35</f>
        <v>1</v>
      </c>
      <c r="R35" s="31">
        <f>'ค่า 3.1'!O35</f>
        <v>1</v>
      </c>
      <c r="S35" s="31">
        <f>'ค่า 3.2'!O35</f>
        <v>1</v>
      </c>
      <c r="T35" s="31">
        <f>'ค่า 4.1'!O35</f>
        <v>1</v>
      </c>
    </row>
    <row r="36">
      <c r="A36" s="29">
        <v>35.0</v>
      </c>
      <c r="B36" s="30" t="s">
        <v>252</v>
      </c>
      <c r="C36" s="31"/>
      <c r="D36" s="32" t="str">
        <f t="shared" si="1"/>
        <v>bnco0935@signalschool.ac.th</v>
      </c>
      <c r="E36" s="33">
        <f>'ค่า 1.1'!O36</f>
        <v>1</v>
      </c>
      <c r="F36" s="31">
        <f>'ค่า 1.2'!O36</f>
        <v>1</v>
      </c>
      <c r="G36" s="31">
        <f>'ค่า 1.3'!O36</f>
        <v>1</v>
      </c>
      <c r="H36" s="31">
        <f>'ค่า 1.4'!O36</f>
        <v>1</v>
      </c>
      <c r="I36" s="31">
        <f>'ค่า 1.5'!O36</f>
        <v>1</v>
      </c>
      <c r="J36" s="31">
        <f>'ค่า 1.6'!O36</f>
        <v>1</v>
      </c>
      <c r="K36" s="31">
        <f>'ค่า 1.7'!O36</f>
        <v>1</v>
      </c>
      <c r="L36" s="31">
        <f>'ค่า 1.8'!O36</f>
        <v>1</v>
      </c>
      <c r="M36" s="31">
        <f>'ค่า 1.9'!O36</f>
        <v>1</v>
      </c>
      <c r="N36" s="31">
        <f>'ค่า 2.1'!O36</f>
        <v>1</v>
      </c>
      <c r="O36" s="31">
        <f>'ค่า 2.2'!O36</f>
        <v>1</v>
      </c>
      <c r="P36" s="31">
        <f>'ค่า 2.3'!O36</f>
        <v>1</v>
      </c>
      <c r="Q36" s="31">
        <f>'ค่า 2.4'!O36</f>
        <v>1</v>
      </c>
      <c r="R36" s="31">
        <f>'ค่า 3.1'!O36</f>
        <v>1</v>
      </c>
      <c r="S36" s="31">
        <f>'ค่า 3.2'!O36</f>
        <v>1</v>
      </c>
      <c r="T36" s="31">
        <f>'ค่า 4.1'!O36</f>
        <v>1</v>
      </c>
    </row>
    <row r="37">
      <c r="A37" s="29">
        <v>36.0</v>
      </c>
      <c r="B37" s="30" t="s">
        <v>253</v>
      </c>
      <c r="C37" s="31"/>
      <c r="D37" s="32" t="str">
        <f t="shared" si="1"/>
        <v>bnco0936@signalschool.ac.th</v>
      </c>
      <c r="E37" s="33">
        <f>'ค่า 1.1'!O37</f>
        <v>1</v>
      </c>
      <c r="F37" s="31">
        <f>'ค่า 1.2'!O37</f>
        <v>1</v>
      </c>
      <c r="G37" s="31">
        <f>'ค่า 1.3'!O37</f>
        <v>1</v>
      </c>
      <c r="H37" s="31">
        <f>'ค่า 1.4'!O37</f>
        <v>1</v>
      </c>
      <c r="I37" s="31">
        <f>'ค่า 1.5'!O37</f>
        <v>1</v>
      </c>
      <c r="J37" s="31">
        <f>'ค่า 1.6'!O37</f>
        <v>1</v>
      </c>
      <c r="K37" s="31">
        <f>'ค่า 1.7'!O37</f>
        <v>1</v>
      </c>
      <c r="L37" s="31">
        <f>'ค่า 1.8'!O37</f>
        <v>1</v>
      </c>
      <c r="M37" s="31">
        <f>'ค่า 1.9'!O37</f>
        <v>1</v>
      </c>
      <c r="N37" s="31">
        <f>'ค่า 2.1'!O37</f>
        <v>1</v>
      </c>
      <c r="O37" s="31">
        <f>'ค่า 2.2'!O37</f>
        <v>1</v>
      </c>
      <c r="P37" s="31">
        <f>'ค่า 2.3'!O37</f>
        <v>1</v>
      </c>
      <c r="Q37" s="31">
        <f>'ค่า 2.4'!O37</f>
        <v>1</v>
      </c>
      <c r="R37" s="31">
        <f>'ค่า 3.1'!O37</f>
        <v>1</v>
      </c>
      <c r="S37" s="31">
        <f>'ค่า 3.2'!O37</f>
        <v>1</v>
      </c>
      <c r="T37" s="31">
        <f>'ค่า 4.1'!O37</f>
        <v>1</v>
      </c>
    </row>
    <row r="38">
      <c r="A38" s="29">
        <v>37.0</v>
      </c>
      <c r="B38" s="30" t="s">
        <v>254</v>
      </c>
      <c r="C38" s="34"/>
      <c r="D38" s="32" t="str">
        <f t="shared" si="1"/>
        <v>bnco0937@signalschool.ac.th</v>
      </c>
      <c r="E38" s="33">
        <f>'ค่า 1.1'!O38</f>
        <v>1</v>
      </c>
      <c r="F38" s="31">
        <f>'ค่า 1.2'!O38</f>
        <v>1</v>
      </c>
      <c r="G38" s="31">
        <f>'ค่า 1.3'!O38</f>
        <v>1</v>
      </c>
      <c r="H38" s="31">
        <f>'ค่า 1.4'!O38</f>
        <v>1</v>
      </c>
      <c r="I38" s="31">
        <f>'ค่า 1.5'!O38</f>
        <v>1</v>
      </c>
      <c r="J38" s="31">
        <f>'ค่า 1.6'!O38</f>
        <v>1</v>
      </c>
      <c r="K38" s="31">
        <f>'ค่า 1.7'!O38</f>
        <v>1</v>
      </c>
      <c r="L38" s="31">
        <f>'ค่า 1.8'!O38</f>
        <v>1</v>
      </c>
      <c r="M38" s="31">
        <f>'ค่า 1.9'!O38</f>
        <v>1</v>
      </c>
      <c r="N38" s="31">
        <f>'ค่า 2.1'!O38</f>
        <v>1</v>
      </c>
      <c r="O38" s="31">
        <f>'ค่า 2.2'!O38</f>
        <v>1</v>
      </c>
      <c r="P38" s="31">
        <f>'ค่า 2.3'!O38</f>
        <v>1</v>
      </c>
      <c r="Q38" s="31">
        <f>'ค่า 2.4'!O38</f>
        <v>1</v>
      </c>
      <c r="R38" s="31">
        <f>'ค่า 3.1'!O38</f>
        <v>1</v>
      </c>
      <c r="S38" s="31">
        <f>'ค่า 3.2'!O38</f>
        <v>1</v>
      </c>
      <c r="T38" s="31">
        <f>'ค่า 4.1'!O38</f>
        <v>1</v>
      </c>
    </row>
    <row r="39">
      <c r="A39" s="29">
        <v>38.0</v>
      </c>
      <c r="B39" s="30" t="s">
        <v>255</v>
      </c>
      <c r="C39" s="31"/>
      <c r="D39" s="32" t="str">
        <f t="shared" si="1"/>
        <v>bnco0938@signalschool.ac.th</v>
      </c>
      <c r="E39" s="33">
        <f>'ค่า 1.1'!O39</f>
        <v>1</v>
      </c>
      <c r="F39" s="31">
        <f>'ค่า 1.2'!O39</f>
        <v>1</v>
      </c>
      <c r="G39" s="31">
        <f>'ค่า 1.3'!O39</f>
        <v>1</v>
      </c>
      <c r="H39" s="31">
        <f>'ค่า 1.4'!O39</f>
        <v>1</v>
      </c>
      <c r="I39" s="31">
        <f>'ค่า 1.5'!O39</f>
        <v>1</v>
      </c>
      <c r="J39" s="31">
        <f>'ค่า 1.6'!O39</f>
        <v>1</v>
      </c>
      <c r="K39" s="31">
        <f>'ค่า 1.7'!O39</f>
        <v>1</v>
      </c>
      <c r="L39" s="31">
        <f>'ค่า 1.8'!O39</f>
        <v>1</v>
      </c>
      <c r="M39" s="31">
        <f>'ค่า 1.9'!O39</f>
        <v>1</v>
      </c>
      <c r="N39" s="31">
        <f>'ค่า 2.1'!O39</f>
        <v>1</v>
      </c>
      <c r="O39" s="31">
        <f>'ค่า 2.2'!O39</f>
        <v>1</v>
      </c>
      <c r="P39" s="31">
        <f>'ค่า 2.3'!O39</f>
        <v>1</v>
      </c>
      <c r="Q39" s="31">
        <f>'ค่า 2.4'!O39</f>
        <v>1</v>
      </c>
      <c r="R39" s="31">
        <f>'ค่า 3.1'!O39</f>
        <v>1</v>
      </c>
      <c r="S39" s="31">
        <f>'ค่า 3.2'!O39</f>
        <v>1</v>
      </c>
      <c r="T39" s="31">
        <f>'ค่า 4.1'!O39</f>
        <v>1</v>
      </c>
    </row>
    <row r="40">
      <c r="A40" s="29">
        <v>39.0</v>
      </c>
      <c r="B40" s="30" t="s">
        <v>256</v>
      </c>
      <c r="C40" s="31"/>
      <c r="D40" s="32" t="str">
        <f t="shared" si="1"/>
        <v>bnco0939@signalschool.ac.th</v>
      </c>
      <c r="E40" s="33">
        <f>'ค่า 1.1'!O40</f>
        <v>1</v>
      </c>
      <c r="F40" s="31">
        <f>'ค่า 1.2'!O40</f>
        <v>1</v>
      </c>
      <c r="G40" s="31">
        <f>'ค่า 1.3'!O40</f>
        <v>1</v>
      </c>
      <c r="H40" s="31">
        <f>'ค่า 1.4'!O40</f>
        <v>1</v>
      </c>
      <c r="I40" s="31">
        <f>'ค่า 1.5'!O40</f>
        <v>1</v>
      </c>
      <c r="J40" s="31">
        <f>'ค่า 1.6'!O40</f>
        <v>1</v>
      </c>
      <c r="K40" s="31">
        <f>'ค่า 1.7'!O40</f>
        <v>1</v>
      </c>
      <c r="L40" s="31">
        <f>'ค่า 1.8'!O40</f>
        <v>1</v>
      </c>
      <c r="M40" s="31">
        <f>'ค่า 1.9'!O40</f>
        <v>1</v>
      </c>
      <c r="N40" s="31">
        <f>'ค่า 2.1'!O40</f>
        <v>1</v>
      </c>
      <c r="O40" s="31">
        <f>'ค่า 2.2'!O40</f>
        <v>1</v>
      </c>
      <c r="P40" s="31">
        <f>'ค่า 2.3'!O40</f>
        <v>1</v>
      </c>
      <c r="Q40" s="31">
        <f>'ค่า 2.4'!O40</f>
        <v>1</v>
      </c>
      <c r="R40" s="31">
        <f>'ค่า 3.1'!O40</f>
        <v>1</v>
      </c>
      <c r="S40" s="31">
        <f>'ค่า 3.2'!O40</f>
        <v>1</v>
      </c>
      <c r="T40" s="31">
        <f>'ค่า 4.1'!O40</f>
        <v>1</v>
      </c>
    </row>
    <row r="41">
      <c r="A41" s="29">
        <v>40.0</v>
      </c>
      <c r="B41" s="30" t="s">
        <v>257</v>
      </c>
      <c r="C41" s="31"/>
      <c r="D41" s="32" t="str">
        <f t="shared" si="1"/>
        <v>bnco0940@signalschool.ac.th</v>
      </c>
      <c r="E41" s="33">
        <f>'ค่า 1.1'!O41</f>
        <v>1</v>
      </c>
      <c r="F41" s="31">
        <f>'ค่า 1.2'!O41</f>
        <v>1</v>
      </c>
      <c r="G41" s="31">
        <f>'ค่า 1.3'!O41</f>
        <v>1</v>
      </c>
      <c r="H41" s="31">
        <f>'ค่า 1.4'!O41</f>
        <v>1</v>
      </c>
      <c r="I41" s="31">
        <f>'ค่า 1.5'!O41</f>
        <v>1</v>
      </c>
      <c r="J41" s="31">
        <f>'ค่า 1.6'!O41</f>
        <v>1</v>
      </c>
      <c r="K41" s="31">
        <f>'ค่า 1.7'!O41</f>
        <v>1</v>
      </c>
      <c r="L41" s="31">
        <f>'ค่า 1.8'!O41</f>
        <v>1</v>
      </c>
      <c r="M41" s="31">
        <f>'ค่า 1.9'!O41</f>
        <v>1</v>
      </c>
      <c r="N41" s="31">
        <f>'ค่า 2.1'!O41</f>
        <v>1</v>
      </c>
      <c r="O41" s="31">
        <f>'ค่า 2.2'!O41</f>
        <v>1</v>
      </c>
      <c r="P41" s="31">
        <f>'ค่า 2.3'!O41</f>
        <v>1</v>
      </c>
      <c r="Q41" s="31">
        <f>'ค่า 2.4'!O41</f>
        <v>1</v>
      </c>
      <c r="R41" s="31">
        <f>'ค่า 3.1'!O41</f>
        <v>1</v>
      </c>
      <c r="S41" s="31">
        <f>'ค่า 3.2'!O41</f>
        <v>1</v>
      </c>
      <c r="T41" s="31">
        <f>'ค่า 4.1'!O41</f>
        <v>1</v>
      </c>
    </row>
    <row r="42">
      <c r="A42" s="29">
        <v>41.0</v>
      </c>
      <c r="B42" s="30" t="s">
        <v>258</v>
      </c>
      <c r="C42" s="31"/>
      <c r="D42" s="32" t="str">
        <f t="shared" si="1"/>
        <v>bnco0941@signalschool.ac.th</v>
      </c>
      <c r="E42" s="33">
        <f>'ค่า 1.1'!O42</f>
        <v>1</v>
      </c>
      <c r="F42" s="31">
        <f>'ค่า 1.2'!O42</f>
        <v>1</v>
      </c>
      <c r="G42" s="31">
        <f>'ค่า 1.3'!O42</f>
        <v>1</v>
      </c>
      <c r="H42" s="31">
        <f>'ค่า 1.4'!O42</f>
        <v>1</v>
      </c>
      <c r="I42" s="31">
        <f>'ค่า 1.5'!O42</f>
        <v>1</v>
      </c>
      <c r="J42" s="31">
        <f>'ค่า 1.6'!O42</f>
        <v>1</v>
      </c>
      <c r="K42" s="31">
        <f>'ค่า 1.7'!O42</f>
        <v>1</v>
      </c>
      <c r="L42" s="31">
        <f>'ค่า 1.8'!O42</f>
        <v>1</v>
      </c>
      <c r="M42" s="31">
        <f>'ค่า 1.9'!O42</f>
        <v>1</v>
      </c>
      <c r="N42" s="31">
        <f>'ค่า 2.1'!O42</f>
        <v>1</v>
      </c>
      <c r="O42" s="31">
        <f>'ค่า 2.2'!O42</f>
        <v>1</v>
      </c>
      <c r="P42" s="31">
        <f>'ค่า 2.3'!O42</f>
        <v>1</v>
      </c>
      <c r="Q42" s="31">
        <f>'ค่า 2.4'!O42</f>
        <v>1</v>
      </c>
      <c r="R42" s="31">
        <f>'ค่า 3.1'!O42</f>
        <v>1</v>
      </c>
      <c r="S42" s="31">
        <f>'ค่า 3.2'!O42</f>
        <v>1</v>
      </c>
      <c r="T42" s="31">
        <f>'ค่า 4.1'!O42</f>
        <v>1</v>
      </c>
    </row>
    <row r="43">
      <c r="A43" s="29">
        <v>42.0</v>
      </c>
      <c r="B43" s="30" t="s">
        <v>259</v>
      </c>
      <c r="C43" s="31"/>
      <c r="D43" s="32" t="str">
        <f t="shared" si="1"/>
        <v>bnco0942@signalschool.ac.th</v>
      </c>
      <c r="E43" s="33">
        <f>'ค่า 1.1'!O43</f>
        <v>1</v>
      </c>
      <c r="F43" s="31">
        <f>'ค่า 1.2'!O43</f>
        <v>1</v>
      </c>
      <c r="G43" s="31">
        <f>'ค่า 1.3'!O43</f>
        <v>1</v>
      </c>
      <c r="H43" s="31">
        <f>'ค่า 1.4'!O43</f>
        <v>1</v>
      </c>
      <c r="I43" s="31">
        <f>'ค่า 1.5'!O43</f>
        <v>1</v>
      </c>
      <c r="J43" s="31">
        <f>'ค่า 1.6'!O43</f>
        <v>1</v>
      </c>
      <c r="K43" s="31">
        <f>'ค่า 1.7'!O43</f>
        <v>1</v>
      </c>
      <c r="L43" s="31">
        <f>'ค่า 1.8'!O43</f>
        <v>1</v>
      </c>
      <c r="M43" s="31">
        <f>'ค่า 1.9'!O43</f>
        <v>1</v>
      </c>
      <c r="N43" s="31">
        <f>'ค่า 2.1'!O43</f>
        <v>1</v>
      </c>
      <c r="O43" s="31">
        <f>'ค่า 2.2'!O43</f>
        <v>1</v>
      </c>
      <c r="P43" s="31">
        <f>'ค่า 2.3'!O43</f>
        <v>1</v>
      </c>
      <c r="Q43" s="31">
        <f>'ค่า 2.4'!O43</f>
        <v>1</v>
      </c>
      <c r="R43" s="31">
        <f>'ค่า 3.1'!O43</f>
        <v>1</v>
      </c>
      <c r="S43" s="31">
        <f>'ค่า 3.2'!O43</f>
        <v>1</v>
      </c>
      <c r="T43" s="31">
        <f>'ค่า 4.1'!O43</f>
        <v>1</v>
      </c>
    </row>
    <row r="44">
      <c r="A44" s="29">
        <v>43.0</v>
      </c>
      <c r="B44" s="30" t="s">
        <v>260</v>
      </c>
      <c r="C44" s="31"/>
      <c r="D44" s="32" t="str">
        <f t="shared" si="1"/>
        <v>bnco0943@signalschool.ac.th</v>
      </c>
      <c r="E44" s="33">
        <f>'ค่า 1.1'!O44</f>
        <v>1</v>
      </c>
      <c r="F44" s="31">
        <f>'ค่า 1.2'!O44</f>
        <v>1</v>
      </c>
      <c r="G44" s="31">
        <f>'ค่า 1.3'!O44</f>
        <v>1</v>
      </c>
      <c r="H44" s="31">
        <f>'ค่า 1.4'!O44</f>
        <v>1</v>
      </c>
      <c r="I44" s="31">
        <f>'ค่า 1.5'!O44</f>
        <v>1</v>
      </c>
      <c r="J44" s="31">
        <f>'ค่า 1.6'!O44</f>
        <v>1</v>
      </c>
      <c r="K44" s="31">
        <f>'ค่า 1.7'!O44</f>
        <v>1</v>
      </c>
      <c r="L44" s="31">
        <f>'ค่า 1.8'!O44</f>
        <v>1</v>
      </c>
      <c r="M44" s="31">
        <f>'ค่า 1.9'!O44</f>
        <v>1</v>
      </c>
      <c r="N44" s="31">
        <f>'ค่า 2.1'!O44</f>
        <v>1</v>
      </c>
      <c r="O44" s="31">
        <f>'ค่า 2.2'!O44</f>
        <v>1</v>
      </c>
      <c r="P44" s="31">
        <f>'ค่า 2.3'!O44</f>
        <v>1</v>
      </c>
      <c r="Q44" s="31">
        <f>'ค่า 2.4'!O44</f>
        <v>1</v>
      </c>
      <c r="R44" s="31">
        <f>'ค่า 3.1'!O44</f>
        <v>1</v>
      </c>
      <c r="S44" s="31">
        <f>'ค่า 3.2'!O44</f>
        <v>1</v>
      </c>
      <c r="T44" s="31">
        <f>'ค่า 4.1'!O44</f>
        <v>1</v>
      </c>
    </row>
    <row r="45">
      <c r="A45" s="29">
        <v>44.0</v>
      </c>
      <c r="B45" s="30" t="s">
        <v>261</v>
      </c>
      <c r="C45" s="31"/>
      <c r="D45" s="32" t="str">
        <f t="shared" si="1"/>
        <v>bnco0944@signalschool.ac.th</v>
      </c>
      <c r="E45" s="33">
        <f>'ค่า 1.1'!O45</f>
        <v>1</v>
      </c>
      <c r="F45" s="31">
        <f>'ค่า 1.2'!O45</f>
        <v>1</v>
      </c>
      <c r="G45" s="31">
        <f>'ค่า 1.3'!O45</f>
        <v>1</v>
      </c>
      <c r="H45" s="31">
        <f>'ค่า 1.4'!O45</f>
        <v>1</v>
      </c>
      <c r="I45" s="31">
        <f>'ค่า 1.5'!O45</f>
        <v>1</v>
      </c>
      <c r="J45" s="31">
        <f>'ค่า 1.6'!O45</f>
        <v>1</v>
      </c>
      <c r="K45" s="31">
        <f>'ค่า 1.7'!O45</f>
        <v>1</v>
      </c>
      <c r="L45" s="31">
        <f>'ค่า 1.8'!O45</f>
        <v>1</v>
      </c>
      <c r="M45" s="31">
        <f>'ค่า 1.9'!O45</f>
        <v>1</v>
      </c>
      <c r="N45" s="31">
        <f>'ค่า 2.1'!O45</f>
        <v>1</v>
      </c>
      <c r="O45" s="31">
        <f>'ค่า 2.2'!O45</f>
        <v>1</v>
      </c>
      <c r="P45" s="31">
        <f>'ค่า 2.3'!O45</f>
        <v>1</v>
      </c>
      <c r="Q45" s="31">
        <f>'ค่า 2.4'!O45</f>
        <v>1</v>
      </c>
      <c r="R45" s="31">
        <f>'ค่า 3.1'!O45</f>
        <v>1</v>
      </c>
      <c r="S45" s="31">
        <f>'ค่า 3.2'!O45</f>
        <v>1</v>
      </c>
      <c r="T45" s="31">
        <f>'ค่า 4.1'!O45</f>
        <v>1</v>
      </c>
    </row>
    <row r="46">
      <c r="A46" s="29">
        <v>45.0</v>
      </c>
      <c r="B46" s="30" t="s">
        <v>262</v>
      </c>
      <c r="C46" s="31"/>
      <c r="D46" s="32" t="str">
        <f t="shared" si="1"/>
        <v>bnco0945@signalschool.ac.th</v>
      </c>
      <c r="E46" s="33">
        <f>'ค่า 1.1'!O46</f>
        <v>1</v>
      </c>
      <c r="F46" s="31">
        <f>'ค่า 1.2'!O46</f>
        <v>1</v>
      </c>
      <c r="G46" s="31">
        <f>'ค่า 1.3'!O46</f>
        <v>1</v>
      </c>
      <c r="H46" s="31">
        <f>'ค่า 1.4'!O46</f>
        <v>1</v>
      </c>
      <c r="I46" s="31">
        <f>'ค่า 1.5'!O46</f>
        <v>1</v>
      </c>
      <c r="J46" s="31">
        <f>'ค่า 1.6'!O46</f>
        <v>1</v>
      </c>
      <c r="K46" s="31">
        <f>'ค่า 1.7'!O46</f>
        <v>1</v>
      </c>
      <c r="L46" s="31">
        <f>'ค่า 1.8'!O46</f>
        <v>1</v>
      </c>
      <c r="M46" s="31">
        <f>'ค่า 1.9'!O46</f>
        <v>1</v>
      </c>
      <c r="N46" s="31">
        <f>'ค่า 2.1'!O46</f>
        <v>1</v>
      </c>
      <c r="O46" s="31">
        <f>'ค่า 2.2'!O46</f>
        <v>1</v>
      </c>
      <c r="P46" s="31">
        <f>'ค่า 2.3'!O46</f>
        <v>1</v>
      </c>
      <c r="Q46" s="31">
        <f>'ค่า 2.4'!O46</f>
        <v>1</v>
      </c>
      <c r="R46" s="31">
        <f>'ค่า 3.1'!O46</f>
        <v>1</v>
      </c>
      <c r="S46" s="31">
        <f>'ค่า 3.2'!O46</f>
        <v>1</v>
      </c>
      <c r="T46" s="31">
        <f>'ค่า 4.1'!O46</f>
        <v>1</v>
      </c>
    </row>
    <row r="47">
      <c r="A47" s="29">
        <v>46.0</v>
      </c>
      <c r="B47" s="30" t="s">
        <v>263</v>
      </c>
      <c r="C47" s="31"/>
      <c r="D47" s="32" t="str">
        <f t="shared" si="1"/>
        <v>bnco0946@signalschool.ac.th</v>
      </c>
      <c r="E47" s="33">
        <f>'ค่า 1.1'!O47</f>
        <v>1</v>
      </c>
      <c r="F47" s="31">
        <f>'ค่า 1.2'!O47</f>
        <v>1</v>
      </c>
      <c r="G47" s="31">
        <f>'ค่า 1.3'!O47</f>
        <v>1</v>
      </c>
      <c r="H47" s="31">
        <f>'ค่า 1.4'!O47</f>
        <v>1</v>
      </c>
      <c r="I47" s="31">
        <f>'ค่า 1.5'!O47</f>
        <v>1</v>
      </c>
      <c r="J47" s="31">
        <f>'ค่า 1.6'!O47</f>
        <v>1</v>
      </c>
      <c r="K47" s="31">
        <f>'ค่า 1.7'!O47</f>
        <v>1</v>
      </c>
      <c r="L47" s="31">
        <f>'ค่า 1.8'!O47</f>
        <v>1</v>
      </c>
      <c r="M47" s="31">
        <f>'ค่า 1.9'!O47</f>
        <v>1</v>
      </c>
      <c r="N47" s="31">
        <f>'ค่า 2.1'!O47</f>
        <v>1</v>
      </c>
      <c r="O47" s="31">
        <f>'ค่า 2.2'!O47</f>
        <v>1</v>
      </c>
      <c r="P47" s="31">
        <f>'ค่า 2.3'!O47</f>
        <v>1</v>
      </c>
      <c r="Q47" s="31">
        <f>'ค่า 2.4'!O47</f>
        <v>1</v>
      </c>
      <c r="R47" s="31">
        <f>'ค่า 3.1'!O47</f>
        <v>1</v>
      </c>
      <c r="S47" s="31">
        <f>'ค่า 3.2'!O47</f>
        <v>1</v>
      </c>
      <c r="T47" s="31">
        <f>'ค่า 4.1'!O47</f>
        <v>1</v>
      </c>
    </row>
    <row r="48">
      <c r="A48" s="29">
        <v>47.0</v>
      </c>
      <c r="B48" s="30" t="s">
        <v>264</v>
      </c>
      <c r="C48" s="31"/>
      <c r="D48" s="32" t="str">
        <f t="shared" si="1"/>
        <v>bnco0947@signalschool.ac.th</v>
      </c>
      <c r="E48" s="33">
        <f>'ค่า 1.1'!O48</f>
        <v>1</v>
      </c>
      <c r="F48" s="31">
        <f>'ค่า 1.2'!O48</f>
        <v>1</v>
      </c>
      <c r="G48" s="31">
        <f>'ค่า 1.3'!O48</f>
        <v>1</v>
      </c>
      <c r="H48" s="31">
        <f>'ค่า 1.4'!O48</f>
        <v>1</v>
      </c>
      <c r="I48" s="31">
        <f>'ค่า 1.5'!O48</f>
        <v>1</v>
      </c>
      <c r="J48" s="31">
        <f>'ค่า 1.6'!O48</f>
        <v>1</v>
      </c>
      <c r="K48" s="31">
        <f>'ค่า 1.7'!O48</f>
        <v>1</v>
      </c>
      <c r="L48" s="31">
        <f>'ค่า 1.8'!O48</f>
        <v>1</v>
      </c>
      <c r="M48" s="31">
        <f>'ค่า 1.9'!O48</f>
        <v>1</v>
      </c>
      <c r="N48" s="31">
        <f>'ค่า 2.1'!O48</f>
        <v>1</v>
      </c>
      <c r="O48" s="31">
        <f>'ค่า 2.2'!O48</f>
        <v>1</v>
      </c>
      <c r="P48" s="31">
        <f>'ค่า 2.3'!O48</f>
        <v>1</v>
      </c>
      <c r="Q48" s="31">
        <f>'ค่า 2.4'!O48</f>
        <v>1</v>
      </c>
      <c r="R48" s="31">
        <f>'ค่า 3.1'!O48</f>
        <v>1</v>
      </c>
      <c r="S48" s="31">
        <f>'ค่า 3.2'!O48</f>
        <v>1</v>
      </c>
      <c r="T48" s="31">
        <f>'ค่า 4.1'!O48</f>
        <v>1</v>
      </c>
    </row>
    <row r="49">
      <c r="A49" s="29">
        <v>48.0</v>
      </c>
      <c r="B49" s="30" t="s">
        <v>265</v>
      </c>
      <c r="C49" s="34"/>
      <c r="D49" s="32" t="str">
        <f t="shared" si="1"/>
        <v>bnco0948@signalschool.ac.th</v>
      </c>
      <c r="E49" s="33">
        <f>'ค่า 1.1'!O49</f>
        <v>1</v>
      </c>
      <c r="F49" s="31">
        <f>'ค่า 1.2'!O49</f>
        <v>1</v>
      </c>
      <c r="G49" s="31">
        <f>'ค่า 1.3'!O49</f>
        <v>1</v>
      </c>
      <c r="H49" s="31">
        <f>'ค่า 1.4'!O49</f>
        <v>1</v>
      </c>
      <c r="I49" s="31">
        <f>'ค่า 1.5'!O49</f>
        <v>1</v>
      </c>
      <c r="J49" s="31">
        <f>'ค่า 1.6'!O49</f>
        <v>1</v>
      </c>
      <c r="K49" s="31">
        <f>'ค่า 1.7'!O49</f>
        <v>1</v>
      </c>
      <c r="L49" s="31">
        <f>'ค่า 1.8'!O49</f>
        <v>1</v>
      </c>
      <c r="M49" s="31">
        <f>'ค่า 1.9'!O49</f>
        <v>1</v>
      </c>
      <c r="N49" s="31">
        <f>'ค่า 2.1'!O49</f>
        <v>1</v>
      </c>
      <c r="O49" s="31">
        <f>'ค่า 2.2'!O49</f>
        <v>1</v>
      </c>
      <c r="P49" s="31">
        <f>'ค่า 2.3'!O49</f>
        <v>1</v>
      </c>
      <c r="Q49" s="31">
        <f>'ค่า 2.4'!O49</f>
        <v>1</v>
      </c>
      <c r="R49" s="31">
        <f>'ค่า 3.1'!O49</f>
        <v>1</v>
      </c>
      <c r="S49" s="31">
        <f>'ค่า 3.2'!O49</f>
        <v>1</v>
      </c>
      <c r="T49" s="31">
        <f>'ค่า 4.1'!O49</f>
        <v>1</v>
      </c>
    </row>
    <row r="50">
      <c r="A50" s="29">
        <v>49.0</v>
      </c>
      <c r="B50" s="30" t="s">
        <v>266</v>
      </c>
      <c r="C50" s="31"/>
      <c r="D50" s="32" t="str">
        <f t="shared" si="1"/>
        <v>bnco0949@signalschool.ac.th</v>
      </c>
      <c r="E50" s="33">
        <f>'ค่า 1.1'!O50</f>
        <v>1</v>
      </c>
      <c r="F50" s="31">
        <f>'ค่า 1.2'!O50</f>
        <v>1</v>
      </c>
      <c r="G50" s="31">
        <f>'ค่า 1.3'!O50</f>
        <v>1</v>
      </c>
      <c r="H50" s="31">
        <f>'ค่า 1.4'!O50</f>
        <v>1</v>
      </c>
      <c r="I50" s="31">
        <f>'ค่า 1.5'!O50</f>
        <v>1</v>
      </c>
      <c r="J50" s="31">
        <f>'ค่า 1.6'!O50</f>
        <v>1</v>
      </c>
      <c r="K50" s="31">
        <f>'ค่า 1.7'!O50</f>
        <v>1</v>
      </c>
      <c r="L50" s="31">
        <f>'ค่า 1.8'!O50</f>
        <v>1</v>
      </c>
      <c r="M50" s="31">
        <f>'ค่า 1.9'!O50</f>
        <v>1</v>
      </c>
      <c r="N50" s="31">
        <f>'ค่า 2.1'!O50</f>
        <v>1</v>
      </c>
      <c r="O50" s="31">
        <f>'ค่า 2.2'!O50</f>
        <v>1</v>
      </c>
      <c r="P50" s="31">
        <f>'ค่า 2.3'!O50</f>
        <v>1</v>
      </c>
      <c r="Q50" s="31">
        <f>'ค่า 2.4'!O50</f>
        <v>1</v>
      </c>
      <c r="R50" s="31">
        <f>'ค่า 3.1'!O50</f>
        <v>1</v>
      </c>
      <c r="S50" s="31">
        <f>'ค่า 3.2'!O50</f>
        <v>1</v>
      </c>
      <c r="T50" s="31">
        <f>'ค่า 4.1'!O50</f>
        <v>1</v>
      </c>
    </row>
    <row r="51">
      <c r="A51" s="29">
        <v>50.0</v>
      </c>
      <c r="B51" s="30" t="s">
        <v>267</v>
      </c>
      <c r="C51" s="31"/>
      <c r="D51" s="32" t="str">
        <f t="shared" si="1"/>
        <v>bnco0950@signalschool.ac.th</v>
      </c>
      <c r="E51" s="33">
        <f>'ค่า 1.1'!O51</f>
        <v>1</v>
      </c>
      <c r="F51" s="31">
        <f>'ค่า 1.2'!O51</f>
        <v>1</v>
      </c>
      <c r="G51" s="31">
        <f>'ค่า 1.3'!O51</f>
        <v>1</v>
      </c>
      <c r="H51" s="31">
        <f>'ค่า 1.4'!O51</f>
        <v>1</v>
      </c>
      <c r="I51" s="31">
        <f>'ค่า 1.5'!O51</f>
        <v>1</v>
      </c>
      <c r="J51" s="31">
        <f>'ค่า 1.6'!O51</f>
        <v>1</v>
      </c>
      <c r="K51" s="31">
        <f>'ค่า 1.7'!O51</f>
        <v>1</v>
      </c>
      <c r="L51" s="31">
        <f>'ค่า 1.8'!O51</f>
        <v>1</v>
      </c>
      <c r="M51" s="31">
        <f>'ค่า 1.9'!O51</f>
        <v>1</v>
      </c>
      <c r="N51" s="31">
        <f>'ค่า 2.1'!O51</f>
        <v>1</v>
      </c>
      <c r="O51" s="31">
        <f>'ค่า 2.2'!O51</f>
        <v>1</v>
      </c>
      <c r="P51" s="31">
        <f>'ค่า 2.3'!O51</f>
        <v>1</v>
      </c>
      <c r="Q51" s="31">
        <f>'ค่า 2.4'!O51</f>
        <v>1</v>
      </c>
      <c r="R51" s="31">
        <f>'ค่า 3.1'!O51</f>
        <v>1</v>
      </c>
      <c r="S51" s="31">
        <f>'ค่า 3.2'!O51</f>
        <v>1</v>
      </c>
      <c r="T51" s="31">
        <f>'ค่า 4.1'!O51</f>
        <v>1</v>
      </c>
    </row>
    <row r="52">
      <c r="A52" s="29">
        <v>51.0</v>
      </c>
      <c r="B52" s="30" t="s">
        <v>268</v>
      </c>
      <c r="C52" s="31"/>
      <c r="D52" s="32" t="str">
        <f t="shared" si="1"/>
        <v>bnco0951@signalschool.ac.th</v>
      </c>
      <c r="E52" s="33">
        <f>'ค่า 1.1'!O52</f>
        <v>1</v>
      </c>
      <c r="F52" s="31">
        <f>'ค่า 1.2'!O52</f>
        <v>1</v>
      </c>
      <c r="G52" s="31">
        <f>'ค่า 1.3'!O52</f>
        <v>1</v>
      </c>
      <c r="H52" s="31">
        <f>'ค่า 1.4'!O52</f>
        <v>1</v>
      </c>
      <c r="I52" s="31">
        <f>'ค่า 1.5'!O52</f>
        <v>1</v>
      </c>
      <c r="J52" s="31">
        <f>'ค่า 1.6'!O52</f>
        <v>1</v>
      </c>
      <c r="K52" s="31">
        <f>'ค่า 1.7'!O52</f>
        <v>1</v>
      </c>
      <c r="L52" s="31">
        <f>'ค่า 1.8'!O52</f>
        <v>1</v>
      </c>
      <c r="M52" s="31">
        <f>'ค่า 1.9'!O52</f>
        <v>1</v>
      </c>
      <c r="N52" s="31">
        <f>'ค่า 2.1'!O52</f>
        <v>1</v>
      </c>
      <c r="O52" s="31">
        <f>'ค่า 2.2'!O52</f>
        <v>1</v>
      </c>
      <c r="P52" s="31">
        <f>'ค่า 2.3'!O52</f>
        <v>1</v>
      </c>
      <c r="Q52" s="31">
        <f>'ค่า 2.4'!O52</f>
        <v>1</v>
      </c>
      <c r="R52" s="31">
        <f>'ค่า 3.1'!O52</f>
        <v>1</v>
      </c>
      <c r="S52" s="31">
        <f>'ค่า 3.2'!O52</f>
        <v>1</v>
      </c>
      <c r="T52" s="31">
        <f>'ค่า 4.1'!O52</f>
        <v>1</v>
      </c>
    </row>
    <row r="53">
      <c r="A53" s="29">
        <v>52.0</v>
      </c>
      <c r="B53" s="30" t="s">
        <v>269</v>
      </c>
      <c r="C53" s="31"/>
      <c r="D53" s="32" t="str">
        <f t="shared" si="1"/>
        <v>bnco0952@signalschool.ac.th</v>
      </c>
      <c r="E53" s="33">
        <f>'ค่า 1.1'!O53</f>
        <v>1</v>
      </c>
      <c r="F53" s="31">
        <f>'ค่า 1.2'!O53</f>
        <v>1</v>
      </c>
      <c r="G53" s="31">
        <f>'ค่า 1.3'!O53</f>
        <v>1</v>
      </c>
      <c r="H53" s="31">
        <f>'ค่า 1.4'!O53</f>
        <v>1</v>
      </c>
      <c r="I53" s="31">
        <f>'ค่า 1.5'!O53</f>
        <v>1</v>
      </c>
      <c r="J53" s="31">
        <f>'ค่า 1.6'!O53</f>
        <v>1</v>
      </c>
      <c r="K53" s="31">
        <f>'ค่า 1.7'!O53</f>
        <v>1</v>
      </c>
      <c r="L53" s="31">
        <f>'ค่า 1.8'!O53</f>
        <v>1</v>
      </c>
      <c r="M53" s="31">
        <f>'ค่า 1.9'!O53</f>
        <v>1</v>
      </c>
      <c r="N53" s="31">
        <f>'ค่า 2.1'!O53</f>
        <v>1</v>
      </c>
      <c r="O53" s="31">
        <f>'ค่า 2.2'!O53</f>
        <v>1</v>
      </c>
      <c r="P53" s="31">
        <f>'ค่า 2.3'!O53</f>
        <v>1</v>
      </c>
      <c r="Q53" s="31">
        <f>'ค่า 2.4'!O53</f>
        <v>1</v>
      </c>
      <c r="R53" s="31">
        <f>'ค่า 3.1'!O53</f>
        <v>1</v>
      </c>
      <c r="S53" s="31">
        <f>'ค่า 3.2'!O53</f>
        <v>1</v>
      </c>
      <c r="T53" s="31">
        <f>'ค่า 4.1'!O53</f>
        <v>1</v>
      </c>
    </row>
    <row r="54">
      <c r="A54" s="29">
        <v>53.0</v>
      </c>
      <c r="B54" s="30" t="s">
        <v>270</v>
      </c>
      <c r="C54" s="31"/>
      <c r="D54" s="32" t="str">
        <f t="shared" si="1"/>
        <v>bnco0953@signalschool.ac.th</v>
      </c>
      <c r="E54" s="33">
        <f>'ค่า 1.1'!O54</f>
        <v>1</v>
      </c>
      <c r="F54" s="31">
        <f>'ค่า 1.2'!O54</f>
        <v>1</v>
      </c>
      <c r="G54" s="31">
        <f>'ค่า 1.3'!O54</f>
        <v>1</v>
      </c>
      <c r="H54" s="31">
        <f>'ค่า 1.4'!O54</f>
        <v>1</v>
      </c>
      <c r="I54" s="31">
        <f>'ค่า 1.5'!O54</f>
        <v>1</v>
      </c>
      <c r="J54" s="31">
        <f>'ค่า 1.6'!O54</f>
        <v>1</v>
      </c>
      <c r="K54" s="31">
        <f>'ค่า 1.7'!O54</f>
        <v>1</v>
      </c>
      <c r="L54" s="31">
        <f>'ค่า 1.8'!O54</f>
        <v>1</v>
      </c>
      <c r="M54" s="31">
        <f>'ค่า 1.9'!O54</f>
        <v>1</v>
      </c>
      <c r="N54" s="31">
        <f>'ค่า 2.1'!O54</f>
        <v>1</v>
      </c>
      <c r="O54" s="31">
        <f>'ค่า 2.2'!O54</f>
        <v>1</v>
      </c>
      <c r="P54" s="31">
        <f>'ค่า 2.3'!O54</f>
        <v>1</v>
      </c>
      <c r="Q54" s="31">
        <f>'ค่า 2.4'!O54</f>
        <v>1</v>
      </c>
      <c r="R54" s="31">
        <f>'ค่า 3.1'!O54</f>
        <v>1</v>
      </c>
      <c r="S54" s="31">
        <f>'ค่า 3.2'!O54</f>
        <v>1</v>
      </c>
      <c r="T54" s="31">
        <f>'ค่า 4.1'!O54</f>
        <v>1</v>
      </c>
    </row>
    <row r="55">
      <c r="A55" s="29">
        <v>54.0</v>
      </c>
      <c r="B55" s="30" t="s">
        <v>271</v>
      </c>
      <c r="C55" s="31"/>
      <c r="D55" s="32" t="str">
        <f t="shared" si="1"/>
        <v>bnco0954@signalschool.ac.th</v>
      </c>
      <c r="E55" s="33">
        <f>'ค่า 1.1'!O55</f>
        <v>1</v>
      </c>
      <c r="F55" s="31">
        <f>'ค่า 1.2'!O55</f>
        <v>1</v>
      </c>
      <c r="G55" s="31">
        <f>'ค่า 1.3'!O55</f>
        <v>1</v>
      </c>
      <c r="H55" s="31">
        <f>'ค่า 1.4'!O55</f>
        <v>1</v>
      </c>
      <c r="I55" s="31">
        <f>'ค่า 1.5'!O55</f>
        <v>1</v>
      </c>
      <c r="J55" s="31">
        <f>'ค่า 1.6'!O55</f>
        <v>1</v>
      </c>
      <c r="K55" s="31">
        <f>'ค่า 1.7'!O55</f>
        <v>1</v>
      </c>
      <c r="L55" s="31">
        <f>'ค่า 1.8'!O55</f>
        <v>1</v>
      </c>
      <c r="M55" s="31">
        <f>'ค่า 1.9'!O55</f>
        <v>1</v>
      </c>
      <c r="N55" s="31">
        <f>'ค่า 2.1'!O55</f>
        <v>1</v>
      </c>
      <c r="O55" s="31">
        <f>'ค่า 2.2'!O55</f>
        <v>1</v>
      </c>
      <c r="P55" s="31">
        <f>'ค่า 2.3'!O55</f>
        <v>1</v>
      </c>
      <c r="Q55" s="31">
        <f>'ค่า 2.4'!O55</f>
        <v>1</v>
      </c>
      <c r="R55" s="31">
        <f>'ค่า 3.1'!O55</f>
        <v>1</v>
      </c>
      <c r="S55" s="31">
        <f>'ค่า 3.2'!O55</f>
        <v>1</v>
      </c>
      <c r="T55" s="31">
        <f>'ค่า 4.1'!O55</f>
        <v>1</v>
      </c>
    </row>
    <row r="56">
      <c r="A56" s="29">
        <v>55.0</v>
      </c>
      <c r="B56" s="30" t="s">
        <v>272</v>
      </c>
      <c r="C56" s="31"/>
      <c r="D56" s="32" t="str">
        <f t="shared" si="1"/>
        <v>bnco0955@signalschool.ac.th</v>
      </c>
      <c r="E56" s="33">
        <f>'ค่า 1.1'!O56</f>
        <v>1</v>
      </c>
      <c r="F56" s="31">
        <f>'ค่า 1.2'!O56</f>
        <v>1</v>
      </c>
      <c r="G56" s="31">
        <f>'ค่า 1.3'!O56</f>
        <v>1</v>
      </c>
      <c r="H56" s="31">
        <f>'ค่า 1.4'!O56</f>
        <v>1</v>
      </c>
      <c r="I56" s="31">
        <f>'ค่า 1.5'!O56</f>
        <v>1</v>
      </c>
      <c r="J56" s="31">
        <f>'ค่า 1.6'!O56</f>
        <v>1</v>
      </c>
      <c r="K56" s="31">
        <f>'ค่า 1.7'!O56</f>
        <v>1</v>
      </c>
      <c r="L56" s="31">
        <f>'ค่า 1.8'!O56</f>
        <v>1</v>
      </c>
      <c r="M56" s="31">
        <f>'ค่า 1.9'!O56</f>
        <v>1</v>
      </c>
      <c r="N56" s="31">
        <f>'ค่า 2.1'!O56</f>
        <v>1</v>
      </c>
      <c r="O56" s="31">
        <f>'ค่า 2.2'!O56</f>
        <v>1</v>
      </c>
      <c r="P56" s="31">
        <f>'ค่า 2.3'!O56</f>
        <v>1</v>
      </c>
      <c r="Q56" s="31">
        <f>'ค่า 2.4'!O56</f>
        <v>1</v>
      </c>
      <c r="R56" s="31">
        <f>'ค่า 3.1'!O56</f>
        <v>1</v>
      </c>
      <c r="S56" s="31">
        <f>'ค่า 3.2'!O56</f>
        <v>1</v>
      </c>
      <c r="T56" s="31">
        <f>'ค่า 4.1'!O56</f>
        <v>1</v>
      </c>
    </row>
    <row r="57">
      <c r="A57" s="29">
        <v>56.0</v>
      </c>
      <c r="B57" s="30" t="s">
        <v>273</v>
      </c>
      <c r="C57" s="31"/>
      <c r="D57" s="32" t="str">
        <f t="shared" si="1"/>
        <v>bnco0956@signalschool.ac.th</v>
      </c>
      <c r="E57" s="33">
        <f>'ค่า 1.1'!O57</f>
        <v>1</v>
      </c>
      <c r="F57" s="31">
        <f>'ค่า 1.2'!O57</f>
        <v>1</v>
      </c>
      <c r="G57" s="31">
        <f>'ค่า 1.3'!O57</f>
        <v>1</v>
      </c>
      <c r="H57" s="31">
        <f>'ค่า 1.4'!O57</f>
        <v>1</v>
      </c>
      <c r="I57" s="31">
        <f>'ค่า 1.5'!O57</f>
        <v>1</v>
      </c>
      <c r="J57" s="31">
        <f>'ค่า 1.6'!O57</f>
        <v>1</v>
      </c>
      <c r="K57" s="31">
        <f>'ค่า 1.7'!O57</f>
        <v>1</v>
      </c>
      <c r="L57" s="31">
        <f>'ค่า 1.8'!O57</f>
        <v>1</v>
      </c>
      <c r="M57" s="31">
        <f>'ค่า 1.9'!O57</f>
        <v>1</v>
      </c>
      <c r="N57" s="31">
        <f>'ค่า 2.1'!O57</f>
        <v>1</v>
      </c>
      <c r="O57" s="31">
        <f>'ค่า 2.2'!O57</f>
        <v>1</v>
      </c>
      <c r="P57" s="31">
        <f>'ค่า 2.3'!O57</f>
        <v>1</v>
      </c>
      <c r="Q57" s="31">
        <f>'ค่า 2.4'!O57</f>
        <v>1</v>
      </c>
      <c r="R57" s="31">
        <f>'ค่า 3.1'!O57</f>
        <v>1</v>
      </c>
      <c r="S57" s="31">
        <f>'ค่า 3.2'!O57</f>
        <v>1</v>
      </c>
      <c r="T57" s="31">
        <f>'ค่า 4.1'!O57</f>
        <v>1</v>
      </c>
    </row>
    <row r="58">
      <c r="A58" s="29">
        <v>57.0</v>
      </c>
      <c r="B58" s="30" t="s">
        <v>274</v>
      </c>
      <c r="C58" s="31"/>
      <c r="D58" s="32" t="str">
        <f t="shared" si="1"/>
        <v>bnco0957@signalschool.ac.th</v>
      </c>
      <c r="E58" s="33">
        <f>'ค่า 1.1'!O58</f>
        <v>1</v>
      </c>
      <c r="F58" s="31">
        <f>'ค่า 1.2'!O58</f>
        <v>1</v>
      </c>
      <c r="G58" s="31">
        <f>'ค่า 1.3'!O58</f>
        <v>1</v>
      </c>
      <c r="H58" s="31">
        <f>'ค่า 1.4'!O58</f>
        <v>1</v>
      </c>
      <c r="I58" s="31">
        <f>'ค่า 1.5'!O58</f>
        <v>1</v>
      </c>
      <c r="J58" s="31">
        <f>'ค่า 1.6'!O58</f>
        <v>1</v>
      </c>
      <c r="K58" s="31">
        <f>'ค่า 1.7'!O58</f>
        <v>1</v>
      </c>
      <c r="L58" s="31">
        <f>'ค่า 1.8'!O58</f>
        <v>1</v>
      </c>
      <c r="M58" s="31">
        <f>'ค่า 1.9'!O58</f>
        <v>1</v>
      </c>
      <c r="N58" s="31">
        <f>'ค่า 2.1'!O58</f>
        <v>1</v>
      </c>
      <c r="O58" s="31">
        <f>'ค่า 2.2'!O58</f>
        <v>1</v>
      </c>
      <c r="P58" s="31">
        <f>'ค่า 2.3'!O58</f>
        <v>1</v>
      </c>
      <c r="Q58" s="31">
        <f>'ค่า 2.4'!O58</f>
        <v>1</v>
      </c>
      <c r="R58" s="31">
        <f>'ค่า 3.1'!O58</f>
        <v>1</v>
      </c>
      <c r="S58" s="31">
        <f>'ค่า 3.2'!O58</f>
        <v>1</v>
      </c>
      <c r="T58" s="31">
        <f>'ค่า 4.1'!O58</f>
        <v>1</v>
      </c>
    </row>
    <row r="59">
      <c r="A59" s="29">
        <v>58.0</v>
      </c>
      <c r="B59" s="30" t="s">
        <v>275</v>
      </c>
      <c r="C59" s="31"/>
      <c r="D59" s="32" t="str">
        <f t="shared" si="1"/>
        <v>bnco0958@signalschool.ac.th</v>
      </c>
      <c r="E59" s="33">
        <f>'ค่า 1.1'!O59</f>
        <v>1</v>
      </c>
      <c r="F59" s="31">
        <f>'ค่า 1.2'!O59</f>
        <v>1</v>
      </c>
      <c r="G59" s="31">
        <f>'ค่า 1.3'!O59</f>
        <v>1</v>
      </c>
      <c r="H59" s="31">
        <f>'ค่า 1.4'!O59</f>
        <v>1</v>
      </c>
      <c r="I59" s="31">
        <f>'ค่า 1.5'!O59</f>
        <v>1</v>
      </c>
      <c r="J59" s="31">
        <f>'ค่า 1.6'!O59</f>
        <v>1</v>
      </c>
      <c r="K59" s="31">
        <f>'ค่า 1.7'!O59</f>
        <v>1</v>
      </c>
      <c r="L59" s="31">
        <f>'ค่า 1.8'!O59</f>
        <v>1</v>
      </c>
      <c r="M59" s="31">
        <f>'ค่า 1.9'!O59</f>
        <v>1</v>
      </c>
      <c r="N59" s="31">
        <f>'ค่า 2.1'!O59</f>
        <v>1</v>
      </c>
      <c r="O59" s="31">
        <f>'ค่า 2.2'!O59</f>
        <v>1</v>
      </c>
      <c r="P59" s="31">
        <f>'ค่า 2.3'!O59</f>
        <v>1</v>
      </c>
      <c r="Q59" s="31">
        <f>'ค่า 2.4'!O59</f>
        <v>1</v>
      </c>
      <c r="R59" s="31">
        <f>'ค่า 3.1'!O59</f>
        <v>1</v>
      </c>
      <c r="S59" s="31">
        <f>'ค่า 3.2'!O59</f>
        <v>1</v>
      </c>
      <c r="T59" s="31">
        <f>'ค่า 4.1'!O59</f>
        <v>1</v>
      </c>
    </row>
    <row r="60">
      <c r="A60" s="29">
        <v>59.0</v>
      </c>
      <c r="B60" s="30" t="s">
        <v>276</v>
      </c>
      <c r="C60" s="31"/>
      <c r="D60" s="32" t="str">
        <f t="shared" si="1"/>
        <v>bnco0959@signalschool.ac.th</v>
      </c>
      <c r="E60" s="33">
        <f>'ค่า 1.1'!O60</f>
        <v>1</v>
      </c>
      <c r="F60" s="31">
        <f>'ค่า 1.2'!O60</f>
        <v>1</v>
      </c>
      <c r="G60" s="31">
        <f>'ค่า 1.3'!O60</f>
        <v>1</v>
      </c>
      <c r="H60" s="31">
        <f>'ค่า 1.4'!O60</f>
        <v>1</v>
      </c>
      <c r="I60" s="31">
        <f>'ค่า 1.5'!O60</f>
        <v>1</v>
      </c>
      <c r="J60" s="31">
        <f>'ค่า 1.6'!O60</f>
        <v>1</v>
      </c>
      <c r="K60" s="31">
        <f>'ค่า 1.7'!O60</f>
        <v>1</v>
      </c>
      <c r="L60" s="31">
        <f>'ค่า 1.8'!O60</f>
        <v>1</v>
      </c>
      <c r="M60" s="31">
        <f>'ค่า 1.9'!O60</f>
        <v>1</v>
      </c>
      <c r="N60" s="31">
        <f>'ค่า 2.1'!O60</f>
        <v>1</v>
      </c>
      <c r="O60" s="31">
        <f>'ค่า 2.2'!O60</f>
        <v>1</v>
      </c>
      <c r="P60" s="31">
        <f>'ค่า 2.3'!O60</f>
        <v>1</v>
      </c>
      <c r="Q60" s="31">
        <f>'ค่า 2.4'!O60</f>
        <v>1</v>
      </c>
      <c r="R60" s="31">
        <f>'ค่า 3.1'!O60</f>
        <v>1</v>
      </c>
      <c r="S60" s="31">
        <f>'ค่า 3.2'!O60</f>
        <v>1</v>
      </c>
      <c r="T60" s="31">
        <f>'ค่า 4.1'!O60</f>
        <v>1</v>
      </c>
    </row>
    <row r="61">
      <c r="A61" s="29">
        <v>60.0</v>
      </c>
      <c r="B61" s="30" t="s">
        <v>277</v>
      </c>
      <c r="C61" s="31"/>
      <c r="D61" s="32" t="str">
        <f t="shared" si="1"/>
        <v>bnco0960@signalschool.ac.th</v>
      </c>
      <c r="E61" s="33">
        <f>'ค่า 1.1'!O61</f>
        <v>1</v>
      </c>
      <c r="F61" s="31">
        <f>'ค่า 1.2'!O61</f>
        <v>1</v>
      </c>
      <c r="G61" s="31">
        <f>'ค่า 1.3'!O61</f>
        <v>1</v>
      </c>
      <c r="H61" s="31">
        <f>'ค่า 1.4'!O61</f>
        <v>1</v>
      </c>
      <c r="I61" s="31">
        <f>'ค่า 1.5'!O61</f>
        <v>1</v>
      </c>
      <c r="J61" s="31">
        <f>'ค่า 1.6'!O61</f>
        <v>1</v>
      </c>
      <c r="K61" s="31">
        <f>'ค่า 1.7'!O61</f>
        <v>1</v>
      </c>
      <c r="L61" s="31">
        <f>'ค่า 1.8'!O61</f>
        <v>1</v>
      </c>
      <c r="M61" s="31">
        <f>'ค่า 1.9'!O61</f>
        <v>1</v>
      </c>
      <c r="N61" s="31">
        <f>'ค่า 2.1'!O61</f>
        <v>1</v>
      </c>
      <c r="O61" s="31">
        <f>'ค่า 2.2'!O61</f>
        <v>1</v>
      </c>
      <c r="P61" s="31">
        <f>'ค่า 2.3'!O61</f>
        <v>1</v>
      </c>
      <c r="Q61" s="31">
        <f>'ค่า 2.4'!O61</f>
        <v>1</v>
      </c>
      <c r="R61" s="31">
        <f>'ค่า 3.1'!O61</f>
        <v>1</v>
      </c>
      <c r="S61" s="31">
        <f>'ค่า 3.2'!O61</f>
        <v>1</v>
      </c>
      <c r="T61" s="31">
        <f>'ค่า 4.1'!O61</f>
        <v>1</v>
      </c>
    </row>
    <row r="62">
      <c r="A62" s="29">
        <v>61.0</v>
      </c>
      <c r="B62" s="30" t="s">
        <v>278</v>
      </c>
      <c r="C62" s="31"/>
      <c r="D62" s="32" t="str">
        <f t="shared" si="1"/>
        <v>bnco0961@signalschool.ac.th</v>
      </c>
      <c r="E62" s="33">
        <f>'ค่า 1.1'!O62</f>
        <v>1</v>
      </c>
      <c r="F62" s="31">
        <f>'ค่า 1.2'!O62</f>
        <v>1</v>
      </c>
      <c r="G62" s="31">
        <f>'ค่า 1.3'!O62</f>
        <v>1</v>
      </c>
      <c r="H62" s="31">
        <f>'ค่า 1.4'!O62</f>
        <v>1</v>
      </c>
      <c r="I62" s="31">
        <f>'ค่า 1.5'!O62</f>
        <v>1</v>
      </c>
      <c r="J62" s="31">
        <f>'ค่า 1.6'!O62</f>
        <v>1</v>
      </c>
      <c r="K62" s="31">
        <f>'ค่า 1.7'!O62</f>
        <v>1</v>
      </c>
      <c r="L62" s="31">
        <f>'ค่า 1.8'!O62</f>
        <v>1</v>
      </c>
      <c r="M62" s="31">
        <f>'ค่า 1.9'!O62</f>
        <v>1</v>
      </c>
      <c r="N62" s="31">
        <f>'ค่า 2.1'!O62</f>
        <v>1</v>
      </c>
      <c r="O62" s="31">
        <f>'ค่า 2.2'!O62</f>
        <v>1</v>
      </c>
      <c r="P62" s="31">
        <f>'ค่า 2.3'!O62</f>
        <v>1</v>
      </c>
      <c r="Q62" s="31">
        <f>'ค่า 2.4'!O62</f>
        <v>1</v>
      </c>
      <c r="R62" s="31">
        <f>'ค่า 3.1'!O62</f>
        <v>1</v>
      </c>
      <c r="S62" s="31">
        <f>'ค่า 3.2'!O62</f>
        <v>1</v>
      </c>
      <c r="T62" s="31">
        <f>'ค่า 4.1'!O62</f>
        <v>1</v>
      </c>
    </row>
    <row r="63">
      <c r="A63" s="29">
        <v>62.0</v>
      </c>
      <c r="B63" s="30" t="s">
        <v>279</v>
      </c>
      <c r="C63" s="31"/>
      <c r="D63" s="32" t="str">
        <f t="shared" si="1"/>
        <v>bnco0962@signalschool.ac.th</v>
      </c>
      <c r="E63" s="33">
        <f>'ค่า 1.1'!O63</f>
        <v>1</v>
      </c>
      <c r="F63" s="31">
        <f>'ค่า 1.2'!O63</f>
        <v>1</v>
      </c>
      <c r="G63" s="31">
        <f>'ค่า 1.3'!O63</f>
        <v>1</v>
      </c>
      <c r="H63" s="31">
        <f>'ค่า 1.4'!O63</f>
        <v>1</v>
      </c>
      <c r="I63" s="31">
        <f>'ค่า 1.5'!O63</f>
        <v>1</v>
      </c>
      <c r="J63" s="31">
        <f>'ค่า 1.6'!O63</f>
        <v>1</v>
      </c>
      <c r="K63" s="31">
        <f>'ค่า 1.7'!O63</f>
        <v>1</v>
      </c>
      <c r="L63" s="31">
        <f>'ค่า 1.8'!O63</f>
        <v>1</v>
      </c>
      <c r="M63" s="31">
        <f>'ค่า 1.9'!O63</f>
        <v>1</v>
      </c>
      <c r="N63" s="31">
        <f>'ค่า 2.1'!O63</f>
        <v>1</v>
      </c>
      <c r="O63" s="31">
        <f>'ค่า 2.2'!O63</f>
        <v>1</v>
      </c>
      <c r="P63" s="31">
        <f>'ค่า 2.3'!O63</f>
        <v>1</v>
      </c>
      <c r="Q63" s="31">
        <f>'ค่า 2.4'!O63</f>
        <v>1</v>
      </c>
      <c r="R63" s="31">
        <f>'ค่า 3.1'!O63</f>
        <v>1</v>
      </c>
      <c r="S63" s="31">
        <f>'ค่า 3.2'!O63</f>
        <v>1</v>
      </c>
      <c r="T63" s="31">
        <f>'ค่า 4.1'!O63</f>
        <v>1</v>
      </c>
    </row>
    <row r="64">
      <c r="A64" s="29">
        <v>63.0</v>
      </c>
      <c r="B64" s="30" t="s">
        <v>280</v>
      </c>
      <c r="C64" s="31"/>
      <c r="D64" s="32" t="str">
        <f t="shared" si="1"/>
        <v>bnco0963@signalschool.ac.th</v>
      </c>
      <c r="E64" s="33">
        <f>'ค่า 1.1'!O64</f>
        <v>1</v>
      </c>
      <c r="F64" s="31">
        <f>'ค่า 1.2'!O64</f>
        <v>1</v>
      </c>
      <c r="G64" s="31">
        <f>'ค่า 1.3'!O64</f>
        <v>1</v>
      </c>
      <c r="H64" s="31">
        <f>'ค่า 1.4'!O64</f>
        <v>1</v>
      </c>
      <c r="I64" s="31">
        <f>'ค่า 1.5'!O64</f>
        <v>1</v>
      </c>
      <c r="J64" s="31">
        <f>'ค่า 1.6'!O64</f>
        <v>1</v>
      </c>
      <c r="K64" s="31">
        <f>'ค่า 1.7'!O64</f>
        <v>1</v>
      </c>
      <c r="L64" s="31">
        <f>'ค่า 1.8'!O64</f>
        <v>1</v>
      </c>
      <c r="M64" s="31">
        <f>'ค่า 1.9'!O64</f>
        <v>1</v>
      </c>
      <c r="N64" s="31">
        <f>'ค่า 2.1'!O64</f>
        <v>1</v>
      </c>
      <c r="O64" s="31">
        <f>'ค่า 2.2'!O64</f>
        <v>1</v>
      </c>
      <c r="P64" s="31">
        <f>'ค่า 2.3'!O64</f>
        <v>1</v>
      </c>
      <c r="Q64" s="31">
        <f>'ค่า 2.4'!O64</f>
        <v>1</v>
      </c>
      <c r="R64" s="31">
        <f>'ค่า 3.1'!O64</f>
        <v>1</v>
      </c>
      <c r="S64" s="31">
        <f>'ค่า 3.2'!O64</f>
        <v>1</v>
      </c>
      <c r="T64" s="31">
        <f>'ค่า 4.1'!O64</f>
        <v>1</v>
      </c>
    </row>
    <row r="65">
      <c r="A65" s="29">
        <v>64.0</v>
      </c>
      <c r="B65" s="30" t="s">
        <v>281</v>
      </c>
      <c r="C65" s="31"/>
      <c r="D65" s="32" t="str">
        <f t="shared" si="1"/>
        <v>bnco0964@signalschool.ac.th</v>
      </c>
      <c r="E65" s="33">
        <f>'ค่า 1.1'!O65</f>
        <v>1</v>
      </c>
      <c r="F65" s="31">
        <f>'ค่า 1.2'!O65</f>
        <v>1</v>
      </c>
      <c r="G65" s="31">
        <f>'ค่า 1.3'!O65</f>
        <v>1</v>
      </c>
      <c r="H65" s="31">
        <f>'ค่า 1.4'!O65</f>
        <v>1</v>
      </c>
      <c r="I65" s="31">
        <f>'ค่า 1.5'!O65</f>
        <v>1</v>
      </c>
      <c r="J65" s="31">
        <f>'ค่า 1.6'!O65</f>
        <v>1</v>
      </c>
      <c r="K65" s="31">
        <f>'ค่า 1.7'!O65</f>
        <v>1</v>
      </c>
      <c r="L65" s="31">
        <f>'ค่า 1.8'!O65</f>
        <v>1</v>
      </c>
      <c r="M65" s="31">
        <f>'ค่า 1.9'!O65</f>
        <v>1</v>
      </c>
      <c r="N65" s="31">
        <f>'ค่า 2.1'!O65</f>
        <v>1</v>
      </c>
      <c r="O65" s="31">
        <f>'ค่า 2.2'!O65</f>
        <v>1</v>
      </c>
      <c r="P65" s="31">
        <f>'ค่า 2.3'!O65</f>
        <v>1</v>
      </c>
      <c r="Q65" s="31">
        <f>'ค่า 2.4'!O65</f>
        <v>1</v>
      </c>
      <c r="R65" s="31">
        <f>'ค่า 3.1'!O65</f>
        <v>1</v>
      </c>
      <c r="S65" s="31">
        <f>'ค่า 3.2'!O65</f>
        <v>1</v>
      </c>
      <c r="T65" s="31">
        <f>'ค่า 4.1'!O65</f>
        <v>1</v>
      </c>
    </row>
    <row r="66">
      <c r="A66" s="29">
        <v>65.0</v>
      </c>
      <c r="B66" s="30" t="s">
        <v>282</v>
      </c>
      <c r="C66" s="31"/>
      <c r="D66" s="32" t="str">
        <f t="shared" si="1"/>
        <v>bnco0965@signalschool.ac.th</v>
      </c>
      <c r="E66" s="33">
        <f>'ค่า 1.1'!O66</f>
        <v>1</v>
      </c>
      <c r="F66" s="31">
        <f>'ค่า 1.2'!O66</f>
        <v>1</v>
      </c>
      <c r="G66" s="31">
        <f>'ค่า 1.3'!O66</f>
        <v>1</v>
      </c>
      <c r="H66" s="31">
        <f>'ค่า 1.4'!O66</f>
        <v>1</v>
      </c>
      <c r="I66" s="31">
        <f>'ค่า 1.5'!O66</f>
        <v>1</v>
      </c>
      <c r="J66" s="31">
        <f>'ค่า 1.6'!O66</f>
        <v>1</v>
      </c>
      <c r="K66" s="31">
        <f>'ค่า 1.7'!O66</f>
        <v>1</v>
      </c>
      <c r="L66" s="31">
        <f>'ค่า 1.8'!O66</f>
        <v>1</v>
      </c>
      <c r="M66" s="31">
        <f>'ค่า 1.9'!O66</f>
        <v>1</v>
      </c>
      <c r="N66" s="31">
        <f>'ค่า 2.1'!O66</f>
        <v>1</v>
      </c>
      <c r="O66" s="31">
        <f>'ค่า 2.2'!O66</f>
        <v>1</v>
      </c>
      <c r="P66" s="31">
        <f>'ค่า 2.3'!O66</f>
        <v>1</v>
      </c>
      <c r="Q66" s="31">
        <f>'ค่า 2.4'!O66</f>
        <v>1</v>
      </c>
      <c r="R66" s="31">
        <f>'ค่า 3.1'!O66</f>
        <v>1</v>
      </c>
      <c r="S66" s="31">
        <f>'ค่า 3.2'!O66</f>
        <v>1</v>
      </c>
      <c r="T66" s="31">
        <f>'ค่า 4.1'!O66</f>
        <v>1</v>
      </c>
    </row>
    <row r="67">
      <c r="A67" s="29">
        <v>66.0</v>
      </c>
      <c r="B67" s="30" t="s">
        <v>283</v>
      </c>
      <c r="C67" s="31"/>
      <c r="D67" s="32" t="str">
        <f t="shared" si="1"/>
        <v>bnco0966@signalschool.ac.th</v>
      </c>
      <c r="E67" s="33">
        <f>'ค่า 1.1'!O67</f>
        <v>1</v>
      </c>
      <c r="F67" s="31">
        <f>'ค่า 1.2'!O67</f>
        <v>1</v>
      </c>
      <c r="G67" s="31">
        <f>'ค่า 1.3'!O67</f>
        <v>1</v>
      </c>
      <c r="H67" s="31">
        <f>'ค่า 1.4'!O67</f>
        <v>1</v>
      </c>
      <c r="I67" s="31">
        <f>'ค่า 1.5'!O67</f>
        <v>1</v>
      </c>
      <c r="J67" s="31">
        <f>'ค่า 1.6'!O67</f>
        <v>1</v>
      </c>
      <c r="K67" s="31">
        <f>'ค่า 1.7'!O67</f>
        <v>1</v>
      </c>
      <c r="L67" s="31">
        <f>'ค่า 1.8'!O67</f>
        <v>1</v>
      </c>
      <c r="M67" s="31">
        <f>'ค่า 1.9'!O67</f>
        <v>1</v>
      </c>
      <c r="N67" s="31">
        <f>'ค่า 2.1'!O67</f>
        <v>1</v>
      </c>
      <c r="O67" s="31">
        <f>'ค่า 2.2'!O67</f>
        <v>1</v>
      </c>
      <c r="P67" s="31">
        <f>'ค่า 2.3'!O67</f>
        <v>1</v>
      </c>
      <c r="Q67" s="31">
        <f>'ค่า 2.4'!O67</f>
        <v>1</v>
      </c>
      <c r="R67" s="31">
        <f>'ค่า 3.1'!O67</f>
        <v>1</v>
      </c>
      <c r="S67" s="31">
        <f>'ค่า 3.2'!O67</f>
        <v>1</v>
      </c>
      <c r="T67" s="31">
        <f>'ค่า 4.1'!O67</f>
        <v>1</v>
      </c>
    </row>
    <row r="68">
      <c r="A68" s="29">
        <v>67.0</v>
      </c>
      <c r="B68" s="30" t="s">
        <v>284</v>
      </c>
      <c r="C68" s="31"/>
      <c r="D68" s="32" t="str">
        <f t="shared" si="1"/>
        <v>bnco0967@signalschool.ac.th</v>
      </c>
      <c r="E68" s="33">
        <f>'ค่า 1.1'!O68</f>
        <v>1</v>
      </c>
      <c r="F68" s="31">
        <f>'ค่า 1.2'!O68</f>
        <v>1</v>
      </c>
      <c r="G68" s="31">
        <f>'ค่า 1.3'!O68</f>
        <v>1</v>
      </c>
      <c r="H68" s="31">
        <f>'ค่า 1.4'!O68</f>
        <v>1</v>
      </c>
      <c r="I68" s="31">
        <f>'ค่า 1.5'!O68</f>
        <v>1</v>
      </c>
      <c r="J68" s="31">
        <f>'ค่า 1.6'!O68</f>
        <v>1</v>
      </c>
      <c r="K68" s="31">
        <f>'ค่า 1.7'!O68</f>
        <v>1</v>
      </c>
      <c r="L68" s="31">
        <f>'ค่า 1.8'!O68</f>
        <v>1</v>
      </c>
      <c r="M68" s="31">
        <f>'ค่า 1.9'!O68</f>
        <v>1</v>
      </c>
      <c r="N68" s="31">
        <f>'ค่า 2.1'!O68</f>
        <v>1</v>
      </c>
      <c r="O68" s="31">
        <f>'ค่า 2.2'!O68</f>
        <v>1</v>
      </c>
      <c r="P68" s="31">
        <f>'ค่า 2.3'!O68</f>
        <v>1</v>
      </c>
      <c r="Q68" s="31">
        <f>'ค่า 2.4'!O68</f>
        <v>1</v>
      </c>
      <c r="R68" s="31">
        <f>'ค่า 3.1'!O68</f>
        <v>1</v>
      </c>
      <c r="S68" s="31">
        <f>'ค่า 3.2'!O68</f>
        <v>1</v>
      </c>
      <c r="T68" s="31">
        <f>'ค่า 4.1'!O68</f>
        <v>1</v>
      </c>
    </row>
    <row r="69">
      <c r="A69" s="29">
        <v>68.0</v>
      </c>
      <c r="B69" s="30" t="s">
        <v>285</v>
      </c>
      <c r="C69" s="31"/>
      <c r="D69" s="32" t="str">
        <f t="shared" si="1"/>
        <v>bnco0968@signalschool.ac.th</v>
      </c>
      <c r="E69" s="33">
        <f>'ค่า 1.1'!O69</f>
        <v>1</v>
      </c>
      <c r="F69" s="31">
        <f>'ค่า 1.2'!O69</f>
        <v>1</v>
      </c>
      <c r="G69" s="31">
        <f>'ค่า 1.3'!O69</f>
        <v>1</v>
      </c>
      <c r="H69" s="31">
        <f>'ค่า 1.4'!O69</f>
        <v>1</v>
      </c>
      <c r="I69" s="31">
        <f>'ค่า 1.5'!O69</f>
        <v>1</v>
      </c>
      <c r="J69" s="31">
        <f>'ค่า 1.6'!O69</f>
        <v>1</v>
      </c>
      <c r="K69" s="31">
        <f>'ค่า 1.7'!O69</f>
        <v>1</v>
      </c>
      <c r="L69" s="31">
        <f>'ค่า 1.8'!O69</f>
        <v>1</v>
      </c>
      <c r="M69" s="31">
        <f>'ค่า 1.9'!O69</f>
        <v>1</v>
      </c>
      <c r="N69" s="31">
        <f>'ค่า 2.1'!O69</f>
        <v>1</v>
      </c>
      <c r="O69" s="31">
        <f>'ค่า 2.2'!O69</f>
        <v>1</v>
      </c>
      <c r="P69" s="31">
        <f>'ค่า 2.3'!O69</f>
        <v>1</v>
      </c>
      <c r="Q69" s="31">
        <f>'ค่า 2.4'!O69</f>
        <v>1</v>
      </c>
      <c r="R69" s="31">
        <f>'ค่า 3.1'!O69</f>
        <v>1</v>
      </c>
      <c r="S69" s="31">
        <f>'ค่า 3.2'!O69</f>
        <v>1</v>
      </c>
      <c r="T69" s="31">
        <f>'ค่า 4.1'!O69</f>
        <v>1</v>
      </c>
    </row>
    <row r="70">
      <c r="A70" s="29">
        <v>69.0</v>
      </c>
      <c r="B70" s="30" t="s">
        <v>286</v>
      </c>
      <c r="C70" s="31"/>
      <c r="D70" s="32" t="str">
        <f t="shared" si="1"/>
        <v>bnco0969@signalschool.ac.th</v>
      </c>
      <c r="E70" s="33">
        <f>'ค่า 1.1'!O70</f>
        <v>1</v>
      </c>
      <c r="F70" s="31">
        <f>'ค่า 1.2'!O70</f>
        <v>1</v>
      </c>
      <c r="G70" s="31">
        <f>'ค่า 1.3'!O70</f>
        <v>1</v>
      </c>
      <c r="H70" s="31">
        <f>'ค่า 1.4'!O70</f>
        <v>1</v>
      </c>
      <c r="I70" s="31">
        <f>'ค่า 1.5'!O70</f>
        <v>1</v>
      </c>
      <c r="J70" s="31">
        <f>'ค่า 1.6'!O70</f>
        <v>1</v>
      </c>
      <c r="K70" s="31">
        <f>'ค่า 1.7'!O70</f>
        <v>1</v>
      </c>
      <c r="L70" s="31">
        <f>'ค่า 1.8'!O70</f>
        <v>1</v>
      </c>
      <c r="M70" s="31">
        <f>'ค่า 1.9'!O70</f>
        <v>1</v>
      </c>
      <c r="N70" s="31">
        <f>'ค่า 2.1'!O70</f>
        <v>1</v>
      </c>
      <c r="O70" s="31">
        <f>'ค่า 2.2'!O70</f>
        <v>1</v>
      </c>
      <c r="P70" s="31">
        <f>'ค่า 2.3'!O70</f>
        <v>1</v>
      </c>
      <c r="Q70" s="31">
        <f>'ค่า 2.4'!O70</f>
        <v>1</v>
      </c>
      <c r="R70" s="31">
        <f>'ค่า 3.1'!O70</f>
        <v>1</v>
      </c>
      <c r="S70" s="31">
        <f>'ค่า 3.2'!O70</f>
        <v>1</v>
      </c>
      <c r="T70" s="31">
        <f>'ค่า 4.1'!O70</f>
        <v>1</v>
      </c>
    </row>
    <row r="71">
      <c r="A71" s="29">
        <v>70.0</v>
      </c>
      <c r="B71" s="30" t="s">
        <v>287</v>
      </c>
      <c r="C71" s="31"/>
      <c r="D71" s="32" t="str">
        <f t="shared" si="1"/>
        <v>bnco0970@signalschool.ac.th</v>
      </c>
      <c r="E71" s="33">
        <f>'ค่า 1.1'!O71</f>
        <v>1</v>
      </c>
      <c r="F71" s="31">
        <f>'ค่า 1.2'!O71</f>
        <v>1</v>
      </c>
      <c r="G71" s="31">
        <f>'ค่า 1.3'!O71</f>
        <v>1</v>
      </c>
      <c r="H71" s="31">
        <f>'ค่า 1.4'!O71</f>
        <v>1</v>
      </c>
      <c r="I71" s="31">
        <f>'ค่า 1.5'!O71</f>
        <v>1</v>
      </c>
      <c r="J71" s="31">
        <f>'ค่า 1.6'!O71</f>
        <v>1</v>
      </c>
      <c r="K71" s="31">
        <f>'ค่า 1.7'!O71</f>
        <v>1</v>
      </c>
      <c r="L71" s="31">
        <f>'ค่า 1.8'!O71</f>
        <v>1</v>
      </c>
      <c r="M71" s="31">
        <f>'ค่า 1.9'!O71</f>
        <v>1</v>
      </c>
      <c r="N71" s="31">
        <f>'ค่า 2.1'!O71</f>
        <v>1</v>
      </c>
      <c r="O71" s="31">
        <f>'ค่า 2.2'!O71</f>
        <v>1</v>
      </c>
      <c r="P71" s="31">
        <f>'ค่า 2.3'!O71</f>
        <v>1</v>
      </c>
      <c r="Q71" s="31">
        <f>'ค่า 2.4'!O71</f>
        <v>1</v>
      </c>
      <c r="R71" s="31">
        <f>'ค่า 3.1'!O71</f>
        <v>1</v>
      </c>
      <c r="S71" s="31">
        <f>'ค่า 3.2'!O71</f>
        <v>1</v>
      </c>
      <c r="T71" s="31">
        <f>'ค่า 4.1'!O71</f>
        <v>1</v>
      </c>
    </row>
    <row r="72">
      <c r="A72" s="29">
        <v>71.0</v>
      </c>
      <c r="B72" s="30" t="s">
        <v>288</v>
      </c>
      <c r="C72" s="31"/>
      <c r="D72" s="32" t="str">
        <f t="shared" si="1"/>
        <v>bnco0971@signalschool.ac.th</v>
      </c>
      <c r="E72" s="33">
        <f>'ค่า 1.1'!O72</f>
        <v>1</v>
      </c>
      <c r="F72" s="31">
        <f>'ค่า 1.2'!O72</f>
        <v>1</v>
      </c>
      <c r="G72" s="31">
        <f>'ค่า 1.3'!O72</f>
        <v>1</v>
      </c>
      <c r="H72" s="31">
        <f>'ค่า 1.4'!O72</f>
        <v>1</v>
      </c>
      <c r="I72" s="31">
        <f>'ค่า 1.5'!O72</f>
        <v>1</v>
      </c>
      <c r="J72" s="31">
        <f>'ค่า 1.6'!O72</f>
        <v>1</v>
      </c>
      <c r="K72" s="31">
        <f>'ค่า 1.7'!O72</f>
        <v>1</v>
      </c>
      <c r="L72" s="31">
        <f>'ค่า 1.8'!O72</f>
        <v>1</v>
      </c>
      <c r="M72" s="31">
        <f>'ค่า 1.9'!O72</f>
        <v>1</v>
      </c>
      <c r="N72" s="31">
        <f>'ค่า 2.1'!O72</f>
        <v>1</v>
      </c>
      <c r="O72" s="31">
        <f>'ค่า 2.2'!O72</f>
        <v>1</v>
      </c>
      <c r="P72" s="31">
        <f>'ค่า 2.3'!O72</f>
        <v>1</v>
      </c>
      <c r="Q72" s="31">
        <f>'ค่า 2.4'!O72</f>
        <v>1</v>
      </c>
      <c r="R72" s="31">
        <f>'ค่า 3.1'!O72</f>
        <v>1</v>
      </c>
      <c r="S72" s="31">
        <f>'ค่า 3.2'!O72</f>
        <v>1</v>
      </c>
      <c r="T72" s="31">
        <f>'ค่า 4.1'!O72</f>
        <v>1</v>
      </c>
    </row>
    <row r="73">
      <c r="A73" s="29">
        <v>72.0</v>
      </c>
      <c r="B73" s="30" t="s">
        <v>289</v>
      </c>
      <c r="C73" s="31"/>
      <c r="D73" s="32" t="str">
        <f t="shared" si="1"/>
        <v>bnco0972@signalschool.ac.th</v>
      </c>
      <c r="E73" s="33">
        <f>'ค่า 1.1'!O73</f>
        <v>1</v>
      </c>
      <c r="F73" s="31">
        <f>'ค่า 1.2'!O73</f>
        <v>1</v>
      </c>
      <c r="G73" s="31">
        <f>'ค่า 1.3'!O73</f>
        <v>1</v>
      </c>
      <c r="H73" s="31">
        <f>'ค่า 1.4'!O73</f>
        <v>1</v>
      </c>
      <c r="I73" s="31">
        <f>'ค่า 1.5'!O73</f>
        <v>1</v>
      </c>
      <c r="J73" s="31">
        <f>'ค่า 1.6'!O73</f>
        <v>1</v>
      </c>
      <c r="K73" s="31">
        <f>'ค่า 1.7'!O73</f>
        <v>1</v>
      </c>
      <c r="L73" s="31">
        <f>'ค่า 1.8'!O73</f>
        <v>1</v>
      </c>
      <c r="M73" s="31">
        <f>'ค่า 1.9'!O73</f>
        <v>1</v>
      </c>
      <c r="N73" s="31">
        <f>'ค่า 2.1'!O73</f>
        <v>1</v>
      </c>
      <c r="O73" s="31">
        <f>'ค่า 2.2'!O73</f>
        <v>1</v>
      </c>
      <c r="P73" s="31">
        <f>'ค่า 2.3'!O73</f>
        <v>1</v>
      </c>
      <c r="Q73" s="31">
        <f>'ค่า 2.4'!O73</f>
        <v>1</v>
      </c>
      <c r="R73" s="31">
        <f>'ค่า 3.1'!O73</f>
        <v>1</v>
      </c>
      <c r="S73" s="31">
        <f>'ค่า 3.2'!O73</f>
        <v>1</v>
      </c>
      <c r="T73" s="31">
        <f>'ค่า 4.1'!O73</f>
        <v>1</v>
      </c>
    </row>
    <row r="74">
      <c r="A74" s="29">
        <v>73.0</v>
      </c>
      <c r="B74" s="30" t="s">
        <v>290</v>
      </c>
      <c r="C74" s="31"/>
      <c r="D74" s="32" t="str">
        <f t="shared" si="1"/>
        <v>bnco0973@signalschool.ac.th</v>
      </c>
      <c r="E74" s="33">
        <f>'ค่า 1.1'!O74</f>
        <v>1</v>
      </c>
      <c r="F74" s="31">
        <f>'ค่า 1.2'!O74</f>
        <v>1</v>
      </c>
      <c r="G74" s="31">
        <f>'ค่า 1.3'!O74</f>
        <v>1</v>
      </c>
      <c r="H74" s="31">
        <f>'ค่า 1.4'!O74</f>
        <v>1</v>
      </c>
      <c r="I74" s="31">
        <f>'ค่า 1.5'!O74</f>
        <v>1</v>
      </c>
      <c r="J74" s="31">
        <f>'ค่า 1.6'!O74</f>
        <v>1</v>
      </c>
      <c r="K74" s="31">
        <f>'ค่า 1.7'!O74</f>
        <v>1</v>
      </c>
      <c r="L74" s="31">
        <f>'ค่า 1.8'!O74</f>
        <v>1</v>
      </c>
      <c r="M74" s="31">
        <f>'ค่า 1.9'!O74</f>
        <v>1</v>
      </c>
      <c r="N74" s="31">
        <f>'ค่า 2.1'!O74</f>
        <v>1</v>
      </c>
      <c r="O74" s="31">
        <f>'ค่า 2.2'!O74</f>
        <v>1</v>
      </c>
      <c r="P74" s="31">
        <f>'ค่า 2.3'!O74</f>
        <v>1</v>
      </c>
      <c r="Q74" s="31">
        <f>'ค่า 2.4'!O74</f>
        <v>1</v>
      </c>
      <c r="R74" s="31">
        <f>'ค่า 3.1'!O74</f>
        <v>1</v>
      </c>
      <c r="S74" s="31">
        <f>'ค่า 3.2'!O74</f>
        <v>1</v>
      </c>
      <c r="T74" s="31">
        <f>'ค่า 4.1'!O74</f>
        <v>1</v>
      </c>
    </row>
    <row r="75">
      <c r="A75" s="29">
        <v>74.0</v>
      </c>
      <c r="B75" s="30" t="s">
        <v>291</v>
      </c>
      <c r="C75" s="31"/>
      <c r="D75" s="32" t="str">
        <f t="shared" si="1"/>
        <v>bnco0974@signalschool.ac.th</v>
      </c>
      <c r="E75" s="33">
        <f>'ค่า 1.1'!O75</f>
        <v>1</v>
      </c>
      <c r="F75" s="31">
        <f>'ค่า 1.2'!O75</f>
        <v>1</v>
      </c>
      <c r="G75" s="31">
        <f>'ค่า 1.3'!O75</f>
        <v>1</v>
      </c>
      <c r="H75" s="31">
        <f>'ค่า 1.4'!O75</f>
        <v>1</v>
      </c>
      <c r="I75" s="31">
        <f>'ค่า 1.5'!O75</f>
        <v>1</v>
      </c>
      <c r="J75" s="31">
        <f>'ค่า 1.6'!O75</f>
        <v>1</v>
      </c>
      <c r="K75" s="31">
        <f>'ค่า 1.7'!O75</f>
        <v>1</v>
      </c>
      <c r="L75" s="31">
        <f>'ค่า 1.8'!O75</f>
        <v>1</v>
      </c>
      <c r="M75" s="31">
        <f>'ค่า 1.9'!O75</f>
        <v>1</v>
      </c>
      <c r="N75" s="31">
        <f>'ค่า 2.1'!O75</f>
        <v>1</v>
      </c>
      <c r="O75" s="31">
        <f>'ค่า 2.2'!O75</f>
        <v>1</v>
      </c>
      <c r="P75" s="31">
        <f>'ค่า 2.3'!O75</f>
        <v>1</v>
      </c>
      <c r="Q75" s="31">
        <f>'ค่า 2.4'!O75</f>
        <v>1</v>
      </c>
      <c r="R75" s="31">
        <f>'ค่า 3.1'!O75</f>
        <v>1</v>
      </c>
      <c r="S75" s="31">
        <f>'ค่า 3.2'!O75</f>
        <v>1</v>
      </c>
      <c r="T75" s="31">
        <f>'ค่า 4.1'!O75</f>
        <v>1</v>
      </c>
    </row>
    <row r="76">
      <c r="A76" s="29">
        <v>75.0</v>
      </c>
      <c r="B76" s="30" t="s">
        <v>292</v>
      </c>
      <c r="C76" s="31"/>
      <c r="D76" s="32" t="str">
        <f t="shared" si="1"/>
        <v>bnco0975@signalschool.ac.th</v>
      </c>
      <c r="E76" s="33">
        <f>'ค่า 1.1'!O76</f>
        <v>1</v>
      </c>
      <c r="F76" s="31">
        <f>'ค่า 1.2'!O76</f>
        <v>1</v>
      </c>
      <c r="G76" s="31">
        <f>'ค่า 1.3'!O76</f>
        <v>1</v>
      </c>
      <c r="H76" s="31">
        <f>'ค่า 1.4'!O76</f>
        <v>1</v>
      </c>
      <c r="I76" s="31">
        <f>'ค่า 1.5'!O76</f>
        <v>1</v>
      </c>
      <c r="J76" s="31">
        <f>'ค่า 1.6'!O76</f>
        <v>1</v>
      </c>
      <c r="K76" s="31">
        <f>'ค่า 1.7'!O76</f>
        <v>1</v>
      </c>
      <c r="L76" s="31">
        <f>'ค่า 1.8'!O76</f>
        <v>1</v>
      </c>
      <c r="M76" s="31">
        <f>'ค่า 1.9'!O76</f>
        <v>1</v>
      </c>
      <c r="N76" s="31">
        <f>'ค่า 2.1'!O76</f>
        <v>1</v>
      </c>
      <c r="O76" s="31">
        <f>'ค่า 2.2'!O76</f>
        <v>1</v>
      </c>
      <c r="P76" s="31">
        <f>'ค่า 2.3'!O76</f>
        <v>1</v>
      </c>
      <c r="Q76" s="31">
        <f>'ค่า 2.4'!O76</f>
        <v>1</v>
      </c>
      <c r="R76" s="31">
        <f>'ค่า 3.1'!O76</f>
        <v>1</v>
      </c>
      <c r="S76" s="31">
        <f>'ค่า 3.2'!O76</f>
        <v>1</v>
      </c>
      <c r="T76" s="31">
        <f>'ค่า 4.1'!O76</f>
        <v>1</v>
      </c>
    </row>
    <row r="77">
      <c r="A77" s="29">
        <v>76.0</v>
      </c>
      <c r="B77" s="30" t="s">
        <v>293</v>
      </c>
      <c r="C77" s="31"/>
      <c r="D77" s="32" t="str">
        <f t="shared" si="1"/>
        <v>bnco0976@signalschool.ac.th</v>
      </c>
      <c r="E77" s="33">
        <f>'ค่า 1.1'!O77</f>
        <v>1</v>
      </c>
      <c r="F77" s="31">
        <f>'ค่า 1.2'!O77</f>
        <v>1</v>
      </c>
      <c r="G77" s="31">
        <f>'ค่า 1.3'!O77</f>
        <v>1</v>
      </c>
      <c r="H77" s="31">
        <f>'ค่า 1.4'!O77</f>
        <v>1</v>
      </c>
      <c r="I77" s="31">
        <f>'ค่า 1.5'!O77</f>
        <v>1</v>
      </c>
      <c r="J77" s="31">
        <f>'ค่า 1.6'!O77</f>
        <v>1</v>
      </c>
      <c r="K77" s="31">
        <f>'ค่า 1.7'!O77</f>
        <v>1</v>
      </c>
      <c r="L77" s="31">
        <f>'ค่า 1.8'!O77</f>
        <v>1</v>
      </c>
      <c r="M77" s="31">
        <f>'ค่า 1.9'!O77</f>
        <v>1</v>
      </c>
      <c r="N77" s="31">
        <f>'ค่า 2.1'!O77</f>
        <v>1</v>
      </c>
      <c r="O77" s="31">
        <f>'ค่า 2.2'!O77</f>
        <v>1</v>
      </c>
      <c r="P77" s="31">
        <f>'ค่า 2.3'!O77</f>
        <v>1</v>
      </c>
      <c r="Q77" s="31">
        <f>'ค่า 2.4'!O77</f>
        <v>1</v>
      </c>
      <c r="R77" s="31">
        <f>'ค่า 3.1'!O77</f>
        <v>1</v>
      </c>
      <c r="S77" s="31">
        <f>'ค่า 3.2'!O77</f>
        <v>1</v>
      </c>
      <c r="T77" s="31">
        <f>'ค่า 4.1'!O77</f>
        <v>1</v>
      </c>
    </row>
    <row r="78">
      <c r="A78" s="29">
        <v>77.0</v>
      </c>
      <c r="B78" s="30" t="s">
        <v>294</v>
      </c>
      <c r="C78" s="31"/>
      <c r="D78" s="32" t="str">
        <f t="shared" si="1"/>
        <v>bnco0977@signalschool.ac.th</v>
      </c>
      <c r="E78" s="33">
        <f>'ค่า 1.1'!O78</f>
        <v>1</v>
      </c>
      <c r="F78" s="31">
        <f>'ค่า 1.2'!O78</f>
        <v>1</v>
      </c>
      <c r="G78" s="31">
        <f>'ค่า 1.3'!O78</f>
        <v>1</v>
      </c>
      <c r="H78" s="31">
        <f>'ค่า 1.4'!O78</f>
        <v>1</v>
      </c>
      <c r="I78" s="31">
        <f>'ค่า 1.5'!O78</f>
        <v>1</v>
      </c>
      <c r="J78" s="31">
        <f>'ค่า 1.6'!O78</f>
        <v>1</v>
      </c>
      <c r="K78" s="31">
        <f>'ค่า 1.7'!O78</f>
        <v>1</v>
      </c>
      <c r="L78" s="31">
        <f>'ค่า 1.8'!O78</f>
        <v>1</v>
      </c>
      <c r="M78" s="31">
        <f>'ค่า 1.9'!O78</f>
        <v>1</v>
      </c>
      <c r="N78" s="31">
        <f>'ค่า 2.1'!O78</f>
        <v>1</v>
      </c>
      <c r="O78" s="31">
        <f>'ค่า 2.2'!O78</f>
        <v>1</v>
      </c>
      <c r="P78" s="31">
        <f>'ค่า 2.3'!O78</f>
        <v>1</v>
      </c>
      <c r="Q78" s="31">
        <f>'ค่า 2.4'!O78</f>
        <v>1</v>
      </c>
      <c r="R78" s="31">
        <f>'ค่า 3.1'!O78</f>
        <v>1</v>
      </c>
      <c r="S78" s="31">
        <f>'ค่า 3.2'!O78</f>
        <v>1</v>
      </c>
      <c r="T78" s="31">
        <f>'ค่า 4.1'!O78</f>
        <v>1</v>
      </c>
    </row>
    <row r="79">
      <c r="A79" s="29">
        <v>78.0</v>
      </c>
      <c r="B79" s="30" t="s">
        <v>295</v>
      </c>
      <c r="C79" s="53"/>
      <c r="D79" s="32" t="str">
        <f t="shared" si="1"/>
        <v>bnco0978@signalschool.ac.th</v>
      </c>
      <c r="E79" s="33">
        <f>'ค่า 1.1'!O79</f>
        <v>1</v>
      </c>
      <c r="F79" s="31">
        <f>'ค่า 1.2'!O79</f>
        <v>1</v>
      </c>
      <c r="G79" s="31">
        <f>'ค่า 1.3'!O79</f>
        <v>1</v>
      </c>
      <c r="H79" s="31">
        <f>'ค่า 1.4'!O79</f>
        <v>1</v>
      </c>
      <c r="I79" s="31">
        <f>'ค่า 1.5'!O79</f>
        <v>1</v>
      </c>
      <c r="J79" s="31">
        <f>'ค่า 1.6'!O79</f>
        <v>1</v>
      </c>
      <c r="K79" s="31">
        <f>'ค่า 1.7'!O79</f>
        <v>1</v>
      </c>
      <c r="L79" s="31">
        <f>'ค่า 1.8'!O79</f>
        <v>1</v>
      </c>
      <c r="M79" s="31">
        <f>'ค่า 1.9'!O79</f>
        <v>1</v>
      </c>
      <c r="N79" s="31">
        <f>'ค่า 2.1'!O79</f>
        <v>1</v>
      </c>
      <c r="O79" s="31">
        <f>'ค่า 2.2'!O79</f>
        <v>1</v>
      </c>
      <c r="P79" s="31">
        <f>'ค่า 2.3'!O79</f>
        <v>1</v>
      </c>
      <c r="Q79" s="31">
        <f>'ค่า 2.4'!O79</f>
        <v>1</v>
      </c>
      <c r="R79" s="31">
        <f>'ค่า 3.1'!O79</f>
        <v>1</v>
      </c>
      <c r="S79" s="31">
        <f>'ค่า 3.2'!O79</f>
        <v>1</v>
      </c>
      <c r="T79" s="31">
        <f>'ค่า 4.1'!O79</f>
        <v>1</v>
      </c>
    </row>
    <row r="80">
      <c r="A80" s="29">
        <v>79.0</v>
      </c>
      <c r="B80" s="30" t="s">
        <v>296</v>
      </c>
      <c r="C80" s="31"/>
      <c r="D80" s="32" t="str">
        <f t="shared" si="1"/>
        <v>bnco0979@signalschool.ac.th</v>
      </c>
      <c r="E80" s="33">
        <f>'ค่า 1.1'!O80</f>
        <v>1</v>
      </c>
      <c r="F80" s="31">
        <f>'ค่า 1.2'!O80</f>
        <v>1</v>
      </c>
      <c r="G80" s="31">
        <f>'ค่า 1.3'!O80</f>
        <v>1</v>
      </c>
      <c r="H80" s="31">
        <f>'ค่า 1.4'!O80</f>
        <v>1</v>
      </c>
      <c r="I80" s="31">
        <f>'ค่า 1.5'!O80</f>
        <v>1</v>
      </c>
      <c r="J80" s="31">
        <f>'ค่า 1.6'!O80</f>
        <v>1</v>
      </c>
      <c r="K80" s="31">
        <f>'ค่า 1.7'!O80</f>
        <v>1</v>
      </c>
      <c r="L80" s="31">
        <f>'ค่า 1.8'!O80</f>
        <v>1</v>
      </c>
      <c r="M80" s="31">
        <f>'ค่า 1.9'!O80</f>
        <v>1</v>
      </c>
      <c r="N80" s="31">
        <f>'ค่า 2.1'!O80</f>
        <v>1</v>
      </c>
      <c r="O80" s="31">
        <f>'ค่า 2.2'!O80</f>
        <v>1</v>
      </c>
      <c r="P80" s="31">
        <f>'ค่า 2.3'!O80</f>
        <v>1</v>
      </c>
      <c r="Q80" s="31">
        <f>'ค่า 2.4'!O80</f>
        <v>1</v>
      </c>
      <c r="R80" s="31">
        <f>'ค่า 3.1'!O80</f>
        <v>1</v>
      </c>
      <c r="S80" s="31">
        <f>'ค่า 3.2'!O80</f>
        <v>1</v>
      </c>
      <c r="T80" s="31">
        <f>'ค่า 4.1'!O80</f>
        <v>1</v>
      </c>
    </row>
    <row r="81">
      <c r="A81" s="29">
        <v>80.0</v>
      </c>
      <c r="B81" s="30" t="s">
        <v>297</v>
      </c>
      <c r="C81" s="31"/>
      <c r="D81" s="32" t="str">
        <f t="shared" si="1"/>
        <v>bnco0980@signalschool.ac.th</v>
      </c>
      <c r="E81" s="33">
        <f>'ค่า 1.1'!O81</f>
        <v>1</v>
      </c>
      <c r="F81" s="31">
        <f>'ค่า 1.2'!O81</f>
        <v>1</v>
      </c>
      <c r="G81" s="31">
        <f>'ค่า 1.3'!O81</f>
        <v>1</v>
      </c>
      <c r="H81" s="31">
        <f>'ค่า 1.4'!O81</f>
        <v>1</v>
      </c>
      <c r="I81" s="31">
        <f>'ค่า 1.5'!O81</f>
        <v>1</v>
      </c>
      <c r="J81" s="31">
        <f>'ค่า 1.6'!O81</f>
        <v>1</v>
      </c>
      <c r="K81" s="31">
        <f>'ค่า 1.7'!O81</f>
        <v>1</v>
      </c>
      <c r="L81" s="31">
        <f>'ค่า 1.8'!O81</f>
        <v>1</v>
      </c>
      <c r="M81" s="31">
        <f>'ค่า 1.9'!O81</f>
        <v>1</v>
      </c>
      <c r="N81" s="31">
        <f>'ค่า 2.1'!O81</f>
        <v>1</v>
      </c>
      <c r="O81" s="31">
        <f>'ค่า 2.2'!O81</f>
        <v>1</v>
      </c>
      <c r="P81" s="31">
        <f>'ค่า 2.3'!O81</f>
        <v>1</v>
      </c>
      <c r="Q81" s="31">
        <f>'ค่า 2.4'!O81</f>
        <v>1</v>
      </c>
      <c r="R81" s="31">
        <f>'ค่า 3.1'!O81</f>
        <v>1</v>
      </c>
      <c r="S81" s="31">
        <f>'ค่า 3.2'!O81</f>
        <v>1</v>
      </c>
      <c r="T81" s="31">
        <f>'ค่า 4.1'!O81</f>
        <v>1</v>
      </c>
    </row>
    <row r="82">
      <c r="A82" s="54"/>
      <c r="B82" s="54"/>
      <c r="C82" s="54"/>
      <c r="D82" s="54" t="s">
        <v>298</v>
      </c>
      <c r="E82" s="55">
        <f>'ค่า 1.1'!O82</f>
        <v>80</v>
      </c>
      <c r="F82" s="56">
        <f>'ค่า 1.2'!O82</f>
        <v>80</v>
      </c>
      <c r="G82" s="56">
        <f>'ค่า 1.3'!O82</f>
        <v>80</v>
      </c>
      <c r="H82" s="56">
        <f>'ค่า 1.4'!O82</f>
        <v>80</v>
      </c>
      <c r="I82" s="56">
        <f>'ค่า 1.5'!O82</f>
        <v>80</v>
      </c>
      <c r="J82" s="56">
        <f>'ค่า 1.6'!O82</f>
        <v>80</v>
      </c>
      <c r="K82" s="56">
        <f>'ค่า 1.7'!O82</f>
        <v>80</v>
      </c>
      <c r="L82" s="56">
        <f>'ค่า 1.8'!O82</f>
        <v>80</v>
      </c>
      <c r="M82" s="56">
        <f>'ค่า 1.9'!O82</f>
        <v>80</v>
      </c>
      <c r="N82" s="56">
        <f>'ค่า 2.1'!O82</f>
        <v>80</v>
      </c>
      <c r="O82" s="56">
        <f>'ค่า 2.2'!O82</f>
        <v>80</v>
      </c>
      <c r="P82" s="56">
        <f>'ค่า 2.3'!O82</f>
        <v>80</v>
      </c>
      <c r="Q82" s="56">
        <f>'ค่า 2.4'!O82</f>
        <v>80</v>
      </c>
      <c r="R82" s="56">
        <f>'ค่า 3.1'!O82</f>
        <v>80</v>
      </c>
      <c r="S82" s="56">
        <f>'ค่า 3.2'!O82</f>
        <v>80</v>
      </c>
      <c r="T82" s="56">
        <f>'ค่า 4.1'!O82</f>
        <v>80</v>
      </c>
    </row>
    <row r="83">
      <c r="A83" s="54"/>
      <c r="B83" s="54"/>
      <c r="C83" s="54"/>
      <c r="D83" s="54" t="s">
        <v>299</v>
      </c>
      <c r="E83" s="57">
        <f>'ค่า 1.1'!O83</f>
        <v>100</v>
      </c>
      <c r="F83" s="58">
        <f>'ค่า 1.2'!O83</f>
        <v>100</v>
      </c>
      <c r="G83" s="58">
        <f>'ค่า 1.3'!O83</f>
        <v>100</v>
      </c>
      <c r="H83" s="58">
        <f>'ค่า 1.4'!O83</f>
        <v>100</v>
      </c>
      <c r="I83" s="58">
        <f>'ค่า 1.5'!O83</f>
        <v>100</v>
      </c>
      <c r="J83" s="58">
        <f>'ค่า 1.6'!O83</f>
        <v>100</v>
      </c>
      <c r="K83" s="58">
        <f>'ค่า 1.7'!O83</f>
        <v>100</v>
      </c>
      <c r="L83" s="58">
        <f>'ค่า 1.8'!O83</f>
        <v>100</v>
      </c>
      <c r="M83" s="58">
        <f>'ค่า 1.9'!O83</f>
        <v>100</v>
      </c>
      <c r="N83" s="58">
        <f>'ค่า 2.1'!O83</f>
        <v>100</v>
      </c>
      <c r="O83" s="58">
        <f>'ค่า 2.2'!O83</f>
        <v>100</v>
      </c>
      <c r="P83" s="58">
        <f>'ค่า 2.3'!O83</f>
        <v>100</v>
      </c>
      <c r="Q83" s="58">
        <f>'ค่า 2.4'!O83</f>
        <v>100</v>
      </c>
      <c r="R83" s="58">
        <f>'ค่า 3.1'!O83</f>
        <v>100</v>
      </c>
      <c r="S83" s="58">
        <f>'ค่า 3.2'!O83</f>
        <v>100</v>
      </c>
      <c r="T83" s="58">
        <f>'ค่า 4.1'!O83</f>
        <v>100</v>
      </c>
    </row>
    <row r="84">
      <c r="A84" s="59"/>
      <c r="B84" s="59"/>
      <c r="C84" s="59"/>
      <c r="D84" s="59"/>
      <c r="E84" s="59"/>
    </row>
    <row r="85">
      <c r="A85" s="59"/>
      <c r="B85" s="59"/>
      <c r="C85" s="59"/>
      <c r="D85" s="59"/>
      <c r="E85" s="59"/>
    </row>
    <row r="86">
      <c r="A86" s="59"/>
      <c r="B86" s="59"/>
      <c r="C86" s="59"/>
      <c r="D86" s="59"/>
      <c r="E86" s="59"/>
    </row>
    <row r="87">
      <c r="A87" s="59"/>
      <c r="B87" s="59"/>
      <c r="C87" s="59"/>
      <c r="D87" s="59"/>
      <c r="E87" s="59"/>
    </row>
    <row r="88">
      <c r="A88" s="59"/>
      <c r="B88" s="59"/>
      <c r="C88" s="59"/>
      <c r="D88" s="59"/>
      <c r="E88" s="59"/>
    </row>
    <row r="89">
      <c r="A89" s="59"/>
      <c r="B89" s="59"/>
      <c r="C89" s="59"/>
      <c r="D89" s="59"/>
      <c r="E89" s="59"/>
    </row>
    <row r="90">
      <c r="A90" s="59"/>
      <c r="B90" s="59"/>
      <c r="C90" s="59"/>
      <c r="D90" s="59"/>
      <c r="E90" s="59"/>
    </row>
    <row r="91">
      <c r="A91" s="59"/>
      <c r="B91" s="59"/>
      <c r="C91" s="59"/>
      <c r="D91" s="59"/>
      <c r="E91" s="59"/>
    </row>
    <row r="92">
      <c r="A92" s="59"/>
      <c r="B92" s="59"/>
      <c r="C92" s="59"/>
      <c r="D92" s="59"/>
      <c r="E92" s="59"/>
    </row>
    <row r="93">
      <c r="A93" s="59"/>
      <c r="B93" s="59"/>
      <c r="C93" s="59"/>
      <c r="D93" s="59"/>
      <c r="E93" s="59"/>
    </row>
    <row r="94">
      <c r="A94" s="59"/>
      <c r="B94" s="59"/>
      <c r="C94" s="59"/>
      <c r="D94" s="59"/>
      <c r="E94" s="59"/>
    </row>
    <row r="95">
      <c r="A95" s="59"/>
      <c r="B95" s="59"/>
      <c r="C95" s="59"/>
      <c r="D95" s="59"/>
      <c r="E95" s="59"/>
    </row>
    <row r="96">
      <c r="A96" s="59"/>
      <c r="B96" s="59"/>
      <c r="C96" s="59"/>
      <c r="D96" s="59"/>
      <c r="E96" s="59"/>
    </row>
    <row r="97">
      <c r="A97" s="59"/>
      <c r="B97" s="59"/>
      <c r="C97" s="59"/>
      <c r="D97" s="59"/>
      <c r="E97" s="59"/>
    </row>
    <row r="98">
      <c r="A98" s="59"/>
      <c r="B98" s="59"/>
      <c r="C98" s="59"/>
      <c r="D98" s="59"/>
      <c r="E98" s="59"/>
    </row>
    <row r="99">
      <c r="A99" s="59"/>
      <c r="B99" s="59"/>
      <c r="C99" s="59"/>
      <c r="D99" s="59"/>
      <c r="E99" s="59"/>
    </row>
    <row r="100">
      <c r="A100" s="59"/>
      <c r="B100" s="59"/>
      <c r="C100" s="59"/>
      <c r="D100" s="59"/>
      <c r="E100" s="59"/>
    </row>
    <row r="101">
      <c r="A101" s="59"/>
      <c r="B101" s="59"/>
      <c r="C101" s="59"/>
      <c r="D101" s="59"/>
      <c r="E101" s="59"/>
    </row>
    <row r="102">
      <c r="A102" s="59"/>
      <c r="B102" s="59"/>
      <c r="C102" s="59"/>
      <c r="D102" s="59"/>
      <c r="E102" s="59"/>
    </row>
    <row r="103">
      <c r="A103" s="59"/>
      <c r="B103" s="59"/>
      <c r="C103" s="59"/>
      <c r="D103" s="59"/>
      <c r="E103" s="59"/>
    </row>
    <row r="104">
      <c r="A104" s="59"/>
      <c r="B104" s="59"/>
      <c r="C104" s="59"/>
      <c r="D104" s="59"/>
      <c r="E104" s="59"/>
    </row>
    <row r="105">
      <c r="A105" s="59"/>
      <c r="B105" s="59"/>
      <c r="C105" s="59"/>
      <c r="D105" s="59"/>
      <c r="E105" s="59"/>
    </row>
    <row r="106">
      <c r="A106" s="59"/>
      <c r="B106" s="59"/>
      <c r="C106" s="59"/>
      <c r="D106" s="59"/>
      <c r="E106" s="59"/>
    </row>
    <row r="107">
      <c r="A107" s="59"/>
      <c r="B107" s="59"/>
      <c r="C107" s="59"/>
      <c r="D107" s="59"/>
      <c r="E107" s="59"/>
    </row>
    <row r="108">
      <c r="A108" s="59"/>
      <c r="B108" s="59"/>
      <c r="C108" s="59"/>
      <c r="D108" s="59"/>
      <c r="E108" s="59"/>
    </row>
    <row r="109">
      <c r="A109" s="59"/>
      <c r="B109" s="59"/>
      <c r="C109" s="59"/>
      <c r="D109" s="59"/>
      <c r="E109" s="59"/>
    </row>
    <row r="110">
      <c r="A110" s="59"/>
      <c r="B110" s="59"/>
      <c r="C110" s="59"/>
      <c r="D110" s="59"/>
      <c r="E110" s="59"/>
    </row>
    <row r="111">
      <c r="A111" s="59"/>
      <c r="B111" s="59"/>
      <c r="C111" s="59"/>
      <c r="D111" s="59"/>
      <c r="E111" s="59"/>
    </row>
    <row r="112">
      <c r="A112" s="59"/>
      <c r="B112" s="59"/>
      <c r="C112" s="59"/>
      <c r="D112" s="59"/>
      <c r="E112" s="59"/>
    </row>
    <row r="113">
      <c r="A113" s="59"/>
      <c r="B113" s="59"/>
      <c r="C113" s="59"/>
      <c r="D113" s="59"/>
      <c r="E113" s="59"/>
    </row>
    <row r="114">
      <c r="A114" s="59"/>
      <c r="B114" s="59"/>
      <c r="C114" s="59"/>
      <c r="D114" s="59"/>
      <c r="E114" s="59"/>
    </row>
    <row r="115">
      <c r="A115" s="59"/>
      <c r="B115" s="59"/>
      <c r="C115" s="59"/>
      <c r="D115" s="59"/>
      <c r="E115" s="59"/>
    </row>
    <row r="116">
      <c r="A116" s="59"/>
      <c r="B116" s="59"/>
      <c r="C116" s="59"/>
      <c r="D116" s="59"/>
      <c r="E116" s="59"/>
    </row>
    <row r="117">
      <c r="A117" s="59"/>
      <c r="B117" s="59"/>
      <c r="C117" s="59"/>
      <c r="D117" s="59"/>
      <c r="E117" s="59"/>
    </row>
    <row r="118">
      <c r="A118" s="59"/>
      <c r="B118" s="59"/>
      <c r="C118" s="59"/>
      <c r="D118" s="59"/>
      <c r="E118" s="59"/>
    </row>
    <row r="119">
      <c r="A119" s="59"/>
      <c r="B119" s="59"/>
      <c r="C119" s="59"/>
      <c r="D119" s="59"/>
      <c r="E119" s="59"/>
    </row>
    <row r="120">
      <c r="A120" s="59"/>
      <c r="B120" s="59"/>
      <c r="C120" s="59"/>
      <c r="D120" s="59"/>
      <c r="E120" s="59"/>
    </row>
    <row r="121">
      <c r="A121" s="59"/>
      <c r="B121" s="59"/>
      <c r="C121" s="59"/>
      <c r="D121" s="59"/>
      <c r="E121" s="59"/>
    </row>
    <row r="122">
      <c r="A122" s="59"/>
      <c r="B122" s="59"/>
      <c r="C122" s="59"/>
      <c r="D122" s="59"/>
      <c r="E122" s="59"/>
    </row>
    <row r="123">
      <c r="A123" s="59"/>
      <c r="B123" s="59"/>
      <c r="C123" s="59"/>
      <c r="D123" s="59"/>
      <c r="E123" s="59"/>
    </row>
    <row r="124">
      <c r="A124" s="59"/>
      <c r="B124" s="59"/>
      <c r="C124" s="59"/>
      <c r="D124" s="59"/>
      <c r="E124" s="59"/>
    </row>
    <row r="125">
      <c r="A125" s="59"/>
      <c r="B125" s="59"/>
      <c r="C125" s="59"/>
      <c r="D125" s="59"/>
      <c r="E125" s="59"/>
    </row>
    <row r="126">
      <c r="A126" s="59"/>
      <c r="B126" s="59"/>
      <c r="C126" s="59"/>
      <c r="D126" s="59"/>
      <c r="E126" s="59"/>
    </row>
    <row r="127">
      <c r="A127" s="59"/>
      <c r="B127" s="59"/>
      <c r="C127" s="59"/>
      <c r="D127" s="59"/>
      <c r="E127" s="59"/>
    </row>
    <row r="128">
      <c r="A128" s="59"/>
      <c r="B128" s="59"/>
      <c r="C128" s="59"/>
      <c r="D128" s="59"/>
      <c r="E128" s="59"/>
    </row>
    <row r="129">
      <c r="A129" s="59"/>
      <c r="B129" s="59"/>
      <c r="C129" s="59"/>
      <c r="D129" s="59"/>
      <c r="E129" s="59"/>
    </row>
    <row r="130">
      <c r="A130" s="59"/>
      <c r="B130" s="59"/>
      <c r="C130" s="59"/>
      <c r="D130" s="59"/>
      <c r="E130" s="59"/>
    </row>
    <row r="131">
      <c r="A131" s="59"/>
      <c r="B131" s="59"/>
      <c r="C131" s="59"/>
      <c r="D131" s="59"/>
      <c r="E131" s="59"/>
    </row>
    <row r="132">
      <c r="A132" s="59"/>
      <c r="B132" s="59"/>
      <c r="C132" s="59"/>
      <c r="D132" s="59"/>
      <c r="E132" s="59"/>
    </row>
    <row r="133">
      <c r="A133" s="59"/>
      <c r="B133" s="59"/>
      <c r="C133" s="59"/>
      <c r="D133" s="59"/>
      <c r="E133" s="59"/>
    </row>
    <row r="134">
      <c r="A134" s="59"/>
      <c r="B134" s="59"/>
      <c r="C134" s="59"/>
      <c r="D134" s="59"/>
      <c r="E134" s="59"/>
    </row>
    <row r="135">
      <c r="A135" s="59"/>
      <c r="B135" s="59"/>
      <c r="C135" s="59"/>
      <c r="D135" s="59"/>
      <c r="E135" s="59"/>
    </row>
    <row r="136">
      <c r="A136" s="59"/>
      <c r="B136" s="59"/>
      <c r="C136" s="59"/>
      <c r="D136" s="59"/>
      <c r="E136" s="59"/>
    </row>
    <row r="137">
      <c r="A137" s="59"/>
      <c r="B137" s="59"/>
      <c r="C137" s="59"/>
      <c r="D137" s="59"/>
      <c r="E137" s="59"/>
    </row>
    <row r="138">
      <c r="A138" s="59"/>
      <c r="B138" s="59"/>
      <c r="C138" s="59"/>
      <c r="D138" s="59"/>
      <c r="E138" s="59"/>
    </row>
    <row r="139">
      <c r="A139" s="59"/>
      <c r="B139" s="59"/>
      <c r="C139" s="59"/>
      <c r="D139" s="59"/>
      <c r="E139" s="59"/>
    </row>
    <row r="140">
      <c r="A140" s="59"/>
      <c r="B140" s="59"/>
      <c r="C140" s="59"/>
      <c r="D140" s="59"/>
      <c r="E140" s="59"/>
    </row>
    <row r="141">
      <c r="A141" s="59"/>
      <c r="B141" s="59"/>
      <c r="C141" s="59"/>
      <c r="D141" s="59"/>
      <c r="E141" s="59"/>
    </row>
    <row r="142">
      <c r="A142" s="59"/>
      <c r="B142" s="59"/>
      <c r="C142" s="59"/>
      <c r="D142" s="59"/>
      <c r="E142" s="59"/>
    </row>
    <row r="143">
      <c r="A143" s="59"/>
      <c r="B143" s="59"/>
      <c r="C143" s="59"/>
      <c r="D143" s="59"/>
      <c r="E143" s="59"/>
    </row>
    <row r="144">
      <c r="A144" s="59"/>
      <c r="B144" s="59"/>
      <c r="C144" s="59"/>
      <c r="D144" s="59"/>
      <c r="E144" s="59"/>
    </row>
    <row r="145">
      <c r="A145" s="59"/>
      <c r="B145" s="59"/>
      <c r="C145" s="59"/>
      <c r="D145" s="59"/>
      <c r="E145" s="59"/>
    </row>
    <row r="146">
      <c r="A146" s="59"/>
      <c r="B146" s="59"/>
      <c r="C146" s="59"/>
      <c r="D146" s="59"/>
      <c r="E146" s="59"/>
    </row>
    <row r="147">
      <c r="A147" s="59"/>
      <c r="B147" s="59"/>
      <c r="C147" s="59"/>
      <c r="D147" s="59"/>
      <c r="E147" s="59"/>
    </row>
    <row r="148">
      <c r="A148" s="59"/>
      <c r="B148" s="59"/>
      <c r="C148" s="59"/>
      <c r="D148" s="59"/>
      <c r="E148" s="59"/>
    </row>
    <row r="149">
      <c r="A149" s="59"/>
      <c r="B149" s="59"/>
      <c r="C149" s="59"/>
      <c r="D149" s="59"/>
      <c r="E149" s="59"/>
    </row>
    <row r="150">
      <c r="A150" s="59"/>
      <c r="B150" s="59"/>
      <c r="C150" s="59"/>
      <c r="D150" s="59"/>
      <c r="E150" s="59"/>
    </row>
    <row r="151">
      <c r="A151" s="59"/>
      <c r="B151" s="59"/>
      <c r="C151" s="59"/>
      <c r="D151" s="59"/>
      <c r="E151" s="59"/>
    </row>
    <row r="152">
      <c r="A152" s="59"/>
      <c r="B152" s="59"/>
      <c r="C152" s="59"/>
      <c r="D152" s="59"/>
      <c r="E152" s="59"/>
    </row>
    <row r="153">
      <c r="A153" s="59"/>
      <c r="B153" s="59"/>
      <c r="C153" s="59"/>
      <c r="D153" s="59"/>
      <c r="E153" s="59"/>
    </row>
    <row r="154">
      <c r="A154" s="59"/>
      <c r="B154" s="59"/>
      <c r="C154" s="59"/>
      <c r="D154" s="59"/>
      <c r="E154" s="59"/>
    </row>
    <row r="155">
      <c r="A155" s="59"/>
      <c r="B155" s="59"/>
      <c r="C155" s="59"/>
      <c r="D155" s="59"/>
      <c r="E155" s="59"/>
    </row>
    <row r="156">
      <c r="A156" s="59"/>
      <c r="B156" s="59"/>
      <c r="C156" s="59"/>
      <c r="D156" s="59"/>
      <c r="E156" s="59"/>
    </row>
    <row r="157">
      <c r="A157" s="59"/>
      <c r="B157" s="59"/>
      <c r="C157" s="59"/>
      <c r="D157" s="59"/>
      <c r="E157" s="59"/>
    </row>
    <row r="158">
      <c r="A158" s="59"/>
      <c r="B158" s="59"/>
      <c r="C158" s="59"/>
      <c r="D158" s="59"/>
      <c r="E158" s="59"/>
    </row>
    <row r="159">
      <c r="A159" s="59"/>
      <c r="B159" s="59"/>
      <c r="C159" s="59"/>
      <c r="D159" s="59"/>
      <c r="E159" s="59"/>
    </row>
    <row r="160">
      <c r="A160" s="59"/>
      <c r="B160" s="59"/>
      <c r="C160" s="59"/>
      <c r="D160" s="59"/>
      <c r="E160" s="59"/>
    </row>
    <row r="161">
      <c r="A161" s="59"/>
      <c r="B161" s="59"/>
      <c r="C161" s="59"/>
      <c r="D161" s="59"/>
      <c r="E161" s="59"/>
    </row>
    <row r="162">
      <c r="A162" s="59"/>
      <c r="B162" s="59"/>
      <c r="C162" s="59"/>
      <c r="D162" s="59"/>
      <c r="E162" s="59"/>
    </row>
    <row r="163">
      <c r="A163" s="59"/>
      <c r="B163" s="59"/>
      <c r="C163" s="59"/>
      <c r="D163" s="59"/>
      <c r="E163" s="59"/>
    </row>
    <row r="164">
      <c r="A164" s="59"/>
      <c r="B164" s="59"/>
      <c r="C164" s="59"/>
      <c r="D164" s="59"/>
      <c r="E164" s="59"/>
    </row>
    <row r="165">
      <c r="A165" s="59"/>
      <c r="B165" s="59"/>
      <c r="C165" s="59"/>
      <c r="D165" s="59"/>
      <c r="E165" s="59"/>
    </row>
    <row r="166">
      <c r="A166" s="59"/>
      <c r="B166" s="59"/>
      <c r="C166" s="59"/>
      <c r="D166" s="59"/>
      <c r="E166" s="59"/>
    </row>
    <row r="167">
      <c r="A167" s="59"/>
      <c r="B167" s="59"/>
      <c r="C167" s="59"/>
      <c r="D167" s="59"/>
      <c r="E167" s="59"/>
    </row>
    <row r="168">
      <c r="A168" s="59"/>
      <c r="B168" s="59"/>
      <c r="C168" s="59"/>
      <c r="D168" s="59"/>
      <c r="E168" s="59"/>
    </row>
    <row r="169">
      <c r="A169" s="59"/>
      <c r="B169" s="59"/>
      <c r="C169" s="59"/>
      <c r="D169" s="59"/>
      <c r="E169" s="59"/>
    </row>
    <row r="170">
      <c r="A170" s="59"/>
      <c r="B170" s="59"/>
      <c r="C170" s="59"/>
      <c r="D170" s="59"/>
      <c r="E170" s="59"/>
    </row>
    <row r="171">
      <c r="A171" s="59"/>
      <c r="B171" s="59"/>
      <c r="C171" s="59"/>
      <c r="D171" s="59"/>
      <c r="E171" s="59"/>
    </row>
    <row r="172">
      <c r="A172" s="59"/>
      <c r="B172" s="59"/>
      <c r="C172" s="59"/>
      <c r="D172" s="59"/>
      <c r="E172" s="59"/>
    </row>
    <row r="173">
      <c r="A173" s="59"/>
      <c r="B173" s="59"/>
      <c r="C173" s="59"/>
      <c r="D173" s="59"/>
      <c r="E173" s="59"/>
    </row>
    <row r="174">
      <c r="A174" s="59"/>
      <c r="B174" s="59"/>
      <c r="C174" s="59"/>
      <c r="D174" s="59"/>
      <c r="E174" s="59"/>
    </row>
    <row r="175">
      <c r="A175" s="59"/>
      <c r="B175" s="59"/>
      <c r="C175" s="59"/>
      <c r="D175" s="59"/>
      <c r="E175" s="59"/>
    </row>
    <row r="176">
      <c r="A176" s="59"/>
      <c r="B176" s="59"/>
      <c r="C176" s="59"/>
      <c r="D176" s="59"/>
      <c r="E176" s="59"/>
    </row>
    <row r="177">
      <c r="A177" s="59"/>
      <c r="B177" s="59"/>
      <c r="C177" s="59"/>
      <c r="D177" s="59"/>
      <c r="E177" s="59"/>
    </row>
    <row r="178">
      <c r="A178" s="59"/>
      <c r="B178" s="59"/>
      <c r="C178" s="59"/>
      <c r="D178" s="59"/>
      <c r="E178" s="59"/>
    </row>
    <row r="179">
      <c r="A179" s="59"/>
      <c r="B179" s="59"/>
      <c r="C179" s="59"/>
      <c r="D179" s="59"/>
      <c r="E179" s="59"/>
    </row>
    <row r="180">
      <c r="A180" s="59"/>
      <c r="B180" s="59"/>
      <c r="C180" s="59"/>
      <c r="D180" s="59"/>
      <c r="E180" s="59"/>
    </row>
    <row r="181">
      <c r="A181" s="59"/>
      <c r="B181" s="59"/>
      <c r="C181" s="59"/>
      <c r="D181" s="59"/>
      <c r="E181" s="59"/>
    </row>
    <row r="182">
      <c r="A182" s="59"/>
      <c r="B182" s="59"/>
      <c r="C182" s="59"/>
      <c r="D182" s="59"/>
      <c r="E182" s="59"/>
    </row>
    <row r="183">
      <c r="A183" s="59"/>
      <c r="B183" s="59"/>
      <c r="C183" s="59"/>
      <c r="D183" s="59"/>
      <c r="E183" s="59"/>
    </row>
    <row r="184">
      <c r="A184" s="59"/>
      <c r="B184" s="59"/>
      <c r="C184" s="59"/>
      <c r="D184" s="59"/>
      <c r="E184" s="59"/>
    </row>
    <row r="185">
      <c r="A185" s="59"/>
      <c r="B185" s="59"/>
      <c r="C185" s="59"/>
      <c r="D185" s="59"/>
      <c r="E185" s="59"/>
    </row>
    <row r="186">
      <c r="A186" s="59"/>
      <c r="B186" s="59"/>
      <c r="C186" s="59"/>
      <c r="D186" s="59"/>
      <c r="E186" s="59"/>
    </row>
    <row r="187">
      <c r="A187" s="59"/>
      <c r="B187" s="59"/>
      <c r="C187" s="59"/>
      <c r="D187" s="59"/>
      <c r="E187" s="59"/>
    </row>
    <row r="188">
      <c r="A188" s="59"/>
      <c r="B188" s="59"/>
      <c r="C188" s="59"/>
      <c r="D188" s="59"/>
      <c r="E188" s="59"/>
    </row>
    <row r="189">
      <c r="A189" s="59"/>
      <c r="B189" s="59"/>
      <c r="C189" s="59"/>
      <c r="D189" s="59"/>
      <c r="E189" s="59"/>
    </row>
    <row r="190">
      <c r="A190" s="59"/>
      <c r="B190" s="59"/>
      <c r="C190" s="59"/>
      <c r="D190" s="59"/>
      <c r="E190" s="59"/>
    </row>
    <row r="191">
      <c r="A191" s="59"/>
      <c r="B191" s="59"/>
      <c r="C191" s="59"/>
      <c r="D191" s="59"/>
      <c r="E191" s="59"/>
    </row>
    <row r="192">
      <c r="A192" s="59"/>
      <c r="B192" s="59"/>
      <c r="C192" s="59"/>
      <c r="D192" s="59"/>
      <c r="E192" s="59"/>
    </row>
    <row r="193">
      <c r="A193" s="59"/>
      <c r="B193" s="59"/>
      <c r="C193" s="59"/>
      <c r="D193" s="59"/>
      <c r="E193" s="59"/>
    </row>
    <row r="194">
      <c r="A194" s="59"/>
      <c r="B194" s="59"/>
      <c r="C194" s="59"/>
      <c r="D194" s="59"/>
      <c r="E194" s="59"/>
    </row>
    <row r="195">
      <c r="A195" s="59"/>
      <c r="B195" s="59"/>
      <c r="C195" s="59"/>
      <c r="D195" s="59"/>
      <c r="E195" s="59"/>
    </row>
    <row r="196">
      <c r="A196" s="59"/>
      <c r="B196" s="59"/>
      <c r="C196" s="59"/>
      <c r="D196" s="59"/>
      <c r="E196" s="59"/>
    </row>
    <row r="197">
      <c r="A197" s="59"/>
      <c r="B197" s="59"/>
      <c r="C197" s="59"/>
      <c r="D197" s="59"/>
      <c r="E197" s="59"/>
    </row>
    <row r="198">
      <c r="A198" s="59"/>
      <c r="B198" s="59"/>
      <c r="C198" s="59"/>
      <c r="D198" s="59"/>
      <c r="E198" s="59"/>
    </row>
    <row r="199">
      <c r="A199" s="59"/>
      <c r="B199" s="59"/>
      <c r="C199" s="59"/>
      <c r="D199" s="59"/>
      <c r="E199" s="59"/>
    </row>
    <row r="200">
      <c r="A200" s="59"/>
      <c r="B200" s="59"/>
      <c r="C200" s="59"/>
      <c r="D200" s="59"/>
      <c r="E200" s="59"/>
    </row>
    <row r="201">
      <c r="A201" s="59"/>
      <c r="B201" s="59"/>
      <c r="C201" s="59"/>
      <c r="D201" s="59"/>
      <c r="E201" s="59"/>
    </row>
    <row r="202">
      <c r="A202" s="59"/>
      <c r="B202" s="59"/>
      <c r="C202" s="59"/>
      <c r="D202" s="59"/>
      <c r="E202" s="59"/>
    </row>
    <row r="203">
      <c r="A203" s="59"/>
      <c r="B203" s="59"/>
      <c r="C203" s="59"/>
      <c r="D203" s="59"/>
      <c r="E203" s="59"/>
    </row>
    <row r="204">
      <c r="A204" s="59"/>
      <c r="B204" s="59"/>
      <c r="C204" s="59"/>
      <c r="D204" s="59"/>
      <c r="E204" s="59"/>
    </row>
    <row r="205">
      <c r="A205" s="59"/>
      <c r="B205" s="59"/>
      <c r="C205" s="59"/>
      <c r="D205" s="59"/>
      <c r="E205" s="59"/>
    </row>
    <row r="206">
      <c r="A206" s="59"/>
      <c r="B206" s="59"/>
      <c r="C206" s="59"/>
      <c r="D206" s="59"/>
      <c r="E206" s="59"/>
    </row>
    <row r="207">
      <c r="A207" s="59"/>
      <c r="B207" s="59"/>
      <c r="C207" s="59"/>
      <c r="D207" s="59"/>
      <c r="E207" s="59"/>
    </row>
    <row r="208">
      <c r="A208" s="59"/>
      <c r="B208" s="59"/>
      <c r="C208" s="59"/>
      <c r="D208" s="59"/>
      <c r="E208" s="59"/>
    </row>
    <row r="209">
      <c r="A209" s="59"/>
      <c r="B209" s="59"/>
      <c r="C209" s="59"/>
      <c r="D209" s="59"/>
      <c r="E209" s="59"/>
    </row>
    <row r="210">
      <c r="A210" s="59"/>
      <c r="B210" s="59"/>
      <c r="C210" s="59"/>
      <c r="D210" s="59"/>
      <c r="E210" s="59"/>
    </row>
    <row r="211">
      <c r="A211" s="59"/>
      <c r="B211" s="59"/>
      <c r="C211" s="59"/>
      <c r="D211" s="59"/>
      <c r="E211" s="59"/>
    </row>
    <row r="212">
      <c r="A212" s="59"/>
      <c r="B212" s="59"/>
      <c r="C212" s="59"/>
      <c r="D212" s="59"/>
      <c r="E212" s="59"/>
    </row>
    <row r="213">
      <c r="A213" s="59"/>
      <c r="B213" s="59"/>
      <c r="C213" s="59"/>
      <c r="D213" s="59"/>
      <c r="E213" s="59"/>
    </row>
    <row r="214">
      <c r="A214" s="59"/>
      <c r="B214" s="59"/>
      <c r="C214" s="59"/>
      <c r="D214" s="59"/>
      <c r="E214" s="59"/>
    </row>
    <row r="215">
      <c r="A215" s="59"/>
      <c r="B215" s="59"/>
      <c r="C215" s="59"/>
      <c r="D215" s="59"/>
      <c r="E215" s="59"/>
    </row>
    <row r="216">
      <c r="A216" s="59"/>
      <c r="B216" s="59"/>
      <c r="C216" s="59"/>
      <c r="D216" s="59"/>
      <c r="E216" s="59"/>
    </row>
    <row r="217">
      <c r="A217" s="59"/>
      <c r="B217" s="59"/>
      <c r="C217" s="59"/>
      <c r="D217" s="59"/>
      <c r="E217" s="59"/>
    </row>
    <row r="218">
      <c r="A218" s="59"/>
      <c r="B218" s="59"/>
      <c r="C218" s="59"/>
      <c r="D218" s="59"/>
      <c r="E218" s="59"/>
    </row>
    <row r="219">
      <c r="A219" s="59"/>
      <c r="B219" s="59"/>
      <c r="C219" s="59"/>
      <c r="D219" s="59"/>
      <c r="E219" s="59"/>
    </row>
    <row r="220">
      <c r="A220" s="59"/>
      <c r="B220" s="59"/>
      <c r="C220" s="59"/>
      <c r="D220" s="59"/>
      <c r="E220" s="59"/>
    </row>
    <row r="221">
      <c r="A221" s="59"/>
      <c r="B221" s="59"/>
      <c r="C221" s="59"/>
      <c r="D221" s="59"/>
      <c r="E221" s="59"/>
    </row>
    <row r="222">
      <c r="A222" s="59"/>
      <c r="B222" s="59"/>
      <c r="C222" s="59"/>
      <c r="D222" s="59"/>
      <c r="E222" s="59"/>
    </row>
    <row r="223">
      <c r="A223" s="59"/>
      <c r="B223" s="59"/>
      <c r="C223" s="59"/>
      <c r="D223" s="59"/>
      <c r="E223" s="59"/>
    </row>
    <row r="224">
      <c r="A224" s="59"/>
      <c r="B224" s="59"/>
      <c r="C224" s="59"/>
      <c r="D224" s="59"/>
      <c r="E224" s="59"/>
    </row>
    <row r="225">
      <c r="A225" s="59"/>
      <c r="B225" s="59"/>
      <c r="C225" s="59"/>
      <c r="D225" s="59"/>
      <c r="E225" s="59"/>
    </row>
    <row r="226">
      <c r="A226" s="59"/>
      <c r="B226" s="59"/>
      <c r="C226" s="59"/>
      <c r="D226" s="59"/>
      <c r="E226" s="59"/>
    </row>
    <row r="227">
      <c r="A227" s="59"/>
      <c r="B227" s="59"/>
      <c r="C227" s="59"/>
      <c r="D227" s="59"/>
      <c r="E227" s="59"/>
    </row>
    <row r="228">
      <c r="A228" s="59"/>
      <c r="B228" s="59"/>
      <c r="C228" s="59"/>
      <c r="D228" s="59"/>
      <c r="E228" s="59"/>
    </row>
    <row r="229">
      <c r="A229" s="59"/>
      <c r="B229" s="59"/>
      <c r="C229" s="59"/>
      <c r="D229" s="59"/>
      <c r="E229" s="59"/>
    </row>
    <row r="230">
      <c r="A230" s="59"/>
      <c r="B230" s="59"/>
      <c r="C230" s="59"/>
      <c r="D230" s="59"/>
      <c r="E230" s="59"/>
    </row>
    <row r="231">
      <c r="A231" s="59"/>
      <c r="B231" s="59"/>
      <c r="C231" s="59"/>
      <c r="D231" s="59"/>
      <c r="E231" s="59"/>
    </row>
    <row r="232">
      <c r="A232" s="59"/>
      <c r="B232" s="59"/>
      <c r="C232" s="59"/>
      <c r="D232" s="59"/>
      <c r="E232" s="59"/>
    </row>
    <row r="233">
      <c r="A233" s="59"/>
      <c r="B233" s="59"/>
      <c r="C233" s="59"/>
      <c r="D233" s="59"/>
      <c r="E233" s="59"/>
    </row>
    <row r="234">
      <c r="A234" s="59"/>
      <c r="B234" s="59"/>
      <c r="C234" s="59"/>
      <c r="D234" s="59"/>
      <c r="E234" s="59"/>
    </row>
    <row r="235">
      <c r="A235" s="59"/>
      <c r="B235" s="59"/>
      <c r="C235" s="59"/>
      <c r="D235" s="59"/>
      <c r="E235" s="59"/>
    </row>
    <row r="236">
      <c r="A236" s="59"/>
      <c r="B236" s="59"/>
      <c r="C236" s="59"/>
      <c r="D236" s="59"/>
      <c r="E236" s="59"/>
    </row>
    <row r="237">
      <c r="A237" s="59"/>
      <c r="B237" s="59"/>
      <c r="C237" s="59"/>
      <c r="D237" s="59"/>
      <c r="E237" s="59"/>
    </row>
    <row r="238">
      <c r="A238" s="59"/>
      <c r="B238" s="59"/>
      <c r="C238" s="59"/>
      <c r="D238" s="59"/>
      <c r="E238" s="59"/>
    </row>
    <row r="239">
      <c r="A239" s="59"/>
      <c r="B239" s="59"/>
      <c r="C239" s="59"/>
      <c r="D239" s="59"/>
      <c r="E239" s="59"/>
    </row>
    <row r="240">
      <c r="A240" s="59"/>
      <c r="B240" s="59"/>
      <c r="C240" s="59"/>
      <c r="D240" s="59"/>
      <c r="E240" s="59"/>
    </row>
    <row r="241">
      <c r="A241" s="59"/>
      <c r="B241" s="59"/>
      <c r="C241" s="59"/>
      <c r="D241" s="59"/>
      <c r="E241" s="59"/>
    </row>
    <row r="242">
      <c r="A242" s="59"/>
      <c r="B242" s="59"/>
      <c r="C242" s="59"/>
      <c r="D242" s="59"/>
      <c r="E242" s="59"/>
    </row>
    <row r="243">
      <c r="A243" s="59"/>
      <c r="B243" s="59"/>
      <c r="C243" s="59"/>
      <c r="D243" s="59"/>
      <c r="E243" s="59"/>
    </row>
    <row r="244">
      <c r="A244" s="59"/>
      <c r="B244" s="59"/>
      <c r="C244" s="59"/>
      <c r="D244" s="59"/>
      <c r="E244" s="59"/>
    </row>
    <row r="245">
      <c r="A245" s="59"/>
      <c r="B245" s="59"/>
      <c r="C245" s="59"/>
      <c r="D245" s="59"/>
      <c r="E245" s="59"/>
    </row>
    <row r="246">
      <c r="A246" s="59"/>
      <c r="B246" s="59"/>
      <c r="C246" s="59"/>
      <c r="D246" s="59"/>
      <c r="E246" s="59"/>
    </row>
    <row r="247">
      <c r="A247" s="59"/>
      <c r="B247" s="59"/>
      <c r="C247" s="59"/>
      <c r="D247" s="59"/>
      <c r="E247" s="59"/>
    </row>
    <row r="248">
      <c r="A248" s="59"/>
      <c r="B248" s="59"/>
      <c r="C248" s="59"/>
      <c r="D248" s="59"/>
      <c r="E248" s="59"/>
    </row>
    <row r="249">
      <c r="A249" s="59"/>
      <c r="B249" s="59"/>
      <c r="C249" s="59"/>
      <c r="D249" s="59"/>
      <c r="E249" s="59"/>
    </row>
    <row r="250">
      <c r="A250" s="59"/>
      <c r="B250" s="59"/>
      <c r="C250" s="59"/>
      <c r="D250" s="59"/>
      <c r="E250" s="59"/>
    </row>
    <row r="251">
      <c r="A251" s="59"/>
      <c r="B251" s="59"/>
      <c r="C251" s="59"/>
      <c r="D251" s="59"/>
      <c r="E251" s="59"/>
    </row>
    <row r="252">
      <c r="A252" s="59"/>
      <c r="B252" s="59"/>
      <c r="C252" s="59"/>
      <c r="D252" s="59"/>
      <c r="E252" s="59"/>
    </row>
    <row r="253">
      <c r="A253" s="59"/>
      <c r="B253" s="59"/>
      <c r="C253" s="59"/>
      <c r="D253" s="59"/>
      <c r="E253" s="59"/>
    </row>
    <row r="254">
      <c r="A254" s="59"/>
      <c r="B254" s="59"/>
      <c r="C254" s="59"/>
      <c r="D254" s="59"/>
      <c r="E254" s="59"/>
    </row>
    <row r="255">
      <c r="A255" s="59"/>
      <c r="B255" s="59"/>
      <c r="C255" s="59"/>
      <c r="D255" s="59"/>
      <c r="E255" s="59"/>
    </row>
    <row r="256">
      <c r="A256" s="59"/>
      <c r="B256" s="59"/>
      <c r="C256" s="59"/>
      <c r="D256" s="59"/>
      <c r="E256" s="59"/>
    </row>
    <row r="257">
      <c r="A257" s="59"/>
      <c r="B257" s="59"/>
      <c r="C257" s="59"/>
      <c r="D257" s="59"/>
      <c r="E257" s="59"/>
    </row>
    <row r="258">
      <c r="A258" s="59"/>
      <c r="B258" s="59"/>
      <c r="C258" s="59"/>
      <c r="D258" s="59"/>
      <c r="E258" s="59"/>
    </row>
    <row r="259">
      <c r="A259" s="59"/>
      <c r="B259" s="59"/>
      <c r="C259" s="59"/>
      <c r="D259" s="59"/>
      <c r="E259" s="59"/>
    </row>
    <row r="260">
      <c r="A260" s="59"/>
      <c r="B260" s="59"/>
      <c r="C260" s="59"/>
      <c r="D260" s="59"/>
      <c r="E260" s="59"/>
    </row>
    <row r="261">
      <c r="A261" s="59"/>
      <c r="B261" s="59"/>
      <c r="C261" s="59"/>
      <c r="D261" s="59"/>
      <c r="E261" s="59"/>
    </row>
    <row r="262">
      <c r="A262" s="59"/>
      <c r="B262" s="59"/>
      <c r="C262" s="59"/>
      <c r="D262" s="59"/>
      <c r="E262" s="59"/>
    </row>
    <row r="263">
      <c r="A263" s="59"/>
      <c r="B263" s="59"/>
      <c r="C263" s="59"/>
      <c r="D263" s="59"/>
      <c r="E263" s="59"/>
    </row>
    <row r="264">
      <c r="A264" s="59"/>
      <c r="B264" s="59"/>
      <c r="C264" s="59"/>
      <c r="D264" s="59"/>
      <c r="E264" s="59"/>
    </row>
    <row r="265">
      <c r="A265" s="59"/>
      <c r="B265" s="59"/>
      <c r="C265" s="59"/>
      <c r="D265" s="59"/>
      <c r="E265" s="59"/>
    </row>
    <row r="266">
      <c r="A266" s="59"/>
      <c r="B266" s="59"/>
      <c r="C266" s="59"/>
      <c r="D266" s="59"/>
      <c r="E266" s="59"/>
    </row>
    <row r="267">
      <c r="A267" s="59"/>
      <c r="B267" s="59"/>
      <c r="C267" s="59"/>
      <c r="D267" s="59"/>
      <c r="E267" s="59"/>
    </row>
    <row r="268">
      <c r="A268" s="59"/>
      <c r="B268" s="59"/>
      <c r="C268" s="59"/>
      <c r="D268" s="59"/>
      <c r="E268" s="59"/>
    </row>
    <row r="269">
      <c r="A269" s="59"/>
      <c r="B269" s="59"/>
      <c r="C269" s="59"/>
      <c r="D269" s="59"/>
      <c r="E269" s="59"/>
    </row>
    <row r="270">
      <c r="A270" s="59"/>
      <c r="B270" s="59"/>
      <c r="C270" s="59"/>
      <c r="D270" s="59"/>
      <c r="E270" s="59"/>
    </row>
    <row r="271">
      <c r="A271" s="59"/>
      <c r="B271" s="59"/>
      <c r="C271" s="59"/>
      <c r="D271" s="59"/>
      <c r="E271" s="59"/>
    </row>
    <row r="272">
      <c r="A272" s="59"/>
      <c r="B272" s="59"/>
      <c r="C272" s="59"/>
      <c r="D272" s="59"/>
      <c r="E272" s="59"/>
    </row>
    <row r="273">
      <c r="A273" s="59"/>
      <c r="B273" s="59"/>
      <c r="C273" s="59"/>
      <c r="D273" s="59"/>
      <c r="E273" s="59"/>
    </row>
    <row r="274">
      <c r="A274" s="59"/>
      <c r="B274" s="59"/>
      <c r="C274" s="59"/>
      <c r="D274" s="59"/>
      <c r="E274" s="59"/>
    </row>
    <row r="275">
      <c r="A275" s="59"/>
      <c r="B275" s="59"/>
      <c r="C275" s="59"/>
      <c r="D275" s="59"/>
      <c r="E275" s="59"/>
    </row>
    <row r="276">
      <c r="A276" s="59"/>
      <c r="B276" s="59"/>
      <c r="C276" s="59"/>
      <c r="D276" s="59"/>
      <c r="E276" s="59"/>
    </row>
    <row r="277">
      <c r="A277" s="59"/>
      <c r="B277" s="59"/>
      <c r="C277" s="59"/>
      <c r="D277" s="59"/>
      <c r="E277" s="59"/>
    </row>
    <row r="278">
      <c r="A278" s="59"/>
      <c r="B278" s="59"/>
      <c r="C278" s="59"/>
      <c r="D278" s="59"/>
      <c r="E278" s="59"/>
    </row>
    <row r="279">
      <c r="A279" s="59"/>
      <c r="B279" s="59"/>
      <c r="C279" s="59"/>
      <c r="D279" s="59"/>
      <c r="E279" s="59"/>
    </row>
    <row r="280">
      <c r="A280" s="59"/>
      <c r="B280" s="59"/>
      <c r="C280" s="59"/>
      <c r="D280" s="59"/>
      <c r="E280" s="59"/>
    </row>
    <row r="281">
      <c r="A281" s="59"/>
      <c r="B281" s="59"/>
      <c r="C281" s="59"/>
      <c r="D281" s="59"/>
      <c r="E281" s="59"/>
    </row>
    <row r="282">
      <c r="A282" s="59"/>
      <c r="B282" s="59"/>
      <c r="C282" s="59"/>
      <c r="D282" s="59"/>
      <c r="E282" s="59"/>
    </row>
    <row r="283">
      <c r="A283" s="59"/>
      <c r="B283" s="59"/>
      <c r="C283" s="59"/>
      <c r="D283" s="59"/>
      <c r="E283" s="59"/>
    </row>
    <row r="284">
      <c r="A284" s="59"/>
      <c r="B284" s="59"/>
      <c r="C284" s="59"/>
      <c r="D284" s="59"/>
      <c r="E284" s="59"/>
    </row>
    <row r="285">
      <c r="A285" s="59"/>
      <c r="B285" s="59"/>
      <c r="C285" s="59"/>
      <c r="D285" s="59"/>
      <c r="E285" s="59"/>
    </row>
    <row r="286">
      <c r="A286" s="59"/>
      <c r="B286" s="59"/>
      <c r="C286" s="59"/>
      <c r="D286" s="59"/>
      <c r="E286" s="59"/>
    </row>
    <row r="287">
      <c r="A287" s="59"/>
      <c r="B287" s="59"/>
      <c r="C287" s="59"/>
      <c r="D287" s="59"/>
      <c r="E287" s="59"/>
    </row>
    <row r="288">
      <c r="A288" s="59"/>
      <c r="B288" s="59"/>
      <c r="C288" s="59"/>
      <c r="D288" s="59"/>
      <c r="E288" s="59"/>
    </row>
    <row r="289">
      <c r="A289" s="59"/>
      <c r="B289" s="59"/>
      <c r="C289" s="59"/>
      <c r="D289" s="59"/>
      <c r="E289" s="59"/>
    </row>
    <row r="290">
      <c r="A290" s="59"/>
      <c r="B290" s="59"/>
      <c r="C290" s="59"/>
      <c r="D290" s="59"/>
      <c r="E290" s="59"/>
    </row>
    <row r="291">
      <c r="A291" s="59"/>
      <c r="B291" s="59"/>
      <c r="C291" s="59"/>
      <c r="D291" s="59"/>
      <c r="E291" s="59"/>
    </row>
    <row r="292">
      <c r="A292" s="59"/>
      <c r="B292" s="59"/>
      <c r="C292" s="59"/>
      <c r="D292" s="59"/>
      <c r="E292" s="59"/>
    </row>
    <row r="293">
      <c r="A293" s="59"/>
      <c r="B293" s="59"/>
      <c r="C293" s="59"/>
      <c r="D293" s="59"/>
      <c r="E293" s="59"/>
    </row>
    <row r="294">
      <c r="A294" s="59"/>
      <c r="B294" s="59"/>
      <c r="C294" s="59"/>
      <c r="D294" s="59"/>
      <c r="E294" s="59"/>
    </row>
    <row r="295">
      <c r="A295" s="59"/>
      <c r="B295" s="59"/>
      <c r="C295" s="59"/>
      <c r="D295" s="59"/>
      <c r="E295" s="59"/>
    </row>
    <row r="296">
      <c r="A296" s="59"/>
      <c r="B296" s="59"/>
      <c r="C296" s="59"/>
      <c r="D296" s="59"/>
      <c r="E296" s="59"/>
    </row>
    <row r="297">
      <c r="A297" s="59"/>
      <c r="B297" s="59"/>
      <c r="C297" s="59"/>
      <c r="D297" s="59"/>
      <c r="E297" s="59"/>
    </row>
    <row r="298">
      <c r="A298" s="59"/>
      <c r="B298" s="59"/>
      <c r="C298" s="59"/>
      <c r="D298" s="59"/>
      <c r="E298" s="59"/>
    </row>
    <row r="299">
      <c r="A299" s="59"/>
      <c r="B299" s="59"/>
      <c r="C299" s="59"/>
      <c r="D299" s="59"/>
      <c r="E299" s="59"/>
    </row>
    <row r="300">
      <c r="A300" s="59"/>
      <c r="B300" s="59"/>
      <c r="C300" s="59"/>
      <c r="D300" s="59"/>
      <c r="E300" s="59"/>
    </row>
    <row r="301">
      <c r="A301" s="59"/>
      <c r="B301" s="59"/>
      <c r="C301" s="59"/>
      <c r="D301" s="59"/>
      <c r="E301" s="59"/>
    </row>
    <row r="302">
      <c r="A302" s="59"/>
      <c r="B302" s="59"/>
      <c r="C302" s="59"/>
      <c r="D302" s="59"/>
      <c r="E302" s="59"/>
    </row>
    <row r="303">
      <c r="A303" s="59"/>
      <c r="B303" s="59"/>
      <c r="C303" s="59"/>
      <c r="D303" s="59"/>
      <c r="E303" s="59"/>
    </row>
    <row r="304">
      <c r="A304" s="59"/>
      <c r="B304" s="59"/>
      <c r="C304" s="59"/>
      <c r="D304" s="59"/>
      <c r="E304" s="59"/>
    </row>
    <row r="305">
      <c r="A305" s="59"/>
      <c r="B305" s="59"/>
      <c r="C305" s="59"/>
      <c r="D305" s="59"/>
      <c r="E305" s="59"/>
    </row>
    <row r="306">
      <c r="A306" s="59"/>
      <c r="B306" s="59"/>
      <c r="C306" s="59"/>
      <c r="D306" s="59"/>
      <c r="E306" s="59"/>
    </row>
    <row r="307">
      <c r="A307" s="59"/>
      <c r="B307" s="59"/>
      <c r="C307" s="59"/>
      <c r="D307" s="59"/>
      <c r="E307" s="59"/>
    </row>
    <row r="308">
      <c r="A308" s="59"/>
      <c r="B308" s="59"/>
      <c r="C308" s="59"/>
      <c r="D308" s="59"/>
      <c r="E308" s="59"/>
    </row>
    <row r="309">
      <c r="A309" s="59"/>
      <c r="B309" s="59"/>
      <c r="C309" s="59"/>
      <c r="D309" s="59"/>
      <c r="E309" s="59"/>
    </row>
    <row r="310">
      <c r="A310" s="59"/>
      <c r="B310" s="59"/>
      <c r="C310" s="59"/>
      <c r="D310" s="59"/>
      <c r="E310" s="59"/>
    </row>
    <row r="311">
      <c r="A311" s="59"/>
      <c r="B311" s="59"/>
      <c r="C311" s="59"/>
      <c r="D311" s="59"/>
      <c r="E311" s="59"/>
    </row>
    <row r="312">
      <c r="A312" s="59"/>
      <c r="B312" s="59"/>
      <c r="C312" s="59"/>
      <c r="D312" s="59"/>
      <c r="E312" s="59"/>
    </row>
    <row r="313">
      <c r="A313" s="59"/>
      <c r="B313" s="59"/>
      <c r="C313" s="59"/>
      <c r="D313" s="59"/>
      <c r="E313" s="59"/>
    </row>
    <row r="314">
      <c r="A314" s="59"/>
      <c r="B314" s="59"/>
      <c r="C314" s="59"/>
      <c r="D314" s="59"/>
      <c r="E314" s="59"/>
    </row>
    <row r="315">
      <c r="A315" s="59"/>
      <c r="B315" s="59"/>
      <c r="C315" s="59"/>
      <c r="D315" s="59"/>
      <c r="E315" s="59"/>
    </row>
    <row r="316">
      <c r="A316" s="59"/>
      <c r="B316" s="59"/>
      <c r="C316" s="59"/>
      <c r="D316" s="59"/>
      <c r="E316" s="59"/>
    </row>
    <row r="317">
      <c r="A317" s="59"/>
      <c r="B317" s="59"/>
      <c r="C317" s="59"/>
      <c r="D317" s="59"/>
      <c r="E317" s="59"/>
    </row>
    <row r="318">
      <c r="A318" s="59"/>
      <c r="B318" s="59"/>
      <c r="C318" s="59"/>
      <c r="D318" s="59"/>
      <c r="E318" s="59"/>
    </row>
    <row r="319">
      <c r="A319" s="59"/>
      <c r="B319" s="59"/>
      <c r="C319" s="59"/>
      <c r="D319" s="59"/>
      <c r="E319" s="59"/>
    </row>
    <row r="320">
      <c r="A320" s="59"/>
      <c r="B320" s="59"/>
      <c r="C320" s="59"/>
      <c r="D320" s="59"/>
      <c r="E320" s="59"/>
    </row>
    <row r="321">
      <c r="A321" s="59"/>
      <c r="B321" s="59"/>
      <c r="C321" s="59"/>
      <c r="D321" s="59"/>
      <c r="E321" s="59"/>
    </row>
    <row r="322">
      <c r="A322" s="59"/>
      <c r="B322" s="59"/>
      <c r="C322" s="59"/>
      <c r="D322" s="59"/>
      <c r="E322" s="59"/>
    </row>
    <row r="323">
      <c r="A323" s="59"/>
      <c r="B323" s="59"/>
      <c r="C323" s="59"/>
      <c r="D323" s="59"/>
      <c r="E323" s="59"/>
    </row>
    <row r="324">
      <c r="A324" s="59"/>
      <c r="B324" s="59"/>
      <c r="C324" s="59"/>
      <c r="D324" s="59"/>
      <c r="E324" s="59"/>
    </row>
    <row r="325">
      <c r="A325" s="59"/>
      <c r="B325" s="59"/>
      <c r="C325" s="59"/>
      <c r="D325" s="59"/>
      <c r="E325" s="59"/>
    </row>
    <row r="326">
      <c r="A326" s="59"/>
      <c r="B326" s="59"/>
      <c r="C326" s="59"/>
      <c r="D326" s="59"/>
      <c r="E326" s="59"/>
    </row>
    <row r="327">
      <c r="A327" s="59"/>
      <c r="B327" s="59"/>
      <c r="C327" s="59"/>
      <c r="D327" s="59"/>
      <c r="E327" s="59"/>
    </row>
    <row r="328">
      <c r="A328" s="59"/>
      <c r="B328" s="59"/>
      <c r="C328" s="59"/>
      <c r="D328" s="59"/>
      <c r="E328" s="59"/>
    </row>
    <row r="329">
      <c r="A329" s="59"/>
      <c r="B329" s="59"/>
      <c r="C329" s="59"/>
      <c r="D329" s="59"/>
      <c r="E329" s="59"/>
    </row>
    <row r="330">
      <c r="A330" s="59"/>
      <c r="B330" s="59"/>
      <c r="C330" s="59"/>
      <c r="D330" s="59"/>
      <c r="E330" s="59"/>
    </row>
    <row r="331">
      <c r="A331" s="59"/>
      <c r="B331" s="59"/>
      <c r="C331" s="59"/>
      <c r="D331" s="59"/>
      <c r="E331" s="59"/>
    </row>
    <row r="332">
      <c r="A332" s="59"/>
      <c r="B332" s="59"/>
      <c r="C332" s="59"/>
      <c r="D332" s="59"/>
      <c r="E332" s="59"/>
    </row>
    <row r="333">
      <c r="A333" s="59"/>
      <c r="B333" s="59"/>
      <c r="C333" s="59"/>
      <c r="D333" s="59"/>
      <c r="E333" s="59"/>
    </row>
    <row r="334">
      <c r="A334" s="59"/>
      <c r="B334" s="59"/>
      <c r="C334" s="59"/>
      <c r="D334" s="59"/>
      <c r="E334" s="59"/>
    </row>
    <row r="335">
      <c r="A335" s="59"/>
      <c r="B335" s="59"/>
      <c r="C335" s="59"/>
      <c r="D335" s="59"/>
      <c r="E335" s="59"/>
    </row>
    <row r="336">
      <c r="A336" s="59"/>
      <c r="B336" s="59"/>
      <c r="C336" s="59"/>
      <c r="D336" s="59"/>
      <c r="E336" s="59"/>
    </row>
    <row r="337">
      <c r="A337" s="59"/>
      <c r="B337" s="59"/>
      <c r="C337" s="59"/>
      <c r="D337" s="59"/>
      <c r="E337" s="59"/>
    </row>
    <row r="338">
      <c r="A338" s="59"/>
      <c r="B338" s="59"/>
      <c r="C338" s="59"/>
      <c r="D338" s="59"/>
      <c r="E338" s="59"/>
    </row>
    <row r="339">
      <c r="A339" s="59"/>
      <c r="B339" s="59"/>
      <c r="C339" s="59"/>
      <c r="D339" s="59"/>
      <c r="E339" s="59"/>
    </row>
    <row r="340">
      <c r="A340" s="59"/>
      <c r="B340" s="59"/>
      <c r="C340" s="59"/>
      <c r="D340" s="59"/>
      <c r="E340" s="59"/>
    </row>
    <row r="341">
      <c r="A341" s="59"/>
      <c r="B341" s="59"/>
      <c r="C341" s="59"/>
      <c r="D341" s="59"/>
      <c r="E341" s="59"/>
    </row>
    <row r="342">
      <c r="A342" s="59"/>
      <c r="B342" s="59"/>
      <c r="C342" s="59"/>
      <c r="D342" s="59"/>
      <c r="E342" s="59"/>
    </row>
    <row r="343">
      <c r="A343" s="59"/>
      <c r="B343" s="59"/>
      <c r="C343" s="59"/>
      <c r="D343" s="59"/>
      <c r="E343" s="59"/>
    </row>
    <row r="344">
      <c r="A344" s="59"/>
      <c r="B344" s="59"/>
      <c r="C344" s="59"/>
      <c r="D344" s="59"/>
      <c r="E344" s="59"/>
    </row>
    <row r="345">
      <c r="A345" s="59"/>
      <c r="B345" s="59"/>
      <c r="C345" s="59"/>
      <c r="D345" s="59"/>
      <c r="E345" s="59"/>
    </row>
    <row r="346">
      <c r="A346" s="59"/>
      <c r="B346" s="59"/>
      <c r="C346" s="59"/>
      <c r="D346" s="59"/>
      <c r="E346" s="59"/>
    </row>
    <row r="347">
      <c r="A347" s="59"/>
      <c r="B347" s="59"/>
      <c r="C347" s="59"/>
      <c r="D347" s="59"/>
      <c r="E347" s="59"/>
    </row>
    <row r="348">
      <c r="A348" s="59"/>
      <c r="B348" s="59"/>
      <c r="C348" s="59"/>
      <c r="D348" s="59"/>
      <c r="E348" s="59"/>
    </row>
    <row r="349">
      <c r="A349" s="59"/>
      <c r="B349" s="59"/>
      <c r="C349" s="59"/>
      <c r="D349" s="59"/>
      <c r="E349" s="59"/>
    </row>
    <row r="350">
      <c r="A350" s="59"/>
      <c r="B350" s="59"/>
      <c r="C350" s="59"/>
      <c r="D350" s="59"/>
      <c r="E350" s="59"/>
    </row>
    <row r="351">
      <c r="A351" s="59"/>
      <c r="B351" s="59"/>
      <c r="C351" s="59"/>
      <c r="D351" s="59"/>
      <c r="E351" s="59"/>
    </row>
    <row r="352">
      <c r="A352" s="59"/>
      <c r="B352" s="59"/>
      <c r="C352" s="59"/>
      <c r="D352" s="59"/>
      <c r="E352" s="59"/>
    </row>
    <row r="353">
      <c r="A353" s="59"/>
      <c r="B353" s="59"/>
      <c r="C353" s="59"/>
      <c r="D353" s="59"/>
      <c r="E353" s="59"/>
    </row>
    <row r="354">
      <c r="A354" s="59"/>
      <c r="B354" s="59"/>
      <c r="C354" s="59"/>
      <c r="D354" s="59"/>
      <c r="E354" s="59"/>
    </row>
    <row r="355">
      <c r="A355" s="59"/>
      <c r="B355" s="59"/>
      <c r="C355" s="59"/>
      <c r="D355" s="59"/>
      <c r="E355" s="59"/>
    </row>
    <row r="356">
      <c r="A356" s="59"/>
      <c r="B356" s="59"/>
      <c r="C356" s="59"/>
      <c r="D356" s="59"/>
      <c r="E356" s="59"/>
    </row>
    <row r="357">
      <c r="A357" s="59"/>
      <c r="B357" s="59"/>
      <c r="C357" s="59"/>
      <c r="D357" s="59"/>
      <c r="E357" s="59"/>
    </row>
    <row r="358">
      <c r="A358" s="59"/>
      <c r="B358" s="59"/>
      <c r="C358" s="59"/>
      <c r="D358" s="59"/>
      <c r="E358" s="59"/>
    </row>
    <row r="359">
      <c r="A359" s="59"/>
      <c r="B359" s="59"/>
      <c r="C359" s="59"/>
      <c r="D359" s="59"/>
      <c r="E359" s="59"/>
    </row>
    <row r="360">
      <c r="A360" s="59"/>
      <c r="B360" s="59"/>
      <c r="C360" s="59"/>
      <c r="D360" s="59"/>
      <c r="E360" s="59"/>
    </row>
    <row r="361">
      <c r="A361" s="59"/>
      <c r="B361" s="59"/>
      <c r="C361" s="59"/>
      <c r="D361" s="59"/>
      <c r="E361" s="59"/>
    </row>
    <row r="362">
      <c r="A362" s="59"/>
      <c r="B362" s="59"/>
      <c r="C362" s="59"/>
      <c r="D362" s="59"/>
      <c r="E362" s="59"/>
    </row>
    <row r="363">
      <c r="A363" s="59"/>
      <c r="B363" s="59"/>
      <c r="C363" s="59"/>
      <c r="D363" s="59"/>
      <c r="E363" s="59"/>
    </row>
    <row r="364">
      <c r="A364" s="59"/>
      <c r="B364" s="59"/>
      <c r="C364" s="59"/>
      <c r="D364" s="59"/>
      <c r="E364" s="59"/>
    </row>
    <row r="365">
      <c r="A365" s="59"/>
      <c r="B365" s="59"/>
      <c r="C365" s="59"/>
      <c r="D365" s="59"/>
      <c r="E365" s="59"/>
    </row>
    <row r="366">
      <c r="A366" s="59"/>
      <c r="B366" s="59"/>
      <c r="C366" s="59"/>
      <c r="D366" s="59"/>
      <c r="E366" s="59"/>
    </row>
    <row r="367">
      <c r="A367" s="59"/>
      <c r="B367" s="59"/>
      <c r="C367" s="59"/>
      <c r="D367" s="59"/>
      <c r="E367" s="59"/>
    </row>
    <row r="368">
      <c r="A368" s="59"/>
      <c r="B368" s="59"/>
      <c r="C368" s="59"/>
      <c r="D368" s="59"/>
      <c r="E368" s="59"/>
    </row>
    <row r="369">
      <c r="A369" s="59"/>
      <c r="B369" s="59"/>
      <c r="C369" s="59"/>
      <c r="D369" s="59"/>
      <c r="E369" s="59"/>
    </row>
    <row r="370">
      <c r="A370" s="59"/>
      <c r="B370" s="59"/>
      <c r="C370" s="59"/>
      <c r="D370" s="59"/>
      <c r="E370" s="59"/>
    </row>
    <row r="371">
      <c r="A371" s="59"/>
      <c r="B371" s="59"/>
      <c r="C371" s="59"/>
      <c r="D371" s="59"/>
      <c r="E371" s="59"/>
    </row>
    <row r="372">
      <c r="A372" s="59"/>
      <c r="B372" s="59"/>
      <c r="C372" s="59"/>
      <c r="D372" s="59"/>
      <c r="E372" s="59"/>
    </row>
    <row r="373">
      <c r="A373" s="59"/>
      <c r="B373" s="59"/>
      <c r="C373" s="59"/>
      <c r="D373" s="59"/>
      <c r="E373" s="59"/>
    </row>
    <row r="374">
      <c r="A374" s="59"/>
      <c r="B374" s="59"/>
      <c r="C374" s="59"/>
      <c r="D374" s="59"/>
      <c r="E374" s="59"/>
    </row>
    <row r="375">
      <c r="A375" s="59"/>
      <c r="B375" s="59"/>
      <c r="C375" s="59"/>
      <c r="D375" s="59"/>
      <c r="E375" s="59"/>
    </row>
    <row r="376">
      <c r="A376" s="59"/>
      <c r="B376" s="59"/>
      <c r="C376" s="59"/>
      <c r="D376" s="59"/>
      <c r="E376" s="59"/>
    </row>
    <row r="377">
      <c r="A377" s="59"/>
      <c r="B377" s="59"/>
      <c r="C377" s="59"/>
      <c r="D377" s="59"/>
      <c r="E377" s="59"/>
    </row>
    <row r="378">
      <c r="A378" s="59"/>
      <c r="B378" s="59"/>
      <c r="C378" s="59"/>
      <c r="D378" s="59"/>
      <c r="E378" s="59"/>
    </row>
    <row r="379">
      <c r="A379" s="59"/>
      <c r="B379" s="59"/>
      <c r="C379" s="59"/>
      <c r="D379" s="59"/>
      <c r="E379" s="59"/>
    </row>
    <row r="380">
      <c r="A380" s="59"/>
      <c r="B380" s="59"/>
      <c r="C380" s="59"/>
      <c r="D380" s="59"/>
      <c r="E380" s="59"/>
    </row>
    <row r="381">
      <c r="A381" s="59"/>
      <c r="B381" s="59"/>
      <c r="C381" s="59"/>
      <c r="D381" s="59"/>
      <c r="E381" s="59"/>
    </row>
    <row r="382">
      <c r="A382" s="59"/>
      <c r="B382" s="59"/>
      <c r="C382" s="59"/>
      <c r="D382" s="59"/>
      <c r="E382" s="59"/>
    </row>
    <row r="383">
      <c r="A383" s="59"/>
      <c r="B383" s="59"/>
      <c r="C383" s="59"/>
      <c r="D383" s="59"/>
      <c r="E383" s="59"/>
    </row>
    <row r="384">
      <c r="A384" s="59"/>
      <c r="B384" s="59"/>
      <c r="C384" s="59"/>
      <c r="D384" s="59"/>
      <c r="E384" s="59"/>
    </row>
    <row r="385">
      <c r="A385" s="59"/>
      <c r="B385" s="59"/>
      <c r="C385" s="59"/>
      <c r="D385" s="59"/>
      <c r="E385" s="59"/>
    </row>
    <row r="386">
      <c r="A386" s="59"/>
      <c r="B386" s="59"/>
      <c r="C386" s="59"/>
      <c r="D386" s="59"/>
      <c r="E386" s="59"/>
    </row>
    <row r="387">
      <c r="A387" s="59"/>
      <c r="B387" s="59"/>
      <c r="C387" s="59"/>
      <c r="D387" s="59"/>
      <c r="E387" s="59"/>
    </row>
    <row r="388">
      <c r="A388" s="59"/>
      <c r="B388" s="59"/>
      <c r="C388" s="59"/>
      <c r="D388" s="59"/>
      <c r="E388" s="59"/>
    </row>
    <row r="389">
      <c r="A389" s="59"/>
      <c r="B389" s="59"/>
      <c r="C389" s="59"/>
      <c r="D389" s="59"/>
      <c r="E389" s="59"/>
    </row>
    <row r="390">
      <c r="A390" s="59"/>
      <c r="B390" s="59"/>
      <c r="C390" s="59"/>
      <c r="D390" s="59"/>
      <c r="E390" s="59"/>
    </row>
    <row r="391">
      <c r="A391" s="59"/>
      <c r="B391" s="59"/>
      <c r="C391" s="59"/>
      <c r="D391" s="59"/>
      <c r="E391" s="59"/>
    </row>
    <row r="392">
      <c r="A392" s="59"/>
      <c r="B392" s="59"/>
      <c r="C392" s="59"/>
      <c r="D392" s="59"/>
      <c r="E392" s="59"/>
    </row>
    <row r="393">
      <c r="A393" s="59"/>
      <c r="B393" s="59"/>
      <c r="C393" s="59"/>
      <c r="D393" s="59"/>
      <c r="E393" s="59"/>
    </row>
    <row r="394">
      <c r="A394" s="59"/>
      <c r="B394" s="59"/>
      <c r="C394" s="59"/>
      <c r="D394" s="59"/>
      <c r="E394" s="59"/>
    </row>
    <row r="395">
      <c r="A395" s="59"/>
      <c r="B395" s="59"/>
      <c r="C395" s="59"/>
      <c r="D395" s="59"/>
      <c r="E395" s="59"/>
    </row>
    <row r="396">
      <c r="A396" s="59"/>
      <c r="B396" s="59"/>
      <c r="C396" s="59"/>
      <c r="D396" s="59"/>
      <c r="E396" s="59"/>
    </row>
    <row r="397">
      <c r="A397" s="59"/>
      <c r="B397" s="59"/>
      <c r="C397" s="59"/>
      <c r="D397" s="59"/>
      <c r="E397" s="59"/>
    </row>
    <row r="398">
      <c r="A398" s="59"/>
      <c r="B398" s="59"/>
      <c r="C398" s="59"/>
      <c r="D398" s="59"/>
      <c r="E398" s="59"/>
    </row>
    <row r="399">
      <c r="A399" s="59"/>
      <c r="B399" s="59"/>
      <c r="C399" s="59"/>
      <c r="D399" s="59"/>
      <c r="E399" s="59"/>
    </row>
    <row r="400">
      <c r="A400" s="59"/>
      <c r="B400" s="59"/>
      <c r="C400" s="59"/>
      <c r="D400" s="59"/>
      <c r="E400" s="59"/>
    </row>
    <row r="401">
      <c r="A401" s="59"/>
      <c r="B401" s="59"/>
      <c r="C401" s="59"/>
      <c r="D401" s="59"/>
      <c r="E401" s="59"/>
    </row>
    <row r="402">
      <c r="A402" s="59"/>
      <c r="B402" s="59"/>
      <c r="C402" s="59"/>
      <c r="D402" s="59"/>
      <c r="E402" s="59"/>
    </row>
    <row r="403">
      <c r="A403" s="59"/>
      <c r="B403" s="59"/>
      <c r="C403" s="59"/>
      <c r="D403" s="59"/>
      <c r="E403" s="59"/>
    </row>
    <row r="404">
      <c r="A404" s="59"/>
      <c r="B404" s="59"/>
      <c r="C404" s="59"/>
      <c r="D404" s="59"/>
      <c r="E404" s="59"/>
    </row>
    <row r="405">
      <c r="A405" s="59"/>
      <c r="B405" s="59"/>
      <c r="C405" s="59"/>
      <c r="D405" s="59"/>
      <c r="E405" s="59"/>
    </row>
    <row r="406">
      <c r="A406" s="59"/>
      <c r="B406" s="59"/>
      <c r="C406" s="59"/>
      <c r="D406" s="59"/>
      <c r="E406" s="59"/>
    </row>
    <row r="407">
      <c r="A407" s="59"/>
      <c r="B407" s="59"/>
      <c r="C407" s="59"/>
      <c r="D407" s="59"/>
      <c r="E407" s="59"/>
    </row>
    <row r="408">
      <c r="A408" s="59"/>
      <c r="B408" s="59"/>
      <c r="C408" s="59"/>
      <c r="D408" s="59"/>
      <c r="E408" s="59"/>
    </row>
    <row r="409">
      <c r="A409" s="59"/>
      <c r="B409" s="59"/>
      <c r="C409" s="59"/>
      <c r="D409" s="59"/>
      <c r="E409" s="59"/>
    </row>
    <row r="410">
      <c r="A410" s="59"/>
      <c r="B410" s="59"/>
      <c r="C410" s="59"/>
      <c r="D410" s="59"/>
      <c r="E410" s="59"/>
    </row>
    <row r="411">
      <c r="A411" s="59"/>
      <c r="B411" s="59"/>
      <c r="C411" s="59"/>
      <c r="D411" s="59"/>
      <c r="E411" s="59"/>
    </row>
    <row r="412">
      <c r="A412" s="59"/>
      <c r="B412" s="59"/>
      <c r="C412" s="59"/>
      <c r="D412" s="59"/>
      <c r="E412" s="59"/>
    </row>
    <row r="413">
      <c r="A413" s="59"/>
      <c r="B413" s="59"/>
      <c r="C413" s="59"/>
      <c r="D413" s="59"/>
      <c r="E413" s="59"/>
    </row>
    <row r="414">
      <c r="A414" s="59"/>
      <c r="B414" s="59"/>
      <c r="C414" s="59"/>
      <c r="D414" s="59"/>
      <c r="E414" s="59"/>
    </row>
    <row r="415">
      <c r="A415" s="59"/>
      <c r="B415" s="59"/>
      <c r="C415" s="59"/>
      <c r="D415" s="59"/>
      <c r="E415" s="59"/>
    </row>
    <row r="416">
      <c r="A416" s="59"/>
      <c r="B416" s="59"/>
      <c r="C416" s="59"/>
      <c r="D416" s="59"/>
      <c r="E416" s="59"/>
    </row>
    <row r="417">
      <c r="A417" s="59"/>
      <c r="B417" s="59"/>
      <c r="C417" s="59"/>
      <c r="D417" s="59"/>
      <c r="E417" s="59"/>
    </row>
    <row r="418">
      <c r="A418" s="59"/>
      <c r="B418" s="59"/>
      <c r="C418" s="59"/>
      <c r="D418" s="59"/>
      <c r="E418" s="59"/>
    </row>
    <row r="419">
      <c r="A419" s="59"/>
      <c r="B419" s="59"/>
      <c r="C419" s="59"/>
      <c r="D419" s="59"/>
      <c r="E419" s="59"/>
    </row>
    <row r="420">
      <c r="A420" s="59"/>
      <c r="B420" s="59"/>
      <c r="C420" s="59"/>
      <c r="D420" s="59"/>
      <c r="E420" s="59"/>
    </row>
    <row r="421">
      <c r="A421" s="59"/>
      <c r="B421" s="59"/>
      <c r="C421" s="59"/>
      <c r="D421" s="59"/>
      <c r="E421" s="59"/>
    </row>
    <row r="422">
      <c r="A422" s="59"/>
      <c r="B422" s="59"/>
      <c r="C422" s="59"/>
      <c r="D422" s="59"/>
      <c r="E422" s="59"/>
    </row>
    <row r="423">
      <c r="A423" s="59"/>
      <c r="B423" s="59"/>
      <c r="C423" s="59"/>
      <c r="D423" s="59"/>
      <c r="E423" s="59"/>
    </row>
    <row r="424">
      <c r="A424" s="59"/>
      <c r="B424" s="59"/>
      <c r="C424" s="59"/>
      <c r="D424" s="59"/>
      <c r="E424" s="59"/>
    </row>
    <row r="425">
      <c r="A425" s="59"/>
      <c r="B425" s="59"/>
      <c r="C425" s="59"/>
      <c r="D425" s="59"/>
      <c r="E425" s="59"/>
    </row>
    <row r="426">
      <c r="A426" s="59"/>
      <c r="B426" s="59"/>
      <c r="C426" s="59"/>
      <c r="D426" s="59"/>
      <c r="E426" s="59"/>
    </row>
    <row r="427">
      <c r="A427" s="59"/>
      <c r="B427" s="59"/>
      <c r="C427" s="59"/>
      <c r="D427" s="59"/>
      <c r="E427" s="59"/>
    </row>
    <row r="428">
      <c r="A428" s="59"/>
      <c r="B428" s="59"/>
      <c r="C428" s="59"/>
      <c r="D428" s="59"/>
      <c r="E428" s="59"/>
    </row>
    <row r="429">
      <c r="A429" s="59"/>
      <c r="B429" s="59"/>
      <c r="C429" s="59"/>
      <c r="D429" s="59"/>
      <c r="E429" s="59"/>
    </row>
    <row r="430">
      <c r="A430" s="59"/>
      <c r="B430" s="59"/>
      <c r="C430" s="59"/>
      <c r="D430" s="59"/>
      <c r="E430" s="59"/>
    </row>
    <row r="431">
      <c r="A431" s="59"/>
      <c r="B431" s="59"/>
      <c r="C431" s="59"/>
      <c r="D431" s="59"/>
      <c r="E431" s="59"/>
    </row>
    <row r="432">
      <c r="A432" s="59"/>
      <c r="B432" s="59"/>
      <c r="C432" s="59"/>
      <c r="D432" s="59"/>
      <c r="E432" s="59"/>
    </row>
    <row r="433">
      <c r="A433" s="59"/>
      <c r="B433" s="59"/>
      <c r="C433" s="59"/>
      <c r="D433" s="59"/>
      <c r="E433" s="59"/>
    </row>
    <row r="434">
      <c r="A434" s="59"/>
      <c r="B434" s="59"/>
      <c r="C434" s="59"/>
      <c r="D434" s="59"/>
      <c r="E434" s="59"/>
    </row>
    <row r="435">
      <c r="A435" s="59"/>
      <c r="B435" s="59"/>
      <c r="C435" s="59"/>
      <c r="D435" s="59"/>
      <c r="E435" s="59"/>
    </row>
    <row r="436">
      <c r="A436" s="59"/>
      <c r="B436" s="59"/>
      <c r="C436" s="59"/>
      <c r="D436" s="59"/>
      <c r="E436" s="59"/>
    </row>
    <row r="437">
      <c r="A437" s="59"/>
      <c r="B437" s="59"/>
      <c r="C437" s="59"/>
      <c r="D437" s="59"/>
      <c r="E437" s="59"/>
    </row>
    <row r="438">
      <c r="A438" s="59"/>
      <c r="B438" s="59"/>
      <c r="C438" s="59"/>
      <c r="D438" s="59"/>
      <c r="E438" s="59"/>
    </row>
    <row r="439">
      <c r="A439" s="59"/>
      <c r="B439" s="59"/>
      <c r="C439" s="59"/>
      <c r="D439" s="59"/>
      <c r="E439" s="59"/>
    </row>
    <row r="440">
      <c r="A440" s="59"/>
      <c r="B440" s="59"/>
      <c r="C440" s="59"/>
      <c r="D440" s="59"/>
      <c r="E440" s="59"/>
    </row>
    <row r="441">
      <c r="A441" s="59"/>
      <c r="B441" s="59"/>
      <c r="C441" s="59"/>
      <c r="D441" s="59"/>
      <c r="E441" s="59"/>
    </row>
    <row r="442">
      <c r="A442" s="59"/>
      <c r="B442" s="59"/>
      <c r="C442" s="59"/>
      <c r="D442" s="59"/>
      <c r="E442" s="59"/>
    </row>
    <row r="443">
      <c r="A443" s="59"/>
      <c r="B443" s="59"/>
      <c r="C443" s="59"/>
      <c r="D443" s="59"/>
      <c r="E443" s="59"/>
    </row>
    <row r="444">
      <c r="A444" s="59"/>
      <c r="B444" s="59"/>
      <c r="C444" s="59"/>
      <c r="D444" s="59"/>
      <c r="E444" s="59"/>
    </row>
    <row r="445">
      <c r="A445" s="59"/>
      <c r="B445" s="59"/>
      <c r="C445" s="59"/>
      <c r="D445" s="59"/>
      <c r="E445" s="59"/>
    </row>
    <row r="446">
      <c r="A446" s="59"/>
      <c r="B446" s="59"/>
      <c r="C446" s="59"/>
      <c r="D446" s="59"/>
      <c r="E446" s="59"/>
    </row>
    <row r="447">
      <c r="A447" s="59"/>
      <c r="B447" s="59"/>
      <c r="C447" s="59"/>
      <c r="D447" s="59"/>
      <c r="E447" s="59"/>
    </row>
    <row r="448">
      <c r="A448" s="59"/>
      <c r="B448" s="59"/>
      <c r="C448" s="59"/>
      <c r="D448" s="59"/>
      <c r="E448" s="59"/>
    </row>
    <row r="449">
      <c r="A449" s="59"/>
      <c r="B449" s="59"/>
      <c r="C449" s="59"/>
      <c r="D449" s="59"/>
      <c r="E449" s="59"/>
    </row>
    <row r="450">
      <c r="A450" s="59"/>
      <c r="B450" s="59"/>
      <c r="C450" s="59"/>
      <c r="D450" s="59"/>
      <c r="E450" s="59"/>
    </row>
    <row r="451">
      <c r="A451" s="59"/>
      <c r="B451" s="59"/>
      <c r="C451" s="59"/>
      <c r="D451" s="59"/>
      <c r="E451" s="59"/>
    </row>
    <row r="452">
      <c r="A452" s="59"/>
      <c r="B452" s="59"/>
      <c r="C452" s="59"/>
      <c r="D452" s="59"/>
      <c r="E452" s="59"/>
    </row>
    <row r="453">
      <c r="A453" s="59"/>
      <c r="B453" s="59"/>
      <c r="C453" s="59"/>
      <c r="D453" s="59"/>
      <c r="E453" s="59"/>
    </row>
    <row r="454">
      <c r="A454" s="59"/>
      <c r="B454" s="59"/>
      <c r="C454" s="59"/>
      <c r="D454" s="59"/>
      <c r="E454" s="59"/>
    </row>
    <row r="455">
      <c r="A455" s="59"/>
      <c r="B455" s="59"/>
      <c r="C455" s="59"/>
      <c r="D455" s="59"/>
      <c r="E455" s="59"/>
    </row>
    <row r="456">
      <c r="A456" s="59"/>
      <c r="B456" s="59"/>
      <c r="C456" s="59"/>
      <c r="D456" s="59"/>
      <c r="E456" s="59"/>
    </row>
    <row r="457">
      <c r="A457" s="59"/>
      <c r="B457" s="59"/>
      <c r="C457" s="59"/>
      <c r="D457" s="59"/>
      <c r="E457" s="59"/>
    </row>
    <row r="458">
      <c r="A458" s="59"/>
      <c r="B458" s="59"/>
      <c r="C458" s="59"/>
      <c r="D458" s="59"/>
      <c r="E458" s="59"/>
    </row>
    <row r="459">
      <c r="A459" s="59"/>
      <c r="B459" s="59"/>
      <c r="C459" s="59"/>
      <c r="D459" s="59"/>
      <c r="E459" s="59"/>
    </row>
    <row r="460">
      <c r="A460" s="59"/>
      <c r="B460" s="59"/>
      <c r="C460" s="59"/>
      <c r="D460" s="59"/>
      <c r="E460" s="59"/>
    </row>
    <row r="461">
      <c r="A461" s="59"/>
      <c r="B461" s="59"/>
      <c r="C461" s="59"/>
      <c r="D461" s="59"/>
      <c r="E461" s="59"/>
    </row>
    <row r="462">
      <c r="A462" s="59"/>
      <c r="B462" s="59"/>
      <c r="C462" s="59"/>
      <c r="D462" s="59"/>
      <c r="E462" s="59"/>
    </row>
    <row r="463">
      <c r="A463" s="59"/>
      <c r="B463" s="59"/>
      <c r="C463" s="59"/>
      <c r="D463" s="59"/>
      <c r="E463" s="59"/>
    </row>
    <row r="464">
      <c r="A464" s="59"/>
      <c r="B464" s="59"/>
      <c r="C464" s="59"/>
      <c r="D464" s="59"/>
      <c r="E464" s="59"/>
    </row>
    <row r="465">
      <c r="A465" s="59"/>
      <c r="B465" s="59"/>
      <c r="C465" s="59"/>
      <c r="D465" s="59"/>
      <c r="E465" s="59"/>
    </row>
    <row r="466">
      <c r="A466" s="59"/>
      <c r="B466" s="59"/>
      <c r="C466" s="59"/>
      <c r="D466" s="59"/>
      <c r="E466" s="59"/>
    </row>
    <row r="467">
      <c r="A467" s="59"/>
      <c r="B467" s="59"/>
      <c r="C467" s="59"/>
      <c r="D467" s="59"/>
      <c r="E467" s="59"/>
    </row>
    <row r="468">
      <c r="A468" s="59"/>
      <c r="B468" s="59"/>
      <c r="C468" s="59"/>
      <c r="D468" s="59"/>
      <c r="E468" s="59"/>
    </row>
    <row r="469">
      <c r="A469" s="59"/>
      <c r="B469" s="59"/>
      <c r="C469" s="59"/>
      <c r="D469" s="59"/>
      <c r="E469" s="59"/>
    </row>
    <row r="470">
      <c r="A470" s="59"/>
      <c r="B470" s="59"/>
      <c r="C470" s="59"/>
      <c r="D470" s="59"/>
      <c r="E470" s="59"/>
    </row>
    <row r="471">
      <c r="A471" s="59"/>
      <c r="B471" s="59"/>
      <c r="C471" s="59"/>
      <c r="D471" s="59"/>
      <c r="E471" s="59"/>
    </row>
    <row r="472">
      <c r="A472" s="59"/>
      <c r="B472" s="59"/>
      <c r="C472" s="59"/>
      <c r="D472" s="59"/>
      <c r="E472" s="59"/>
    </row>
    <row r="473">
      <c r="A473" s="59"/>
      <c r="B473" s="59"/>
      <c r="C473" s="59"/>
      <c r="D473" s="59"/>
      <c r="E473" s="59"/>
    </row>
    <row r="474">
      <c r="A474" s="59"/>
      <c r="B474" s="59"/>
      <c r="C474" s="59"/>
      <c r="D474" s="59"/>
      <c r="E474" s="59"/>
    </row>
    <row r="475">
      <c r="A475" s="59"/>
      <c r="B475" s="59"/>
      <c r="C475" s="59"/>
      <c r="D475" s="59"/>
      <c r="E475" s="59"/>
    </row>
    <row r="476">
      <c r="A476" s="59"/>
      <c r="B476" s="59"/>
      <c r="C476" s="59"/>
      <c r="D476" s="59"/>
      <c r="E476" s="59"/>
    </row>
    <row r="477">
      <c r="A477" s="59"/>
      <c r="B477" s="59"/>
      <c r="C477" s="59"/>
      <c r="D477" s="59"/>
      <c r="E477" s="59"/>
    </row>
    <row r="478">
      <c r="A478" s="59"/>
      <c r="B478" s="59"/>
      <c r="C478" s="59"/>
      <c r="D478" s="59"/>
      <c r="E478" s="59"/>
    </row>
    <row r="479">
      <c r="A479" s="59"/>
      <c r="B479" s="59"/>
      <c r="C479" s="59"/>
      <c r="D479" s="59"/>
      <c r="E479" s="59"/>
    </row>
    <row r="480">
      <c r="A480" s="59"/>
      <c r="B480" s="59"/>
      <c r="C480" s="59"/>
      <c r="D480" s="59"/>
      <c r="E480" s="59"/>
    </row>
    <row r="481">
      <c r="A481" s="59"/>
      <c r="B481" s="59"/>
      <c r="C481" s="59"/>
      <c r="D481" s="59"/>
      <c r="E481" s="59"/>
    </row>
    <row r="482">
      <c r="A482" s="59"/>
      <c r="B482" s="59"/>
      <c r="C482" s="59"/>
      <c r="D482" s="59"/>
      <c r="E482" s="59"/>
    </row>
    <row r="483">
      <c r="A483" s="59"/>
      <c r="B483" s="59"/>
      <c r="C483" s="59"/>
      <c r="D483" s="59"/>
      <c r="E483" s="59"/>
    </row>
    <row r="484">
      <c r="A484" s="59"/>
      <c r="B484" s="59"/>
      <c r="C484" s="59"/>
      <c r="D484" s="59"/>
      <c r="E484" s="59"/>
    </row>
    <row r="485">
      <c r="A485" s="59"/>
      <c r="B485" s="59"/>
      <c r="C485" s="59"/>
      <c r="D485" s="59"/>
      <c r="E485" s="59"/>
    </row>
    <row r="486">
      <c r="A486" s="59"/>
      <c r="B486" s="59"/>
      <c r="C486" s="59"/>
      <c r="D486" s="59"/>
      <c r="E486" s="59"/>
    </row>
    <row r="487">
      <c r="A487" s="59"/>
      <c r="B487" s="59"/>
      <c r="C487" s="59"/>
      <c r="D487" s="59"/>
      <c r="E487" s="59"/>
    </row>
    <row r="488">
      <c r="A488" s="59"/>
      <c r="B488" s="59"/>
      <c r="C488" s="59"/>
      <c r="D488" s="59"/>
      <c r="E488" s="59"/>
    </row>
    <row r="489">
      <c r="A489" s="59"/>
      <c r="B489" s="59"/>
      <c r="C489" s="59"/>
      <c r="D489" s="59"/>
      <c r="E489" s="59"/>
    </row>
    <row r="490">
      <c r="A490" s="59"/>
      <c r="B490" s="59"/>
      <c r="C490" s="59"/>
      <c r="D490" s="59"/>
      <c r="E490" s="59"/>
    </row>
    <row r="491">
      <c r="A491" s="59"/>
      <c r="B491" s="59"/>
      <c r="C491" s="59"/>
      <c r="D491" s="59"/>
      <c r="E491" s="59"/>
    </row>
    <row r="492">
      <c r="A492" s="59"/>
      <c r="B492" s="59"/>
      <c r="C492" s="59"/>
      <c r="D492" s="59"/>
      <c r="E492" s="59"/>
    </row>
    <row r="493">
      <c r="A493" s="59"/>
      <c r="B493" s="59"/>
      <c r="C493" s="59"/>
      <c r="D493" s="59"/>
      <c r="E493" s="59"/>
    </row>
    <row r="494">
      <c r="A494" s="59"/>
      <c r="B494" s="59"/>
      <c r="C494" s="59"/>
      <c r="D494" s="59"/>
      <c r="E494" s="59"/>
    </row>
    <row r="495">
      <c r="A495" s="59"/>
      <c r="B495" s="59"/>
      <c r="C495" s="59"/>
      <c r="D495" s="59"/>
      <c r="E495" s="59"/>
    </row>
    <row r="496">
      <c r="A496" s="59"/>
      <c r="B496" s="59"/>
      <c r="C496" s="59"/>
      <c r="D496" s="59"/>
      <c r="E496" s="59"/>
    </row>
    <row r="497">
      <c r="A497" s="59"/>
      <c r="B497" s="59"/>
      <c r="C497" s="59"/>
      <c r="D497" s="59"/>
      <c r="E497" s="59"/>
    </row>
    <row r="498">
      <c r="A498" s="59"/>
      <c r="B498" s="59"/>
      <c r="C498" s="59"/>
      <c r="D498" s="59"/>
      <c r="E498" s="59"/>
    </row>
    <row r="499">
      <c r="A499" s="59"/>
      <c r="B499" s="59"/>
      <c r="C499" s="59"/>
      <c r="D499" s="59"/>
      <c r="E499" s="59"/>
    </row>
    <row r="500">
      <c r="A500" s="59"/>
      <c r="B500" s="59"/>
      <c r="C500" s="59"/>
      <c r="D500" s="59"/>
      <c r="E500" s="59"/>
    </row>
    <row r="501">
      <c r="A501" s="59"/>
      <c r="B501" s="59"/>
      <c r="C501" s="59"/>
      <c r="D501" s="59"/>
      <c r="E501" s="59"/>
    </row>
    <row r="502">
      <c r="A502" s="59"/>
      <c r="B502" s="59"/>
      <c r="C502" s="59"/>
      <c r="D502" s="59"/>
      <c r="E502" s="59"/>
    </row>
    <row r="503">
      <c r="A503" s="59"/>
      <c r="B503" s="59"/>
      <c r="C503" s="59"/>
      <c r="D503" s="59"/>
      <c r="E503" s="59"/>
    </row>
    <row r="504">
      <c r="A504" s="59"/>
      <c r="B504" s="59"/>
      <c r="C504" s="59"/>
      <c r="D504" s="59"/>
      <c r="E504" s="59"/>
    </row>
    <row r="505">
      <c r="A505" s="59"/>
      <c r="B505" s="59"/>
      <c r="C505" s="59"/>
      <c r="D505" s="59"/>
      <c r="E505" s="59"/>
    </row>
    <row r="506">
      <c r="A506" s="59"/>
      <c r="B506" s="59"/>
      <c r="C506" s="59"/>
      <c r="D506" s="59"/>
      <c r="E506" s="59"/>
    </row>
    <row r="507">
      <c r="A507" s="59"/>
      <c r="B507" s="59"/>
      <c r="C507" s="59"/>
      <c r="D507" s="59"/>
      <c r="E507" s="59"/>
    </row>
    <row r="508">
      <c r="A508" s="59"/>
      <c r="B508" s="59"/>
      <c r="C508" s="59"/>
      <c r="D508" s="59"/>
      <c r="E508" s="59"/>
    </row>
    <row r="509">
      <c r="A509" s="59"/>
      <c r="B509" s="59"/>
      <c r="C509" s="59"/>
      <c r="D509" s="59"/>
      <c r="E509" s="59"/>
    </row>
    <row r="510">
      <c r="A510" s="59"/>
      <c r="B510" s="59"/>
      <c r="C510" s="59"/>
      <c r="D510" s="59"/>
      <c r="E510" s="59"/>
    </row>
    <row r="511">
      <c r="A511" s="59"/>
      <c r="B511" s="59"/>
      <c r="C511" s="59"/>
      <c r="D511" s="59"/>
      <c r="E511" s="59"/>
    </row>
    <row r="512">
      <c r="A512" s="59"/>
      <c r="B512" s="59"/>
      <c r="C512" s="59"/>
      <c r="D512" s="59"/>
      <c r="E512" s="59"/>
    </row>
    <row r="513">
      <c r="A513" s="59"/>
      <c r="B513" s="59"/>
      <c r="C513" s="59"/>
      <c r="D513" s="59"/>
      <c r="E513" s="59"/>
    </row>
    <row r="514">
      <c r="A514" s="59"/>
      <c r="B514" s="59"/>
      <c r="C514" s="59"/>
      <c r="D514" s="59"/>
      <c r="E514" s="59"/>
    </row>
    <row r="515">
      <c r="A515" s="59"/>
      <c r="B515" s="59"/>
      <c r="C515" s="59"/>
      <c r="D515" s="59"/>
      <c r="E515" s="59"/>
    </row>
    <row r="516">
      <c r="A516" s="59"/>
      <c r="B516" s="59"/>
      <c r="C516" s="59"/>
      <c r="D516" s="59"/>
      <c r="E516" s="59"/>
    </row>
    <row r="517">
      <c r="A517" s="59"/>
      <c r="B517" s="59"/>
      <c r="C517" s="59"/>
      <c r="D517" s="59"/>
      <c r="E517" s="59"/>
    </row>
    <row r="518">
      <c r="A518" s="59"/>
      <c r="B518" s="59"/>
      <c r="C518" s="59"/>
      <c r="D518" s="59"/>
      <c r="E518" s="59"/>
    </row>
    <row r="519">
      <c r="A519" s="59"/>
      <c r="B519" s="59"/>
      <c r="C519" s="59"/>
      <c r="D519" s="59"/>
      <c r="E519" s="59"/>
    </row>
    <row r="520">
      <c r="A520" s="59"/>
      <c r="B520" s="59"/>
      <c r="C520" s="59"/>
      <c r="D520" s="59"/>
      <c r="E520" s="59"/>
    </row>
    <row r="521">
      <c r="A521" s="59"/>
      <c r="B521" s="59"/>
      <c r="C521" s="59"/>
      <c r="D521" s="59"/>
      <c r="E521" s="59"/>
    </row>
    <row r="522">
      <c r="A522" s="59"/>
      <c r="B522" s="59"/>
      <c r="C522" s="59"/>
      <c r="D522" s="59"/>
      <c r="E522" s="59"/>
    </row>
    <row r="523">
      <c r="A523" s="59"/>
      <c r="B523" s="59"/>
      <c r="C523" s="59"/>
      <c r="D523" s="59"/>
      <c r="E523" s="59"/>
    </row>
    <row r="524">
      <c r="A524" s="59"/>
      <c r="B524" s="59"/>
      <c r="C524" s="59"/>
      <c r="D524" s="59"/>
      <c r="E524" s="59"/>
    </row>
    <row r="525">
      <c r="A525" s="59"/>
      <c r="B525" s="59"/>
      <c r="C525" s="59"/>
      <c r="D525" s="59"/>
      <c r="E525" s="59"/>
    </row>
    <row r="526">
      <c r="A526" s="59"/>
      <c r="B526" s="59"/>
      <c r="C526" s="59"/>
      <c r="D526" s="59"/>
      <c r="E526" s="59"/>
    </row>
    <row r="527">
      <c r="A527" s="59"/>
      <c r="B527" s="59"/>
      <c r="C527" s="59"/>
      <c r="D527" s="59"/>
      <c r="E527" s="59"/>
    </row>
    <row r="528">
      <c r="A528" s="59"/>
      <c r="B528" s="59"/>
      <c r="C528" s="59"/>
      <c r="D528" s="59"/>
      <c r="E528" s="59"/>
    </row>
    <row r="529">
      <c r="A529" s="59"/>
      <c r="B529" s="59"/>
      <c r="C529" s="59"/>
      <c r="D529" s="59"/>
      <c r="E529" s="59"/>
    </row>
    <row r="530">
      <c r="A530" s="59"/>
      <c r="B530" s="59"/>
      <c r="C530" s="59"/>
      <c r="D530" s="59"/>
      <c r="E530" s="59"/>
    </row>
    <row r="531">
      <c r="A531" s="59"/>
      <c r="B531" s="59"/>
      <c r="C531" s="59"/>
      <c r="D531" s="59"/>
      <c r="E531" s="59"/>
    </row>
    <row r="532">
      <c r="A532" s="59"/>
      <c r="B532" s="59"/>
      <c r="C532" s="59"/>
      <c r="D532" s="59"/>
      <c r="E532" s="59"/>
    </row>
    <row r="533">
      <c r="A533" s="59"/>
      <c r="B533" s="59"/>
      <c r="C533" s="59"/>
      <c r="D533" s="59"/>
      <c r="E533" s="59"/>
    </row>
    <row r="534">
      <c r="A534" s="59"/>
      <c r="B534" s="59"/>
      <c r="C534" s="59"/>
      <c r="D534" s="59"/>
      <c r="E534" s="59"/>
    </row>
    <row r="535">
      <c r="A535" s="59"/>
      <c r="B535" s="59"/>
      <c r="C535" s="59"/>
      <c r="D535" s="59"/>
      <c r="E535" s="59"/>
    </row>
    <row r="536">
      <c r="A536" s="59"/>
      <c r="B536" s="59"/>
      <c r="C536" s="59"/>
      <c r="D536" s="59"/>
      <c r="E536" s="59"/>
    </row>
    <row r="537">
      <c r="A537" s="59"/>
      <c r="B537" s="59"/>
      <c r="C537" s="59"/>
      <c r="D537" s="59"/>
      <c r="E537" s="59"/>
    </row>
    <row r="538">
      <c r="A538" s="59"/>
      <c r="B538" s="59"/>
      <c r="C538" s="59"/>
      <c r="D538" s="59"/>
      <c r="E538" s="59"/>
    </row>
    <row r="539">
      <c r="A539" s="59"/>
      <c r="B539" s="59"/>
      <c r="C539" s="59"/>
      <c r="D539" s="59"/>
      <c r="E539" s="59"/>
    </row>
    <row r="540">
      <c r="A540" s="59"/>
      <c r="B540" s="59"/>
      <c r="C540" s="59"/>
      <c r="D540" s="59"/>
      <c r="E540" s="59"/>
    </row>
    <row r="541">
      <c r="A541" s="59"/>
      <c r="B541" s="59"/>
      <c r="C541" s="59"/>
      <c r="D541" s="59"/>
      <c r="E541" s="59"/>
    </row>
    <row r="542">
      <c r="A542" s="59"/>
      <c r="B542" s="59"/>
      <c r="C542" s="59"/>
      <c r="D542" s="59"/>
      <c r="E542" s="59"/>
    </row>
    <row r="543">
      <c r="A543" s="59"/>
      <c r="B543" s="59"/>
      <c r="C543" s="59"/>
      <c r="D543" s="59"/>
      <c r="E543" s="59"/>
    </row>
    <row r="544">
      <c r="A544" s="59"/>
      <c r="B544" s="59"/>
      <c r="C544" s="59"/>
      <c r="D544" s="59"/>
      <c r="E544" s="59"/>
    </row>
    <row r="545">
      <c r="A545" s="59"/>
      <c r="B545" s="59"/>
      <c r="C545" s="59"/>
      <c r="D545" s="59"/>
      <c r="E545" s="59"/>
    </row>
    <row r="546">
      <c r="A546" s="59"/>
      <c r="B546" s="59"/>
      <c r="C546" s="59"/>
      <c r="D546" s="59"/>
      <c r="E546" s="59"/>
    </row>
    <row r="547">
      <c r="A547" s="59"/>
      <c r="B547" s="59"/>
      <c r="C547" s="59"/>
      <c r="D547" s="59"/>
      <c r="E547" s="59"/>
    </row>
    <row r="548">
      <c r="A548" s="59"/>
      <c r="B548" s="59"/>
      <c r="C548" s="59"/>
      <c r="D548" s="59"/>
      <c r="E548" s="59"/>
    </row>
    <row r="549">
      <c r="A549" s="59"/>
      <c r="B549" s="59"/>
      <c r="C549" s="59"/>
      <c r="D549" s="59"/>
      <c r="E549" s="59"/>
    </row>
    <row r="550">
      <c r="A550" s="59"/>
      <c r="B550" s="59"/>
      <c r="C550" s="59"/>
      <c r="D550" s="59"/>
      <c r="E550" s="59"/>
    </row>
    <row r="551">
      <c r="A551" s="59"/>
      <c r="B551" s="59"/>
      <c r="C551" s="59"/>
      <c r="D551" s="59"/>
      <c r="E551" s="59"/>
    </row>
    <row r="552">
      <c r="A552" s="59"/>
      <c r="B552" s="59"/>
      <c r="C552" s="59"/>
      <c r="D552" s="59"/>
      <c r="E552" s="59"/>
    </row>
    <row r="553">
      <c r="A553" s="59"/>
      <c r="B553" s="59"/>
      <c r="C553" s="59"/>
      <c r="D553" s="59"/>
      <c r="E553" s="59"/>
    </row>
    <row r="554">
      <c r="A554" s="59"/>
      <c r="B554" s="59"/>
      <c r="C554" s="59"/>
      <c r="D554" s="59"/>
      <c r="E554" s="59"/>
    </row>
    <row r="555">
      <c r="A555" s="59"/>
      <c r="B555" s="59"/>
      <c r="C555" s="59"/>
      <c r="D555" s="59"/>
      <c r="E555" s="59"/>
    </row>
    <row r="556">
      <c r="A556" s="59"/>
      <c r="B556" s="59"/>
      <c r="C556" s="59"/>
      <c r="D556" s="59"/>
      <c r="E556" s="59"/>
    </row>
    <row r="557">
      <c r="A557" s="59"/>
      <c r="B557" s="59"/>
      <c r="C557" s="59"/>
      <c r="D557" s="59"/>
      <c r="E557" s="59"/>
    </row>
    <row r="558">
      <c r="A558" s="59"/>
      <c r="B558" s="59"/>
      <c r="C558" s="59"/>
      <c r="D558" s="59"/>
      <c r="E558" s="59"/>
    </row>
    <row r="559">
      <c r="A559" s="59"/>
      <c r="B559" s="59"/>
      <c r="C559" s="59"/>
      <c r="D559" s="59"/>
      <c r="E559" s="59"/>
    </row>
    <row r="560">
      <c r="A560" s="59"/>
      <c r="B560" s="59"/>
      <c r="C560" s="59"/>
      <c r="D560" s="59"/>
      <c r="E560" s="59"/>
    </row>
    <row r="561">
      <c r="A561" s="59"/>
      <c r="B561" s="59"/>
      <c r="C561" s="59"/>
      <c r="D561" s="59"/>
      <c r="E561" s="59"/>
    </row>
    <row r="562">
      <c r="A562" s="59"/>
      <c r="B562" s="59"/>
      <c r="C562" s="59"/>
      <c r="D562" s="59"/>
      <c r="E562" s="59"/>
    </row>
    <row r="563">
      <c r="A563" s="59"/>
      <c r="B563" s="59"/>
      <c r="C563" s="59"/>
      <c r="D563" s="59"/>
      <c r="E563" s="59"/>
    </row>
    <row r="564">
      <c r="A564" s="59"/>
      <c r="B564" s="59"/>
      <c r="C564" s="59"/>
      <c r="D564" s="59"/>
      <c r="E564" s="59"/>
    </row>
    <row r="565">
      <c r="A565" s="59"/>
      <c r="B565" s="59"/>
      <c r="C565" s="59"/>
      <c r="D565" s="59"/>
      <c r="E565" s="59"/>
    </row>
    <row r="566">
      <c r="A566" s="59"/>
      <c r="B566" s="59"/>
      <c r="C566" s="59"/>
      <c r="D566" s="59"/>
      <c r="E566" s="59"/>
    </row>
    <row r="567">
      <c r="A567" s="59"/>
      <c r="B567" s="59"/>
      <c r="C567" s="59"/>
      <c r="D567" s="59"/>
      <c r="E567" s="59"/>
    </row>
    <row r="568">
      <c r="A568" s="59"/>
      <c r="B568" s="59"/>
      <c r="C568" s="59"/>
      <c r="D568" s="59"/>
      <c r="E568" s="59"/>
    </row>
    <row r="569">
      <c r="A569" s="59"/>
      <c r="B569" s="59"/>
      <c r="C569" s="59"/>
      <c r="D569" s="59"/>
      <c r="E569" s="59"/>
    </row>
    <row r="570">
      <c r="A570" s="59"/>
      <c r="B570" s="59"/>
      <c r="C570" s="59"/>
      <c r="D570" s="59"/>
      <c r="E570" s="59"/>
    </row>
    <row r="571">
      <c r="A571" s="59"/>
      <c r="B571" s="59"/>
      <c r="C571" s="59"/>
      <c r="D571" s="59"/>
      <c r="E571" s="59"/>
    </row>
    <row r="572">
      <c r="A572" s="59"/>
      <c r="B572" s="59"/>
      <c r="C572" s="59"/>
      <c r="D572" s="59"/>
      <c r="E572" s="59"/>
    </row>
    <row r="573">
      <c r="A573" s="59"/>
      <c r="B573" s="59"/>
      <c r="C573" s="59"/>
      <c r="D573" s="59"/>
      <c r="E573" s="59"/>
    </row>
    <row r="574">
      <c r="A574" s="59"/>
      <c r="B574" s="59"/>
      <c r="C574" s="59"/>
      <c r="D574" s="59"/>
      <c r="E574" s="59"/>
    </row>
    <row r="575">
      <c r="A575" s="59"/>
      <c r="B575" s="59"/>
      <c r="C575" s="59"/>
      <c r="D575" s="59"/>
      <c r="E575" s="59"/>
    </row>
    <row r="576">
      <c r="A576" s="59"/>
      <c r="B576" s="59"/>
      <c r="C576" s="59"/>
      <c r="D576" s="59"/>
      <c r="E576" s="59"/>
    </row>
    <row r="577">
      <c r="A577" s="59"/>
      <c r="B577" s="59"/>
      <c r="C577" s="59"/>
      <c r="D577" s="59"/>
      <c r="E577" s="59"/>
    </row>
    <row r="578">
      <c r="A578" s="59"/>
      <c r="B578" s="59"/>
      <c r="C578" s="59"/>
      <c r="D578" s="59"/>
      <c r="E578" s="59"/>
    </row>
    <row r="579">
      <c r="A579" s="59"/>
      <c r="B579" s="59"/>
      <c r="C579" s="59"/>
      <c r="D579" s="59"/>
      <c r="E579" s="59"/>
    </row>
    <row r="580">
      <c r="A580" s="59"/>
      <c r="B580" s="59"/>
      <c r="C580" s="59"/>
      <c r="D580" s="59"/>
      <c r="E580" s="59"/>
    </row>
    <row r="581">
      <c r="A581" s="59"/>
      <c r="B581" s="59"/>
      <c r="C581" s="59"/>
      <c r="D581" s="59"/>
      <c r="E581" s="59"/>
    </row>
    <row r="582">
      <c r="A582" s="59"/>
      <c r="B582" s="59"/>
      <c r="C582" s="59"/>
      <c r="D582" s="59"/>
      <c r="E582" s="59"/>
    </row>
    <row r="583">
      <c r="A583" s="59"/>
      <c r="B583" s="59"/>
      <c r="C583" s="59"/>
      <c r="D583" s="59"/>
      <c r="E583" s="59"/>
    </row>
    <row r="584">
      <c r="A584" s="59"/>
      <c r="B584" s="59"/>
      <c r="C584" s="59"/>
      <c r="D584" s="59"/>
      <c r="E584" s="59"/>
    </row>
    <row r="585">
      <c r="A585" s="59"/>
      <c r="B585" s="59"/>
      <c r="C585" s="59"/>
      <c r="D585" s="59"/>
      <c r="E585" s="59"/>
    </row>
    <row r="586">
      <c r="A586" s="59"/>
      <c r="B586" s="59"/>
      <c r="C586" s="59"/>
      <c r="D586" s="59"/>
      <c r="E586" s="59"/>
    </row>
    <row r="587">
      <c r="A587" s="59"/>
      <c r="B587" s="59"/>
      <c r="C587" s="59"/>
      <c r="D587" s="59"/>
      <c r="E587" s="59"/>
    </row>
    <row r="588">
      <c r="A588" s="59"/>
      <c r="B588" s="59"/>
      <c r="C588" s="59"/>
      <c r="D588" s="59"/>
      <c r="E588" s="59"/>
    </row>
    <row r="589">
      <c r="A589" s="59"/>
      <c r="B589" s="59"/>
      <c r="C589" s="59"/>
      <c r="D589" s="59"/>
      <c r="E589" s="59"/>
    </row>
    <row r="590">
      <c r="A590" s="59"/>
      <c r="B590" s="59"/>
      <c r="C590" s="59"/>
      <c r="D590" s="59"/>
      <c r="E590" s="59"/>
    </row>
    <row r="591">
      <c r="A591" s="59"/>
      <c r="B591" s="59"/>
      <c r="C591" s="59"/>
      <c r="D591" s="59"/>
      <c r="E591" s="59"/>
    </row>
    <row r="592">
      <c r="A592" s="59"/>
      <c r="B592" s="59"/>
      <c r="C592" s="59"/>
      <c r="D592" s="59"/>
      <c r="E592" s="59"/>
    </row>
    <row r="593">
      <c r="A593" s="59"/>
      <c r="B593" s="59"/>
      <c r="C593" s="59"/>
      <c r="D593" s="59"/>
      <c r="E593" s="59"/>
    </row>
    <row r="594">
      <c r="A594" s="59"/>
      <c r="B594" s="59"/>
      <c r="C594" s="59"/>
      <c r="D594" s="59"/>
      <c r="E594" s="59"/>
    </row>
    <row r="595">
      <c r="A595" s="59"/>
      <c r="B595" s="59"/>
      <c r="C595" s="59"/>
      <c r="D595" s="59"/>
      <c r="E595" s="59"/>
    </row>
    <row r="596">
      <c r="A596" s="59"/>
      <c r="B596" s="59"/>
      <c r="C596" s="59"/>
      <c r="D596" s="59"/>
      <c r="E596" s="59"/>
    </row>
    <row r="597">
      <c r="A597" s="59"/>
      <c r="B597" s="59"/>
      <c r="C597" s="59"/>
      <c r="D597" s="59"/>
      <c r="E597" s="59"/>
    </row>
    <row r="598">
      <c r="A598" s="59"/>
      <c r="B598" s="59"/>
      <c r="C598" s="59"/>
      <c r="D598" s="59"/>
      <c r="E598" s="59"/>
    </row>
    <row r="599">
      <c r="A599" s="59"/>
      <c r="B599" s="59"/>
      <c r="C599" s="59"/>
      <c r="D599" s="59"/>
      <c r="E599" s="59"/>
    </row>
    <row r="600">
      <c r="A600" s="59"/>
      <c r="B600" s="59"/>
      <c r="C600" s="59"/>
      <c r="D600" s="59"/>
      <c r="E600" s="59"/>
    </row>
    <row r="601">
      <c r="A601" s="59"/>
      <c r="B601" s="59"/>
      <c r="C601" s="59"/>
      <c r="D601" s="59"/>
      <c r="E601" s="59"/>
    </row>
    <row r="602">
      <c r="A602" s="59"/>
      <c r="B602" s="59"/>
      <c r="C602" s="59"/>
      <c r="D602" s="59"/>
      <c r="E602" s="59"/>
    </row>
    <row r="603">
      <c r="A603" s="59"/>
      <c r="B603" s="59"/>
      <c r="C603" s="59"/>
      <c r="D603" s="59"/>
      <c r="E603" s="59"/>
    </row>
    <row r="604">
      <c r="A604" s="59"/>
      <c r="B604" s="59"/>
      <c r="C604" s="59"/>
      <c r="D604" s="59"/>
      <c r="E604" s="59"/>
    </row>
    <row r="605">
      <c r="A605" s="59"/>
      <c r="B605" s="59"/>
      <c r="C605" s="59"/>
      <c r="D605" s="59"/>
      <c r="E605" s="59"/>
    </row>
    <row r="606">
      <c r="A606" s="59"/>
      <c r="B606" s="59"/>
      <c r="C606" s="59"/>
      <c r="D606" s="59"/>
      <c r="E606" s="59"/>
    </row>
    <row r="607">
      <c r="A607" s="59"/>
      <c r="B607" s="59"/>
      <c r="C607" s="59"/>
      <c r="D607" s="59"/>
      <c r="E607" s="59"/>
    </row>
    <row r="608">
      <c r="A608" s="59"/>
      <c r="B608" s="59"/>
      <c r="C608" s="59"/>
      <c r="D608" s="59"/>
      <c r="E608" s="59"/>
    </row>
    <row r="609">
      <c r="A609" s="59"/>
      <c r="B609" s="59"/>
      <c r="C609" s="59"/>
      <c r="D609" s="59"/>
      <c r="E609" s="59"/>
    </row>
    <row r="610">
      <c r="A610" s="59"/>
      <c r="B610" s="59"/>
      <c r="C610" s="59"/>
      <c r="D610" s="59"/>
      <c r="E610" s="59"/>
    </row>
    <row r="611">
      <c r="A611" s="59"/>
      <c r="B611" s="59"/>
      <c r="C611" s="59"/>
      <c r="D611" s="59"/>
      <c r="E611" s="59"/>
    </row>
    <row r="612">
      <c r="A612" s="59"/>
      <c r="B612" s="59"/>
      <c r="C612" s="59"/>
      <c r="D612" s="59"/>
      <c r="E612" s="59"/>
    </row>
    <row r="613">
      <c r="A613" s="59"/>
      <c r="B613" s="59"/>
      <c r="C613" s="59"/>
      <c r="D613" s="59"/>
      <c r="E613" s="59"/>
    </row>
    <row r="614">
      <c r="A614" s="59"/>
      <c r="B614" s="59"/>
      <c r="C614" s="59"/>
      <c r="D614" s="59"/>
      <c r="E614" s="59"/>
    </row>
    <row r="615">
      <c r="A615" s="59"/>
      <c r="B615" s="59"/>
      <c r="C615" s="59"/>
      <c r="D615" s="59"/>
      <c r="E615" s="59"/>
    </row>
    <row r="616">
      <c r="A616" s="59"/>
      <c r="B616" s="59"/>
      <c r="C616" s="59"/>
      <c r="D616" s="59"/>
      <c r="E616" s="59"/>
    </row>
    <row r="617">
      <c r="A617" s="59"/>
      <c r="B617" s="59"/>
      <c r="C617" s="59"/>
      <c r="D617" s="59"/>
      <c r="E617" s="59"/>
    </row>
    <row r="618">
      <c r="A618" s="59"/>
      <c r="B618" s="59"/>
      <c r="C618" s="59"/>
      <c r="D618" s="59"/>
      <c r="E618" s="59"/>
    </row>
    <row r="619">
      <c r="A619" s="59"/>
      <c r="B619" s="59"/>
      <c r="C619" s="59"/>
      <c r="D619" s="59"/>
      <c r="E619" s="59"/>
    </row>
    <row r="620">
      <c r="A620" s="59"/>
      <c r="B620" s="59"/>
      <c r="C620" s="59"/>
      <c r="D620" s="59"/>
      <c r="E620" s="59"/>
    </row>
    <row r="621">
      <c r="A621" s="59"/>
      <c r="B621" s="59"/>
      <c r="C621" s="59"/>
      <c r="D621" s="59"/>
      <c r="E621" s="59"/>
    </row>
    <row r="622">
      <c r="A622" s="59"/>
      <c r="B622" s="59"/>
      <c r="C622" s="59"/>
      <c r="D622" s="59"/>
      <c r="E622" s="59"/>
    </row>
    <row r="623">
      <c r="A623" s="59"/>
      <c r="B623" s="59"/>
      <c r="C623" s="59"/>
      <c r="D623" s="59"/>
      <c r="E623" s="59"/>
    </row>
    <row r="624">
      <c r="A624" s="59"/>
      <c r="B624" s="59"/>
      <c r="C624" s="59"/>
      <c r="D624" s="59"/>
      <c r="E624" s="59"/>
    </row>
    <row r="625">
      <c r="A625" s="59"/>
      <c r="B625" s="59"/>
      <c r="C625" s="59"/>
      <c r="D625" s="59"/>
      <c r="E625" s="59"/>
    </row>
    <row r="626">
      <c r="A626" s="59"/>
      <c r="B626" s="59"/>
      <c r="C626" s="59"/>
      <c r="D626" s="59"/>
      <c r="E626" s="59"/>
    </row>
    <row r="627">
      <c r="A627" s="59"/>
      <c r="B627" s="59"/>
      <c r="C627" s="59"/>
      <c r="D627" s="59"/>
      <c r="E627" s="59"/>
    </row>
    <row r="628">
      <c r="A628" s="59"/>
      <c r="B628" s="59"/>
      <c r="C628" s="59"/>
      <c r="D628" s="59"/>
      <c r="E628" s="59"/>
    </row>
    <row r="629">
      <c r="A629" s="59"/>
      <c r="B629" s="59"/>
      <c r="C629" s="59"/>
      <c r="D629" s="59"/>
      <c r="E629" s="59"/>
    </row>
    <row r="630">
      <c r="A630" s="59"/>
      <c r="B630" s="59"/>
      <c r="C630" s="59"/>
      <c r="D630" s="59"/>
      <c r="E630" s="59"/>
    </row>
    <row r="631">
      <c r="A631" s="59"/>
      <c r="B631" s="59"/>
      <c r="C631" s="59"/>
      <c r="D631" s="59"/>
      <c r="E631" s="59"/>
    </row>
    <row r="632">
      <c r="A632" s="59"/>
      <c r="B632" s="59"/>
      <c r="C632" s="59"/>
      <c r="D632" s="59"/>
      <c r="E632" s="59"/>
    </row>
    <row r="633">
      <c r="A633" s="59"/>
      <c r="B633" s="59"/>
      <c r="C633" s="59"/>
      <c r="D633" s="59"/>
      <c r="E633" s="59"/>
    </row>
    <row r="634">
      <c r="A634" s="59"/>
      <c r="B634" s="59"/>
      <c r="C634" s="59"/>
      <c r="D634" s="59"/>
      <c r="E634" s="59"/>
    </row>
    <row r="635">
      <c r="A635" s="59"/>
      <c r="B635" s="59"/>
      <c r="C635" s="59"/>
      <c r="D635" s="59"/>
      <c r="E635" s="59"/>
    </row>
    <row r="636">
      <c r="A636" s="59"/>
      <c r="B636" s="59"/>
      <c r="C636" s="59"/>
      <c r="D636" s="59"/>
      <c r="E636" s="59"/>
    </row>
    <row r="637">
      <c r="A637" s="59"/>
      <c r="B637" s="59"/>
      <c r="C637" s="59"/>
      <c r="D637" s="59"/>
      <c r="E637" s="59"/>
    </row>
    <row r="638">
      <c r="A638" s="59"/>
      <c r="B638" s="59"/>
      <c r="C638" s="59"/>
      <c r="D638" s="59"/>
      <c r="E638" s="59"/>
    </row>
    <row r="639">
      <c r="A639" s="59"/>
      <c r="B639" s="59"/>
      <c r="C639" s="59"/>
      <c r="D639" s="59"/>
      <c r="E639" s="59"/>
    </row>
    <row r="640">
      <c r="A640" s="59"/>
      <c r="B640" s="59"/>
      <c r="C640" s="59"/>
      <c r="D640" s="59"/>
      <c r="E640" s="59"/>
    </row>
    <row r="641">
      <c r="A641" s="59"/>
      <c r="B641" s="59"/>
      <c r="C641" s="59"/>
      <c r="D641" s="59"/>
      <c r="E641" s="59"/>
    </row>
    <row r="642">
      <c r="A642" s="59"/>
      <c r="B642" s="59"/>
      <c r="C642" s="59"/>
      <c r="D642" s="59"/>
      <c r="E642" s="59"/>
    </row>
    <row r="643">
      <c r="A643" s="59"/>
      <c r="B643" s="59"/>
      <c r="C643" s="59"/>
      <c r="D643" s="59"/>
      <c r="E643" s="59"/>
    </row>
    <row r="644">
      <c r="A644" s="59"/>
      <c r="B644" s="59"/>
      <c r="C644" s="59"/>
      <c r="D644" s="59"/>
      <c r="E644" s="59"/>
    </row>
    <row r="645">
      <c r="A645" s="59"/>
      <c r="B645" s="59"/>
      <c r="C645" s="59"/>
      <c r="D645" s="59"/>
      <c r="E645" s="59"/>
    </row>
    <row r="646">
      <c r="A646" s="59"/>
      <c r="B646" s="59"/>
      <c r="C646" s="59"/>
      <c r="D646" s="59"/>
      <c r="E646" s="59"/>
    </row>
    <row r="647">
      <c r="A647" s="59"/>
      <c r="B647" s="59"/>
      <c r="C647" s="59"/>
      <c r="D647" s="59"/>
      <c r="E647" s="59"/>
    </row>
    <row r="648">
      <c r="A648" s="59"/>
      <c r="B648" s="59"/>
      <c r="C648" s="59"/>
      <c r="D648" s="59"/>
      <c r="E648" s="59"/>
    </row>
    <row r="649">
      <c r="A649" s="59"/>
      <c r="B649" s="59"/>
      <c r="C649" s="59"/>
      <c r="D649" s="59"/>
      <c r="E649" s="59"/>
    </row>
    <row r="650">
      <c r="A650" s="59"/>
      <c r="B650" s="59"/>
      <c r="C650" s="59"/>
      <c r="D650" s="59"/>
      <c r="E650" s="59"/>
    </row>
    <row r="651">
      <c r="A651" s="59"/>
      <c r="B651" s="59"/>
      <c r="C651" s="59"/>
      <c r="D651" s="59"/>
      <c r="E651" s="59"/>
    </row>
    <row r="652">
      <c r="A652" s="59"/>
      <c r="B652" s="59"/>
      <c r="C652" s="59"/>
      <c r="D652" s="59"/>
      <c r="E652" s="59"/>
    </row>
    <row r="653">
      <c r="A653" s="59"/>
      <c r="B653" s="59"/>
      <c r="C653" s="59"/>
      <c r="D653" s="59"/>
      <c r="E653" s="59"/>
    </row>
    <row r="654">
      <c r="A654" s="59"/>
      <c r="B654" s="59"/>
      <c r="C654" s="59"/>
      <c r="D654" s="59"/>
      <c r="E654" s="59"/>
    </row>
    <row r="655">
      <c r="A655" s="59"/>
      <c r="B655" s="59"/>
      <c r="C655" s="59"/>
      <c r="D655" s="59"/>
      <c r="E655" s="59"/>
    </row>
    <row r="656">
      <c r="A656" s="59"/>
      <c r="B656" s="59"/>
      <c r="C656" s="59"/>
      <c r="D656" s="59"/>
      <c r="E656" s="59"/>
    </row>
    <row r="657">
      <c r="A657" s="59"/>
      <c r="B657" s="59"/>
      <c r="C657" s="59"/>
      <c r="D657" s="59"/>
      <c r="E657" s="59"/>
    </row>
    <row r="658">
      <c r="A658" s="59"/>
      <c r="B658" s="59"/>
      <c r="C658" s="59"/>
      <c r="D658" s="59"/>
      <c r="E658" s="59"/>
    </row>
    <row r="659">
      <c r="A659" s="59"/>
      <c r="B659" s="59"/>
      <c r="C659" s="59"/>
      <c r="D659" s="59"/>
      <c r="E659" s="59"/>
    </row>
    <row r="660">
      <c r="A660" s="59"/>
      <c r="B660" s="59"/>
      <c r="C660" s="59"/>
      <c r="D660" s="59"/>
      <c r="E660" s="59"/>
    </row>
    <row r="661">
      <c r="A661" s="59"/>
      <c r="B661" s="59"/>
      <c r="C661" s="59"/>
      <c r="D661" s="59"/>
      <c r="E661" s="59"/>
    </row>
    <row r="662">
      <c r="A662" s="59"/>
      <c r="B662" s="59"/>
      <c r="C662" s="59"/>
      <c r="D662" s="59"/>
      <c r="E662" s="59"/>
    </row>
    <row r="663">
      <c r="A663" s="59"/>
      <c r="B663" s="59"/>
      <c r="C663" s="59"/>
      <c r="D663" s="59"/>
      <c r="E663" s="59"/>
    </row>
    <row r="664">
      <c r="A664" s="59"/>
      <c r="B664" s="59"/>
      <c r="C664" s="59"/>
      <c r="D664" s="59"/>
      <c r="E664" s="59"/>
    </row>
    <row r="665">
      <c r="A665" s="59"/>
      <c r="B665" s="59"/>
      <c r="C665" s="59"/>
      <c r="D665" s="59"/>
      <c r="E665" s="59"/>
    </row>
    <row r="666">
      <c r="A666" s="59"/>
      <c r="B666" s="59"/>
      <c r="C666" s="59"/>
      <c r="D666" s="59"/>
      <c r="E666" s="59"/>
    </row>
    <row r="667">
      <c r="A667" s="59"/>
      <c r="B667" s="59"/>
      <c r="C667" s="59"/>
      <c r="D667" s="59"/>
      <c r="E667" s="59"/>
    </row>
    <row r="668">
      <c r="A668" s="59"/>
      <c r="B668" s="59"/>
      <c r="C668" s="59"/>
      <c r="D668" s="59"/>
      <c r="E668" s="59"/>
    </row>
    <row r="669">
      <c r="A669" s="59"/>
      <c r="B669" s="59"/>
      <c r="C669" s="59"/>
      <c r="D669" s="59"/>
      <c r="E669" s="59"/>
    </row>
    <row r="670">
      <c r="A670" s="59"/>
      <c r="B670" s="59"/>
      <c r="C670" s="59"/>
      <c r="D670" s="59"/>
      <c r="E670" s="59"/>
    </row>
    <row r="671">
      <c r="A671" s="59"/>
      <c r="B671" s="59"/>
      <c r="C671" s="59"/>
      <c r="D671" s="59"/>
      <c r="E671" s="59"/>
    </row>
    <row r="672">
      <c r="A672" s="59"/>
      <c r="B672" s="59"/>
      <c r="C672" s="59"/>
      <c r="D672" s="59"/>
      <c r="E672" s="59"/>
    </row>
    <row r="673">
      <c r="A673" s="59"/>
      <c r="B673" s="59"/>
      <c r="C673" s="59"/>
      <c r="D673" s="59"/>
      <c r="E673" s="59"/>
    </row>
    <row r="674">
      <c r="A674" s="59"/>
      <c r="B674" s="59"/>
      <c r="C674" s="59"/>
      <c r="D674" s="59"/>
      <c r="E674" s="59"/>
    </row>
    <row r="675">
      <c r="A675" s="59"/>
      <c r="B675" s="59"/>
      <c r="C675" s="59"/>
      <c r="D675" s="59"/>
      <c r="E675" s="59"/>
    </row>
    <row r="676">
      <c r="A676" s="59"/>
      <c r="B676" s="59"/>
      <c r="C676" s="59"/>
      <c r="D676" s="59"/>
      <c r="E676" s="59"/>
    </row>
    <row r="677">
      <c r="A677" s="59"/>
      <c r="B677" s="59"/>
      <c r="C677" s="59"/>
      <c r="D677" s="59"/>
      <c r="E677" s="59"/>
    </row>
    <row r="678">
      <c r="A678" s="59"/>
      <c r="B678" s="59"/>
      <c r="C678" s="59"/>
      <c r="D678" s="59"/>
      <c r="E678" s="59"/>
    </row>
    <row r="679">
      <c r="A679" s="59"/>
      <c r="B679" s="59"/>
      <c r="C679" s="59"/>
      <c r="D679" s="59"/>
      <c r="E679" s="59"/>
    </row>
    <row r="680">
      <c r="A680" s="59"/>
      <c r="B680" s="59"/>
      <c r="C680" s="59"/>
      <c r="D680" s="59"/>
      <c r="E680" s="59"/>
    </row>
    <row r="681">
      <c r="A681" s="59"/>
      <c r="B681" s="59"/>
      <c r="C681" s="59"/>
      <c r="D681" s="59"/>
      <c r="E681" s="59"/>
    </row>
    <row r="682">
      <c r="A682" s="59"/>
      <c r="B682" s="59"/>
      <c r="C682" s="59"/>
      <c r="D682" s="59"/>
      <c r="E682" s="59"/>
    </row>
    <row r="683">
      <c r="A683" s="59"/>
      <c r="B683" s="59"/>
      <c r="C683" s="59"/>
      <c r="D683" s="59"/>
      <c r="E683" s="59"/>
    </row>
    <row r="684">
      <c r="A684" s="59"/>
      <c r="B684" s="59"/>
      <c r="C684" s="59"/>
      <c r="D684" s="59"/>
      <c r="E684" s="59"/>
    </row>
    <row r="685">
      <c r="A685" s="59"/>
      <c r="B685" s="59"/>
      <c r="C685" s="59"/>
      <c r="D685" s="59"/>
      <c r="E685" s="59"/>
    </row>
    <row r="686">
      <c r="A686" s="59"/>
      <c r="B686" s="59"/>
      <c r="C686" s="59"/>
      <c r="D686" s="59"/>
      <c r="E686" s="59"/>
    </row>
    <row r="687">
      <c r="A687" s="59"/>
      <c r="B687" s="59"/>
      <c r="C687" s="59"/>
      <c r="D687" s="59"/>
      <c r="E687" s="59"/>
    </row>
    <row r="688">
      <c r="A688" s="59"/>
      <c r="B688" s="59"/>
      <c r="C688" s="59"/>
      <c r="D688" s="59"/>
      <c r="E688" s="59"/>
    </row>
    <row r="689">
      <c r="A689" s="59"/>
      <c r="B689" s="59"/>
      <c r="C689" s="59"/>
      <c r="D689" s="59"/>
      <c r="E689" s="59"/>
    </row>
    <row r="690">
      <c r="A690" s="59"/>
      <c r="B690" s="59"/>
      <c r="C690" s="59"/>
      <c r="D690" s="59"/>
      <c r="E690" s="59"/>
    </row>
    <row r="691">
      <c r="A691" s="59"/>
      <c r="B691" s="59"/>
      <c r="C691" s="59"/>
      <c r="D691" s="59"/>
      <c r="E691" s="59"/>
    </row>
    <row r="692">
      <c r="A692" s="59"/>
      <c r="B692" s="59"/>
      <c r="C692" s="59"/>
      <c r="D692" s="59"/>
      <c r="E692" s="59"/>
    </row>
    <row r="693">
      <c r="A693" s="59"/>
      <c r="B693" s="59"/>
      <c r="C693" s="59"/>
      <c r="D693" s="59"/>
      <c r="E693" s="59"/>
    </row>
    <row r="694">
      <c r="A694" s="59"/>
      <c r="B694" s="59"/>
      <c r="C694" s="59"/>
      <c r="D694" s="59"/>
      <c r="E694" s="59"/>
    </row>
    <row r="695">
      <c r="A695" s="59"/>
      <c r="B695" s="59"/>
      <c r="C695" s="59"/>
      <c r="D695" s="59"/>
      <c r="E695" s="59"/>
    </row>
    <row r="696">
      <c r="A696" s="59"/>
      <c r="B696" s="59"/>
      <c r="C696" s="59"/>
      <c r="D696" s="59"/>
      <c r="E696" s="59"/>
    </row>
    <row r="697">
      <c r="A697" s="59"/>
      <c r="B697" s="59"/>
      <c r="C697" s="59"/>
      <c r="D697" s="59"/>
      <c r="E697" s="59"/>
    </row>
    <row r="698">
      <c r="A698" s="59"/>
      <c r="B698" s="59"/>
      <c r="C698" s="59"/>
      <c r="D698" s="59"/>
      <c r="E698" s="59"/>
    </row>
    <row r="699">
      <c r="A699" s="59"/>
      <c r="B699" s="59"/>
      <c r="C699" s="59"/>
      <c r="D699" s="59"/>
      <c r="E699" s="59"/>
    </row>
    <row r="700">
      <c r="A700" s="59"/>
      <c r="B700" s="59"/>
      <c r="C700" s="59"/>
      <c r="D700" s="59"/>
      <c r="E700" s="59"/>
    </row>
    <row r="701">
      <c r="A701" s="59"/>
      <c r="B701" s="59"/>
      <c r="C701" s="59"/>
      <c r="D701" s="59"/>
      <c r="E701" s="59"/>
    </row>
    <row r="702">
      <c r="A702" s="59"/>
      <c r="B702" s="59"/>
      <c r="C702" s="59"/>
      <c r="D702" s="59"/>
      <c r="E702" s="59"/>
    </row>
    <row r="703">
      <c r="A703" s="59"/>
      <c r="B703" s="59"/>
      <c r="C703" s="59"/>
      <c r="D703" s="59"/>
      <c r="E703" s="59"/>
    </row>
    <row r="704">
      <c r="A704" s="59"/>
      <c r="B704" s="59"/>
      <c r="C704" s="59"/>
      <c r="D704" s="59"/>
      <c r="E704" s="59"/>
    </row>
    <row r="705">
      <c r="A705" s="59"/>
      <c r="B705" s="59"/>
      <c r="C705" s="59"/>
      <c r="D705" s="59"/>
      <c r="E705" s="59"/>
    </row>
    <row r="706">
      <c r="A706" s="59"/>
      <c r="B706" s="59"/>
      <c r="C706" s="59"/>
      <c r="D706" s="59"/>
      <c r="E706" s="59"/>
    </row>
    <row r="707">
      <c r="A707" s="59"/>
      <c r="B707" s="59"/>
      <c r="C707" s="59"/>
      <c r="D707" s="59"/>
      <c r="E707" s="59"/>
    </row>
    <row r="708">
      <c r="A708" s="59"/>
      <c r="B708" s="59"/>
      <c r="C708" s="59"/>
      <c r="D708" s="59"/>
      <c r="E708" s="59"/>
    </row>
    <row r="709">
      <c r="A709" s="59"/>
      <c r="B709" s="59"/>
      <c r="C709" s="59"/>
      <c r="D709" s="59"/>
      <c r="E709" s="59"/>
    </row>
    <row r="710">
      <c r="A710" s="59"/>
      <c r="B710" s="59"/>
      <c r="C710" s="59"/>
      <c r="D710" s="59"/>
      <c r="E710" s="59"/>
    </row>
    <row r="711">
      <c r="A711" s="59"/>
      <c r="B711" s="59"/>
      <c r="C711" s="59"/>
      <c r="D711" s="59"/>
      <c r="E711" s="59"/>
    </row>
    <row r="712">
      <c r="A712" s="59"/>
      <c r="B712" s="59"/>
      <c r="C712" s="59"/>
      <c r="D712" s="59"/>
      <c r="E712" s="59"/>
    </row>
    <row r="713">
      <c r="A713" s="59"/>
      <c r="B713" s="59"/>
      <c r="C713" s="59"/>
      <c r="D713" s="59"/>
      <c r="E713" s="59"/>
    </row>
    <row r="714">
      <c r="A714" s="59"/>
      <c r="B714" s="59"/>
      <c r="C714" s="59"/>
      <c r="D714" s="59"/>
      <c r="E714" s="59"/>
    </row>
    <row r="715">
      <c r="A715" s="59"/>
      <c r="B715" s="59"/>
      <c r="C715" s="59"/>
      <c r="D715" s="59"/>
      <c r="E715" s="59"/>
    </row>
    <row r="716">
      <c r="A716" s="59"/>
      <c r="B716" s="59"/>
      <c r="C716" s="59"/>
      <c r="D716" s="59"/>
      <c r="E716" s="59"/>
    </row>
    <row r="717">
      <c r="A717" s="59"/>
      <c r="B717" s="59"/>
      <c r="C717" s="59"/>
      <c r="D717" s="59"/>
      <c r="E717" s="59"/>
    </row>
    <row r="718">
      <c r="A718" s="59"/>
      <c r="B718" s="59"/>
      <c r="C718" s="59"/>
      <c r="D718" s="59"/>
      <c r="E718" s="59"/>
    </row>
    <row r="719">
      <c r="A719" s="59"/>
      <c r="B719" s="59"/>
      <c r="C719" s="59"/>
      <c r="D719" s="59"/>
      <c r="E719" s="59"/>
    </row>
    <row r="720">
      <c r="A720" s="59"/>
      <c r="B720" s="59"/>
      <c r="C720" s="59"/>
      <c r="D720" s="59"/>
      <c r="E720" s="59"/>
    </row>
    <row r="721">
      <c r="A721" s="59"/>
      <c r="B721" s="59"/>
      <c r="C721" s="59"/>
      <c r="D721" s="59"/>
      <c r="E721" s="59"/>
    </row>
    <row r="722">
      <c r="A722" s="59"/>
      <c r="B722" s="59"/>
      <c r="C722" s="59"/>
      <c r="D722" s="59"/>
      <c r="E722" s="59"/>
    </row>
    <row r="723">
      <c r="A723" s="59"/>
      <c r="B723" s="59"/>
      <c r="C723" s="59"/>
      <c r="D723" s="59"/>
      <c r="E723" s="59"/>
    </row>
    <row r="724">
      <c r="A724" s="59"/>
      <c r="B724" s="59"/>
      <c r="C724" s="59"/>
      <c r="D724" s="59"/>
      <c r="E724" s="59"/>
    </row>
    <row r="725">
      <c r="A725" s="59"/>
      <c r="B725" s="59"/>
      <c r="C725" s="59"/>
      <c r="D725" s="59"/>
      <c r="E725" s="59"/>
    </row>
    <row r="726">
      <c r="A726" s="59"/>
      <c r="B726" s="59"/>
      <c r="C726" s="59"/>
      <c r="D726" s="59"/>
      <c r="E726" s="59"/>
    </row>
    <row r="727">
      <c r="A727" s="59"/>
      <c r="B727" s="59"/>
      <c r="C727" s="59"/>
      <c r="D727" s="59"/>
      <c r="E727" s="59"/>
    </row>
    <row r="728">
      <c r="A728" s="59"/>
      <c r="B728" s="59"/>
      <c r="C728" s="59"/>
      <c r="D728" s="59"/>
      <c r="E728" s="59"/>
    </row>
    <row r="729">
      <c r="A729" s="59"/>
      <c r="B729" s="59"/>
      <c r="C729" s="59"/>
      <c r="D729" s="59"/>
      <c r="E729" s="59"/>
    </row>
    <row r="730">
      <c r="A730" s="59"/>
      <c r="B730" s="59"/>
      <c r="C730" s="59"/>
      <c r="D730" s="59"/>
      <c r="E730" s="59"/>
    </row>
    <row r="731">
      <c r="A731" s="59"/>
      <c r="B731" s="59"/>
      <c r="C731" s="59"/>
      <c r="D731" s="59"/>
      <c r="E731" s="59"/>
    </row>
    <row r="732">
      <c r="A732" s="59"/>
      <c r="B732" s="59"/>
      <c r="C732" s="59"/>
      <c r="D732" s="59"/>
      <c r="E732" s="59"/>
    </row>
    <row r="733">
      <c r="A733" s="59"/>
      <c r="B733" s="59"/>
      <c r="C733" s="59"/>
      <c r="D733" s="59"/>
      <c r="E733" s="59"/>
    </row>
    <row r="734">
      <c r="A734" s="59"/>
      <c r="B734" s="59"/>
      <c r="C734" s="59"/>
      <c r="D734" s="59"/>
      <c r="E734" s="59"/>
    </row>
    <row r="735">
      <c r="A735" s="59"/>
      <c r="B735" s="59"/>
      <c r="C735" s="59"/>
      <c r="D735" s="59"/>
      <c r="E735" s="59"/>
    </row>
    <row r="736">
      <c r="A736" s="59"/>
      <c r="B736" s="59"/>
      <c r="C736" s="59"/>
      <c r="D736" s="59"/>
      <c r="E736" s="59"/>
    </row>
    <row r="737">
      <c r="A737" s="59"/>
      <c r="B737" s="59"/>
      <c r="C737" s="59"/>
      <c r="D737" s="59"/>
      <c r="E737" s="59"/>
    </row>
    <row r="738">
      <c r="A738" s="59"/>
      <c r="B738" s="59"/>
      <c r="C738" s="59"/>
      <c r="D738" s="59"/>
      <c r="E738" s="59"/>
    </row>
    <row r="739">
      <c r="A739" s="59"/>
      <c r="B739" s="59"/>
      <c r="C739" s="59"/>
      <c r="D739" s="59"/>
      <c r="E739" s="59"/>
    </row>
    <row r="740">
      <c r="A740" s="59"/>
      <c r="B740" s="59"/>
      <c r="C740" s="59"/>
      <c r="D740" s="59"/>
      <c r="E740" s="59"/>
    </row>
    <row r="741">
      <c r="A741" s="59"/>
      <c r="B741" s="59"/>
      <c r="C741" s="59"/>
      <c r="D741" s="59"/>
      <c r="E741" s="59"/>
    </row>
    <row r="742">
      <c r="A742" s="59"/>
      <c r="B742" s="59"/>
      <c r="C742" s="59"/>
      <c r="D742" s="59"/>
      <c r="E742" s="59"/>
    </row>
    <row r="743">
      <c r="A743" s="59"/>
      <c r="B743" s="59"/>
      <c r="C743" s="59"/>
      <c r="D743" s="59"/>
      <c r="E743" s="59"/>
    </row>
    <row r="744">
      <c r="A744" s="59"/>
      <c r="B744" s="59"/>
      <c r="C744" s="59"/>
      <c r="D744" s="59"/>
      <c r="E744" s="59"/>
    </row>
    <row r="745">
      <c r="A745" s="59"/>
      <c r="B745" s="59"/>
      <c r="C745" s="59"/>
      <c r="D745" s="59"/>
      <c r="E745" s="59"/>
    </row>
    <row r="746">
      <c r="A746" s="59"/>
      <c r="B746" s="59"/>
      <c r="C746" s="59"/>
      <c r="D746" s="59"/>
      <c r="E746" s="59"/>
    </row>
    <row r="747">
      <c r="A747" s="59"/>
      <c r="B747" s="59"/>
      <c r="C747" s="59"/>
      <c r="D747" s="59"/>
      <c r="E747" s="59"/>
    </row>
    <row r="748">
      <c r="A748" s="59"/>
      <c r="B748" s="59"/>
      <c r="C748" s="59"/>
      <c r="D748" s="59"/>
      <c r="E748" s="59"/>
    </row>
    <row r="749">
      <c r="A749" s="59"/>
      <c r="B749" s="59"/>
      <c r="C749" s="59"/>
      <c r="D749" s="59"/>
      <c r="E749" s="59"/>
    </row>
    <row r="750">
      <c r="A750" s="59"/>
      <c r="B750" s="59"/>
      <c r="C750" s="59"/>
      <c r="D750" s="59"/>
      <c r="E750" s="59"/>
    </row>
    <row r="751">
      <c r="A751" s="59"/>
      <c r="B751" s="59"/>
      <c r="C751" s="59"/>
      <c r="D751" s="59"/>
      <c r="E751" s="59"/>
    </row>
    <row r="752">
      <c r="A752" s="59"/>
      <c r="B752" s="59"/>
      <c r="C752" s="59"/>
      <c r="D752" s="59"/>
      <c r="E752" s="59"/>
    </row>
    <row r="753">
      <c r="A753" s="59"/>
      <c r="B753" s="59"/>
      <c r="C753" s="59"/>
      <c r="D753" s="59"/>
      <c r="E753" s="59"/>
    </row>
    <row r="754">
      <c r="A754" s="59"/>
      <c r="B754" s="59"/>
      <c r="C754" s="59"/>
      <c r="D754" s="59"/>
      <c r="E754" s="59"/>
    </row>
    <row r="755">
      <c r="A755" s="59"/>
      <c r="B755" s="59"/>
      <c r="C755" s="59"/>
      <c r="D755" s="59"/>
      <c r="E755" s="59"/>
    </row>
    <row r="756">
      <c r="A756" s="59"/>
      <c r="B756" s="59"/>
      <c r="C756" s="59"/>
      <c r="D756" s="59"/>
      <c r="E756" s="59"/>
    </row>
    <row r="757">
      <c r="A757" s="59"/>
      <c r="B757" s="59"/>
      <c r="C757" s="59"/>
      <c r="D757" s="59"/>
      <c r="E757" s="59"/>
    </row>
    <row r="758">
      <c r="A758" s="59"/>
      <c r="B758" s="59"/>
      <c r="C758" s="59"/>
      <c r="D758" s="59"/>
      <c r="E758" s="59"/>
    </row>
    <row r="759">
      <c r="A759" s="59"/>
      <c r="B759" s="59"/>
      <c r="C759" s="59"/>
      <c r="D759" s="59"/>
      <c r="E759" s="59"/>
    </row>
    <row r="760">
      <c r="A760" s="59"/>
      <c r="B760" s="59"/>
      <c r="C760" s="59"/>
      <c r="D760" s="59"/>
      <c r="E760" s="59"/>
    </row>
    <row r="761">
      <c r="A761" s="59"/>
      <c r="B761" s="59"/>
      <c r="C761" s="59"/>
      <c r="D761" s="59"/>
      <c r="E761" s="59"/>
    </row>
    <row r="762">
      <c r="A762" s="59"/>
      <c r="B762" s="59"/>
      <c r="C762" s="59"/>
      <c r="D762" s="59"/>
      <c r="E762" s="59"/>
    </row>
    <row r="763">
      <c r="A763" s="59"/>
      <c r="B763" s="59"/>
      <c r="C763" s="59"/>
      <c r="D763" s="59"/>
      <c r="E763" s="59"/>
    </row>
    <row r="764">
      <c r="A764" s="59"/>
      <c r="B764" s="59"/>
      <c r="C764" s="59"/>
      <c r="D764" s="59"/>
      <c r="E764" s="59"/>
    </row>
    <row r="765">
      <c r="A765" s="59"/>
      <c r="B765" s="59"/>
      <c r="C765" s="59"/>
      <c r="D765" s="59"/>
      <c r="E765" s="59"/>
    </row>
    <row r="766">
      <c r="A766" s="59"/>
      <c r="B766" s="59"/>
      <c r="C766" s="59"/>
      <c r="D766" s="59"/>
      <c r="E766" s="59"/>
    </row>
    <row r="767">
      <c r="A767" s="59"/>
      <c r="B767" s="59"/>
      <c r="C767" s="59"/>
      <c r="D767" s="59"/>
      <c r="E767" s="59"/>
    </row>
    <row r="768">
      <c r="A768" s="59"/>
      <c r="B768" s="59"/>
      <c r="C768" s="59"/>
      <c r="D768" s="59"/>
      <c r="E768" s="59"/>
    </row>
    <row r="769">
      <c r="A769" s="59"/>
      <c r="B769" s="59"/>
      <c r="C769" s="59"/>
      <c r="D769" s="59"/>
      <c r="E769" s="59"/>
    </row>
    <row r="770">
      <c r="A770" s="59"/>
      <c r="B770" s="59"/>
      <c r="C770" s="59"/>
      <c r="D770" s="59"/>
      <c r="E770" s="59"/>
    </row>
    <row r="771">
      <c r="A771" s="59"/>
      <c r="B771" s="59"/>
      <c r="C771" s="59"/>
      <c r="D771" s="59"/>
      <c r="E771" s="59"/>
    </row>
    <row r="772">
      <c r="A772" s="59"/>
      <c r="B772" s="59"/>
      <c r="C772" s="59"/>
      <c r="D772" s="59"/>
      <c r="E772" s="59"/>
    </row>
    <row r="773">
      <c r="A773" s="59"/>
      <c r="B773" s="59"/>
      <c r="C773" s="59"/>
      <c r="D773" s="59"/>
      <c r="E773" s="59"/>
    </row>
    <row r="774">
      <c r="A774" s="59"/>
      <c r="B774" s="59"/>
      <c r="C774" s="59"/>
      <c r="D774" s="59"/>
      <c r="E774" s="59"/>
    </row>
    <row r="775">
      <c r="A775" s="59"/>
      <c r="B775" s="59"/>
      <c r="C775" s="59"/>
      <c r="D775" s="59"/>
      <c r="E775" s="59"/>
    </row>
    <row r="776">
      <c r="A776" s="59"/>
      <c r="B776" s="59"/>
      <c r="C776" s="59"/>
      <c r="D776" s="59"/>
      <c r="E776" s="59"/>
    </row>
    <row r="777">
      <c r="A777" s="59"/>
      <c r="B777" s="59"/>
      <c r="C777" s="59"/>
      <c r="D777" s="59"/>
      <c r="E777" s="59"/>
    </row>
    <row r="778">
      <c r="A778" s="59"/>
      <c r="B778" s="59"/>
      <c r="C778" s="59"/>
      <c r="D778" s="59"/>
      <c r="E778" s="59"/>
    </row>
    <row r="779">
      <c r="A779" s="59"/>
      <c r="B779" s="59"/>
      <c r="C779" s="59"/>
      <c r="D779" s="59"/>
      <c r="E779" s="59"/>
    </row>
    <row r="780">
      <c r="A780" s="59"/>
      <c r="B780" s="59"/>
      <c r="C780" s="59"/>
      <c r="D780" s="59"/>
      <c r="E780" s="59"/>
    </row>
    <row r="781">
      <c r="A781" s="59"/>
      <c r="B781" s="59"/>
      <c r="C781" s="59"/>
      <c r="D781" s="59"/>
      <c r="E781" s="59"/>
    </row>
    <row r="782">
      <c r="A782" s="59"/>
      <c r="B782" s="59"/>
      <c r="C782" s="59"/>
      <c r="D782" s="59"/>
      <c r="E782" s="59"/>
    </row>
    <row r="783">
      <c r="A783" s="59"/>
      <c r="B783" s="59"/>
      <c r="C783" s="59"/>
      <c r="D783" s="59"/>
      <c r="E783" s="59"/>
    </row>
    <row r="784">
      <c r="A784" s="59"/>
      <c r="B784" s="59"/>
      <c r="C784" s="59"/>
      <c r="D784" s="59"/>
      <c r="E784" s="59"/>
    </row>
    <row r="785">
      <c r="A785" s="59"/>
      <c r="B785" s="59"/>
      <c r="C785" s="59"/>
      <c r="D785" s="59"/>
      <c r="E785" s="59"/>
    </row>
    <row r="786">
      <c r="A786" s="59"/>
      <c r="B786" s="59"/>
      <c r="C786" s="59"/>
      <c r="D786" s="59"/>
      <c r="E786" s="59"/>
    </row>
    <row r="787">
      <c r="A787" s="59"/>
      <c r="B787" s="59"/>
      <c r="C787" s="59"/>
      <c r="D787" s="59"/>
      <c r="E787" s="59"/>
    </row>
    <row r="788">
      <c r="A788" s="59"/>
      <c r="B788" s="59"/>
      <c r="C788" s="59"/>
      <c r="D788" s="59"/>
      <c r="E788" s="59"/>
    </row>
    <row r="789">
      <c r="A789" s="59"/>
      <c r="B789" s="59"/>
      <c r="C789" s="59"/>
      <c r="D789" s="59"/>
      <c r="E789" s="59"/>
    </row>
    <row r="790">
      <c r="A790" s="59"/>
      <c r="B790" s="59"/>
      <c r="C790" s="59"/>
      <c r="D790" s="59"/>
      <c r="E790" s="59"/>
    </row>
    <row r="791">
      <c r="A791" s="59"/>
      <c r="B791" s="59"/>
      <c r="C791" s="59"/>
      <c r="D791" s="59"/>
      <c r="E791" s="59"/>
    </row>
    <row r="792">
      <c r="A792" s="59"/>
      <c r="B792" s="59"/>
      <c r="C792" s="59"/>
      <c r="D792" s="59"/>
      <c r="E792" s="59"/>
    </row>
    <row r="793">
      <c r="A793" s="59"/>
      <c r="B793" s="59"/>
      <c r="C793" s="59"/>
      <c r="D793" s="59"/>
      <c r="E793" s="59"/>
    </row>
    <row r="794">
      <c r="A794" s="59"/>
      <c r="B794" s="59"/>
      <c r="C794" s="59"/>
      <c r="D794" s="59"/>
      <c r="E794" s="59"/>
    </row>
    <row r="795">
      <c r="A795" s="59"/>
      <c r="B795" s="59"/>
      <c r="C795" s="59"/>
      <c r="D795" s="59"/>
      <c r="E795" s="59"/>
    </row>
    <row r="796">
      <c r="A796" s="59"/>
      <c r="B796" s="59"/>
      <c r="C796" s="59"/>
      <c r="D796" s="59"/>
      <c r="E796" s="59"/>
    </row>
    <row r="797">
      <c r="A797" s="59"/>
      <c r="B797" s="59"/>
      <c r="C797" s="59"/>
      <c r="D797" s="59"/>
      <c r="E797" s="59"/>
    </row>
    <row r="798">
      <c r="A798" s="59"/>
      <c r="B798" s="59"/>
      <c r="C798" s="59"/>
      <c r="D798" s="59"/>
      <c r="E798" s="59"/>
    </row>
    <row r="799">
      <c r="A799" s="59"/>
      <c r="B799" s="59"/>
      <c r="C799" s="59"/>
      <c r="D799" s="59"/>
      <c r="E799" s="59"/>
    </row>
    <row r="800">
      <c r="A800" s="59"/>
      <c r="B800" s="59"/>
      <c r="C800" s="59"/>
      <c r="D800" s="59"/>
      <c r="E800" s="59"/>
    </row>
    <row r="801">
      <c r="A801" s="59"/>
      <c r="B801" s="59"/>
      <c r="C801" s="59"/>
      <c r="D801" s="59"/>
      <c r="E801" s="59"/>
    </row>
    <row r="802">
      <c r="A802" s="59"/>
      <c r="B802" s="59"/>
      <c r="C802" s="59"/>
      <c r="D802" s="59"/>
      <c r="E802" s="59"/>
    </row>
    <row r="803">
      <c r="A803" s="59"/>
      <c r="B803" s="59"/>
      <c r="C803" s="59"/>
      <c r="D803" s="59"/>
      <c r="E803" s="59"/>
    </row>
    <row r="804">
      <c r="A804" s="59"/>
      <c r="B804" s="59"/>
      <c r="C804" s="59"/>
      <c r="D804" s="59"/>
      <c r="E804" s="59"/>
    </row>
    <row r="805">
      <c r="A805" s="59"/>
      <c r="B805" s="59"/>
      <c r="C805" s="59"/>
      <c r="D805" s="59"/>
      <c r="E805" s="59"/>
    </row>
    <row r="806">
      <c r="A806" s="59"/>
      <c r="B806" s="59"/>
      <c r="C806" s="59"/>
      <c r="D806" s="59"/>
      <c r="E806" s="59"/>
    </row>
    <row r="807">
      <c r="A807" s="59"/>
      <c r="B807" s="59"/>
      <c r="C807" s="59"/>
      <c r="D807" s="59"/>
      <c r="E807" s="59"/>
    </row>
    <row r="808">
      <c r="A808" s="59"/>
      <c r="B808" s="59"/>
      <c r="C808" s="59"/>
      <c r="D808" s="59"/>
      <c r="E808" s="59"/>
    </row>
    <row r="809">
      <c r="A809" s="59"/>
      <c r="B809" s="59"/>
      <c r="C809" s="59"/>
      <c r="D809" s="59"/>
      <c r="E809" s="59"/>
    </row>
    <row r="810">
      <c r="A810" s="59"/>
      <c r="B810" s="59"/>
      <c r="C810" s="59"/>
      <c r="D810" s="59"/>
      <c r="E810" s="59"/>
    </row>
    <row r="811">
      <c r="A811" s="59"/>
      <c r="B811" s="59"/>
      <c r="C811" s="59"/>
      <c r="D811" s="59"/>
      <c r="E811" s="59"/>
    </row>
    <row r="812">
      <c r="A812" s="59"/>
      <c r="B812" s="59"/>
      <c r="C812" s="59"/>
      <c r="D812" s="59"/>
      <c r="E812" s="59"/>
    </row>
    <row r="813">
      <c r="A813" s="59"/>
      <c r="B813" s="59"/>
      <c r="C813" s="59"/>
      <c r="D813" s="59"/>
      <c r="E813" s="59"/>
    </row>
    <row r="814">
      <c r="A814" s="59"/>
      <c r="B814" s="59"/>
      <c r="C814" s="59"/>
      <c r="D814" s="59"/>
      <c r="E814" s="59"/>
    </row>
    <row r="815">
      <c r="A815" s="59"/>
      <c r="B815" s="59"/>
      <c r="C815" s="59"/>
      <c r="D815" s="59"/>
      <c r="E815" s="59"/>
    </row>
    <row r="816">
      <c r="A816" s="59"/>
      <c r="B816" s="59"/>
      <c r="C816" s="59"/>
      <c r="D816" s="59"/>
      <c r="E816" s="59"/>
    </row>
    <row r="817">
      <c r="A817" s="59"/>
      <c r="B817" s="59"/>
      <c r="C817" s="59"/>
      <c r="D817" s="59"/>
      <c r="E817" s="59"/>
    </row>
    <row r="818">
      <c r="A818" s="59"/>
      <c r="B818" s="59"/>
      <c r="C818" s="59"/>
      <c r="D818" s="59"/>
      <c r="E818" s="59"/>
    </row>
    <row r="819">
      <c r="A819" s="59"/>
      <c r="B819" s="59"/>
      <c r="C819" s="59"/>
      <c r="D819" s="59"/>
      <c r="E819" s="59"/>
    </row>
    <row r="820">
      <c r="A820" s="59"/>
      <c r="B820" s="59"/>
      <c r="C820" s="59"/>
      <c r="D820" s="59"/>
      <c r="E820" s="59"/>
    </row>
    <row r="821">
      <c r="A821" s="59"/>
      <c r="B821" s="59"/>
      <c r="C821" s="59"/>
      <c r="D821" s="59"/>
      <c r="E821" s="59"/>
    </row>
    <row r="822">
      <c r="A822" s="59"/>
      <c r="B822" s="59"/>
      <c r="C822" s="59"/>
      <c r="D822" s="59"/>
      <c r="E822" s="59"/>
    </row>
    <row r="823">
      <c r="A823" s="59"/>
      <c r="B823" s="59"/>
      <c r="C823" s="59"/>
      <c r="D823" s="59"/>
      <c r="E823" s="59"/>
    </row>
    <row r="824">
      <c r="A824" s="59"/>
      <c r="B824" s="59"/>
      <c r="C824" s="59"/>
      <c r="D824" s="59"/>
      <c r="E824" s="59"/>
    </row>
    <row r="825">
      <c r="A825" s="59"/>
      <c r="B825" s="59"/>
      <c r="C825" s="59"/>
      <c r="D825" s="59"/>
      <c r="E825" s="59"/>
    </row>
    <row r="826">
      <c r="A826" s="59"/>
      <c r="B826" s="59"/>
      <c r="C826" s="59"/>
      <c r="D826" s="59"/>
      <c r="E826" s="59"/>
    </row>
    <row r="827">
      <c r="A827" s="59"/>
      <c r="B827" s="59"/>
      <c r="C827" s="59"/>
      <c r="D827" s="59"/>
      <c r="E827" s="59"/>
    </row>
    <row r="828">
      <c r="A828" s="59"/>
      <c r="B828" s="59"/>
      <c r="C828" s="59"/>
      <c r="D828" s="59"/>
      <c r="E828" s="59"/>
    </row>
    <row r="829">
      <c r="A829" s="59"/>
      <c r="B829" s="59"/>
      <c r="C829" s="59"/>
      <c r="D829" s="59"/>
      <c r="E829" s="59"/>
    </row>
    <row r="830">
      <c r="A830" s="59"/>
      <c r="B830" s="59"/>
      <c r="C830" s="59"/>
      <c r="D830" s="59"/>
      <c r="E830" s="59"/>
    </row>
    <row r="831">
      <c r="A831" s="59"/>
      <c r="B831" s="59"/>
      <c r="C831" s="59"/>
      <c r="D831" s="59"/>
      <c r="E831" s="59"/>
    </row>
    <row r="832">
      <c r="A832" s="59"/>
      <c r="B832" s="59"/>
      <c r="C832" s="59"/>
      <c r="D832" s="59"/>
      <c r="E832" s="59"/>
    </row>
    <row r="833">
      <c r="A833" s="59"/>
      <c r="B833" s="59"/>
      <c r="C833" s="59"/>
      <c r="D833" s="59"/>
      <c r="E833" s="59"/>
    </row>
    <row r="834">
      <c r="A834" s="59"/>
      <c r="B834" s="59"/>
      <c r="C834" s="59"/>
      <c r="D834" s="59"/>
      <c r="E834" s="59"/>
    </row>
    <row r="835">
      <c r="A835" s="59"/>
      <c r="B835" s="59"/>
      <c r="C835" s="59"/>
      <c r="D835" s="59"/>
      <c r="E835" s="59"/>
    </row>
    <row r="836">
      <c r="A836" s="59"/>
      <c r="B836" s="59"/>
      <c r="C836" s="59"/>
      <c r="D836" s="59"/>
      <c r="E836" s="59"/>
    </row>
    <row r="837">
      <c r="A837" s="59"/>
      <c r="B837" s="59"/>
      <c r="C837" s="59"/>
      <c r="D837" s="59"/>
      <c r="E837" s="59"/>
    </row>
    <row r="838">
      <c r="A838" s="59"/>
      <c r="B838" s="59"/>
      <c r="C838" s="59"/>
      <c r="D838" s="59"/>
      <c r="E838" s="59"/>
    </row>
    <row r="839">
      <c r="A839" s="59"/>
      <c r="B839" s="59"/>
      <c r="C839" s="59"/>
      <c r="D839" s="59"/>
      <c r="E839" s="59"/>
    </row>
    <row r="840">
      <c r="A840" s="59"/>
      <c r="B840" s="59"/>
      <c r="C840" s="59"/>
      <c r="D840" s="59"/>
      <c r="E840" s="59"/>
    </row>
    <row r="841">
      <c r="A841" s="59"/>
      <c r="B841" s="59"/>
      <c r="C841" s="59"/>
      <c r="D841" s="59"/>
      <c r="E841" s="59"/>
    </row>
    <row r="842">
      <c r="A842" s="59"/>
      <c r="B842" s="59"/>
      <c r="C842" s="59"/>
      <c r="D842" s="59"/>
      <c r="E842" s="59"/>
    </row>
    <row r="843">
      <c r="A843" s="59"/>
      <c r="B843" s="59"/>
      <c r="C843" s="59"/>
      <c r="D843" s="59"/>
      <c r="E843" s="59"/>
    </row>
    <row r="844">
      <c r="A844" s="59"/>
      <c r="B844" s="59"/>
      <c r="C844" s="59"/>
      <c r="D844" s="59"/>
      <c r="E844" s="59"/>
    </row>
    <row r="845">
      <c r="A845" s="59"/>
      <c r="B845" s="59"/>
      <c r="C845" s="59"/>
      <c r="D845" s="59"/>
      <c r="E845" s="59"/>
    </row>
    <row r="846">
      <c r="A846" s="59"/>
      <c r="B846" s="59"/>
      <c r="C846" s="59"/>
      <c r="D846" s="59"/>
      <c r="E846" s="59"/>
    </row>
    <row r="847">
      <c r="A847" s="59"/>
      <c r="B847" s="59"/>
      <c r="C847" s="59"/>
      <c r="D847" s="59"/>
      <c r="E847" s="59"/>
    </row>
    <row r="848">
      <c r="A848" s="59"/>
      <c r="B848" s="59"/>
      <c r="C848" s="59"/>
      <c r="D848" s="59"/>
      <c r="E848" s="59"/>
    </row>
    <row r="849">
      <c r="A849" s="59"/>
      <c r="B849" s="59"/>
      <c r="C849" s="59"/>
      <c r="D849" s="59"/>
      <c r="E849" s="59"/>
    </row>
    <row r="850">
      <c r="A850" s="59"/>
      <c r="B850" s="59"/>
      <c r="C850" s="59"/>
      <c r="D850" s="59"/>
      <c r="E850" s="59"/>
    </row>
    <row r="851">
      <c r="A851" s="59"/>
      <c r="B851" s="59"/>
      <c r="C851" s="59"/>
      <c r="D851" s="59"/>
      <c r="E851" s="59"/>
    </row>
    <row r="852">
      <c r="A852" s="59"/>
      <c r="B852" s="59"/>
      <c r="C852" s="59"/>
      <c r="D852" s="59"/>
      <c r="E852" s="59"/>
    </row>
    <row r="853">
      <c r="A853" s="59"/>
      <c r="B853" s="59"/>
      <c r="C853" s="59"/>
      <c r="D853" s="59"/>
      <c r="E853" s="59"/>
    </row>
    <row r="854">
      <c r="A854" s="59"/>
      <c r="B854" s="59"/>
      <c r="C854" s="59"/>
      <c r="D854" s="59"/>
      <c r="E854" s="59"/>
    </row>
    <row r="855">
      <c r="A855" s="59"/>
      <c r="B855" s="59"/>
      <c r="C855" s="59"/>
      <c r="D855" s="59"/>
      <c r="E855" s="59"/>
    </row>
    <row r="856">
      <c r="A856" s="59"/>
      <c r="B856" s="59"/>
      <c r="C856" s="59"/>
      <c r="D856" s="59"/>
      <c r="E856" s="59"/>
    </row>
    <row r="857">
      <c r="A857" s="59"/>
      <c r="B857" s="59"/>
      <c r="C857" s="59"/>
      <c r="D857" s="59"/>
      <c r="E857" s="59"/>
    </row>
    <row r="858">
      <c r="A858" s="59"/>
      <c r="B858" s="59"/>
      <c r="C858" s="59"/>
      <c r="D858" s="59"/>
      <c r="E858" s="59"/>
    </row>
    <row r="859">
      <c r="A859" s="59"/>
      <c r="B859" s="59"/>
      <c r="C859" s="59"/>
      <c r="D859" s="59"/>
      <c r="E859" s="59"/>
    </row>
    <row r="860">
      <c r="A860" s="59"/>
      <c r="B860" s="59"/>
      <c r="C860" s="59"/>
      <c r="D860" s="59"/>
      <c r="E860" s="59"/>
    </row>
    <row r="861">
      <c r="A861" s="59"/>
      <c r="B861" s="59"/>
      <c r="C861" s="59"/>
      <c r="D861" s="59"/>
      <c r="E861" s="59"/>
    </row>
    <row r="862">
      <c r="A862" s="59"/>
      <c r="B862" s="59"/>
      <c r="C862" s="59"/>
      <c r="D862" s="59"/>
      <c r="E862" s="59"/>
    </row>
    <row r="863">
      <c r="A863" s="59"/>
      <c r="B863" s="59"/>
      <c r="C863" s="59"/>
      <c r="D863" s="59"/>
      <c r="E863" s="59"/>
    </row>
    <row r="864">
      <c r="A864" s="59"/>
      <c r="B864" s="59"/>
      <c r="C864" s="59"/>
      <c r="D864" s="59"/>
      <c r="E864" s="59"/>
    </row>
    <row r="865">
      <c r="A865" s="59"/>
      <c r="B865" s="59"/>
      <c r="C865" s="59"/>
      <c r="D865" s="59"/>
      <c r="E865" s="59"/>
    </row>
    <row r="866">
      <c r="A866" s="59"/>
      <c r="B866" s="59"/>
      <c r="C866" s="59"/>
      <c r="D866" s="59"/>
      <c r="E866" s="59"/>
    </row>
    <row r="867">
      <c r="A867" s="59"/>
      <c r="B867" s="59"/>
      <c r="C867" s="59"/>
      <c r="D867" s="59"/>
      <c r="E867" s="59"/>
    </row>
    <row r="868">
      <c r="A868" s="59"/>
      <c r="B868" s="59"/>
      <c r="C868" s="59"/>
      <c r="D868" s="59"/>
      <c r="E868" s="59"/>
    </row>
    <row r="869">
      <c r="A869" s="59"/>
      <c r="B869" s="59"/>
      <c r="C869" s="59"/>
      <c r="D869" s="59"/>
      <c r="E869" s="59"/>
    </row>
    <row r="870">
      <c r="A870" s="59"/>
      <c r="B870" s="59"/>
      <c r="C870" s="59"/>
      <c r="D870" s="59"/>
      <c r="E870" s="59"/>
    </row>
    <row r="871">
      <c r="A871" s="59"/>
      <c r="B871" s="59"/>
      <c r="C871" s="59"/>
      <c r="D871" s="59"/>
      <c r="E871" s="59"/>
    </row>
    <row r="872">
      <c r="A872" s="59"/>
      <c r="B872" s="59"/>
      <c r="C872" s="59"/>
      <c r="D872" s="59"/>
      <c r="E872" s="59"/>
    </row>
    <row r="873">
      <c r="A873" s="59"/>
      <c r="B873" s="59"/>
      <c r="C873" s="59"/>
      <c r="D873" s="59"/>
      <c r="E873" s="59"/>
    </row>
    <row r="874">
      <c r="A874" s="59"/>
      <c r="B874" s="59"/>
      <c r="C874" s="59"/>
      <c r="D874" s="59"/>
      <c r="E874" s="59"/>
    </row>
    <row r="875">
      <c r="A875" s="59"/>
      <c r="B875" s="59"/>
      <c r="C875" s="59"/>
      <c r="D875" s="59"/>
      <c r="E875" s="59"/>
    </row>
    <row r="876">
      <c r="A876" s="59"/>
      <c r="B876" s="59"/>
      <c r="C876" s="59"/>
      <c r="D876" s="59"/>
      <c r="E876" s="59"/>
    </row>
    <row r="877">
      <c r="A877" s="59"/>
      <c r="B877" s="59"/>
      <c r="C877" s="59"/>
      <c r="D877" s="59"/>
      <c r="E877" s="59"/>
    </row>
    <row r="878">
      <c r="A878" s="59"/>
      <c r="B878" s="59"/>
      <c r="C878" s="59"/>
      <c r="D878" s="59"/>
      <c r="E878" s="59"/>
    </row>
    <row r="879">
      <c r="A879" s="59"/>
      <c r="B879" s="59"/>
      <c r="C879" s="59"/>
      <c r="D879" s="59"/>
      <c r="E879" s="59"/>
    </row>
    <row r="880">
      <c r="A880" s="59"/>
      <c r="B880" s="59"/>
      <c r="C880" s="59"/>
      <c r="D880" s="59"/>
      <c r="E880" s="59"/>
    </row>
    <row r="881">
      <c r="A881" s="59"/>
      <c r="B881" s="59"/>
      <c r="C881" s="59"/>
      <c r="D881" s="59"/>
      <c r="E881" s="59"/>
    </row>
    <row r="882">
      <c r="A882" s="59"/>
      <c r="B882" s="59"/>
      <c r="C882" s="59"/>
      <c r="D882" s="59"/>
      <c r="E882" s="59"/>
    </row>
    <row r="883">
      <c r="A883" s="59"/>
      <c r="B883" s="59"/>
      <c r="C883" s="59"/>
      <c r="D883" s="59"/>
      <c r="E883" s="59"/>
    </row>
    <row r="884">
      <c r="A884" s="59"/>
      <c r="B884" s="59"/>
      <c r="C884" s="59"/>
      <c r="D884" s="59"/>
      <c r="E884" s="59"/>
    </row>
    <row r="885">
      <c r="A885" s="59"/>
      <c r="B885" s="59"/>
      <c r="C885" s="59"/>
      <c r="D885" s="59"/>
      <c r="E885" s="59"/>
    </row>
    <row r="886">
      <c r="A886" s="59"/>
      <c r="B886" s="59"/>
      <c r="C886" s="59"/>
      <c r="D886" s="59"/>
      <c r="E886" s="59"/>
    </row>
    <row r="887">
      <c r="A887" s="59"/>
      <c r="B887" s="59"/>
      <c r="C887" s="59"/>
      <c r="D887" s="59"/>
      <c r="E887" s="59"/>
    </row>
    <row r="888">
      <c r="A888" s="59"/>
      <c r="B888" s="59"/>
      <c r="C888" s="59"/>
      <c r="D888" s="59"/>
      <c r="E888" s="59"/>
    </row>
    <row r="889">
      <c r="A889" s="59"/>
      <c r="B889" s="59"/>
      <c r="C889" s="59"/>
      <c r="D889" s="59"/>
      <c r="E889" s="59"/>
    </row>
    <row r="890">
      <c r="A890" s="59"/>
      <c r="B890" s="59"/>
      <c r="C890" s="59"/>
      <c r="D890" s="59"/>
      <c r="E890" s="59"/>
    </row>
    <row r="891">
      <c r="A891" s="59"/>
      <c r="B891" s="59"/>
      <c r="C891" s="59"/>
      <c r="D891" s="59"/>
      <c r="E891" s="59"/>
    </row>
    <row r="892">
      <c r="A892" s="59"/>
      <c r="B892" s="59"/>
      <c r="C892" s="59"/>
      <c r="D892" s="59"/>
      <c r="E892" s="59"/>
    </row>
    <row r="893">
      <c r="A893" s="59"/>
      <c r="B893" s="59"/>
      <c r="C893" s="59"/>
      <c r="D893" s="59"/>
      <c r="E893" s="59"/>
    </row>
    <row r="894">
      <c r="A894" s="59"/>
      <c r="B894" s="59"/>
      <c r="C894" s="59"/>
      <c r="D894" s="59"/>
      <c r="E894" s="59"/>
    </row>
    <row r="895">
      <c r="A895" s="59"/>
      <c r="B895" s="59"/>
      <c r="C895" s="59"/>
      <c r="D895" s="59"/>
      <c r="E895" s="59"/>
    </row>
    <row r="896">
      <c r="A896" s="59"/>
      <c r="B896" s="59"/>
      <c r="C896" s="59"/>
      <c r="D896" s="59"/>
      <c r="E896" s="59"/>
    </row>
    <row r="897">
      <c r="A897" s="59"/>
      <c r="B897" s="59"/>
      <c r="C897" s="59"/>
      <c r="D897" s="59"/>
      <c r="E897" s="59"/>
    </row>
    <row r="898">
      <c r="A898" s="59"/>
      <c r="B898" s="59"/>
      <c r="C898" s="59"/>
      <c r="D898" s="59"/>
      <c r="E898" s="59"/>
    </row>
    <row r="899">
      <c r="A899" s="59"/>
      <c r="B899" s="59"/>
      <c r="C899" s="59"/>
      <c r="D899" s="59"/>
      <c r="E899" s="59"/>
    </row>
    <row r="900">
      <c r="A900" s="59"/>
      <c r="B900" s="59"/>
      <c r="C900" s="59"/>
      <c r="D900" s="59"/>
      <c r="E900" s="59"/>
    </row>
    <row r="901">
      <c r="A901" s="59"/>
      <c r="B901" s="59"/>
      <c r="C901" s="59"/>
      <c r="D901" s="59"/>
      <c r="E901" s="59"/>
    </row>
    <row r="902">
      <c r="A902" s="59"/>
      <c r="B902" s="59"/>
      <c r="C902" s="59"/>
      <c r="D902" s="59"/>
      <c r="E902" s="59"/>
    </row>
    <row r="903">
      <c r="A903" s="59"/>
      <c r="B903" s="59"/>
      <c r="C903" s="59"/>
      <c r="D903" s="59"/>
      <c r="E903" s="59"/>
    </row>
    <row r="904">
      <c r="A904" s="59"/>
      <c r="B904" s="59"/>
      <c r="C904" s="59"/>
      <c r="D904" s="59"/>
      <c r="E904" s="59"/>
    </row>
    <row r="905">
      <c r="A905" s="59"/>
      <c r="B905" s="59"/>
      <c r="C905" s="59"/>
      <c r="D905" s="59"/>
      <c r="E905" s="59"/>
    </row>
    <row r="906">
      <c r="A906" s="59"/>
      <c r="B906" s="59"/>
      <c r="C906" s="59"/>
      <c r="D906" s="59"/>
      <c r="E906" s="59"/>
    </row>
    <row r="907">
      <c r="A907" s="59"/>
      <c r="B907" s="59"/>
      <c r="C907" s="59"/>
      <c r="D907" s="59"/>
      <c r="E907" s="59"/>
    </row>
    <row r="908">
      <c r="A908" s="59"/>
      <c r="B908" s="59"/>
      <c r="C908" s="59"/>
      <c r="D908" s="59"/>
      <c r="E908" s="59"/>
    </row>
    <row r="909">
      <c r="A909" s="59"/>
      <c r="B909" s="59"/>
      <c r="C909" s="59"/>
      <c r="D909" s="59"/>
      <c r="E909" s="59"/>
    </row>
    <row r="910">
      <c r="A910" s="59"/>
      <c r="B910" s="59"/>
      <c r="C910" s="59"/>
      <c r="D910" s="59"/>
      <c r="E910" s="59"/>
    </row>
    <row r="911">
      <c r="A911" s="59"/>
      <c r="B911" s="59"/>
      <c r="C911" s="59"/>
      <c r="D911" s="59"/>
      <c r="E911" s="59"/>
    </row>
    <row r="912">
      <c r="A912" s="59"/>
      <c r="B912" s="59"/>
      <c r="C912" s="59"/>
      <c r="D912" s="59"/>
      <c r="E912" s="59"/>
    </row>
    <row r="913">
      <c r="A913" s="59"/>
      <c r="B913" s="59"/>
      <c r="C913" s="59"/>
      <c r="D913" s="59"/>
      <c r="E913" s="59"/>
    </row>
    <row r="914">
      <c r="A914" s="59"/>
      <c r="B914" s="59"/>
      <c r="C914" s="59"/>
      <c r="D914" s="59"/>
      <c r="E914" s="59"/>
    </row>
    <row r="915">
      <c r="A915" s="59"/>
      <c r="B915" s="59"/>
      <c r="C915" s="59"/>
      <c r="D915" s="59"/>
      <c r="E915" s="59"/>
    </row>
    <row r="916">
      <c r="A916" s="59"/>
      <c r="B916" s="59"/>
      <c r="C916" s="59"/>
      <c r="D916" s="59"/>
      <c r="E916" s="59"/>
    </row>
    <row r="917">
      <c r="A917" s="59"/>
      <c r="B917" s="59"/>
      <c r="C917" s="59"/>
      <c r="D917" s="59"/>
      <c r="E917" s="59"/>
    </row>
    <row r="918">
      <c r="A918" s="59"/>
      <c r="B918" s="59"/>
      <c r="C918" s="59"/>
      <c r="D918" s="59"/>
      <c r="E918" s="59"/>
    </row>
    <row r="919">
      <c r="A919" s="59"/>
      <c r="B919" s="59"/>
      <c r="C919" s="59"/>
      <c r="D919" s="59"/>
      <c r="E919" s="59"/>
    </row>
    <row r="920">
      <c r="A920" s="59"/>
      <c r="B920" s="59"/>
      <c r="C920" s="59"/>
      <c r="D920" s="59"/>
      <c r="E920" s="59"/>
    </row>
    <row r="921">
      <c r="A921" s="59"/>
      <c r="B921" s="59"/>
      <c r="C921" s="59"/>
      <c r="D921" s="59"/>
      <c r="E921" s="59"/>
    </row>
    <row r="922">
      <c r="A922" s="59"/>
      <c r="B922" s="59"/>
      <c r="C922" s="59"/>
      <c r="D922" s="59"/>
      <c r="E922" s="59"/>
    </row>
    <row r="923">
      <c r="A923" s="59"/>
      <c r="B923" s="59"/>
      <c r="C923" s="59"/>
      <c r="D923" s="59"/>
      <c r="E923" s="59"/>
    </row>
    <row r="924">
      <c r="A924" s="59"/>
      <c r="B924" s="59"/>
      <c r="C924" s="59"/>
      <c r="D924" s="59"/>
      <c r="E924" s="59"/>
    </row>
    <row r="925">
      <c r="A925" s="59"/>
      <c r="B925" s="59"/>
      <c r="C925" s="59"/>
      <c r="D925" s="59"/>
      <c r="E925" s="59"/>
    </row>
    <row r="926">
      <c r="A926" s="59"/>
      <c r="B926" s="59"/>
      <c r="C926" s="59"/>
      <c r="D926" s="59"/>
      <c r="E926" s="59"/>
    </row>
    <row r="927">
      <c r="A927" s="59"/>
      <c r="B927" s="59"/>
      <c r="C927" s="59"/>
      <c r="D927" s="59"/>
      <c r="E927" s="59"/>
    </row>
    <row r="928">
      <c r="A928" s="59"/>
      <c r="B928" s="59"/>
      <c r="C928" s="59"/>
      <c r="D928" s="59"/>
      <c r="E928" s="59"/>
    </row>
    <row r="929">
      <c r="A929" s="59"/>
      <c r="B929" s="59"/>
      <c r="C929" s="59"/>
      <c r="D929" s="59"/>
      <c r="E929" s="59"/>
    </row>
    <row r="930">
      <c r="A930" s="59"/>
      <c r="B930" s="59"/>
      <c r="C930" s="59"/>
      <c r="D930" s="59"/>
      <c r="E930" s="59"/>
    </row>
    <row r="931">
      <c r="A931" s="59"/>
      <c r="B931" s="59"/>
      <c r="C931" s="59"/>
      <c r="D931" s="59"/>
      <c r="E931" s="59"/>
    </row>
    <row r="932">
      <c r="A932" s="59"/>
      <c r="B932" s="59"/>
      <c r="C932" s="59"/>
      <c r="D932" s="59"/>
      <c r="E932" s="59"/>
    </row>
    <row r="933">
      <c r="A933" s="59"/>
      <c r="B933" s="59"/>
      <c r="C933" s="59"/>
      <c r="D933" s="59"/>
      <c r="E933" s="59"/>
    </row>
    <row r="934">
      <c r="A934" s="59"/>
      <c r="B934" s="59"/>
      <c r="C934" s="59"/>
      <c r="D934" s="59"/>
      <c r="E934" s="59"/>
    </row>
    <row r="935">
      <c r="A935" s="59"/>
      <c r="B935" s="59"/>
      <c r="C935" s="59"/>
      <c r="D935" s="59"/>
      <c r="E935" s="59"/>
    </row>
    <row r="936">
      <c r="A936" s="59"/>
      <c r="B936" s="59"/>
      <c r="C936" s="59"/>
      <c r="D936" s="59"/>
      <c r="E936" s="59"/>
    </row>
    <row r="937">
      <c r="A937" s="59"/>
      <c r="B937" s="59"/>
      <c r="C937" s="59"/>
      <c r="D937" s="59"/>
      <c r="E937" s="59"/>
    </row>
    <row r="938">
      <c r="A938" s="59"/>
      <c r="B938" s="59"/>
      <c r="C938" s="59"/>
      <c r="D938" s="59"/>
      <c r="E938" s="59"/>
    </row>
    <row r="939">
      <c r="A939" s="59"/>
      <c r="B939" s="59"/>
      <c r="C939" s="59"/>
      <c r="D939" s="59"/>
      <c r="E939" s="59"/>
    </row>
    <row r="940">
      <c r="A940" s="59"/>
      <c r="B940" s="59"/>
      <c r="C940" s="59"/>
      <c r="D940" s="59"/>
      <c r="E940" s="59"/>
    </row>
    <row r="941">
      <c r="A941" s="59"/>
      <c r="B941" s="59"/>
      <c r="C941" s="59"/>
      <c r="D941" s="59"/>
      <c r="E941" s="59"/>
    </row>
    <row r="942">
      <c r="A942" s="59"/>
      <c r="B942" s="59"/>
      <c r="C942" s="59"/>
      <c r="D942" s="59"/>
      <c r="E942" s="59"/>
    </row>
    <row r="943">
      <c r="A943" s="59"/>
      <c r="B943" s="59"/>
      <c r="C943" s="59"/>
      <c r="D943" s="59"/>
      <c r="E943" s="59"/>
    </row>
    <row r="944">
      <c r="A944" s="59"/>
      <c r="B944" s="59"/>
      <c r="C944" s="59"/>
      <c r="D944" s="59"/>
      <c r="E944" s="59"/>
    </row>
    <row r="945">
      <c r="A945" s="59"/>
      <c r="B945" s="59"/>
      <c r="C945" s="59"/>
      <c r="D945" s="59"/>
      <c r="E945" s="59"/>
    </row>
    <row r="946">
      <c r="A946" s="59"/>
      <c r="B946" s="59"/>
      <c r="C946" s="59"/>
      <c r="D946" s="59"/>
      <c r="E946" s="59"/>
    </row>
    <row r="947">
      <c r="A947" s="59"/>
      <c r="B947" s="59"/>
      <c r="C947" s="59"/>
      <c r="D947" s="59"/>
      <c r="E947" s="59"/>
    </row>
    <row r="948">
      <c r="A948" s="59"/>
      <c r="B948" s="59"/>
      <c r="C948" s="59"/>
      <c r="D948" s="59"/>
      <c r="E948" s="59"/>
    </row>
    <row r="949">
      <c r="A949" s="59"/>
      <c r="B949" s="59"/>
      <c r="C949" s="59"/>
      <c r="D949" s="59"/>
      <c r="E949" s="59"/>
    </row>
    <row r="950">
      <c r="A950" s="59"/>
      <c r="B950" s="59"/>
      <c r="C950" s="59"/>
      <c r="D950" s="59"/>
      <c r="E950" s="59"/>
    </row>
    <row r="951">
      <c r="A951" s="59"/>
      <c r="B951" s="59"/>
      <c r="C951" s="59"/>
      <c r="D951" s="59"/>
      <c r="E951" s="59"/>
    </row>
    <row r="952">
      <c r="A952" s="59"/>
      <c r="B952" s="59"/>
      <c r="C952" s="59"/>
      <c r="D952" s="59"/>
      <c r="E952" s="59"/>
    </row>
    <row r="953">
      <c r="A953" s="59"/>
      <c r="B953" s="59"/>
      <c r="C953" s="59"/>
      <c r="D953" s="59"/>
      <c r="E953" s="59"/>
    </row>
    <row r="954">
      <c r="A954" s="59"/>
      <c r="B954" s="59"/>
      <c r="C954" s="59"/>
      <c r="D954" s="59"/>
      <c r="E954" s="59"/>
    </row>
    <row r="955">
      <c r="A955" s="59"/>
      <c r="B955" s="59"/>
      <c r="C955" s="59"/>
      <c r="D955" s="59"/>
      <c r="E955" s="59"/>
    </row>
    <row r="956">
      <c r="A956" s="59"/>
      <c r="B956" s="59"/>
      <c r="C956" s="59"/>
      <c r="D956" s="59"/>
      <c r="E956" s="59"/>
    </row>
    <row r="957">
      <c r="A957" s="59"/>
      <c r="B957" s="59"/>
      <c r="C957" s="59"/>
      <c r="D957" s="59"/>
      <c r="E957" s="59"/>
    </row>
    <row r="958">
      <c r="A958" s="59"/>
      <c r="B958" s="59"/>
      <c r="C958" s="59"/>
      <c r="D958" s="59"/>
      <c r="E958" s="59"/>
    </row>
    <row r="959">
      <c r="A959" s="59"/>
      <c r="B959" s="59"/>
      <c r="C959" s="59"/>
      <c r="D959" s="59"/>
      <c r="E959" s="59"/>
    </row>
    <row r="960">
      <c r="A960" s="59"/>
      <c r="B960" s="59"/>
      <c r="C960" s="59"/>
      <c r="D960" s="59"/>
      <c r="E960" s="59"/>
    </row>
    <row r="961">
      <c r="A961" s="59"/>
      <c r="B961" s="59"/>
      <c r="C961" s="59"/>
      <c r="D961" s="59"/>
      <c r="E961" s="59"/>
    </row>
    <row r="962">
      <c r="A962" s="59"/>
      <c r="B962" s="59"/>
      <c r="C962" s="59"/>
      <c r="D962" s="59"/>
      <c r="E962" s="59"/>
    </row>
    <row r="963">
      <c r="A963" s="59"/>
      <c r="B963" s="59"/>
      <c r="C963" s="59"/>
      <c r="D963" s="59"/>
      <c r="E963" s="59"/>
    </row>
    <row r="964">
      <c r="A964" s="59"/>
      <c r="B964" s="59"/>
      <c r="C964" s="59"/>
      <c r="D964" s="59"/>
      <c r="E964" s="59"/>
    </row>
    <row r="965">
      <c r="A965" s="59"/>
      <c r="B965" s="59"/>
      <c r="C965" s="59"/>
      <c r="D965" s="59"/>
      <c r="E965" s="59"/>
    </row>
    <row r="966">
      <c r="A966" s="59"/>
      <c r="B966" s="59"/>
      <c r="C966" s="59"/>
      <c r="D966" s="59"/>
      <c r="E966" s="59"/>
    </row>
    <row r="967">
      <c r="A967" s="59"/>
      <c r="B967" s="59"/>
      <c r="C967" s="59"/>
      <c r="D967" s="59"/>
      <c r="E967" s="59"/>
    </row>
    <row r="968">
      <c r="A968" s="59"/>
      <c r="B968" s="59"/>
      <c r="C968" s="59"/>
      <c r="D968" s="59"/>
      <c r="E968" s="59"/>
    </row>
    <row r="969">
      <c r="A969" s="59"/>
      <c r="B969" s="59"/>
      <c r="C969" s="59"/>
      <c r="D969" s="59"/>
      <c r="E969" s="59"/>
    </row>
    <row r="970">
      <c r="A970" s="59"/>
      <c r="B970" s="59"/>
      <c r="C970" s="59"/>
      <c r="D970" s="59"/>
      <c r="E970" s="59"/>
    </row>
    <row r="971">
      <c r="A971" s="59"/>
      <c r="B971" s="59"/>
      <c r="C971" s="59"/>
      <c r="D971" s="59"/>
      <c r="E971" s="59"/>
    </row>
    <row r="972">
      <c r="A972" s="59"/>
      <c r="B972" s="59"/>
      <c r="C972" s="59"/>
      <c r="D972" s="59"/>
      <c r="E972" s="59"/>
    </row>
    <row r="973">
      <c r="A973" s="59"/>
      <c r="B973" s="59"/>
      <c r="C973" s="59"/>
      <c r="D973" s="59"/>
      <c r="E973" s="59"/>
    </row>
    <row r="974">
      <c r="A974" s="59"/>
      <c r="B974" s="59"/>
      <c r="C974" s="59"/>
      <c r="D974" s="59"/>
      <c r="E974" s="59"/>
    </row>
    <row r="975">
      <c r="A975" s="59"/>
      <c r="B975" s="59"/>
      <c r="C975" s="59"/>
      <c r="D975" s="59"/>
      <c r="E975" s="59"/>
    </row>
    <row r="976">
      <c r="A976" s="59"/>
      <c r="B976" s="59"/>
      <c r="C976" s="59"/>
      <c r="D976" s="59"/>
      <c r="E976" s="59"/>
    </row>
    <row r="977">
      <c r="A977" s="59"/>
      <c r="B977" s="59"/>
      <c r="C977" s="59"/>
      <c r="D977" s="59"/>
      <c r="E977" s="59"/>
    </row>
    <row r="978">
      <c r="A978" s="59"/>
      <c r="B978" s="59"/>
      <c r="C978" s="59"/>
      <c r="D978" s="59"/>
      <c r="E978" s="59"/>
    </row>
    <row r="979">
      <c r="A979" s="59"/>
      <c r="B979" s="59"/>
      <c r="C979" s="59"/>
      <c r="D979" s="59"/>
      <c r="E979" s="59"/>
    </row>
    <row r="980">
      <c r="A980" s="59"/>
      <c r="B980" s="59"/>
      <c r="C980" s="59"/>
      <c r="D980" s="59"/>
      <c r="E980" s="59"/>
    </row>
    <row r="981">
      <c r="A981" s="59"/>
      <c r="B981" s="59"/>
      <c r="C981" s="59"/>
      <c r="D981" s="59"/>
      <c r="E981" s="59"/>
    </row>
    <row r="982">
      <c r="A982" s="59"/>
      <c r="B982" s="59"/>
      <c r="C982" s="59"/>
      <c r="D982" s="59"/>
      <c r="E982" s="59"/>
    </row>
    <row r="983">
      <c r="A983" s="59"/>
      <c r="B983" s="59"/>
      <c r="C983" s="59"/>
      <c r="D983" s="59"/>
      <c r="E983" s="59"/>
    </row>
    <row r="984">
      <c r="A984" s="59"/>
      <c r="B984" s="59"/>
      <c r="C984" s="59"/>
      <c r="D984" s="59"/>
      <c r="E984" s="59"/>
    </row>
    <row r="985">
      <c r="A985" s="59"/>
      <c r="B985" s="59"/>
      <c r="C985" s="59"/>
      <c r="D985" s="59"/>
      <c r="E985" s="59"/>
    </row>
    <row r="986">
      <c r="A986" s="59"/>
      <c r="B986" s="59"/>
      <c r="C986" s="59"/>
      <c r="D986" s="59"/>
      <c r="E986" s="59"/>
    </row>
    <row r="987">
      <c r="A987" s="59"/>
      <c r="B987" s="59"/>
      <c r="C987" s="59"/>
      <c r="D987" s="59"/>
      <c r="E987" s="59"/>
    </row>
    <row r="988">
      <c r="A988" s="59"/>
      <c r="B988" s="59"/>
      <c r="C988" s="59"/>
      <c r="D988" s="59"/>
      <c r="E988" s="59"/>
    </row>
    <row r="989">
      <c r="A989" s="59"/>
      <c r="B989" s="59"/>
      <c r="C989" s="59"/>
      <c r="D989" s="59"/>
      <c r="E989" s="59"/>
    </row>
    <row r="990">
      <c r="A990" s="59"/>
      <c r="B990" s="59"/>
      <c r="C990" s="59"/>
      <c r="D990" s="59"/>
      <c r="E990" s="59"/>
    </row>
    <row r="991">
      <c r="A991" s="59"/>
      <c r="B991" s="59"/>
      <c r="C991" s="59"/>
      <c r="D991" s="59"/>
      <c r="E991" s="59"/>
    </row>
    <row r="992">
      <c r="A992" s="59"/>
      <c r="B992" s="59"/>
      <c r="C992" s="59"/>
      <c r="D992" s="59"/>
      <c r="E992" s="59"/>
    </row>
    <row r="993">
      <c r="A993" s="59"/>
      <c r="B993" s="59"/>
      <c r="C993" s="59"/>
      <c r="D993" s="59"/>
      <c r="E993" s="59"/>
    </row>
    <row r="994">
      <c r="A994" s="59"/>
      <c r="B994" s="59"/>
      <c r="C994" s="59"/>
      <c r="D994" s="59"/>
      <c r="E994" s="59"/>
    </row>
    <row r="995">
      <c r="A995" s="59"/>
      <c r="B995" s="59"/>
      <c r="C995" s="59"/>
      <c r="D995" s="59"/>
      <c r="E995" s="59"/>
    </row>
    <row r="996">
      <c r="A996" s="59"/>
      <c r="B996" s="59"/>
      <c r="C996" s="59"/>
      <c r="D996" s="59"/>
      <c r="E996" s="59"/>
    </row>
    <row r="997">
      <c r="A997" s="59"/>
      <c r="B997" s="59"/>
      <c r="C997" s="59"/>
      <c r="D997" s="59"/>
      <c r="E997" s="59"/>
    </row>
    <row r="998">
      <c r="A998" s="59"/>
      <c r="B998" s="59"/>
      <c r="C998" s="59"/>
      <c r="D998" s="59"/>
      <c r="E998" s="59"/>
    </row>
    <row r="999">
      <c r="A999" s="59"/>
      <c r="B999" s="59"/>
      <c r="C999" s="59"/>
      <c r="D999" s="59"/>
      <c r="E999" s="59"/>
    </row>
    <row r="1000">
      <c r="A1000" s="59"/>
      <c r="B1000" s="59"/>
      <c r="C1000" s="59"/>
      <c r="D1000" s="59"/>
      <c r="E1000" s="59"/>
    </row>
  </sheetData>
  <mergeCells count="1">
    <mergeCell ref="C1:D1"/>
  </mergeCells>
  <conditionalFormatting sqref="E2:T81">
    <cfRule type="cellIs" dxfId="0" priority="1" operator="equal">
      <formula>0</formula>
    </cfRule>
  </conditionalFormatting>
  <printOptions gridLines="1" horizontalCentered="1"/>
  <pageMargins bottom="0.75" footer="0.0" header="0.0" left="0.7" right="0.7" top="0.75"/>
  <pageSetup paperSize="9" scale="48" cellComments="atEnd" orientation="portrait" pageOrder="overThenDown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9.63"/>
    <col customWidth="1" min="2" max="2" width="13.5"/>
    <col customWidth="1" min="5" max="5" width="30.38"/>
    <col customWidth="1" min="6" max="6" width="26.75"/>
  </cols>
  <sheetData>
    <row r="1">
      <c r="A1" s="35" t="s">
        <v>551</v>
      </c>
      <c r="B1" s="36" t="s">
        <v>552</v>
      </c>
      <c r="C1" s="37" t="s">
        <v>553</v>
      </c>
      <c r="D1" s="38" t="s">
        <v>554</v>
      </c>
      <c r="E1" s="39"/>
      <c r="F1" s="39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>
      <c r="A2" s="41" t="s">
        <v>535</v>
      </c>
      <c r="B2" s="42">
        <f>'ค่า 1.1'!O82</f>
        <v>80</v>
      </c>
      <c r="C2" s="43">
        <f>'ค่า 1.1'!O83</f>
        <v>100</v>
      </c>
      <c r="D2" s="43">
        <f>AVERAGE(C2:C17)</f>
        <v>100</v>
      </c>
      <c r="E2" s="44"/>
      <c r="F2" s="45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>
      <c r="A3" s="46" t="s">
        <v>537</v>
      </c>
      <c r="B3" s="42">
        <f>'ค่า 1.2'!O82</f>
        <v>80</v>
      </c>
      <c r="C3" s="43">
        <f>'ค่า 1.2'!O83</f>
        <v>100</v>
      </c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</row>
    <row r="4">
      <c r="A4" s="46" t="s">
        <v>536</v>
      </c>
      <c r="B4" s="42">
        <f>'ค่า 1.3'!O82</f>
        <v>80</v>
      </c>
      <c r="C4" s="43">
        <f>'ค่า 1.3'!O83</f>
        <v>100</v>
      </c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</row>
    <row r="5">
      <c r="A5" s="47" t="s">
        <v>538</v>
      </c>
      <c r="B5" s="42">
        <f>'ค่า 1.4'!O82</f>
        <v>80</v>
      </c>
      <c r="C5" s="43">
        <f>'ค่า 1.4'!O83</f>
        <v>100</v>
      </c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</row>
    <row r="6">
      <c r="A6" s="47" t="s">
        <v>539</v>
      </c>
      <c r="B6" s="48">
        <f>'ค่า 1.5'!O82</f>
        <v>80</v>
      </c>
      <c r="C6" s="49">
        <f>'ค่า 1.5'!O83</f>
        <v>100</v>
      </c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>
      <c r="A7" s="46" t="s">
        <v>540</v>
      </c>
      <c r="B7" s="42">
        <f>'ค่า 1.6'!O82</f>
        <v>80</v>
      </c>
      <c r="C7" s="43">
        <f>'ค่า 1.6'!O83</f>
        <v>100</v>
      </c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>
      <c r="A8" s="46" t="s">
        <v>541</v>
      </c>
      <c r="B8" s="42">
        <f>'ค่า 1.7'!O82</f>
        <v>80</v>
      </c>
      <c r="C8" s="43">
        <f>'ค่า 1.7'!O83</f>
        <v>100</v>
      </c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>
      <c r="A9" s="46" t="s">
        <v>543</v>
      </c>
      <c r="B9" s="42">
        <f>'ค่า 1.8'!O82</f>
        <v>80</v>
      </c>
      <c r="C9" s="43">
        <f>'ค่า 1.8'!O83</f>
        <v>100</v>
      </c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>
      <c r="A10" s="46" t="s">
        <v>542</v>
      </c>
      <c r="B10" s="42">
        <f>'ค่า 1.9'!O82</f>
        <v>80</v>
      </c>
      <c r="C10" s="43">
        <f>'ค่า 1.9'!O83</f>
        <v>100</v>
      </c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</row>
    <row r="11">
      <c r="A11" s="46" t="s">
        <v>544</v>
      </c>
      <c r="B11" s="42">
        <f>'ค่า 2.1'!O82</f>
        <v>80</v>
      </c>
      <c r="C11" s="43">
        <f>'ค่า 2.1'!O83</f>
        <v>100</v>
      </c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</row>
    <row r="12">
      <c r="A12" s="46" t="s">
        <v>545</v>
      </c>
      <c r="B12" s="42">
        <f>'ค่า 2.2'!O82</f>
        <v>80</v>
      </c>
      <c r="C12" s="43">
        <f>'ค่า 2.2'!O83</f>
        <v>100</v>
      </c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>
      <c r="A13" s="47" t="s">
        <v>546</v>
      </c>
      <c r="B13" s="42">
        <f>'ค่า 2.3'!O82</f>
        <v>80</v>
      </c>
      <c r="C13" s="43">
        <f>'ค่า 2.3'!O83</f>
        <v>100</v>
      </c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</row>
    <row r="14">
      <c r="A14" s="46" t="s">
        <v>547</v>
      </c>
      <c r="B14" s="42">
        <f>'ค่า 2.4'!O82</f>
        <v>80</v>
      </c>
      <c r="C14" s="43">
        <f>'ค่า 2.4'!O83</f>
        <v>100</v>
      </c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</row>
    <row r="15">
      <c r="A15" s="46" t="s">
        <v>548</v>
      </c>
      <c r="B15" s="42">
        <f>'ค่า 3.1'!O82</f>
        <v>80</v>
      </c>
      <c r="C15" s="43">
        <f>'ค่า 3.1'!O83</f>
        <v>100</v>
      </c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</row>
    <row r="16">
      <c r="A16" s="47" t="s">
        <v>555</v>
      </c>
      <c r="B16" s="42">
        <f>'ค่า 3.2'!O82</f>
        <v>80</v>
      </c>
      <c r="C16" s="43">
        <f>'ค่า 3.2'!O83</f>
        <v>100</v>
      </c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</row>
    <row r="17">
      <c r="A17" s="47" t="s">
        <v>550</v>
      </c>
      <c r="B17" s="42">
        <f>'ค่า 4.1'!O82</f>
        <v>80</v>
      </c>
      <c r="C17" s="43">
        <f>'ค่า 4.1'!O83</f>
        <v>100</v>
      </c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</row>
    <row r="18">
      <c r="A18" s="40"/>
      <c r="B18" s="50"/>
      <c r="C18" s="51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</row>
    <row r="19">
      <c r="A19" s="40"/>
      <c r="B19" s="50"/>
      <c r="C19" s="52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</row>
    <row r="20">
      <c r="A20" s="40"/>
      <c r="B20" s="50"/>
      <c r="C20" s="52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</row>
    <row r="21">
      <c r="A21" s="40"/>
      <c r="B21" s="50"/>
      <c r="C21" s="52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</row>
    <row r="22">
      <c r="A22" s="40"/>
      <c r="B22" s="50"/>
      <c r="C22" s="52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</row>
    <row r="23">
      <c r="A23" s="40"/>
      <c r="B23" s="50"/>
      <c r="C23" s="52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</row>
    <row r="24">
      <c r="A24" s="40"/>
      <c r="B24" s="50"/>
      <c r="C24" s="52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</row>
    <row r="25">
      <c r="A25" s="40"/>
      <c r="B25" s="50"/>
      <c r="C25" s="52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</row>
    <row r="26">
      <c r="A26" s="40"/>
      <c r="B26" s="50"/>
      <c r="C26" s="52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</row>
    <row r="27">
      <c r="A27" s="40"/>
      <c r="B27" s="50"/>
      <c r="C27" s="52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</row>
    <row r="28">
      <c r="A28" s="40"/>
      <c r="B28" s="50"/>
      <c r="C28" s="52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</row>
    <row r="29">
      <c r="A29" s="40"/>
      <c r="B29" s="50"/>
      <c r="C29" s="52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</row>
    <row r="30">
      <c r="A30" s="40"/>
      <c r="B30" s="50"/>
      <c r="C30" s="52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</row>
    <row r="31">
      <c r="A31" s="40"/>
      <c r="B31" s="50"/>
      <c r="C31" s="52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</row>
    <row r="32">
      <c r="A32" s="40"/>
      <c r="B32" s="50"/>
      <c r="C32" s="52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</row>
    <row r="33">
      <c r="A33" s="40"/>
      <c r="B33" s="50"/>
      <c r="C33" s="52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</row>
    <row r="34">
      <c r="A34" s="40"/>
      <c r="B34" s="50"/>
      <c r="C34" s="52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</row>
    <row r="35">
      <c r="A35" s="40"/>
      <c r="B35" s="50"/>
      <c r="C35" s="52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</row>
    <row r="36">
      <c r="A36" s="40"/>
      <c r="B36" s="50"/>
      <c r="C36" s="52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</row>
    <row r="37">
      <c r="A37" s="40"/>
      <c r="B37" s="50"/>
      <c r="C37" s="52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</row>
    <row r="38">
      <c r="A38" s="40"/>
      <c r="B38" s="50"/>
      <c r="C38" s="52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</row>
    <row r="39">
      <c r="A39" s="40"/>
      <c r="B39" s="50"/>
      <c r="C39" s="52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>
      <c r="A40" s="40"/>
      <c r="B40" s="50"/>
      <c r="C40" s="52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</row>
    <row r="41">
      <c r="A41" s="40"/>
      <c r="B41" s="50"/>
      <c r="C41" s="52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</row>
    <row r="42">
      <c r="A42" s="40"/>
      <c r="B42" s="50"/>
      <c r="C42" s="52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</row>
    <row r="43">
      <c r="A43" s="40"/>
      <c r="B43" s="50"/>
      <c r="C43" s="52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</row>
    <row r="44">
      <c r="A44" s="40"/>
      <c r="B44" s="50"/>
      <c r="C44" s="52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</row>
    <row r="45">
      <c r="A45" s="40"/>
      <c r="B45" s="50"/>
      <c r="C45" s="52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</row>
    <row r="46">
      <c r="A46" s="40"/>
      <c r="B46" s="50"/>
      <c r="C46" s="52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</row>
    <row r="47">
      <c r="A47" s="40"/>
      <c r="B47" s="50"/>
      <c r="C47" s="52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</row>
    <row r="48">
      <c r="A48" s="40"/>
      <c r="B48" s="50"/>
      <c r="C48" s="52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</row>
    <row r="49">
      <c r="A49" s="40"/>
      <c r="B49" s="50"/>
      <c r="C49" s="52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</row>
    <row r="50">
      <c r="A50" s="40"/>
      <c r="B50" s="50"/>
      <c r="C50" s="52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</row>
    <row r="51">
      <c r="A51" s="40"/>
      <c r="B51" s="50"/>
      <c r="C51" s="52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</row>
    <row r="52">
      <c r="A52" s="40"/>
      <c r="B52" s="50"/>
      <c r="C52" s="52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</row>
    <row r="53">
      <c r="A53" s="40"/>
      <c r="B53" s="50"/>
      <c r="C53" s="52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>
      <c r="A54" s="40"/>
      <c r="B54" s="50"/>
      <c r="C54" s="52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</row>
    <row r="55">
      <c r="A55" s="40"/>
      <c r="B55" s="50"/>
      <c r="C55" s="52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</row>
    <row r="56">
      <c r="A56" s="40"/>
      <c r="B56" s="50"/>
      <c r="C56" s="52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</row>
    <row r="57">
      <c r="A57" s="40"/>
      <c r="B57" s="50"/>
      <c r="C57" s="52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</row>
    <row r="58">
      <c r="A58" s="40"/>
      <c r="B58" s="50"/>
      <c r="C58" s="52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</row>
    <row r="59">
      <c r="A59" s="40"/>
      <c r="B59" s="50"/>
      <c r="C59" s="52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</row>
    <row r="60">
      <c r="A60" s="40"/>
      <c r="B60" s="50"/>
      <c r="C60" s="52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</row>
    <row r="61">
      <c r="A61" s="40"/>
      <c r="B61" s="50"/>
      <c r="C61" s="52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</row>
    <row r="62">
      <c r="A62" s="40"/>
      <c r="B62" s="50"/>
      <c r="C62" s="52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</row>
    <row r="63">
      <c r="A63" s="40"/>
      <c r="B63" s="50"/>
      <c r="C63" s="52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</row>
    <row r="64">
      <c r="A64" s="40"/>
      <c r="B64" s="50"/>
      <c r="C64" s="52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</row>
    <row r="65">
      <c r="A65" s="40"/>
      <c r="B65" s="50"/>
      <c r="C65" s="52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</row>
    <row r="66">
      <c r="A66" s="40"/>
      <c r="B66" s="50"/>
      <c r="C66" s="52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</row>
    <row r="67">
      <c r="A67" s="40"/>
      <c r="B67" s="50"/>
      <c r="C67" s="52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</row>
    <row r="68">
      <c r="A68" s="40"/>
      <c r="B68" s="50"/>
      <c r="C68" s="52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</row>
    <row r="69">
      <c r="A69" s="40"/>
      <c r="B69" s="50"/>
      <c r="C69" s="52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</row>
    <row r="70">
      <c r="A70" s="40"/>
      <c r="B70" s="50"/>
      <c r="C70" s="52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</row>
    <row r="71">
      <c r="A71" s="40"/>
      <c r="B71" s="50"/>
      <c r="C71" s="52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</row>
    <row r="72">
      <c r="A72" s="40"/>
      <c r="B72" s="50"/>
      <c r="C72" s="52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</row>
    <row r="73">
      <c r="A73" s="40"/>
      <c r="B73" s="50"/>
      <c r="C73" s="52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</row>
    <row r="74">
      <c r="A74" s="40"/>
      <c r="B74" s="50"/>
      <c r="C74" s="52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</row>
    <row r="75">
      <c r="A75" s="40"/>
      <c r="B75" s="50"/>
      <c r="C75" s="52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</row>
    <row r="76">
      <c r="A76" s="40"/>
      <c r="B76" s="50"/>
      <c r="C76" s="52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</row>
    <row r="77">
      <c r="A77" s="40"/>
      <c r="B77" s="50"/>
      <c r="C77" s="52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</row>
    <row r="78">
      <c r="A78" s="40"/>
      <c r="B78" s="50"/>
      <c r="C78" s="52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</row>
    <row r="79">
      <c r="A79" s="40"/>
      <c r="B79" s="50"/>
      <c r="C79" s="52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</row>
    <row r="80">
      <c r="A80" s="40"/>
      <c r="B80" s="50"/>
      <c r="C80" s="52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</row>
    <row r="81">
      <c r="A81" s="40"/>
      <c r="B81" s="50"/>
      <c r="C81" s="52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</row>
    <row r="82">
      <c r="A82" s="40"/>
      <c r="B82" s="50"/>
      <c r="C82" s="52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</row>
    <row r="83">
      <c r="A83" s="40"/>
      <c r="B83" s="50"/>
      <c r="C83" s="52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</row>
    <row r="84">
      <c r="A84" s="40"/>
      <c r="B84" s="50"/>
      <c r="C84" s="52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</row>
    <row r="85">
      <c r="A85" s="40"/>
      <c r="B85" s="50"/>
      <c r="C85" s="52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</row>
    <row r="86">
      <c r="A86" s="40"/>
      <c r="B86" s="50"/>
      <c r="C86" s="52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</row>
    <row r="87">
      <c r="A87" s="40"/>
      <c r="B87" s="50"/>
      <c r="C87" s="52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</row>
    <row r="88">
      <c r="A88" s="40"/>
      <c r="B88" s="50"/>
      <c r="C88" s="52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</row>
    <row r="89">
      <c r="A89" s="40"/>
      <c r="B89" s="50"/>
      <c r="C89" s="52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</row>
    <row r="90">
      <c r="A90" s="40"/>
      <c r="B90" s="50"/>
      <c r="C90" s="52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</row>
    <row r="91">
      <c r="A91" s="40"/>
      <c r="B91" s="50"/>
      <c r="C91" s="52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</row>
    <row r="92">
      <c r="A92" s="40"/>
      <c r="B92" s="50"/>
      <c r="C92" s="52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</row>
    <row r="93">
      <c r="A93" s="40"/>
      <c r="B93" s="50"/>
      <c r="C93" s="52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</row>
    <row r="94">
      <c r="A94" s="40"/>
      <c r="B94" s="50"/>
      <c r="C94" s="52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</row>
    <row r="95">
      <c r="A95" s="40"/>
      <c r="B95" s="50"/>
      <c r="C95" s="52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</row>
    <row r="96">
      <c r="A96" s="40"/>
      <c r="B96" s="50"/>
      <c r="C96" s="52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</row>
    <row r="97">
      <c r="A97" s="40"/>
      <c r="B97" s="50"/>
      <c r="C97" s="52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</row>
    <row r="98">
      <c r="A98" s="40"/>
      <c r="B98" s="50"/>
      <c r="C98" s="52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</row>
    <row r="99">
      <c r="A99" s="40"/>
      <c r="B99" s="50"/>
      <c r="C99" s="52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</row>
    <row r="100">
      <c r="A100" s="40"/>
      <c r="B100" s="50"/>
      <c r="C100" s="52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</row>
    <row r="101">
      <c r="A101" s="40"/>
      <c r="B101" s="50"/>
      <c r="C101" s="52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</row>
    <row r="102">
      <c r="A102" s="40"/>
      <c r="B102" s="50"/>
      <c r="C102" s="52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</row>
    <row r="103">
      <c r="A103" s="40"/>
      <c r="B103" s="50"/>
      <c r="C103" s="52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</row>
    <row r="104">
      <c r="A104" s="40"/>
      <c r="B104" s="50"/>
      <c r="C104" s="52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</row>
    <row r="105">
      <c r="A105" s="40"/>
      <c r="B105" s="50"/>
      <c r="C105" s="52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</row>
    <row r="106">
      <c r="A106" s="40"/>
      <c r="B106" s="50"/>
      <c r="C106" s="52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</row>
    <row r="107">
      <c r="A107" s="40"/>
      <c r="B107" s="50"/>
      <c r="C107" s="52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</row>
    <row r="108">
      <c r="A108" s="40"/>
      <c r="B108" s="50"/>
      <c r="C108" s="52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</row>
    <row r="109">
      <c r="A109" s="40"/>
      <c r="B109" s="50"/>
      <c r="C109" s="52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</row>
    <row r="110">
      <c r="A110" s="40"/>
      <c r="B110" s="50"/>
      <c r="C110" s="52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</row>
    <row r="111">
      <c r="A111" s="40"/>
      <c r="B111" s="50"/>
      <c r="C111" s="52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</row>
    <row r="112">
      <c r="A112" s="40"/>
      <c r="B112" s="50"/>
      <c r="C112" s="52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</row>
    <row r="113">
      <c r="A113" s="40"/>
      <c r="B113" s="50"/>
      <c r="C113" s="52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</row>
    <row r="114">
      <c r="A114" s="40"/>
      <c r="B114" s="50"/>
      <c r="C114" s="52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</row>
    <row r="115">
      <c r="A115" s="40"/>
      <c r="B115" s="50"/>
      <c r="C115" s="52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</row>
    <row r="116">
      <c r="A116" s="40"/>
      <c r="B116" s="50"/>
      <c r="C116" s="52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</row>
    <row r="117">
      <c r="A117" s="40"/>
      <c r="B117" s="50"/>
      <c r="C117" s="52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</row>
    <row r="118">
      <c r="A118" s="40"/>
      <c r="B118" s="50"/>
      <c r="C118" s="52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</row>
    <row r="119">
      <c r="A119" s="40"/>
      <c r="B119" s="50"/>
      <c r="C119" s="52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</row>
    <row r="120">
      <c r="A120" s="40"/>
      <c r="B120" s="50"/>
      <c r="C120" s="52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</row>
    <row r="121">
      <c r="A121" s="40"/>
      <c r="B121" s="50"/>
      <c r="C121" s="52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</row>
    <row r="122">
      <c r="A122" s="40"/>
      <c r="B122" s="50"/>
      <c r="C122" s="52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</row>
    <row r="123">
      <c r="A123" s="40"/>
      <c r="B123" s="50"/>
      <c r="C123" s="52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</row>
    <row r="124">
      <c r="A124" s="40"/>
      <c r="B124" s="50"/>
      <c r="C124" s="52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</row>
    <row r="125">
      <c r="A125" s="40"/>
      <c r="B125" s="50"/>
      <c r="C125" s="52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</row>
    <row r="126">
      <c r="A126" s="40"/>
      <c r="B126" s="50"/>
      <c r="C126" s="52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</row>
    <row r="127">
      <c r="A127" s="40"/>
      <c r="B127" s="50"/>
      <c r="C127" s="52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</row>
    <row r="128">
      <c r="A128" s="40"/>
      <c r="B128" s="50"/>
      <c r="C128" s="52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</row>
    <row r="129">
      <c r="A129" s="40"/>
      <c r="B129" s="50"/>
      <c r="C129" s="52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</row>
    <row r="130">
      <c r="A130" s="40"/>
      <c r="B130" s="50"/>
      <c r="C130" s="52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</row>
    <row r="131">
      <c r="A131" s="40"/>
      <c r="B131" s="50"/>
      <c r="C131" s="52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</row>
    <row r="132">
      <c r="A132" s="40"/>
      <c r="B132" s="50"/>
      <c r="C132" s="52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</row>
    <row r="133">
      <c r="A133" s="40"/>
      <c r="B133" s="50"/>
      <c r="C133" s="52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</row>
    <row r="134">
      <c r="A134" s="40"/>
      <c r="B134" s="50"/>
      <c r="C134" s="52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</row>
    <row r="135">
      <c r="A135" s="40"/>
      <c r="B135" s="50"/>
      <c r="C135" s="52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</row>
    <row r="136">
      <c r="A136" s="40"/>
      <c r="B136" s="50"/>
      <c r="C136" s="52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</row>
    <row r="137">
      <c r="A137" s="40"/>
      <c r="B137" s="50"/>
      <c r="C137" s="52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</row>
    <row r="138">
      <c r="A138" s="40"/>
      <c r="B138" s="50"/>
      <c r="C138" s="52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</row>
    <row r="139">
      <c r="A139" s="40"/>
      <c r="B139" s="50"/>
      <c r="C139" s="52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</row>
    <row r="140">
      <c r="A140" s="40"/>
      <c r="B140" s="50"/>
      <c r="C140" s="52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</row>
    <row r="141">
      <c r="A141" s="40"/>
      <c r="B141" s="50"/>
      <c r="C141" s="52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</row>
    <row r="142">
      <c r="A142" s="40"/>
      <c r="B142" s="50"/>
      <c r="C142" s="52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</row>
    <row r="143">
      <c r="A143" s="40"/>
      <c r="B143" s="50"/>
      <c r="C143" s="52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</row>
    <row r="144">
      <c r="A144" s="40"/>
      <c r="B144" s="50"/>
      <c r="C144" s="52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</row>
    <row r="145">
      <c r="A145" s="40"/>
      <c r="B145" s="50"/>
      <c r="C145" s="52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</row>
    <row r="146">
      <c r="A146" s="40"/>
      <c r="B146" s="50"/>
      <c r="C146" s="52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</row>
    <row r="147">
      <c r="A147" s="40"/>
      <c r="B147" s="50"/>
      <c r="C147" s="52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</row>
    <row r="148">
      <c r="A148" s="40"/>
      <c r="B148" s="50"/>
      <c r="C148" s="52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</row>
    <row r="149">
      <c r="A149" s="40"/>
      <c r="B149" s="50"/>
      <c r="C149" s="52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</row>
    <row r="150">
      <c r="A150" s="40"/>
      <c r="B150" s="50"/>
      <c r="C150" s="52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</row>
    <row r="151">
      <c r="A151" s="40"/>
      <c r="B151" s="50"/>
      <c r="C151" s="52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</row>
    <row r="152">
      <c r="A152" s="40"/>
      <c r="B152" s="50"/>
      <c r="C152" s="52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</row>
    <row r="153">
      <c r="A153" s="40"/>
      <c r="B153" s="50"/>
      <c r="C153" s="52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</row>
    <row r="154">
      <c r="A154" s="40"/>
      <c r="B154" s="50"/>
      <c r="C154" s="52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</row>
    <row r="155">
      <c r="A155" s="40"/>
      <c r="B155" s="50"/>
      <c r="C155" s="52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</row>
    <row r="156">
      <c r="A156" s="40"/>
      <c r="B156" s="50"/>
      <c r="C156" s="52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</row>
    <row r="157">
      <c r="A157" s="40"/>
      <c r="B157" s="50"/>
      <c r="C157" s="52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</row>
    <row r="158">
      <c r="A158" s="40"/>
      <c r="B158" s="50"/>
      <c r="C158" s="52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</row>
    <row r="159">
      <c r="A159" s="40"/>
      <c r="B159" s="50"/>
      <c r="C159" s="52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</row>
    <row r="160">
      <c r="A160" s="40"/>
      <c r="B160" s="50"/>
      <c r="C160" s="52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</row>
    <row r="161">
      <c r="A161" s="40"/>
      <c r="B161" s="50"/>
      <c r="C161" s="52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</row>
    <row r="162">
      <c r="A162" s="40"/>
      <c r="B162" s="50"/>
      <c r="C162" s="52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</row>
    <row r="163">
      <c r="A163" s="40"/>
      <c r="B163" s="50"/>
      <c r="C163" s="52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</row>
    <row r="164">
      <c r="A164" s="40"/>
      <c r="B164" s="50"/>
      <c r="C164" s="52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</row>
    <row r="165">
      <c r="A165" s="40"/>
      <c r="B165" s="50"/>
      <c r="C165" s="52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</row>
    <row r="166">
      <c r="A166" s="40"/>
      <c r="B166" s="50"/>
      <c r="C166" s="52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</row>
    <row r="167">
      <c r="A167" s="40"/>
      <c r="B167" s="50"/>
      <c r="C167" s="52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</row>
    <row r="168">
      <c r="A168" s="40"/>
      <c r="B168" s="50"/>
      <c r="C168" s="52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</row>
    <row r="169">
      <c r="A169" s="40"/>
      <c r="B169" s="50"/>
      <c r="C169" s="52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</row>
    <row r="170">
      <c r="A170" s="40"/>
      <c r="B170" s="50"/>
      <c r="C170" s="52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</row>
    <row r="171">
      <c r="A171" s="40"/>
      <c r="B171" s="50"/>
      <c r="C171" s="52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</row>
    <row r="172">
      <c r="A172" s="40"/>
      <c r="B172" s="50"/>
      <c r="C172" s="52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</row>
    <row r="173">
      <c r="A173" s="40"/>
      <c r="B173" s="50"/>
      <c r="C173" s="52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</row>
    <row r="174">
      <c r="A174" s="40"/>
      <c r="B174" s="50"/>
      <c r="C174" s="52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</row>
    <row r="175">
      <c r="A175" s="40"/>
      <c r="B175" s="50"/>
      <c r="C175" s="52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</row>
    <row r="176">
      <c r="A176" s="40"/>
      <c r="B176" s="50"/>
      <c r="C176" s="52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</row>
    <row r="177">
      <c r="A177" s="40"/>
      <c r="B177" s="50"/>
      <c r="C177" s="52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</row>
    <row r="178">
      <c r="A178" s="40"/>
      <c r="B178" s="50"/>
      <c r="C178" s="52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</row>
    <row r="179">
      <c r="A179" s="40"/>
      <c r="B179" s="50"/>
      <c r="C179" s="52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</row>
    <row r="180">
      <c r="A180" s="40"/>
      <c r="B180" s="50"/>
      <c r="C180" s="52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</row>
    <row r="181">
      <c r="A181" s="40"/>
      <c r="B181" s="50"/>
      <c r="C181" s="52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</row>
    <row r="182">
      <c r="A182" s="40"/>
      <c r="B182" s="50"/>
      <c r="C182" s="52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</row>
    <row r="183">
      <c r="A183" s="40"/>
      <c r="B183" s="50"/>
      <c r="C183" s="52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</row>
    <row r="184">
      <c r="A184" s="40"/>
      <c r="B184" s="50"/>
      <c r="C184" s="52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</row>
    <row r="185">
      <c r="A185" s="40"/>
      <c r="B185" s="50"/>
      <c r="C185" s="52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</row>
    <row r="186">
      <c r="A186" s="40"/>
      <c r="B186" s="50"/>
      <c r="C186" s="52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</row>
    <row r="187">
      <c r="A187" s="40"/>
      <c r="B187" s="50"/>
      <c r="C187" s="52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</row>
    <row r="188">
      <c r="A188" s="40"/>
      <c r="B188" s="50"/>
      <c r="C188" s="52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</row>
    <row r="189">
      <c r="A189" s="40"/>
      <c r="B189" s="50"/>
      <c r="C189" s="52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</row>
    <row r="190">
      <c r="A190" s="40"/>
      <c r="B190" s="50"/>
      <c r="C190" s="52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</row>
    <row r="191">
      <c r="A191" s="40"/>
      <c r="B191" s="50"/>
      <c r="C191" s="52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</row>
    <row r="192">
      <c r="A192" s="40"/>
      <c r="B192" s="50"/>
      <c r="C192" s="52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</row>
    <row r="193">
      <c r="A193" s="40"/>
      <c r="B193" s="50"/>
      <c r="C193" s="52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</row>
    <row r="194">
      <c r="A194" s="40"/>
      <c r="B194" s="50"/>
      <c r="C194" s="52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</row>
    <row r="195">
      <c r="A195" s="40"/>
      <c r="B195" s="50"/>
      <c r="C195" s="52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</row>
    <row r="196">
      <c r="A196" s="40"/>
      <c r="B196" s="50"/>
      <c r="C196" s="52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</row>
    <row r="197">
      <c r="A197" s="40"/>
      <c r="B197" s="50"/>
      <c r="C197" s="52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</row>
    <row r="198">
      <c r="A198" s="40"/>
      <c r="B198" s="50"/>
      <c r="C198" s="52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</row>
    <row r="199">
      <c r="A199" s="40"/>
      <c r="B199" s="50"/>
      <c r="C199" s="52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</row>
    <row r="200">
      <c r="A200" s="40"/>
      <c r="B200" s="50"/>
      <c r="C200" s="52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</row>
    <row r="201">
      <c r="A201" s="40"/>
      <c r="B201" s="50"/>
      <c r="C201" s="52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</row>
    <row r="202">
      <c r="A202" s="40"/>
      <c r="B202" s="50"/>
      <c r="C202" s="52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</row>
    <row r="203">
      <c r="A203" s="40"/>
      <c r="B203" s="50"/>
      <c r="C203" s="52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</row>
    <row r="204">
      <c r="A204" s="40"/>
      <c r="B204" s="50"/>
      <c r="C204" s="52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</row>
    <row r="205">
      <c r="A205" s="40"/>
      <c r="B205" s="50"/>
      <c r="C205" s="52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</row>
    <row r="206">
      <c r="A206" s="40"/>
      <c r="B206" s="50"/>
      <c r="C206" s="52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</row>
    <row r="207">
      <c r="A207" s="40"/>
      <c r="B207" s="50"/>
      <c r="C207" s="52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</row>
    <row r="208">
      <c r="A208" s="40"/>
      <c r="B208" s="50"/>
      <c r="C208" s="52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</row>
    <row r="209">
      <c r="A209" s="40"/>
      <c r="B209" s="50"/>
      <c r="C209" s="52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</row>
    <row r="210">
      <c r="A210" s="40"/>
      <c r="B210" s="50"/>
      <c r="C210" s="52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</row>
    <row r="211">
      <c r="A211" s="40"/>
      <c r="B211" s="50"/>
      <c r="C211" s="52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</row>
    <row r="212">
      <c r="A212" s="40"/>
      <c r="B212" s="50"/>
      <c r="C212" s="52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</row>
    <row r="213">
      <c r="A213" s="40"/>
      <c r="B213" s="50"/>
      <c r="C213" s="52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</row>
    <row r="214">
      <c r="A214" s="40"/>
      <c r="B214" s="50"/>
      <c r="C214" s="52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</row>
    <row r="215">
      <c r="A215" s="40"/>
      <c r="B215" s="50"/>
      <c r="C215" s="52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</row>
    <row r="216">
      <c r="A216" s="40"/>
      <c r="B216" s="50"/>
      <c r="C216" s="52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</row>
    <row r="217">
      <c r="A217" s="40"/>
      <c r="B217" s="50"/>
      <c r="C217" s="52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</row>
    <row r="218">
      <c r="A218" s="40"/>
      <c r="B218" s="50"/>
      <c r="C218" s="52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</row>
    <row r="219">
      <c r="A219" s="40"/>
      <c r="B219" s="50"/>
      <c r="C219" s="52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</row>
    <row r="220">
      <c r="A220" s="40"/>
      <c r="B220" s="50"/>
      <c r="C220" s="52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</row>
    <row r="221">
      <c r="A221" s="40"/>
      <c r="B221" s="50"/>
      <c r="C221" s="52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</row>
    <row r="222">
      <c r="A222" s="40"/>
      <c r="B222" s="50"/>
      <c r="C222" s="52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</row>
    <row r="223">
      <c r="A223" s="40"/>
      <c r="B223" s="50"/>
      <c r="C223" s="52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</row>
    <row r="224">
      <c r="A224" s="40"/>
      <c r="B224" s="50"/>
      <c r="C224" s="52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</row>
    <row r="225">
      <c r="A225" s="40"/>
      <c r="B225" s="50"/>
      <c r="C225" s="52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</row>
    <row r="226">
      <c r="A226" s="40"/>
      <c r="B226" s="50"/>
      <c r="C226" s="52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</row>
    <row r="227">
      <c r="A227" s="40"/>
      <c r="B227" s="50"/>
      <c r="C227" s="52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</row>
    <row r="228">
      <c r="A228" s="40"/>
      <c r="B228" s="50"/>
      <c r="C228" s="52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</row>
    <row r="229">
      <c r="A229" s="40"/>
      <c r="B229" s="50"/>
      <c r="C229" s="52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</row>
    <row r="230">
      <c r="A230" s="40"/>
      <c r="B230" s="50"/>
      <c r="C230" s="52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</row>
    <row r="231">
      <c r="A231" s="40"/>
      <c r="B231" s="50"/>
      <c r="C231" s="52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</row>
    <row r="232">
      <c r="A232" s="40"/>
      <c r="B232" s="50"/>
      <c r="C232" s="52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</row>
    <row r="233">
      <c r="A233" s="40"/>
      <c r="B233" s="50"/>
      <c r="C233" s="52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</row>
    <row r="234">
      <c r="A234" s="40"/>
      <c r="B234" s="50"/>
      <c r="C234" s="52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</row>
    <row r="235">
      <c r="A235" s="40"/>
      <c r="B235" s="50"/>
      <c r="C235" s="52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</row>
    <row r="236">
      <c r="A236" s="40"/>
      <c r="B236" s="50"/>
      <c r="C236" s="52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</row>
    <row r="237">
      <c r="A237" s="40"/>
      <c r="B237" s="50"/>
      <c r="C237" s="52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</row>
    <row r="238">
      <c r="A238" s="40"/>
      <c r="B238" s="50"/>
      <c r="C238" s="52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</row>
    <row r="239">
      <c r="A239" s="40"/>
      <c r="B239" s="50"/>
      <c r="C239" s="52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</row>
    <row r="240">
      <c r="A240" s="40"/>
      <c r="B240" s="50"/>
      <c r="C240" s="52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</row>
    <row r="241">
      <c r="A241" s="40"/>
      <c r="B241" s="50"/>
      <c r="C241" s="52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</row>
    <row r="242">
      <c r="A242" s="40"/>
      <c r="B242" s="50"/>
      <c r="C242" s="52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</row>
    <row r="243">
      <c r="A243" s="40"/>
      <c r="B243" s="50"/>
      <c r="C243" s="52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</row>
    <row r="244">
      <c r="A244" s="40"/>
      <c r="B244" s="50"/>
      <c r="C244" s="52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</row>
    <row r="245">
      <c r="A245" s="40"/>
      <c r="B245" s="50"/>
      <c r="C245" s="52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</row>
    <row r="246">
      <c r="A246" s="40"/>
      <c r="B246" s="50"/>
      <c r="C246" s="52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</row>
    <row r="247">
      <c r="A247" s="40"/>
      <c r="B247" s="50"/>
      <c r="C247" s="52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</row>
    <row r="248">
      <c r="A248" s="40"/>
      <c r="B248" s="50"/>
      <c r="C248" s="52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</row>
    <row r="249">
      <c r="A249" s="40"/>
      <c r="B249" s="50"/>
      <c r="C249" s="52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</row>
    <row r="250">
      <c r="A250" s="40"/>
      <c r="B250" s="50"/>
      <c r="C250" s="52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</row>
    <row r="251">
      <c r="A251" s="40"/>
      <c r="B251" s="50"/>
      <c r="C251" s="52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</row>
    <row r="252">
      <c r="A252" s="40"/>
      <c r="B252" s="50"/>
      <c r="C252" s="52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</row>
    <row r="253">
      <c r="A253" s="40"/>
      <c r="B253" s="50"/>
      <c r="C253" s="52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</row>
    <row r="254">
      <c r="A254" s="40"/>
      <c r="B254" s="50"/>
      <c r="C254" s="52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</row>
    <row r="255">
      <c r="A255" s="40"/>
      <c r="B255" s="50"/>
      <c r="C255" s="52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</row>
    <row r="256">
      <c r="A256" s="40"/>
      <c r="B256" s="50"/>
      <c r="C256" s="52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</row>
    <row r="257">
      <c r="A257" s="40"/>
      <c r="B257" s="50"/>
      <c r="C257" s="52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</row>
    <row r="258">
      <c r="A258" s="40"/>
      <c r="B258" s="50"/>
      <c r="C258" s="52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</row>
    <row r="259">
      <c r="A259" s="40"/>
      <c r="B259" s="50"/>
      <c r="C259" s="52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</row>
    <row r="260">
      <c r="A260" s="40"/>
      <c r="B260" s="50"/>
      <c r="C260" s="52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</row>
    <row r="261">
      <c r="A261" s="40"/>
      <c r="B261" s="50"/>
      <c r="C261" s="52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</row>
    <row r="262">
      <c r="A262" s="40"/>
      <c r="B262" s="50"/>
      <c r="C262" s="52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</row>
    <row r="263">
      <c r="A263" s="40"/>
      <c r="B263" s="50"/>
      <c r="C263" s="52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</row>
    <row r="264">
      <c r="A264" s="40"/>
      <c r="B264" s="50"/>
      <c r="C264" s="52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</row>
    <row r="265">
      <c r="A265" s="40"/>
      <c r="B265" s="50"/>
      <c r="C265" s="52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</row>
    <row r="266">
      <c r="A266" s="40"/>
      <c r="B266" s="50"/>
      <c r="C266" s="52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</row>
    <row r="267">
      <c r="A267" s="40"/>
      <c r="B267" s="50"/>
      <c r="C267" s="52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</row>
    <row r="268">
      <c r="A268" s="40"/>
      <c r="B268" s="50"/>
      <c r="C268" s="52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</row>
    <row r="269">
      <c r="A269" s="40"/>
      <c r="B269" s="50"/>
      <c r="C269" s="52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</row>
    <row r="270">
      <c r="A270" s="40"/>
      <c r="B270" s="50"/>
      <c r="C270" s="52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</row>
    <row r="271">
      <c r="A271" s="40"/>
      <c r="B271" s="50"/>
      <c r="C271" s="52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</row>
    <row r="272">
      <c r="A272" s="40"/>
      <c r="B272" s="50"/>
      <c r="C272" s="52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</row>
    <row r="273">
      <c r="A273" s="40"/>
      <c r="B273" s="50"/>
      <c r="C273" s="52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</row>
    <row r="274">
      <c r="A274" s="40"/>
      <c r="B274" s="50"/>
      <c r="C274" s="52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</row>
    <row r="275">
      <c r="A275" s="40"/>
      <c r="B275" s="50"/>
      <c r="C275" s="52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</row>
    <row r="276">
      <c r="A276" s="40"/>
      <c r="B276" s="50"/>
      <c r="C276" s="52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</row>
    <row r="277">
      <c r="A277" s="40"/>
      <c r="B277" s="50"/>
      <c r="C277" s="52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</row>
    <row r="278">
      <c r="A278" s="40"/>
      <c r="B278" s="50"/>
      <c r="C278" s="52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</row>
    <row r="279">
      <c r="A279" s="40"/>
      <c r="B279" s="50"/>
      <c r="C279" s="52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</row>
    <row r="280">
      <c r="A280" s="40"/>
      <c r="B280" s="50"/>
      <c r="C280" s="52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</row>
    <row r="281">
      <c r="A281" s="40"/>
      <c r="B281" s="50"/>
      <c r="C281" s="52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</row>
    <row r="282">
      <c r="A282" s="40"/>
      <c r="B282" s="50"/>
      <c r="C282" s="52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</row>
    <row r="283">
      <c r="A283" s="40"/>
      <c r="B283" s="50"/>
      <c r="C283" s="52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</row>
    <row r="284">
      <c r="A284" s="40"/>
      <c r="B284" s="50"/>
      <c r="C284" s="52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</row>
    <row r="285">
      <c r="A285" s="40"/>
      <c r="B285" s="50"/>
      <c r="C285" s="52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</row>
    <row r="286">
      <c r="A286" s="40"/>
      <c r="B286" s="50"/>
      <c r="C286" s="52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</row>
    <row r="287">
      <c r="A287" s="40"/>
      <c r="B287" s="50"/>
      <c r="C287" s="52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</row>
    <row r="288">
      <c r="A288" s="40"/>
      <c r="B288" s="50"/>
      <c r="C288" s="52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</row>
    <row r="289">
      <c r="A289" s="40"/>
      <c r="B289" s="50"/>
      <c r="C289" s="52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</row>
    <row r="290">
      <c r="A290" s="40"/>
      <c r="B290" s="50"/>
      <c r="C290" s="52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</row>
    <row r="291">
      <c r="A291" s="40"/>
      <c r="B291" s="50"/>
      <c r="C291" s="52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</row>
    <row r="292">
      <c r="A292" s="40"/>
      <c r="B292" s="50"/>
      <c r="C292" s="52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</row>
    <row r="293">
      <c r="A293" s="40"/>
      <c r="B293" s="50"/>
      <c r="C293" s="52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</row>
    <row r="294">
      <c r="A294" s="40"/>
      <c r="B294" s="50"/>
      <c r="C294" s="52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</row>
    <row r="295">
      <c r="A295" s="40"/>
      <c r="B295" s="50"/>
      <c r="C295" s="52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</row>
    <row r="296">
      <c r="A296" s="40"/>
      <c r="B296" s="50"/>
      <c r="C296" s="52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</row>
    <row r="297">
      <c r="A297" s="40"/>
      <c r="B297" s="50"/>
      <c r="C297" s="52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</row>
    <row r="298">
      <c r="A298" s="40"/>
      <c r="B298" s="50"/>
      <c r="C298" s="52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</row>
    <row r="299">
      <c r="A299" s="40"/>
      <c r="B299" s="50"/>
      <c r="C299" s="52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</row>
    <row r="300">
      <c r="A300" s="40"/>
      <c r="B300" s="50"/>
      <c r="C300" s="52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</row>
    <row r="301">
      <c r="A301" s="40"/>
      <c r="B301" s="50"/>
      <c r="C301" s="52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</row>
    <row r="302">
      <c r="A302" s="40"/>
      <c r="B302" s="50"/>
      <c r="C302" s="52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</row>
    <row r="303">
      <c r="A303" s="40"/>
      <c r="B303" s="50"/>
      <c r="C303" s="52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</row>
    <row r="304">
      <c r="A304" s="40"/>
      <c r="B304" s="50"/>
      <c r="C304" s="52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</row>
    <row r="305">
      <c r="A305" s="40"/>
      <c r="B305" s="50"/>
      <c r="C305" s="52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</row>
    <row r="306">
      <c r="A306" s="40"/>
      <c r="B306" s="50"/>
      <c r="C306" s="52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</row>
    <row r="307">
      <c r="A307" s="40"/>
      <c r="B307" s="50"/>
      <c r="C307" s="52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</row>
    <row r="308">
      <c r="A308" s="40"/>
      <c r="B308" s="50"/>
      <c r="C308" s="52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</row>
    <row r="309">
      <c r="A309" s="40"/>
      <c r="B309" s="50"/>
      <c r="C309" s="52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</row>
    <row r="310">
      <c r="A310" s="40"/>
      <c r="B310" s="50"/>
      <c r="C310" s="52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</row>
    <row r="311">
      <c r="A311" s="40"/>
      <c r="B311" s="50"/>
      <c r="C311" s="52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</row>
    <row r="312">
      <c r="A312" s="40"/>
      <c r="B312" s="50"/>
      <c r="C312" s="52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</row>
    <row r="313">
      <c r="A313" s="40"/>
      <c r="B313" s="50"/>
      <c r="C313" s="52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</row>
    <row r="314">
      <c r="A314" s="40"/>
      <c r="B314" s="50"/>
      <c r="C314" s="52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</row>
    <row r="315">
      <c r="A315" s="40"/>
      <c r="B315" s="50"/>
      <c r="C315" s="52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</row>
    <row r="316">
      <c r="A316" s="40"/>
      <c r="B316" s="50"/>
      <c r="C316" s="52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</row>
    <row r="317">
      <c r="A317" s="40"/>
      <c r="B317" s="50"/>
      <c r="C317" s="52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</row>
    <row r="318">
      <c r="A318" s="40"/>
      <c r="B318" s="50"/>
      <c r="C318" s="52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</row>
    <row r="319">
      <c r="A319" s="40"/>
      <c r="B319" s="50"/>
      <c r="C319" s="52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</row>
    <row r="320">
      <c r="A320" s="40"/>
      <c r="B320" s="50"/>
      <c r="C320" s="52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</row>
    <row r="321">
      <c r="A321" s="40"/>
      <c r="B321" s="50"/>
      <c r="C321" s="52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</row>
    <row r="322">
      <c r="A322" s="40"/>
      <c r="B322" s="50"/>
      <c r="C322" s="52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</row>
    <row r="323">
      <c r="A323" s="40"/>
      <c r="B323" s="50"/>
      <c r="C323" s="52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</row>
    <row r="324">
      <c r="A324" s="40"/>
      <c r="B324" s="50"/>
      <c r="C324" s="52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</row>
    <row r="325">
      <c r="A325" s="40"/>
      <c r="B325" s="50"/>
      <c r="C325" s="52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</row>
    <row r="326">
      <c r="A326" s="40"/>
      <c r="B326" s="50"/>
      <c r="C326" s="52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</row>
    <row r="327">
      <c r="A327" s="40"/>
      <c r="B327" s="50"/>
      <c r="C327" s="52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</row>
    <row r="328">
      <c r="A328" s="40"/>
      <c r="B328" s="50"/>
      <c r="C328" s="52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</row>
    <row r="329">
      <c r="A329" s="40"/>
      <c r="B329" s="50"/>
      <c r="C329" s="52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</row>
    <row r="330">
      <c r="A330" s="40"/>
      <c r="B330" s="50"/>
      <c r="C330" s="52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</row>
    <row r="331">
      <c r="A331" s="40"/>
      <c r="B331" s="50"/>
      <c r="C331" s="52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</row>
    <row r="332">
      <c r="A332" s="40"/>
      <c r="B332" s="50"/>
      <c r="C332" s="52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</row>
    <row r="333">
      <c r="A333" s="40"/>
      <c r="B333" s="50"/>
      <c r="C333" s="52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</row>
    <row r="334">
      <c r="A334" s="40"/>
      <c r="B334" s="50"/>
      <c r="C334" s="52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</row>
    <row r="335">
      <c r="A335" s="40"/>
      <c r="B335" s="50"/>
      <c r="C335" s="52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</row>
    <row r="336">
      <c r="A336" s="40"/>
      <c r="B336" s="50"/>
      <c r="C336" s="52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</row>
    <row r="337">
      <c r="A337" s="40"/>
      <c r="B337" s="50"/>
      <c r="C337" s="52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</row>
    <row r="338">
      <c r="A338" s="40"/>
      <c r="B338" s="50"/>
      <c r="C338" s="52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</row>
    <row r="339">
      <c r="A339" s="40"/>
      <c r="B339" s="50"/>
      <c r="C339" s="52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</row>
    <row r="340">
      <c r="A340" s="40"/>
      <c r="B340" s="50"/>
      <c r="C340" s="52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</row>
    <row r="341">
      <c r="A341" s="40"/>
      <c r="B341" s="50"/>
      <c r="C341" s="52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</row>
    <row r="342">
      <c r="A342" s="40"/>
      <c r="B342" s="50"/>
      <c r="C342" s="52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</row>
    <row r="343">
      <c r="A343" s="40"/>
      <c r="B343" s="50"/>
      <c r="C343" s="52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</row>
    <row r="344">
      <c r="A344" s="40"/>
      <c r="B344" s="50"/>
      <c r="C344" s="52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</row>
    <row r="345">
      <c r="A345" s="40"/>
      <c r="B345" s="50"/>
      <c r="C345" s="52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</row>
    <row r="346">
      <c r="A346" s="40"/>
      <c r="B346" s="50"/>
      <c r="C346" s="52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</row>
    <row r="347">
      <c r="A347" s="40"/>
      <c r="B347" s="50"/>
      <c r="C347" s="52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</row>
    <row r="348">
      <c r="A348" s="40"/>
      <c r="B348" s="50"/>
      <c r="C348" s="52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</row>
    <row r="349">
      <c r="A349" s="40"/>
      <c r="B349" s="50"/>
      <c r="C349" s="52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</row>
    <row r="350">
      <c r="A350" s="40"/>
      <c r="B350" s="50"/>
      <c r="C350" s="52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</row>
    <row r="351">
      <c r="A351" s="40"/>
      <c r="B351" s="50"/>
      <c r="C351" s="52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</row>
    <row r="352">
      <c r="A352" s="40"/>
      <c r="B352" s="50"/>
      <c r="C352" s="52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</row>
    <row r="353">
      <c r="A353" s="40"/>
      <c r="B353" s="50"/>
      <c r="C353" s="52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</row>
    <row r="354">
      <c r="A354" s="40"/>
      <c r="B354" s="50"/>
      <c r="C354" s="52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</row>
    <row r="355">
      <c r="A355" s="40"/>
      <c r="B355" s="50"/>
      <c r="C355" s="52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</row>
    <row r="356">
      <c r="A356" s="40"/>
      <c r="B356" s="50"/>
      <c r="C356" s="52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</row>
    <row r="357">
      <c r="A357" s="40"/>
      <c r="B357" s="50"/>
      <c r="C357" s="52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</row>
    <row r="358">
      <c r="A358" s="40"/>
      <c r="B358" s="50"/>
      <c r="C358" s="52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</row>
    <row r="359">
      <c r="A359" s="40"/>
      <c r="B359" s="50"/>
      <c r="C359" s="52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</row>
    <row r="360">
      <c r="A360" s="40"/>
      <c r="B360" s="50"/>
      <c r="C360" s="52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</row>
    <row r="361">
      <c r="A361" s="40"/>
      <c r="B361" s="50"/>
      <c r="C361" s="52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</row>
    <row r="362">
      <c r="A362" s="40"/>
      <c r="B362" s="50"/>
      <c r="C362" s="52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</row>
    <row r="363">
      <c r="A363" s="40"/>
      <c r="B363" s="50"/>
      <c r="C363" s="52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</row>
    <row r="364">
      <c r="A364" s="40"/>
      <c r="B364" s="50"/>
      <c r="C364" s="52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</row>
    <row r="365">
      <c r="A365" s="40"/>
      <c r="B365" s="50"/>
      <c r="C365" s="52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</row>
    <row r="366">
      <c r="A366" s="40"/>
      <c r="B366" s="50"/>
      <c r="C366" s="52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</row>
    <row r="367">
      <c r="A367" s="40"/>
      <c r="B367" s="50"/>
      <c r="C367" s="52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</row>
    <row r="368">
      <c r="A368" s="40"/>
      <c r="B368" s="50"/>
      <c r="C368" s="52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</row>
    <row r="369">
      <c r="A369" s="40"/>
      <c r="B369" s="50"/>
      <c r="C369" s="52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</row>
    <row r="370">
      <c r="A370" s="40"/>
      <c r="B370" s="50"/>
      <c r="C370" s="52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</row>
    <row r="371">
      <c r="A371" s="40"/>
      <c r="B371" s="50"/>
      <c r="C371" s="52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</row>
    <row r="372">
      <c r="A372" s="40"/>
      <c r="B372" s="50"/>
      <c r="C372" s="52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</row>
    <row r="373">
      <c r="A373" s="40"/>
      <c r="B373" s="50"/>
      <c r="C373" s="52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</row>
    <row r="374">
      <c r="A374" s="40"/>
      <c r="B374" s="50"/>
      <c r="C374" s="52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</row>
    <row r="375">
      <c r="A375" s="40"/>
      <c r="B375" s="50"/>
      <c r="C375" s="52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</row>
    <row r="376">
      <c r="A376" s="40"/>
      <c r="B376" s="50"/>
      <c r="C376" s="52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</row>
    <row r="377">
      <c r="A377" s="40"/>
      <c r="B377" s="50"/>
      <c r="C377" s="52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</row>
    <row r="378">
      <c r="A378" s="40"/>
      <c r="B378" s="50"/>
      <c r="C378" s="52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</row>
    <row r="379">
      <c r="A379" s="40"/>
      <c r="B379" s="50"/>
      <c r="C379" s="52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</row>
    <row r="380">
      <c r="A380" s="40"/>
      <c r="B380" s="50"/>
      <c r="C380" s="52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</row>
    <row r="381">
      <c r="A381" s="40"/>
      <c r="B381" s="50"/>
      <c r="C381" s="52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</row>
    <row r="382">
      <c r="A382" s="40"/>
      <c r="B382" s="50"/>
      <c r="C382" s="52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</row>
    <row r="383">
      <c r="A383" s="40"/>
      <c r="B383" s="50"/>
      <c r="C383" s="52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</row>
    <row r="384">
      <c r="A384" s="40"/>
      <c r="B384" s="50"/>
      <c r="C384" s="52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</row>
    <row r="385">
      <c r="A385" s="40"/>
      <c r="B385" s="50"/>
      <c r="C385" s="52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</row>
    <row r="386">
      <c r="A386" s="40"/>
      <c r="B386" s="50"/>
      <c r="C386" s="52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</row>
    <row r="387">
      <c r="A387" s="40"/>
      <c r="B387" s="50"/>
      <c r="C387" s="52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</row>
    <row r="388">
      <c r="A388" s="40"/>
      <c r="B388" s="50"/>
      <c r="C388" s="52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</row>
    <row r="389">
      <c r="A389" s="40"/>
      <c r="B389" s="50"/>
      <c r="C389" s="52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</row>
    <row r="390">
      <c r="A390" s="40"/>
      <c r="B390" s="50"/>
      <c r="C390" s="52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</row>
    <row r="391">
      <c r="A391" s="40"/>
      <c r="B391" s="50"/>
      <c r="C391" s="52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</row>
    <row r="392">
      <c r="A392" s="40"/>
      <c r="B392" s="50"/>
      <c r="C392" s="52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</row>
    <row r="393">
      <c r="A393" s="40"/>
      <c r="B393" s="50"/>
      <c r="C393" s="52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</row>
    <row r="394">
      <c r="A394" s="40"/>
      <c r="B394" s="50"/>
      <c r="C394" s="52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</row>
    <row r="395">
      <c r="A395" s="40"/>
      <c r="B395" s="50"/>
      <c r="C395" s="52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</row>
    <row r="396">
      <c r="A396" s="40"/>
      <c r="B396" s="50"/>
      <c r="C396" s="52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</row>
    <row r="397">
      <c r="A397" s="40"/>
      <c r="B397" s="50"/>
      <c r="C397" s="52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</row>
    <row r="398">
      <c r="A398" s="40"/>
      <c r="B398" s="50"/>
      <c r="C398" s="52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</row>
    <row r="399">
      <c r="A399" s="40"/>
      <c r="B399" s="50"/>
      <c r="C399" s="52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</row>
    <row r="400">
      <c r="A400" s="40"/>
      <c r="B400" s="50"/>
      <c r="C400" s="52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</row>
    <row r="401">
      <c r="A401" s="40"/>
      <c r="B401" s="50"/>
      <c r="C401" s="52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</row>
    <row r="402">
      <c r="A402" s="40"/>
      <c r="B402" s="50"/>
      <c r="C402" s="52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</row>
    <row r="403">
      <c r="A403" s="40"/>
      <c r="B403" s="50"/>
      <c r="C403" s="52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</row>
    <row r="404">
      <c r="A404" s="40"/>
      <c r="B404" s="50"/>
      <c r="C404" s="52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</row>
    <row r="405">
      <c r="A405" s="40"/>
      <c r="B405" s="50"/>
      <c r="C405" s="52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</row>
    <row r="406">
      <c r="A406" s="40"/>
      <c r="B406" s="50"/>
      <c r="C406" s="52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</row>
    <row r="407">
      <c r="A407" s="40"/>
      <c r="B407" s="50"/>
      <c r="C407" s="52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</row>
    <row r="408">
      <c r="A408" s="40"/>
      <c r="B408" s="50"/>
      <c r="C408" s="52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</row>
    <row r="409">
      <c r="A409" s="40"/>
      <c r="B409" s="50"/>
      <c r="C409" s="52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</row>
    <row r="410">
      <c r="A410" s="40"/>
      <c r="B410" s="50"/>
      <c r="C410" s="52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</row>
    <row r="411">
      <c r="A411" s="40"/>
      <c r="B411" s="50"/>
      <c r="C411" s="52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</row>
    <row r="412">
      <c r="A412" s="40"/>
      <c r="B412" s="50"/>
      <c r="C412" s="52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</row>
    <row r="413">
      <c r="A413" s="40"/>
      <c r="B413" s="50"/>
      <c r="C413" s="52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</row>
    <row r="414">
      <c r="A414" s="40"/>
      <c r="B414" s="50"/>
      <c r="C414" s="52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</row>
    <row r="415">
      <c r="A415" s="40"/>
      <c r="B415" s="50"/>
      <c r="C415" s="52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</row>
    <row r="416">
      <c r="A416" s="40"/>
      <c r="B416" s="50"/>
      <c r="C416" s="52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</row>
    <row r="417">
      <c r="A417" s="40"/>
      <c r="B417" s="50"/>
      <c r="C417" s="52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</row>
    <row r="418">
      <c r="A418" s="40"/>
      <c r="B418" s="50"/>
      <c r="C418" s="52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</row>
    <row r="419">
      <c r="A419" s="40"/>
      <c r="B419" s="50"/>
      <c r="C419" s="52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</row>
    <row r="420">
      <c r="A420" s="40"/>
      <c r="B420" s="50"/>
      <c r="C420" s="52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</row>
    <row r="421">
      <c r="A421" s="40"/>
      <c r="B421" s="50"/>
      <c r="C421" s="52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</row>
    <row r="422">
      <c r="A422" s="40"/>
      <c r="B422" s="50"/>
      <c r="C422" s="52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</row>
    <row r="423">
      <c r="A423" s="40"/>
      <c r="B423" s="50"/>
      <c r="C423" s="52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</row>
    <row r="424">
      <c r="A424" s="40"/>
      <c r="B424" s="50"/>
      <c r="C424" s="52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</row>
    <row r="425">
      <c r="A425" s="40"/>
      <c r="B425" s="50"/>
      <c r="C425" s="52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</row>
    <row r="426">
      <c r="A426" s="40"/>
      <c r="B426" s="50"/>
      <c r="C426" s="52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</row>
    <row r="427">
      <c r="A427" s="40"/>
      <c r="B427" s="50"/>
      <c r="C427" s="52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</row>
    <row r="428">
      <c r="A428" s="40"/>
      <c r="B428" s="50"/>
      <c r="C428" s="52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</row>
    <row r="429">
      <c r="A429" s="40"/>
      <c r="B429" s="50"/>
      <c r="C429" s="52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</row>
    <row r="430">
      <c r="A430" s="40"/>
      <c r="B430" s="50"/>
      <c r="C430" s="52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</row>
    <row r="431">
      <c r="A431" s="40"/>
      <c r="B431" s="50"/>
      <c r="C431" s="52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</row>
    <row r="432">
      <c r="A432" s="40"/>
      <c r="B432" s="50"/>
      <c r="C432" s="52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</row>
    <row r="433">
      <c r="A433" s="40"/>
      <c r="B433" s="50"/>
      <c r="C433" s="52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</row>
    <row r="434">
      <c r="A434" s="40"/>
      <c r="B434" s="50"/>
      <c r="C434" s="52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</row>
    <row r="435">
      <c r="A435" s="40"/>
      <c r="B435" s="50"/>
      <c r="C435" s="52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</row>
    <row r="436">
      <c r="A436" s="40"/>
      <c r="B436" s="50"/>
      <c r="C436" s="52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</row>
    <row r="437">
      <c r="A437" s="40"/>
      <c r="B437" s="50"/>
      <c r="C437" s="52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</row>
    <row r="438">
      <c r="A438" s="40"/>
      <c r="B438" s="50"/>
      <c r="C438" s="52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</row>
    <row r="439">
      <c r="A439" s="40"/>
      <c r="B439" s="50"/>
      <c r="C439" s="52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</row>
    <row r="440">
      <c r="A440" s="40"/>
      <c r="B440" s="50"/>
      <c r="C440" s="52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</row>
    <row r="441">
      <c r="A441" s="40"/>
      <c r="B441" s="50"/>
      <c r="C441" s="52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</row>
    <row r="442">
      <c r="A442" s="40"/>
      <c r="B442" s="50"/>
      <c r="C442" s="52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</row>
    <row r="443">
      <c r="A443" s="40"/>
      <c r="B443" s="50"/>
      <c r="C443" s="52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</row>
    <row r="444">
      <c r="A444" s="40"/>
      <c r="B444" s="50"/>
      <c r="C444" s="52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</row>
    <row r="445">
      <c r="A445" s="40"/>
      <c r="B445" s="50"/>
      <c r="C445" s="52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</row>
    <row r="446">
      <c r="A446" s="40"/>
      <c r="B446" s="50"/>
      <c r="C446" s="52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</row>
    <row r="447">
      <c r="A447" s="40"/>
      <c r="B447" s="50"/>
      <c r="C447" s="52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</row>
    <row r="448">
      <c r="A448" s="40"/>
      <c r="B448" s="50"/>
      <c r="C448" s="52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</row>
    <row r="449">
      <c r="A449" s="40"/>
      <c r="B449" s="50"/>
      <c r="C449" s="52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</row>
    <row r="450">
      <c r="A450" s="40"/>
      <c r="B450" s="50"/>
      <c r="C450" s="52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</row>
    <row r="451">
      <c r="A451" s="40"/>
      <c r="B451" s="50"/>
      <c r="C451" s="52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</row>
    <row r="452">
      <c r="A452" s="40"/>
      <c r="B452" s="50"/>
      <c r="C452" s="52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</row>
    <row r="453">
      <c r="A453" s="40"/>
      <c r="B453" s="50"/>
      <c r="C453" s="52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</row>
    <row r="454">
      <c r="A454" s="40"/>
      <c r="B454" s="50"/>
      <c r="C454" s="52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</row>
    <row r="455">
      <c r="A455" s="40"/>
      <c r="B455" s="50"/>
      <c r="C455" s="52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</row>
    <row r="456">
      <c r="A456" s="40"/>
      <c r="B456" s="50"/>
      <c r="C456" s="52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</row>
    <row r="457">
      <c r="A457" s="40"/>
      <c r="B457" s="50"/>
      <c r="C457" s="52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</row>
    <row r="458">
      <c r="A458" s="40"/>
      <c r="B458" s="50"/>
      <c r="C458" s="52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</row>
    <row r="459">
      <c r="A459" s="40"/>
      <c r="B459" s="50"/>
      <c r="C459" s="52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</row>
    <row r="460">
      <c r="A460" s="40"/>
      <c r="B460" s="50"/>
      <c r="C460" s="52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</row>
    <row r="461">
      <c r="A461" s="40"/>
      <c r="B461" s="50"/>
      <c r="C461" s="52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</row>
    <row r="462">
      <c r="A462" s="40"/>
      <c r="B462" s="50"/>
      <c r="C462" s="52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</row>
    <row r="463">
      <c r="A463" s="40"/>
      <c r="B463" s="50"/>
      <c r="C463" s="52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</row>
    <row r="464">
      <c r="A464" s="40"/>
      <c r="B464" s="50"/>
      <c r="C464" s="52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</row>
    <row r="465">
      <c r="A465" s="40"/>
      <c r="B465" s="50"/>
      <c r="C465" s="52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</row>
    <row r="466">
      <c r="A466" s="40"/>
      <c r="B466" s="50"/>
      <c r="C466" s="52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</row>
    <row r="467">
      <c r="A467" s="40"/>
      <c r="B467" s="50"/>
      <c r="C467" s="52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</row>
    <row r="468">
      <c r="A468" s="40"/>
      <c r="B468" s="50"/>
      <c r="C468" s="52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</row>
    <row r="469">
      <c r="A469" s="40"/>
      <c r="B469" s="50"/>
      <c r="C469" s="52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</row>
    <row r="470">
      <c r="A470" s="40"/>
      <c r="B470" s="50"/>
      <c r="C470" s="52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</row>
    <row r="471">
      <c r="A471" s="40"/>
      <c r="B471" s="50"/>
      <c r="C471" s="52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</row>
    <row r="472">
      <c r="A472" s="40"/>
      <c r="B472" s="50"/>
      <c r="C472" s="52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</row>
    <row r="473">
      <c r="A473" s="40"/>
      <c r="B473" s="50"/>
      <c r="C473" s="52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</row>
    <row r="474">
      <c r="A474" s="40"/>
      <c r="B474" s="50"/>
      <c r="C474" s="52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</row>
    <row r="475">
      <c r="A475" s="40"/>
      <c r="B475" s="50"/>
      <c r="C475" s="52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</row>
    <row r="476">
      <c r="A476" s="40"/>
      <c r="B476" s="50"/>
      <c r="C476" s="52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</row>
    <row r="477">
      <c r="A477" s="40"/>
      <c r="B477" s="50"/>
      <c r="C477" s="52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</row>
    <row r="478">
      <c r="A478" s="40"/>
      <c r="B478" s="50"/>
      <c r="C478" s="52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</row>
    <row r="479">
      <c r="A479" s="40"/>
      <c r="B479" s="50"/>
      <c r="C479" s="52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</row>
    <row r="480">
      <c r="A480" s="40"/>
      <c r="B480" s="50"/>
      <c r="C480" s="52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</row>
    <row r="481">
      <c r="A481" s="40"/>
      <c r="B481" s="50"/>
      <c r="C481" s="52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</row>
    <row r="482">
      <c r="A482" s="40"/>
      <c r="B482" s="50"/>
      <c r="C482" s="52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</row>
    <row r="483">
      <c r="A483" s="40"/>
      <c r="B483" s="50"/>
      <c r="C483" s="52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</row>
    <row r="484">
      <c r="A484" s="40"/>
      <c r="B484" s="50"/>
      <c r="C484" s="52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</row>
    <row r="485">
      <c r="A485" s="40"/>
      <c r="B485" s="50"/>
      <c r="C485" s="52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</row>
    <row r="486">
      <c r="A486" s="40"/>
      <c r="B486" s="50"/>
      <c r="C486" s="52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</row>
    <row r="487">
      <c r="A487" s="40"/>
      <c r="B487" s="50"/>
      <c r="C487" s="52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</row>
    <row r="488">
      <c r="A488" s="40"/>
      <c r="B488" s="50"/>
      <c r="C488" s="52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</row>
    <row r="489">
      <c r="A489" s="40"/>
      <c r="B489" s="50"/>
      <c r="C489" s="52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</row>
    <row r="490">
      <c r="A490" s="40"/>
      <c r="B490" s="50"/>
      <c r="C490" s="52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</row>
    <row r="491">
      <c r="A491" s="40"/>
      <c r="B491" s="50"/>
      <c r="C491" s="52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</row>
    <row r="492">
      <c r="A492" s="40"/>
      <c r="B492" s="50"/>
      <c r="C492" s="52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</row>
    <row r="493">
      <c r="A493" s="40"/>
      <c r="B493" s="50"/>
      <c r="C493" s="52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</row>
    <row r="494">
      <c r="A494" s="40"/>
      <c r="B494" s="50"/>
      <c r="C494" s="52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</row>
    <row r="495">
      <c r="A495" s="40"/>
      <c r="B495" s="50"/>
      <c r="C495" s="52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</row>
    <row r="496">
      <c r="A496" s="40"/>
      <c r="B496" s="50"/>
      <c r="C496" s="52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</row>
    <row r="497">
      <c r="A497" s="40"/>
      <c r="B497" s="50"/>
      <c r="C497" s="52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</row>
    <row r="498">
      <c r="A498" s="40"/>
      <c r="B498" s="50"/>
      <c r="C498" s="52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</row>
    <row r="499">
      <c r="A499" s="40"/>
      <c r="B499" s="50"/>
      <c r="C499" s="52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</row>
    <row r="500">
      <c r="A500" s="40"/>
      <c r="B500" s="50"/>
      <c r="C500" s="52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</row>
    <row r="501">
      <c r="A501" s="40"/>
      <c r="B501" s="50"/>
      <c r="C501" s="52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</row>
    <row r="502">
      <c r="A502" s="40"/>
      <c r="B502" s="50"/>
      <c r="C502" s="52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</row>
    <row r="503">
      <c r="A503" s="40"/>
      <c r="B503" s="50"/>
      <c r="C503" s="52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</row>
    <row r="504">
      <c r="A504" s="40"/>
      <c r="B504" s="50"/>
      <c r="C504" s="52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</row>
    <row r="505">
      <c r="A505" s="40"/>
      <c r="B505" s="50"/>
      <c r="C505" s="52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</row>
    <row r="506">
      <c r="A506" s="40"/>
      <c r="B506" s="50"/>
      <c r="C506" s="52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</row>
    <row r="507">
      <c r="A507" s="40"/>
      <c r="B507" s="50"/>
      <c r="C507" s="52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</row>
    <row r="508">
      <c r="A508" s="40"/>
      <c r="B508" s="50"/>
      <c r="C508" s="52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</row>
    <row r="509">
      <c r="A509" s="40"/>
      <c r="B509" s="50"/>
      <c r="C509" s="52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</row>
    <row r="510">
      <c r="A510" s="40"/>
      <c r="B510" s="50"/>
      <c r="C510" s="52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</row>
    <row r="511">
      <c r="A511" s="40"/>
      <c r="B511" s="50"/>
      <c r="C511" s="52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</row>
    <row r="512">
      <c r="A512" s="40"/>
      <c r="B512" s="50"/>
      <c r="C512" s="52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</row>
    <row r="513">
      <c r="A513" s="40"/>
      <c r="B513" s="50"/>
      <c r="C513" s="52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</row>
    <row r="514">
      <c r="A514" s="40"/>
      <c r="B514" s="50"/>
      <c r="C514" s="52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</row>
    <row r="515">
      <c r="A515" s="40"/>
      <c r="B515" s="50"/>
      <c r="C515" s="52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</row>
    <row r="516">
      <c r="A516" s="40"/>
      <c r="B516" s="50"/>
      <c r="C516" s="52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</row>
    <row r="517">
      <c r="A517" s="40"/>
      <c r="B517" s="50"/>
      <c r="C517" s="52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</row>
    <row r="518">
      <c r="A518" s="40"/>
      <c r="B518" s="50"/>
      <c r="C518" s="52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</row>
    <row r="519">
      <c r="A519" s="40"/>
      <c r="B519" s="50"/>
      <c r="C519" s="52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</row>
    <row r="520">
      <c r="A520" s="40"/>
      <c r="B520" s="50"/>
      <c r="C520" s="52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</row>
    <row r="521">
      <c r="A521" s="40"/>
      <c r="B521" s="50"/>
      <c r="C521" s="52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</row>
    <row r="522">
      <c r="A522" s="40"/>
      <c r="B522" s="50"/>
      <c r="C522" s="52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</row>
    <row r="523">
      <c r="A523" s="40"/>
      <c r="B523" s="50"/>
      <c r="C523" s="52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</row>
    <row r="524">
      <c r="A524" s="40"/>
      <c r="B524" s="50"/>
      <c r="C524" s="52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</row>
    <row r="525">
      <c r="A525" s="40"/>
      <c r="B525" s="50"/>
      <c r="C525" s="52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</row>
    <row r="526">
      <c r="A526" s="40"/>
      <c r="B526" s="50"/>
      <c r="C526" s="52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</row>
    <row r="527">
      <c r="A527" s="40"/>
      <c r="B527" s="50"/>
      <c r="C527" s="52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</row>
    <row r="528">
      <c r="A528" s="40"/>
      <c r="B528" s="50"/>
      <c r="C528" s="52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</row>
    <row r="529">
      <c r="A529" s="40"/>
      <c r="B529" s="50"/>
      <c r="C529" s="52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</row>
    <row r="530">
      <c r="A530" s="40"/>
      <c r="B530" s="50"/>
      <c r="C530" s="52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</row>
    <row r="531">
      <c r="A531" s="40"/>
      <c r="B531" s="50"/>
      <c r="C531" s="52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</row>
    <row r="532">
      <c r="A532" s="40"/>
      <c r="B532" s="50"/>
      <c r="C532" s="52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</row>
    <row r="533">
      <c r="A533" s="40"/>
      <c r="B533" s="50"/>
      <c r="C533" s="52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</row>
    <row r="534">
      <c r="A534" s="40"/>
      <c r="B534" s="50"/>
      <c r="C534" s="52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</row>
    <row r="535">
      <c r="A535" s="40"/>
      <c r="B535" s="50"/>
      <c r="C535" s="52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</row>
    <row r="536">
      <c r="A536" s="40"/>
      <c r="B536" s="50"/>
      <c r="C536" s="52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</row>
    <row r="537">
      <c r="A537" s="40"/>
      <c r="B537" s="50"/>
      <c r="C537" s="52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</row>
    <row r="538">
      <c r="A538" s="40"/>
      <c r="B538" s="50"/>
      <c r="C538" s="52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</row>
    <row r="539">
      <c r="A539" s="40"/>
      <c r="B539" s="50"/>
      <c r="C539" s="52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</row>
    <row r="540">
      <c r="A540" s="40"/>
      <c r="B540" s="50"/>
      <c r="C540" s="52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</row>
    <row r="541">
      <c r="A541" s="40"/>
      <c r="B541" s="50"/>
      <c r="C541" s="52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</row>
    <row r="542">
      <c r="A542" s="40"/>
      <c r="B542" s="50"/>
      <c r="C542" s="52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</row>
    <row r="543">
      <c r="A543" s="40"/>
      <c r="B543" s="50"/>
      <c r="C543" s="52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</row>
    <row r="544">
      <c r="A544" s="40"/>
      <c r="B544" s="50"/>
      <c r="C544" s="52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</row>
    <row r="545">
      <c r="A545" s="40"/>
      <c r="B545" s="50"/>
      <c r="C545" s="52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</row>
    <row r="546">
      <c r="A546" s="40"/>
      <c r="B546" s="50"/>
      <c r="C546" s="52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</row>
    <row r="547">
      <c r="A547" s="40"/>
      <c r="B547" s="50"/>
      <c r="C547" s="52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</row>
    <row r="548">
      <c r="A548" s="40"/>
      <c r="B548" s="50"/>
      <c r="C548" s="52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</row>
    <row r="549">
      <c r="A549" s="40"/>
      <c r="B549" s="50"/>
      <c r="C549" s="52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</row>
    <row r="550">
      <c r="A550" s="40"/>
      <c r="B550" s="50"/>
      <c r="C550" s="52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</row>
    <row r="551">
      <c r="A551" s="40"/>
      <c r="B551" s="50"/>
      <c r="C551" s="52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</row>
    <row r="552">
      <c r="A552" s="40"/>
      <c r="B552" s="50"/>
      <c r="C552" s="52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</row>
    <row r="553">
      <c r="A553" s="40"/>
      <c r="B553" s="50"/>
      <c r="C553" s="52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</row>
    <row r="554">
      <c r="A554" s="40"/>
      <c r="B554" s="50"/>
      <c r="C554" s="52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</row>
    <row r="555">
      <c r="A555" s="40"/>
      <c r="B555" s="50"/>
      <c r="C555" s="52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</row>
    <row r="556">
      <c r="A556" s="40"/>
      <c r="B556" s="50"/>
      <c r="C556" s="52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</row>
    <row r="557">
      <c r="A557" s="40"/>
      <c r="B557" s="50"/>
      <c r="C557" s="52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</row>
    <row r="558">
      <c r="A558" s="40"/>
      <c r="B558" s="50"/>
      <c r="C558" s="52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</row>
    <row r="559">
      <c r="A559" s="40"/>
      <c r="B559" s="50"/>
      <c r="C559" s="52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</row>
    <row r="560">
      <c r="A560" s="40"/>
      <c r="B560" s="50"/>
      <c r="C560" s="52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</row>
    <row r="561">
      <c r="A561" s="40"/>
      <c r="B561" s="50"/>
      <c r="C561" s="52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</row>
    <row r="562">
      <c r="A562" s="40"/>
      <c r="B562" s="50"/>
      <c r="C562" s="52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</row>
    <row r="563">
      <c r="A563" s="40"/>
      <c r="B563" s="50"/>
      <c r="C563" s="52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</row>
    <row r="564">
      <c r="A564" s="40"/>
      <c r="B564" s="50"/>
      <c r="C564" s="52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</row>
    <row r="565">
      <c r="A565" s="40"/>
      <c r="B565" s="50"/>
      <c r="C565" s="52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</row>
    <row r="566">
      <c r="A566" s="40"/>
      <c r="B566" s="50"/>
      <c r="C566" s="52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</row>
    <row r="567">
      <c r="A567" s="40"/>
      <c r="B567" s="50"/>
      <c r="C567" s="52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</row>
    <row r="568">
      <c r="A568" s="40"/>
      <c r="B568" s="50"/>
      <c r="C568" s="52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</row>
    <row r="569">
      <c r="A569" s="40"/>
      <c r="B569" s="50"/>
      <c r="C569" s="52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</row>
    <row r="570">
      <c r="A570" s="40"/>
      <c r="B570" s="50"/>
      <c r="C570" s="52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</row>
    <row r="571">
      <c r="A571" s="40"/>
      <c r="B571" s="50"/>
      <c r="C571" s="52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</row>
    <row r="572">
      <c r="A572" s="40"/>
      <c r="B572" s="50"/>
      <c r="C572" s="52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</row>
    <row r="573">
      <c r="A573" s="40"/>
      <c r="B573" s="50"/>
      <c r="C573" s="52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</row>
    <row r="574">
      <c r="A574" s="40"/>
      <c r="B574" s="50"/>
      <c r="C574" s="52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</row>
    <row r="575">
      <c r="A575" s="40"/>
      <c r="B575" s="50"/>
      <c r="C575" s="52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</row>
    <row r="576">
      <c r="A576" s="40"/>
      <c r="B576" s="50"/>
      <c r="C576" s="52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</row>
    <row r="577">
      <c r="A577" s="40"/>
      <c r="B577" s="50"/>
      <c r="C577" s="52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</row>
    <row r="578">
      <c r="A578" s="40"/>
      <c r="B578" s="50"/>
      <c r="C578" s="52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</row>
    <row r="579">
      <c r="A579" s="40"/>
      <c r="B579" s="50"/>
      <c r="C579" s="52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</row>
    <row r="580">
      <c r="A580" s="40"/>
      <c r="B580" s="50"/>
      <c r="C580" s="52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</row>
    <row r="581">
      <c r="A581" s="40"/>
      <c r="B581" s="50"/>
      <c r="C581" s="52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</row>
    <row r="582">
      <c r="A582" s="40"/>
      <c r="B582" s="50"/>
      <c r="C582" s="52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</row>
    <row r="583">
      <c r="A583" s="40"/>
      <c r="B583" s="50"/>
      <c r="C583" s="52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</row>
    <row r="584">
      <c r="A584" s="40"/>
      <c r="B584" s="50"/>
      <c r="C584" s="52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</row>
    <row r="585">
      <c r="A585" s="40"/>
      <c r="B585" s="50"/>
      <c r="C585" s="52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</row>
    <row r="586">
      <c r="A586" s="40"/>
      <c r="B586" s="50"/>
      <c r="C586" s="52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</row>
    <row r="587">
      <c r="A587" s="40"/>
      <c r="B587" s="50"/>
      <c r="C587" s="52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</row>
    <row r="588">
      <c r="A588" s="40"/>
      <c r="B588" s="50"/>
      <c r="C588" s="52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</row>
    <row r="589">
      <c r="A589" s="40"/>
      <c r="B589" s="50"/>
      <c r="C589" s="52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</row>
    <row r="590">
      <c r="A590" s="40"/>
      <c r="B590" s="50"/>
      <c r="C590" s="52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</row>
    <row r="591">
      <c r="A591" s="40"/>
      <c r="B591" s="50"/>
      <c r="C591" s="52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</row>
    <row r="592">
      <c r="A592" s="40"/>
      <c r="B592" s="50"/>
      <c r="C592" s="52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</row>
    <row r="593">
      <c r="A593" s="40"/>
      <c r="B593" s="50"/>
      <c r="C593" s="52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</row>
    <row r="594">
      <c r="A594" s="40"/>
      <c r="B594" s="50"/>
      <c r="C594" s="52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</row>
    <row r="595">
      <c r="A595" s="40"/>
      <c r="B595" s="50"/>
      <c r="C595" s="52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</row>
    <row r="596">
      <c r="A596" s="40"/>
      <c r="B596" s="50"/>
      <c r="C596" s="52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</row>
    <row r="597">
      <c r="A597" s="40"/>
      <c r="B597" s="50"/>
      <c r="C597" s="52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</row>
    <row r="598">
      <c r="A598" s="40"/>
      <c r="B598" s="50"/>
      <c r="C598" s="52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</row>
    <row r="599">
      <c r="A599" s="40"/>
      <c r="B599" s="50"/>
      <c r="C599" s="52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</row>
    <row r="600">
      <c r="A600" s="40"/>
      <c r="B600" s="50"/>
      <c r="C600" s="52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</row>
    <row r="601">
      <c r="A601" s="40"/>
      <c r="B601" s="50"/>
      <c r="C601" s="52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</row>
    <row r="602">
      <c r="A602" s="40"/>
      <c r="B602" s="50"/>
      <c r="C602" s="52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</row>
    <row r="603">
      <c r="A603" s="40"/>
      <c r="B603" s="50"/>
      <c r="C603" s="52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</row>
    <row r="604">
      <c r="A604" s="40"/>
      <c r="B604" s="50"/>
      <c r="C604" s="52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</row>
    <row r="605">
      <c r="A605" s="40"/>
      <c r="B605" s="50"/>
      <c r="C605" s="52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</row>
    <row r="606">
      <c r="A606" s="40"/>
      <c r="B606" s="50"/>
      <c r="C606" s="52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</row>
    <row r="607">
      <c r="A607" s="40"/>
      <c r="B607" s="50"/>
      <c r="C607" s="52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</row>
    <row r="608">
      <c r="A608" s="40"/>
      <c r="B608" s="50"/>
      <c r="C608" s="52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</row>
    <row r="609">
      <c r="A609" s="40"/>
      <c r="B609" s="50"/>
      <c r="C609" s="52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</row>
    <row r="610">
      <c r="A610" s="40"/>
      <c r="B610" s="50"/>
      <c r="C610" s="52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</row>
    <row r="611">
      <c r="A611" s="40"/>
      <c r="B611" s="50"/>
      <c r="C611" s="52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</row>
    <row r="612">
      <c r="A612" s="40"/>
      <c r="B612" s="50"/>
      <c r="C612" s="52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</row>
    <row r="613">
      <c r="A613" s="40"/>
      <c r="B613" s="50"/>
      <c r="C613" s="52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</row>
    <row r="614">
      <c r="A614" s="40"/>
      <c r="B614" s="50"/>
      <c r="C614" s="52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</row>
    <row r="615">
      <c r="A615" s="40"/>
      <c r="B615" s="50"/>
      <c r="C615" s="52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</row>
    <row r="616">
      <c r="A616" s="40"/>
      <c r="B616" s="50"/>
      <c r="C616" s="52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</row>
    <row r="617">
      <c r="A617" s="40"/>
      <c r="B617" s="50"/>
      <c r="C617" s="52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</row>
    <row r="618">
      <c r="A618" s="40"/>
      <c r="B618" s="50"/>
      <c r="C618" s="52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</row>
    <row r="619">
      <c r="A619" s="40"/>
      <c r="B619" s="50"/>
      <c r="C619" s="52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</row>
    <row r="620">
      <c r="A620" s="40"/>
      <c r="B620" s="50"/>
      <c r="C620" s="52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</row>
    <row r="621">
      <c r="A621" s="40"/>
      <c r="B621" s="50"/>
      <c r="C621" s="52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</row>
    <row r="622">
      <c r="A622" s="40"/>
      <c r="B622" s="50"/>
      <c r="C622" s="52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</row>
    <row r="623">
      <c r="A623" s="40"/>
      <c r="B623" s="50"/>
      <c r="C623" s="52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</row>
    <row r="624">
      <c r="A624" s="40"/>
      <c r="B624" s="50"/>
      <c r="C624" s="52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</row>
    <row r="625">
      <c r="A625" s="40"/>
      <c r="B625" s="50"/>
      <c r="C625" s="52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</row>
    <row r="626">
      <c r="A626" s="40"/>
      <c r="B626" s="50"/>
      <c r="C626" s="52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</row>
    <row r="627">
      <c r="A627" s="40"/>
      <c r="B627" s="50"/>
      <c r="C627" s="52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</row>
    <row r="628">
      <c r="A628" s="40"/>
      <c r="B628" s="50"/>
      <c r="C628" s="52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</row>
    <row r="629">
      <c r="A629" s="40"/>
      <c r="B629" s="50"/>
      <c r="C629" s="52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</row>
    <row r="630">
      <c r="A630" s="40"/>
      <c r="B630" s="50"/>
      <c r="C630" s="52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</row>
    <row r="631">
      <c r="A631" s="40"/>
      <c r="B631" s="50"/>
      <c r="C631" s="52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</row>
    <row r="632">
      <c r="A632" s="40"/>
      <c r="B632" s="50"/>
      <c r="C632" s="52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</row>
    <row r="633">
      <c r="A633" s="40"/>
      <c r="B633" s="50"/>
      <c r="C633" s="52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</row>
    <row r="634">
      <c r="A634" s="40"/>
      <c r="B634" s="50"/>
      <c r="C634" s="52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</row>
    <row r="635">
      <c r="A635" s="40"/>
      <c r="B635" s="50"/>
      <c r="C635" s="52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</row>
    <row r="636">
      <c r="A636" s="40"/>
      <c r="B636" s="50"/>
      <c r="C636" s="52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</row>
    <row r="637">
      <c r="A637" s="40"/>
      <c r="B637" s="50"/>
      <c r="C637" s="52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</row>
    <row r="638">
      <c r="A638" s="40"/>
      <c r="B638" s="50"/>
      <c r="C638" s="52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</row>
    <row r="639">
      <c r="A639" s="40"/>
      <c r="B639" s="50"/>
      <c r="C639" s="52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</row>
    <row r="640">
      <c r="A640" s="40"/>
      <c r="B640" s="50"/>
      <c r="C640" s="52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</row>
    <row r="641">
      <c r="A641" s="40"/>
      <c r="B641" s="50"/>
      <c r="C641" s="52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</row>
    <row r="642">
      <c r="A642" s="40"/>
      <c r="B642" s="50"/>
      <c r="C642" s="52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</row>
    <row r="643">
      <c r="A643" s="40"/>
      <c r="B643" s="50"/>
      <c r="C643" s="52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</row>
    <row r="644">
      <c r="A644" s="40"/>
      <c r="B644" s="50"/>
      <c r="C644" s="52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</row>
    <row r="645">
      <c r="A645" s="40"/>
      <c r="B645" s="50"/>
      <c r="C645" s="52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</row>
    <row r="646">
      <c r="A646" s="40"/>
      <c r="B646" s="50"/>
      <c r="C646" s="52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</row>
    <row r="647">
      <c r="A647" s="40"/>
      <c r="B647" s="50"/>
      <c r="C647" s="52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</row>
    <row r="648">
      <c r="A648" s="40"/>
      <c r="B648" s="50"/>
      <c r="C648" s="52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</row>
    <row r="649">
      <c r="A649" s="40"/>
      <c r="B649" s="50"/>
      <c r="C649" s="52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</row>
    <row r="650">
      <c r="A650" s="40"/>
      <c r="B650" s="50"/>
      <c r="C650" s="52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</row>
    <row r="651">
      <c r="A651" s="40"/>
      <c r="B651" s="50"/>
      <c r="C651" s="52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</row>
    <row r="652">
      <c r="A652" s="40"/>
      <c r="B652" s="50"/>
      <c r="C652" s="52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</row>
    <row r="653">
      <c r="A653" s="40"/>
      <c r="B653" s="50"/>
      <c r="C653" s="52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</row>
    <row r="654">
      <c r="A654" s="40"/>
      <c r="B654" s="50"/>
      <c r="C654" s="52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</row>
    <row r="655">
      <c r="A655" s="40"/>
      <c r="B655" s="50"/>
      <c r="C655" s="52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</row>
    <row r="656">
      <c r="A656" s="40"/>
      <c r="B656" s="50"/>
      <c r="C656" s="52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</row>
    <row r="657">
      <c r="A657" s="40"/>
      <c r="B657" s="50"/>
      <c r="C657" s="52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</row>
    <row r="658">
      <c r="A658" s="40"/>
      <c r="B658" s="50"/>
      <c r="C658" s="52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</row>
    <row r="659">
      <c r="A659" s="40"/>
      <c r="B659" s="50"/>
      <c r="C659" s="52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</row>
    <row r="660">
      <c r="A660" s="40"/>
      <c r="B660" s="50"/>
      <c r="C660" s="52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</row>
    <row r="661">
      <c r="A661" s="40"/>
      <c r="B661" s="50"/>
      <c r="C661" s="52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</row>
    <row r="662">
      <c r="A662" s="40"/>
      <c r="B662" s="50"/>
      <c r="C662" s="52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</row>
    <row r="663">
      <c r="A663" s="40"/>
      <c r="B663" s="50"/>
      <c r="C663" s="52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</row>
    <row r="664">
      <c r="A664" s="40"/>
      <c r="B664" s="50"/>
      <c r="C664" s="52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</row>
    <row r="665">
      <c r="A665" s="40"/>
      <c r="B665" s="50"/>
      <c r="C665" s="52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</row>
    <row r="666">
      <c r="A666" s="40"/>
      <c r="B666" s="50"/>
      <c r="C666" s="52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</row>
    <row r="667">
      <c r="A667" s="40"/>
      <c r="B667" s="50"/>
      <c r="C667" s="52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</row>
    <row r="668">
      <c r="A668" s="40"/>
      <c r="B668" s="50"/>
      <c r="C668" s="52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</row>
    <row r="669">
      <c r="A669" s="40"/>
      <c r="B669" s="50"/>
      <c r="C669" s="52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</row>
    <row r="670">
      <c r="A670" s="40"/>
      <c r="B670" s="50"/>
      <c r="C670" s="52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</row>
    <row r="671">
      <c r="A671" s="40"/>
      <c r="B671" s="50"/>
      <c r="C671" s="52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</row>
    <row r="672">
      <c r="A672" s="40"/>
      <c r="B672" s="50"/>
      <c r="C672" s="52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</row>
    <row r="673">
      <c r="A673" s="40"/>
      <c r="B673" s="50"/>
      <c r="C673" s="52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</row>
    <row r="674">
      <c r="A674" s="40"/>
      <c r="B674" s="50"/>
      <c r="C674" s="52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</row>
    <row r="675">
      <c r="A675" s="40"/>
      <c r="B675" s="50"/>
      <c r="C675" s="52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</row>
    <row r="676">
      <c r="A676" s="40"/>
      <c r="B676" s="50"/>
      <c r="C676" s="52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</row>
    <row r="677">
      <c r="A677" s="40"/>
      <c r="B677" s="50"/>
      <c r="C677" s="52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</row>
    <row r="678">
      <c r="A678" s="40"/>
      <c r="B678" s="50"/>
      <c r="C678" s="52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</row>
    <row r="679">
      <c r="A679" s="40"/>
      <c r="B679" s="50"/>
      <c r="C679" s="52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</row>
    <row r="680">
      <c r="A680" s="40"/>
      <c r="B680" s="50"/>
      <c r="C680" s="52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</row>
    <row r="681">
      <c r="A681" s="40"/>
      <c r="B681" s="50"/>
      <c r="C681" s="52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</row>
    <row r="682">
      <c r="A682" s="40"/>
      <c r="B682" s="50"/>
      <c r="C682" s="52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</row>
    <row r="683">
      <c r="A683" s="40"/>
      <c r="B683" s="50"/>
      <c r="C683" s="52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</row>
    <row r="684">
      <c r="A684" s="40"/>
      <c r="B684" s="50"/>
      <c r="C684" s="52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</row>
    <row r="685">
      <c r="A685" s="40"/>
      <c r="B685" s="50"/>
      <c r="C685" s="52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</row>
    <row r="686">
      <c r="A686" s="40"/>
      <c r="B686" s="50"/>
      <c r="C686" s="52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</row>
    <row r="687">
      <c r="A687" s="40"/>
      <c r="B687" s="50"/>
      <c r="C687" s="52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</row>
    <row r="688">
      <c r="A688" s="40"/>
      <c r="B688" s="50"/>
      <c r="C688" s="52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</row>
    <row r="689">
      <c r="A689" s="40"/>
      <c r="B689" s="50"/>
      <c r="C689" s="52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</row>
    <row r="690">
      <c r="A690" s="40"/>
      <c r="B690" s="50"/>
      <c r="C690" s="52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</row>
    <row r="691">
      <c r="A691" s="40"/>
      <c r="B691" s="50"/>
      <c r="C691" s="52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</row>
    <row r="692">
      <c r="A692" s="40"/>
      <c r="B692" s="50"/>
      <c r="C692" s="52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</row>
    <row r="693">
      <c r="A693" s="40"/>
      <c r="B693" s="50"/>
      <c r="C693" s="52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</row>
    <row r="694">
      <c r="A694" s="40"/>
      <c r="B694" s="50"/>
      <c r="C694" s="52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</row>
    <row r="695">
      <c r="A695" s="40"/>
      <c r="B695" s="50"/>
      <c r="C695" s="52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</row>
    <row r="696">
      <c r="A696" s="40"/>
      <c r="B696" s="50"/>
      <c r="C696" s="52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</row>
    <row r="697">
      <c r="A697" s="40"/>
      <c r="B697" s="50"/>
      <c r="C697" s="52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</row>
    <row r="698">
      <c r="A698" s="40"/>
      <c r="B698" s="50"/>
      <c r="C698" s="52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</row>
    <row r="699">
      <c r="A699" s="40"/>
      <c r="B699" s="50"/>
      <c r="C699" s="52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</row>
    <row r="700">
      <c r="A700" s="40"/>
      <c r="B700" s="50"/>
      <c r="C700" s="52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</row>
    <row r="701">
      <c r="A701" s="40"/>
      <c r="B701" s="50"/>
      <c r="C701" s="52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</row>
    <row r="702">
      <c r="A702" s="40"/>
      <c r="B702" s="50"/>
      <c r="C702" s="52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</row>
    <row r="703">
      <c r="A703" s="40"/>
      <c r="B703" s="50"/>
      <c r="C703" s="52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</row>
    <row r="704">
      <c r="A704" s="40"/>
      <c r="B704" s="50"/>
      <c r="C704" s="52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</row>
    <row r="705">
      <c r="A705" s="40"/>
      <c r="B705" s="50"/>
      <c r="C705" s="52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</row>
    <row r="706">
      <c r="A706" s="40"/>
      <c r="B706" s="50"/>
      <c r="C706" s="52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</row>
    <row r="707">
      <c r="A707" s="40"/>
      <c r="B707" s="50"/>
      <c r="C707" s="52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</row>
    <row r="708">
      <c r="A708" s="40"/>
      <c r="B708" s="50"/>
      <c r="C708" s="52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</row>
    <row r="709">
      <c r="A709" s="40"/>
      <c r="B709" s="50"/>
      <c r="C709" s="52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</row>
    <row r="710">
      <c r="A710" s="40"/>
      <c r="B710" s="50"/>
      <c r="C710" s="52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</row>
    <row r="711">
      <c r="A711" s="40"/>
      <c r="B711" s="50"/>
      <c r="C711" s="52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</row>
    <row r="712">
      <c r="A712" s="40"/>
      <c r="B712" s="50"/>
      <c r="C712" s="52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</row>
    <row r="713">
      <c r="A713" s="40"/>
      <c r="B713" s="50"/>
      <c r="C713" s="52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</row>
    <row r="714">
      <c r="A714" s="40"/>
      <c r="B714" s="50"/>
      <c r="C714" s="52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</row>
    <row r="715">
      <c r="A715" s="40"/>
      <c r="B715" s="50"/>
      <c r="C715" s="52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</row>
    <row r="716">
      <c r="A716" s="40"/>
      <c r="B716" s="50"/>
      <c r="C716" s="52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</row>
    <row r="717">
      <c r="A717" s="40"/>
      <c r="B717" s="50"/>
      <c r="C717" s="52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</row>
    <row r="718">
      <c r="A718" s="40"/>
      <c r="B718" s="50"/>
      <c r="C718" s="52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</row>
    <row r="719">
      <c r="A719" s="40"/>
      <c r="B719" s="50"/>
      <c r="C719" s="52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</row>
    <row r="720">
      <c r="A720" s="40"/>
      <c r="B720" s="50"/>
      <c r="C720" s="52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</row>
    <row r="721">
      <c r="A721" s="40"/>
      <c r="B721" s="50"/>
      <c r="C721" s="52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</row>
    <row r="722">
      <c r="A722" s="40"/>
      <c r="B722" s="50"/>
      <c r="C722" s="52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</row>
    <row r="723">
      <c r="A723" s="40"/>
      <c r="B723" s="50"/>
      <c r="C723" s="52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</row>
    <row r="724">
      <c r="A724" s="40"/>
      <c r="B724" s="50"/>
      <c r="C724" s="52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</row>
    <row r="725">
      <c r="A725" s="40"/>
      <c r="B725" s="50"/>
      <c r="C725" s="52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</row>
    <row r="726">
      <c r="A726" s="40"/>
      <c r="B726" s="50"/>
      <c r="C726" s="52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</row>
    <row r="727">
      <c r="A727" s="40"/>
      <c r="B727" s="50"/>
      <c r="C727" s="52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</row>
    <row r="728">
      <c r="A728" s="40"/>
      <c r="B728" s="50"/>
      <c r="C728" s="52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</row>
    <row r="729">
      <c r="A729" s="40"/>
      <c r="B729" s="50"/>
      <c r="C729" s="52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</row>
    <row r="730">
      <c r="A730" s="40"/>
      <c r="B730" s="50"/>
      <c r="C730" s="52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</row>
    <row r="731">
      <c r="A731" s="40"/>
      <c r="B731" s="50"/>
      <c r="C731" s="52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</row>
    <row r="732">
      <c r="A732" s="40"/>
      <c r="B732" s="50"/>
      <c r="C732" s="52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</row>
    <row r="733">
      <c r="A733" s="40"/>
      <c r="B733" s="50"/>
      <c r="C733" s="52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</row>
    <row r="734">
      <c r="A734" s="40"/>
      <c r="B734" s="50"/>
      <c r="C734" s="52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</row>
    <row r="735">
      <c r="A735" s="40"/>
      <c r="B735" s="50"/>
      <c r="C735" s="52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</row>
    <row r="736">
      <c r="A736" s="40"/>
      <c r="B736" s="50"/>
      <c r="C736" s="52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</row>
    <row r="737">
      <c r="A737" s="40"/>
      <c r="B737" s="50"/>
      <c r="C737" s="52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</row>
    <row r="738">
      <c r="A738" s="40"/>
      <c r="B738" s="50"/>
      <c r="C738" s="52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</row>
    <row r="739">
      <c r="A739" s="40"/>
      <c r="B739" s="50"/>
      <c r="C739" s="52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</row>
    <row r="740">
      <c r="A740" s="40"/>
      <c r="B740" s="50"/>
      <c r="C740" s="52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</row>
    <row r="741">
      <c r="A741" s="40"/>
      <c r="B741" s="50"/>
      <c r="C741" s="52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</row>
    <row r="742">
      <c r="A742" s="40"/>
      <c r="B742" s="50"/>
      <c r="C742" s="52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</row>
    <row r="743">
      <c r="A743" s="40"/>
      <c r="B743" s="50"/>
      <c r="C743" s="52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</row>
    <row r="744">
      <c r="A744" s="40"/>
      <c r="B744" s="50"/>
      <c r="C744" s="52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</row>
    <row r="745">
      <c r="A745" s="40"/>
      <c r="B745" s="50"/>
      <c r="C745" s="52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</row>
    <row r="746">
      <c r="A746" s="40"/>
      <c r="B746" s="50"/>
      <c r="C746" s="52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</row>
    <row r="747">
      <c r="A747" s="40"/>
      <c r="B747" s="50"/>
      <c r="C747" s="52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</row>
    <row r="748">
      <c r="A748" s="40"/>
      <c r="B748" s="50"/>
      <c r="C748" s="52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</row>
    <row r="749">
      <c r="A749" s="40"/>
      <c r="B749" s="50"/>
      <c r="C749" s="52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</row>
    <row r="750">
      <c r="A750" s="40"/>
      <c r="B750" s="50"/>
      <c r="C750" s="52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</row>
    <row r="751">
      <c r="A751" s="40"/>
      <c r="B751" s="50"/>
      <c r="C751" s="52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</row>
    <row r="752">
      <c r="A752" s="40"/>
      <c r="B752" s="50"/>
      <c r="C752" s="52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</row>
    <row r="753">
      <c r="A753" s="40"/>
      <c r="B753" s="50"/>
      <c r="C753" s="52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</row>
    <row r="754">
      <c r="A754" s="40"/>
      <c r="B754" s="50"/>
      <c r="C754" s="52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</row>
    <row r="755">
      <c r="A755" s="40"/>
      <c r="B755" s="50"/>
      <c r="C755" s="52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</row>
    <row r="756">
      <c r="A756" s="40"/>
      <c r="B756" s="50"/>
      <c r="C756" s="52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</row>
    <row r="757">
      <c r="A757" s="40"/>
      <c r="B757" s="50"/>
      <c r="C757" s="52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</row>
    <row r="758">
      <c r="A758" s="40"/>
      <c r="B758" s="50"/>
      <c r="C758" s="52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</row>
    <row r="759">
      <c r="A759" s="40"/>
      <c r="B759" s="50"/>
      <c r="C759" s="52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</row>
    <row r="760">
      <c r="A760" s="40"/>
      <c r="B760" s="50"/>
      <c r="C760" s="52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</row>
    <row r="761">
      <c r="A761" s="40"/>
      <c r="B761" s="50"/>
      <c r="C761" s="52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</row>
    <row r="762">
      <c r="A762" s="40"/>
      <c r="B762" s="50"/>
      <c r="C762" s="52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</row>
    <row r="763">
      <c r="A763" s="40"/>
      <c r="B763" s="50"/>
      <c r="C763" s="52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</row>
    <row r="764">
      <c r="A764" s="40"/>
      <c r="B764" s="50"/>
      <c r="C764" s="52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</row>
    <row r="765">
      <c r="A765" s="40"/>
      <c r="B765" s="50"/>
      <c r="C765" s="52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</row>
    <row r="766">
      <c r="A766" s="40"/>
      <c r="B766" s="50"/>
      <c r="C766" s="52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</row>
    <row r="767">
      <c r="A767" s="40"/>
      <c r="B767" s="50"/>
      <c r="C767" s="52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</row>
    <row r="768">
      <c r="A768" s="40"/>
      <c r="B768" s="50"/>
      <c r="C768" s="52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</row>
    <row r="769">
      <c r="A769" s="40"/>
      <c r="B769" s="50"/>
      <c r="C769" s="52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</row>
    <row r="770">
      <c r="A770" s="40"/>
      <c r="B770" s="50"/>
      <c r="C770" s="52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</row>
    <row r="771">
      <c r="A771" s="40"/>
      <c r="B771" s="50"/>
      <c r="C771" s="52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</row>
    <row r="772">
      <c r="A772" s="40"/>
      <c r="B772" s="50"/>
      <c r="C772" s="52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</row>
    <row r="773">
      <c r="A773" s="40"/>
      <c r="B773" s="50"/>
      <c r="C773" s="52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</row>
    <row r="774">
      <c r="A774" s="40"/>
      <c r="B774" s="50"/>
      <c r="C774" s="52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</row>
    <row r="775">
      <c r="A775" s="40"/>
      <c r="B775" s="50"/>
      <c r="C775" s="52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</row>
    <row r="776">
      <c r="A776" s="40"/>
      <c r="B776" s="50"/>
      <c r="C776" s="52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</row>
    <row r="777">
      <c r="A777" s="40"/>
      <c r="B777" s="50"/>
      <c r="C777" s="52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</row>
    <row r="778">
      <c r="A778" s="40"/>
      <c r="B778" s="50"/>
      <c r="C778" s="52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</row>
    <row r="779">
      <c r="A779" s="40"/>
      <c r="B779" s="50"/>
      <c r="C779" s="52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</row>
    <row r="780">
      <c r="A780" s="40"/>
      <c r="B780" s="50"/>
      <c r="C780" s="52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</row>
    <row r="781">
      <c r="A781" s="40"/>
      <c r="B781" s="50"/>
      <c r="C781" s="52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</row>
    <row r="782">
      <c r="A782" s="40"/>
      <c r="B782" s="50"/>
      <c r="C782" s="52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</row>
    <row r="783">
      <c r="A783" s="40"/>
      <c r="B783" s="50"/>
      <c r="C783" s="52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</row>
    <row r="784">
      <c r="A784" s="40"/>
      <c r="B784" s="50"/>
      <c r="C784" s="52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</row>
    <row r="785">
      <c r="A785" s="40"/>
      <c r="B785" s="50"/>
      <c r="C785" s="52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</row>
    <row r="786">
      <c r="A786" s="40"/>
      <c r="B786" s="50"/>
      <c r="C786" s="52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</row>
    <row r="787">
      <c r="A787" s="40"/>
      <c r="B787" s="50"/>
      <c r="C787" s="52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</row>
    <row r="788">
      <c r="A788" s="40"/>
      <c r="B788" s="50"/>
      <c r="C788" s="52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</row>
    <row r="789">
      <c r="A789" s="40"/>
      <c r="B789" s="50"/>
      <c r="C789" s="52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</row>
    <row r="790">
      <c r="A790" s="40"/>
      <c r="B790" s="50"/>
      <c r="C790" s="52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</row>
    <row r="791">
      <c r="A791" s="40"/>
      <c r="B791" s="50"/>
      <c r="C791" s="52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</row>
    <row r="792">
      <c r="A792" s="40"/>
      <c r="B792" s="50"/>
      <c r="C792" s="52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</row>
    <row r="793">
      <c r="A793" s="40"/>
      <c r="B793" s="50"/>
      <c r="C793" s="52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</row>
    <row r="794">
      <c r="A794" s="40"/>
      <c r="B794" s="50"/>
      <c r="C794" s="52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</row>
    <row r="795">
      <c r="A795" s="40"/>
      <c r="B795" s="50"/>
      <c r="C795" s="52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</row>
    <row r="796">
      <c r="A796" s="40"/>
      <c r="B796" s="50"/>
      <c r="C796" s="52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</row>
    <row r="797">
      <c r="A797" s="40"/>
      <c r="B797" s="50"/>
      <c r="C797" s="52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</row>
    <row r="798">
      <c r="A798" s="40"/>
      <c r="B798" s="50"/>
      <c r="C798" s="52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</row>
    <row r="799">
      <c r="A799" s="40"/>
      <c r="B799" s="50"/>
      <c r="C799" s="52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</row>
    <row r="800">
      <c r="A800" s="40"/>
      <c r="B800" s="50"/>
      <c r="C800" s="52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</row>
    <row r="801">
      <c r="A801" s="40"/>
      <c r="B801" s="50"/>
      <c r="C801" s="52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</row>
    <row r="802">
      <c r="A802" s="40"/>
      <c r="B802" s="50"/>
      <c r="C802" s="52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</row>
    <row r="803">
      <c r="A803" s="40"/>
      <c r="B803" s="50"/>
      <c r="C803" s="52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</row>
    <row r="804">
      <c r="A804" s="40"/>
      <c r="B804" s="50"/>
      <c r="C804" s="52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</row>
    <row r="805">
      <c r="A805" s="40"/>
      <c r="B805" s="50"/>
      <c r="C805" s="52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</row>
    <row r="806">
      <c r="A806" s="40"/>
      <c r="B806" s="50"/>
      <c r="C806" s="52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</row>
    <row r="807">
      <c r="A807" s="40"/>
      <c r="B807" s="50"/>
      <c r="C807" s="52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</row>
    <row r="808">
      <c r="A808" s="40"/>
      <c r="B808" s="50"/>
      <c r="C808" s="52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</row>
    <row r="809">
      <c r="A809" s="40"/>
      <c r="B809" s="50"/>
      <c r="C809" s="52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</row>
    <row r="810">
      <c r="A810" s="40"/>
      <c r="B810" s="50"/>
      <c r="C810" s="52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</row>
    <row r="811">
      <c r="A811" s="40"/>
      <c r="B811" s="50"/>
      <c r="C811" s="52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</row>
    <row r="812">
      <c r="A812" s="40"/>
      <c r="B812" s="50"/>
      <c r="C812" s="52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</row>
    <row r="813">
      <c r="A813" s="40"/>
      <c r="B813" s="50"/>
      <c r="C813" s="52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</row>
    <row r="814">
      <c r="A814" s="40"/>
      <c r="B814" s="50"/>
      <c r="C814" s="52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</row>
    <row r="815">
      <c r="A815" s="40"/>
      <c r="B815" s="50"/>
      <c r="C815" s="52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</row>
    <row r="816">
      <c r="A816" s="40"/>
      <c r="B816" s="50"/>
      <c r="C816" s="52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</row>
    <row r="817">
      <c r="A817" s="40"/>
      <c r="B817" s="50"/>
      <c r="C817" s="52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</row>
    <row r="818">
      <c r="A818" s="40"/>
      <c r="B818" s="50"/>
      <c r="C818" s="52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</row>
    <row r="819">
      <c r="A819" s="40"/>
      <c r="B819" s="50"/>
      <c r="C819" s="52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</row>
    <row r="820">
      <c r="A820" s="40"/>
      <c r="B820" s="50"/>
      <c r="C820" s="52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</row>
    <row r="821">
      <c r="A821" s="40"/>
      <c r="B821" s="50"/>
      <c r="C821" s="52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</row>
    <row r="822">
      <c r="A822" s="40"/>
      <c r="B822" s="50"/>
      <c r="C822" s="52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</row>
    <row r="823">
      <c r="A823" s="40"/>
      <c r="B823" s="50"/>
      <c r="C823" s="52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</row>
    <row r="824">
      <c r="A824" s="40"/>
      <c r="B824" s="50"/>
      <c r="C824" s="52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</row>
    <row r="825">
      <c r="A825" s="40"/>
      <c r="B825" s="50"/>
      <c r="C825" s="52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</row>
    <row r="826">
      <c r="A826" s="40"/>
      <c r="B826" s="50"/>
      <c r="C826" s="52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</row>
    <row r="827">
      <c r="A827" s="40"/>
      <c r="B827" s="50"/>
      <c r="C827" s="52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</row>
    <row r="828">
      <c r="A828" s="40"/>
      <c r="B828" s="50"/>
      <c r="C828" s="52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</row>
    <row r="829">
      <c r="A829" s="40"/>
      <c r="B829" s="50"/>
      <c r="C829" s="52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</row>
    <row r="830">
      <c r="A830" s="40"/>
      <c r="B830" s="50"/>
      <c r="C830" s="52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</row>
    <row r="831">
      <c r="A831" s="40"/>
      <c r="B831" s="50"/>
      <c r="C831" s="52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</row>
    <row r="832">
      <c r="A832" s="40"/>
      <c r="B832" s="50"/>
      <c r="C832" s="52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</row>
    <row r="833">
      <c r="A833" s="40"/>
      <c r="B833" s="50"/>
      <c r="C833" s="52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</row>
    <row r="834">
      <c r="A834" s="40"/>
      <c r="B834" s="50"/>
      <c r="C834" s="52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</row>
    <row r="835">
      <c r="A835" s="40"/>
      <c r="B835" s="50"/>
      <c r="C835" s="52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</row>
    <row r="836">
      <c r="A836" s="40"/>
      <c r="B836" s="50"/>
      <c r="C836" s="52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</row>
    <row r="837">
      <c r="A837" s="40"/>
      <c r="B837" s="50"/>
      <c r="C837" s="52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</row>
    <row r="838">
      <c r="A838" s="40"/>
      <c r="B838" s="50"/>
      <c r="C838" s="52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</row>
    <row r="839">
      <c r="A839" s="40"/>
      <c r="B839" s="50"/>
      <c r="C839" s="52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</row>
    <row r="840">
      <c r="A840" s="40"/>
      <c r="B840" s="50"/>
      <c r="C840" s="52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</row>
    <row r="841">
      <c r="A841" s="40"/>
      <c r="B841" s="50"/>
      <c r="C841" s="52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</row>
    <row r="842">
      <c r="A842" s="40"/>
      <c r="B842" s="50"/>
      <c r="C842" s="52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</row>
    <row r="843">
      <c r="A843" s="40"/>
      <c r="B843" s="50"/>
      <c r="C843" s="52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</row>
    <row r="844">
      <c r="A844" s="40"/>
      <c r="B844" s="50"/>
      <c r="C844" s="52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</row>
    <row r="845">
      <c r="A845" s="40"/>
      <c r="B845" s="50"/>
      <c r="C845" s="52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</row>
    <row r="846">
      <c r="A846" s="40"/>
      <c r="B846" s="50"/>
      <c r="C846" s="52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</row>
    <row r="847">
      <c r="A847" s="40"/>
      <c r="B847" s="50"/>
      <c r="C847" s="52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</row>
    <row r="848">
      <c r="A848" s="40"/>
      <c r="B848" s="50"/>
      <c r="C848" s="52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</row>
    <row r="849">
      <c r="A849" s="40"/>
      <c r="B849" s="50"/>
      <c r="C849" s="52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</row>
    <row r="850">
      <c r="A850" s="40"/>
      <c r="B850" s="50"/>
      <c r="C850" s="52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</row>
    <row r="851">
      <c r="A851" s="40"/>
      <c r="B851" s="50"/>
      <c r="C851" s="52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</row>
    <row r="852">
      <c r="A852" s="40"/>
      <c r="B852" s="50"/>
      <c r="C852" s="52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</row>
    <row r="853">
      <c r="A853" s="40"/>
      <c r="B853" s="50"/>
      <c r="C853" s="52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</row>
    <row r="854">
      <c r="A854" s="40"/>
      <c r="B854" s="50"/>
      <c r="C854" s="52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</row>
    <row r="855">
      <c r="A855" s="40"/>
      <c r="B855" s="50"/>
      <c r="C855" s="52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</row>
    <row r="856">
      <c r="A856" s="40"/>
      <c r="B856" s="50"/>
      <c r="C856" s="52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</row>
    <row r="857">
      <c r="A857" s="40"/>
      <c r="B857" s="50"/>
      <c r="C857" s="52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</row>
    <row r="858">
      <c r="A858" s="40"/>
      <c r="B858" s="50"/>
      <c r="C858" s="52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</row>
    <row r="859">
      <c r="A859" s="40"/>
      <c r="B859" s="50"/>
      <c r="C859" s="52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</row>
    <row r="860">
      <c r="A860" s="40"/>
      <c r="B860" s="50"/>
      <c r="C860" s="52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</row>
    <row r="861">
      <c r="A861" s="40"/>
      <c r="B861" s="50"/>
      <c r="C861" s="52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</row>
    <row r="862">
      <c r="A862" s="40"/>
      <c r="B862" s="50"/>
      <c r="C862" s="52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</row>
    <row r="863">
      <c r="A863" s="40"/>
      <c r="B863" s="50"/>
      <c r="C863" s="52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</row>
    <row r="864">
      <c r="A864" s="40"/>
      <c r="B864" s="50"/>
      <c r="C864" s="52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</row>
    <row r="865">
      <c r="A865" s="40"/>
      <c r="B865" s="50"/>
      <c r="C865" s="52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</row>
    <row r="866">
      <c r="A866" s="40"/>
      <c r="B866" s="50"/>
      <c r="C866" s="52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</row>
    <row r="867">
      <c r="A867" s="40"/>
      <c r="B867" s="50"/>
      <c r="C867" s="52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</row>
    <row r="868">
      <c r="A868" s="40"/>
      <c r="B868" s="50"/>
      <c r="C868" s="52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</row>
    <row r="869">
      <c r="A869" s="40"/>
      <c r="B869" s="50"/>
      <c r="C869" s="52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</row>
    <row r="870">
      <c r="A870" s="40"/>
      <c r="B870" s="50"/>
      <c r="C870" s="52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</row>
    <row r="871">
      <c r="A871" s="40"/>
      <c r="B871" s="50"/>
      <c r="C871" s="52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</row>
    <row r="872">
      <c r="A872" s="40"/>
      <c r="B872" s="50"/>
      <c r="C872" s="52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</row>
    <row r="873">
      <c r="A873" s="40"/>
      <c r="B873" s="50"/>
      <c r="C873" s="52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</row>
    <row r="874">
      <c r="A874" s="40"/>
      <c r="B874" s="50"/>
      <c r="C874" s="52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</row>
    <row r="875">
      <c r="A875" s="40"/>
      <c r="B875" s="50"/>
      <c r="C875" s="52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</row>
    <row r="876">
      <c r="A876" s="40"/>
      <c r="B876" s="50"/>
      <c r="C876" s="52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</row>
    <row r="877">
      <c r="A877" s="40"/>
      <c r="B877" s="50"/>
      <c r="C877" s="52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</row>
    <row r="878">
      <c r="A878" s="40"/>
      <c r="B878" s="50"/>
      <c r="C878" s="52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</row>
    <row r="879">
      <c r="A879" s="40"/>
      <c r="B879" s="50"/>
      <c r="C879" s="52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</row>
    <row r="880">
      <c r="A880" s="40"/>
      <c r="B880" s="50"/>
      <c r="C880" s="52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</row>
    <row r="881">
      <c r="A881" s="40"/>
      <c r="B881" s="50"/>
      <c r="C881" s="52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</row>
    <row r="882">
      <c r="A882" s="40"/>
      <c r="B882" s="50"/>
      <c r="C882" s="52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</row>
    <row r="883">
      <c r="A883" s="40"/>
      <c r="B883" s="50"/>
      <c r="C883" s="52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</row>
    <row r="884">
      <c r="A884" s="40"/>
      <c r="B884" s="50"/>
      <c r="C884" s="52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</row>
    <row r="885">
      <c r="A885" s="40"/>
      <c r="B885" s="50"/>
      <c r="C885" s="52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</row>
    <row r="886">
      <c r="A886" s="40"/>
      <c r="B886" s="50"/>
      <c r="C886" s="52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</row>
    <row r="887">
      <c r="A887" s="40"/>
      <c r="B887" s="50"/>
      <c r="C887" s="52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</row>
    <row r="888">
      <c r="A888" s="40"/>
      <c r="B888" s="50"/>
      <c r="C888" s="52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</row>
    <row r="889">
      <c r="A889" s="40"/>
      <c r="B889" s="50"/>
      <c r="C889" s="52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</row>
    <row r="890">
      <c r="A890" s="40"/>
      <c r="B890" s="50"/>
      <c r="C890" s="52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</row>
    <row r="891">
      <c r="A891" s="40"/>
      <c r="B891" s="50"/>
      <c r="C891" s="52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</row>
    <row r="892">
      <c r="A892" s="40"/>
      <c r="B892" s="50"/>
      <c r="C892" s="52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</row>
    <row r="893">
      <c r="A893" s="40"/>
      <c r="B893" s="50"/>
      <c r="C893" s="52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</row>
    <row r="894">
      <c r="A894" s="40"/>
      <c r="B894" s="50"/>
      <c r="C894" s="52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</row>
    <row r="895">
      <c r="A895" s="40"/>
      <c r="B895" s="50"/>
      <c r="C895" s="52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</row>
    <row r="896">
      <c r="A896" s="40"/>
      <c r="B896" s="50"/>
      <c r="C896" s="52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</row>
    <row r="897">
      <c r="A897" s="40"/>
      <c r="B897" s="50"/>
      <c r="C897" s="52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</row>
    <row r="898">
      <c r="A898" s="40"/>
      <c r="B898" s="50"/>
      <c r="C898" s="52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</row>
    <row r="899">
      <c r="A899" s="40"/>
      <c r="B899" s="50"/>
      <c r="C899" s="52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</row>
    <row r="900">
      <c r="A900" s="40"/>
      <c r="B900" s="50"/>
      <c r="C900" s="52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</row>
    <row r="901">
      <c r="A901" s="40"/>
      <c r="B901" s="50"/>
      <c r="C901" s="52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</row>
    <row r="902">
      <c r="A902" s="40"/>
      <c r="B902" s="50"/>
      <c r="C902" s="52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</row>
    <row r="903">
      <c r="A903" s="40"/>
      <c r="B903" s="50"/>
      <c r="C903" s="52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</row>
    <row r="904">
      <c r="A904" s="40"/>
      <c r="B904" s="50"/>
      <c r="C904" s="52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</row>
    <row r="905">
      <c r="A905" s="40"/>
      <c r="B905" s="50"/>
      <c r="C905" s="52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</row>
    <row r="906">
      <c r="A906" s="40"/>
      <c r="B906" s="50"/>
      <c r="C906" s="52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</row>
    <row r="907">
      <c r="A907" s="40"/>
      <c r="B907" s="50"/>
      <c r="C907" s="52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</row>
    <row r="908">
      <c r="A908" s="40"/>
      <c r="B908" s="50"/>
      <c r="C908" s="52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</row>
    <row r="909">
      <c r="A909" s="40"/>
      <c r="B909" s="50"/>
      <c r="C909" s="52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</row>
    <row r="910">
      <c r="A910" s="40"/>
      <c r="B910" s="50"/>
      <c r="C910" s="52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</row>
    <row r="911">
      <c r="A911" s="40"/>
      <c r="B911" s="50"/>
      <c r="C911" s="52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</row>
    <row r="912">
      <c r="A912" s="40"/>
      <c r="B912" s="50"/>
      <c r="C912" s="52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</row>
    <row r="913">
      <c r="A913" s="40"/>
      <c r="B913" s="50"/>
      <c r="C913" s="52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</row>
    <row r="914">
      <c r="A914" s="40"/>
      <c r="B914" s="50"/>
      <c r="C914" s="52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</row>
    <row r="915">
      <c r="A915" s="40"/>
      <c r="B915" s="50"/>
      <c r="C915" s="52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</row>
    <row r="916">
      <c r="A916" s="40"/>
      <c r="B916" s="50"/>
      <c r="C916" s="52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</row>
    <row r="917">
      <c r="A917" s="40"/>
      <c r="B917" s="50"/>
      <c r="C917" s="52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</row>
    <row r="918">
      <c r="A918" s="40"/>
      <c r="B918" s="50"/>
      <c r="C918" s="52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</row>
    <row r="919">
      <c r="A919" s="40"/>
      <c r="B919" s="50"/>
      <c r="C919" s="52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</row>
    <row r="920">
      <c r="A920" s="40"/>
      <c r="B920" s="50"/>
      <c r="C920" s="52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</row>
    <row r="921">
      <c r="A921" s="40"/>
      <c r="B921" s="50"/>
      <c r="C921" s="52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</row>
    <row r="922">
      <c r="A922" s="40"/>
      <c r="B922" s="50"/>
      <c r="C922" s="52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</row>
    <row r="923">
      <c r="A923" s="40"/>
      <c r="B923" s="50"/>
      <c r="C923" s="52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</row>
    <row r="924">
      <c r="A924" s="40"/>
      <c r="B924" s="50"/>
      <c r="C924" s="52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</row>
    <row r="925">
      <c r="A925" s="40"/>
      <c r="B925" s="50"/>
      <c r="C925" s="52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</row>
    <row r="926">
      <c r="A926" s="40"/>
      <c r="B926" s="50"/>
      <c r="C926" s="52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</row>
    <row r="927">
      <c r="A927" s="40"/>
      <c r="B927" s="50"/>
      <c r="C927" s="52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</row>
    <row r="928">
      <c r="A928" s="40"/>
      <c r="B928" s="50"/>
      <c r="C928" s="52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</row>
    <row r="929">
      <c r="A929" s="40"/>
      <c r="B929" s="50"/>
      <c r="C929" s="52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</row>
    <row r="930">
      <c r="A930" s="40"/>
      <c r="B930" s="50"/>
      <c r="C930" s="52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</row>
    <row r="931">
      <c r="A931" s="40"/>
      <c r="B931" s="50"/>
      <c r="C931" s="52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</row>
    <row r="932">
      <c r="A932" s="40"/>
      <c r="B932" s="50"/>
      <c r="C932" s="52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</row>
    <row r="933">
      <c r="A933" s="40"/>
      <c r="B933" s="50"/>
      <c r="C933" s="52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</row>
    <row r="934">
      <c r="A934" s="40"/>
      <c r="B934" s="50"/>
      <c r="C934" s="52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</row>
    <row r="935">
      <c r="A935" s="40"/>
      <c r="B935" s="50"/>
      <c r="C935" s="52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</row>
    <row r="936">
      <c r="A936" s="40"/>
      <c r="B936" s="50"/>
      <c r="C936" s="52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</row>
    <row r="937">
      <c r="A937" s="40"/>
      <c r="B937" s="50"/>
      <c r="C937" s="52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</row>
    <row r="938">
      <c r="A938" s="40"/>
      <c r="B938" s="50"/>
      <c r="C938" s="52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</row>
    <row r="939">
      <c r="A939" s="40"/>
      <c r="B939" s="50"/>
      <c r="C939" s="52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</row>
    <row r="940">
      <c r="A940" s="40"/>
      <c r="B940" s="50"/>
      <c r="C940" s="52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</row>
    <row r="941">
      <c r="A941" s="40"/>
      <c r="B941" s="50"/>
      <c r="C941" s="52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</row>
    <row r="942">
      <c r="A942" s="40"/>
      <c r="B942" s="50"/>
      <c r="C942" s="52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</row>
    <row r="943">
      <c r="A943" s="40"/>
      <c r="B943" s="50"/>
      <c r="C943" s="52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</row>
    <row r="944">
      <c r="A944" s="40"/>
      <c r="B944" s="50"/>
      <c r="C944" s="52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</row>
    <row r="945">
      <c r="A945" s="40"/>
      <c r="B945" s="50"/>
      <c r="C945" s="52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</row>
    <row r="946">
      <c r="A946" s="40"/>
      <c r="B946" s="50"/>
      <c r="C946" s="52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</row>
    <row r="947">
      <c r="A947" s="40"/>
      <c r="B947" s="50"/>
      <c r="C947" s="52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</row>
    <row r="948">
      <c r="A948" s="40"/>
      <c r="B948" s="50"/>
      <c r="C948" s="52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</row>
    <row r="949">
      <c r="A949" s="40"/>
      <c r="B949" s="50"/>
      <c r="C949" s="52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</row>
    <row r="950">
      <c r="A950" s="40"/>
      <c r="B950" s="50"/>
      <c r="C950" s="52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</row>
    <row r="951">
      <c r="A951" s="40"/>
      <c r="B951" s="50"/>
      <c r="C951" s="52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</row>
    <row r="952">
      <c r="A952" s="40"/>
      <c r="B952" s="50"/>
      <c r="C952" s="52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</row>
    <row r="953">
      <c r="A953" s="40"/>
      <c r="B953" s="50"/>
      <c r="C953" s="52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</row>
    <row r="954">
      <c r="A954" s="40"/>
      <c r="B954" s="50"/>
      <c r="C954" s="52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</row>
    <row r="955">
      <c r="A955" s="40"/>
      <c r="B955" s="50"/>
      <c r="C955" s="52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</row>
    <row r="956">
      <c r="A956" s="40"/>
      <c r="B956" s="50"/>
      <c r="C956" s="52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</row>
    <row r="957">
      <c r="A957" s="40"/>
      <c r="B957" s="50"/>
      <c r="C957" s="52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</row>
    <row r="958">
      <c r="A958" s="40"/>
      <c r="B958" s="50"/>
      <c r="C958" s="52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</row>
    <row r="959">
      <c r="A959" s="40"/>
      <c r="B959" s="50"/>
      <c r="C959" s="52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</row>
    <row r="960">
      <c r="A960" s="40"/>
      <c r="B960" s="50"/>
      <c r="C960" s="52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</row>
    <row r="961">
      <c r="A961" s="40"/>
      <c r="B961" s="50"/>
      <c r="C961" s="52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</row>
    <row r="962">
      <c r="A962" s="40"/>
      <c r="B962" s="50"/>
      <c r="C962" s="52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</row>
    <row r="963">
      <c r="A963" s="40"/>
      <c r="B963" s="50"/>
      <c r="C963" s="52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</row>
    <row r="964">
      <c r="A964" s="40"/>
      <c r="B964" s="50"/>
      <c r="C964" s="52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</row>
    <row r="965">
      <c r="A965" s="40"/>
      <c r="B965" s="50"/>
      <c r="C965" s="52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</row>
    <row r="966">
      <c r="A966" s="40"/>
      <c r="B966" s="50"/>
      <c r="C966" s="52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</row>
    <row r="967">
      <c r="A967" s="40"/>
      <c r="B967" s="50"/>
      <c r="C967" s="52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</row>
    <row r="968">
      <c r="A968" s="40"/>
      <c r="B968" s="50"/>
      <c r="C968" s="52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</row>
    <row r="969">
      <c r="A969" s="40"/>
      <c r="B969" s="50"/>
      <c r="C969" s="52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</row>
    <row r="970">
      <c r="A970" s="40"/>
      <c r="B970" s="50"/>
      <c r="C970" s="52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</row>
    <row r="971">
      <c r="A971" s="40"/>
      <c r="B971" s="50"/>
      <c r="C971" s="52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</row>
    <row r="972">
      <c r="A972" s="40"/>
      <c r="B972" s="50"/>
      <c r="C972" s="52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</row>
    <row r="973">
      <c r="A973" s="40"/>
      <c r="B973" s="50"/>
      <c r="C973" s="52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</row>
    <row r="974">
      <c r="A974" s="40"/>
      <c r="B974" s="50"/>
      <c r="C974" s="52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</row>
    <row r="975">
      <c r="A975" s="40"/>
      <c r="B975" s="50"/>
      <c r="C975" s="52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</row>
    <row r="976">
      <c r="A976" s="40"/>
      <c r="B976" s="50"/>
      <c r="C976" s="52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</row>
    <row r="977">
      <c r="A977" s="40"/>
      <c r="B977" s="50"/>
      <c r="C977" s="52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</row>
    <row r="978">
      <c r="A978" s="40"/>
      <c r="B978" s="50"/>
      <c r="C978" s="52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</row>
    <row r="979">
      <c r="A979" s="40"/>
      <c r="B979" s="50"/>
      <c r="C979" s="52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</row>
    <row r="980">
      <c r="A980" s="40"/>
      <c r="B980" s="50"/>
      <c r="C980" s="52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</row>
    <row r="981">
      <c r="A981" s="40"/>
      <c r="B981" s="50"/>
      <c r="C981" s="52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</row>
    <row r="982">
      <c r="A982" s="40"/>
      <c r="B982" s="50"/>
      <c r="C982" s="52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</row>
    <row r="983">
      <c r="A983" s="40"/>
      <c r="B983" s="50"/>
      <c r="C983" s="52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</row>
    <row r="984">
      <c r="A984" s="40"/>
      <c r="B984" s="50"/>
      <c r="C984" s="52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</row>
    <row r="985">
      <c r="A985" s="40"/>
      <c r="B985" s="50"/>
      <c r="C985" s="52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</row>
    <row r="986">
      <c r="A986" s="40"/>
      <c r="B986" s="50"/>
      <c r="C986" s="52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</row>
    <row r="987">
      <c r="A987" s="40"/>
      <c r="B987" s="50"/>
      <c r="C987" s="52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</row>
    <row r="988">
      <c r="A988" s="40"/>
      <c r="B988" s="50"/>
      <c r="C988" s="52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</row>
    <row r="989">
      <c r="A989" s="40"/>
      <c r="B989" s="50"/>
      <c r="C989" s="52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</row>
    <row r="990">
      <c r="A990" s="40"/>
      <c r="B990" s="50"/>
      <c r="C990" s="52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</row>
  </sheetData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5">
        <f>'ค่า 1.1'!E82</f>
        <v>4.775</v>
      </c>
      <c r="B1" s="15">
        <f>'ค่า 1.1'!F82</f>
        <v>4.875</v>
      </c>
      <c r="C1" s="15">
        <f>'ค่า 1.1'!G82</f>
        <v>4.825</v>
      </c>
      <c r="D1" s="15">
        <f>'ค่า 1.1'!H82</f>
        <v>4.875</v>
      </c>
      <c r="E1" s="15">
        <f>'ค่า 1.1'!I82</f>
        <v>4.875</v>
      </c>
      <c r="F1" s="15">
        <f>'ค่า 1.1'!J82</f>
        <v>4.925</v>
      </c>
      <c r="G1" s="15">
        <f>'ค่า 1.1'!K82</f>
        <v>4.875</v>
      </c>
      <c r="H1" s="15">
        <f>'ค่า 1.1'!L82</f>
        <v>4.860714286</v>
      </c>
    </row>
    <row r="2">
      <c r="A2" s="15">
        <f>'ค่า 1.3'!E82</f>
        <v>4.975</v>
      </c>
      <c r="B2" s="15">
        <f>'ค่า 1.3'!F82</f>
        <v>4.95</v>
      </c>
      <c r="C2" s="15">
        <f>'ค่า 1.3'!G82</f>
        <v>4.925</v>
      </c>
      <c r="D2" s="15">
        <f>'ค่า 1.3'!H82</f>
        <v>4.975</v>
      </c>
      <c r="E2" s="15">
        <f>'ค่า 1.3'!I82</f>
        <v>4.925</v>
      </c>
      <c r="F2" s="15">
        <f>'ค่า 1.3'!J82</f>
        <v>4.925</v>
      </c>
      <c r="G2" s="15">
        <f>'ค่า 1.3'!K82</f>
        <v>4.925</v>
      </c>
      <c r="H2" s="15">
        <f>'ค่า 1.3'!L82</f>
        <v>4.942857143</v>
      </c>
    </row>
    <row r="3">
      <c r="A3" s="15">
        <f>'ค่า 1.2'!E90</f>
        <v>4.95</v>
      </c>
      <c r="B3" s="15">
        <f>'ค่า 1.2'!F90</f>
        <v>4.95</v>
      </c>
      <c r="C3" s="15">
        <f>'ค่า 1.2'!G90</f>
        <v>5</v>
      </c>
      <c r="D3" s="15">
        <f>'ค่า 1.2'!H90</f>
        <v>5</v>
      </c>
      <c r="E3" s="15">
        <f>'ค่า 1.2'!I90</f>
        <v>4.85</v>
      </c>
      <c r="F3" s="15">
        <f>'ค่า 1.2'!J90</f>
        <v>4.625</v>
      </c>
      <c r="G3" s="15">
        <f>'ค่า 1.2'!K90</f>
        <v>4.675</v>
      </c>
      <c r="H3" s="15">
        <f>'ค่า 1.2'!L90</f>
        <v>4.864285714</v>
      </c>
    </row>
    <row r="4">
      <c r="A4" s="15">
        <f>'ค่า 1.4'!E82</f>
        <v>4.875</v>
      </c>
      <c r="B4" s="15">
        <f>'ค่า 1.4'!F82</f>
        <v>4.9</v>
      </c>
      <c r="C4" s="15">
        <f>'ค่า 1.4'!G82</f>
        <v>4.875</v>
      </c>
      <c r="D4" s="15">
        <f>'ค่า 1.4'!H82</f>
        <v>4.9</v>
      </c>
      <c r="E4" s="15">
        <f>'ค่า 1.4'!I82</f>
        <v>4.9</v>
      </c>
      <c r="F4" s="15">
        <f>'ค่า 1.4'!J82</f>
        <v>4.875</v>
      </c>
      <c r="G4" s="15">
        <f>'ค่า 1.4'!K82</f>
        <v>4.9</v>
      </c>
      <c r="H4" s="15">
        <f>'ค่า 1.4'!L82</f>
        <v>4.889285714</v>
      </c>
    </row>
    <row r="5">
      <c r="A5" s="15">
        <f>'ค่า 1.5'!E82</f>
        <v>4.975</v>
      </c>
      <c r="B5" s="15">
        <f>'ค่า 1.5'!F82</f>
        <v>4.95</v>
      </c>
      <c r="C5" s="15">
        <f>'ค่า 1.5'!G82</f>
        <v>4.95</v>
      </c>
      <c r="D5" s="15">
        <f>'ค่า 1.5'!H82</f>
        <v>4.975</v>
      </c>
      <c r="E5" s="15">
        <f>'ค่า 1.5'!I82</f>
        <v>4.975</v>
      </c>
      <c r="F5" s="15">
        <f>'ค่า 1.5'!J82</f>
        <v>4.95</v>
      </c>
      <c r="G5" s="15">
        <f>'ค่า 1.5'!K82</f>
        <v>4.925</v>
      </c>
      <c r="H5" s="15">
        <f>'ค่า 1.5'!L82</f>
        <v>4.957142857</v>
      </c>
    </row>
    <row r="6">
      <c r="A6" s="15">
        <f>'ค่า 1.6'!E82</f>
        <v>4.775</v>
      </c>
      <c r="B6" s="15">
        <f>'ค่า 1.6'!F82</f>
        <v>4.875</v>
      </c>
      <c r="C6" s="15">
        <f>'ค่า 1.6'!G82</f>
        <v>4.975</v>
      </c>
      <c r="D6" s="15">
        <f>'ค่า 1.6'!H82</f>
        <v>4.975</v>
      </c>
      <c r="E6" s="15">
        <f>'ค่า 1.6'!I82</f>
        <v>4.95</v>
      </c>
      <c r="F6" s="15">
        <f>'ค่า 1.6'!J82</f>
        <v>4.95</v>
      </c>
      <c r="G6" s="15">
        <f>'ค่า 1.6'!K82</f>
        <v>4.9</v>
      </c>
      <c r="H6" s="15">
        <f>'ค่า 1.6'!L82</f>
        <v>4.914285714</v>
      </c>
    </row>
    <row r="7">
      <c r="A7" s="15">
        <f>'ค่า 1.7'!E82</f>
        <v>4.9</v>
      </c>
      <c r="B7" s="15">
        <f>'ค่า 1.7'!F82</f>
        <v>4.9</v>
      </c>
      <c r="C7" s="15">
        <f>'ค่า 1.7'!G82</f>
        <v>4.9</v>
      </c>
      <c r="D7" s="15">
        <f>'ค่า 1.7'!H82</f>
        <v>4.975</v>
      </c>
      <c r="E7" s="15">
        <f>'ค่า 1.7'!I82</f>
        <v>4.95</v>
      </c>
      <c r="F7" s="15">
        <f>'ค่า 1.7'!J82</f>
        <v>4.7</v>
      </c>
      <c r="G7" s="15">
        <f>'ค่า 1.7'!K82</f>
        <v>4.75</v>
      </c>
      <c r="H7" s="15">
        <f>'ค่า 1.7'!L82</f>
        <v>4.867857143</v>
      </c>
    </row>
    <row r="8">
      <c r="A8" s="15">
        <f>'ค่า 1.8'!E82</f>
        <v>4.975</v>
      </c>
      <c r="B8" s="15">
        <f>'ค่า 1.8'!F82</f>
        <v>4.95</v>
      </c>
      <c r="C8" s="15">
        <f>'ค่า 1.8'!G82</f>
        <v>4.95</v>
      </c>
      <c r="D8" s="15">
        <f>'ค่า 1.8'!H82</f>
        <v>4.975</v>
      </c>
      <c r="E8" s="15">
        <f>'ค่า 1.8'!I82</f>
        <v>4.95</v>
      </c>
      <c r="F8" s="15">
        <f>'ค่า 1.8'!J82</f>
        <v>4.975</v>
      </c>
      <c r="G8" s="15">
        <f>'ค่า 1.8'!K82</f>
        <v>4.925</v>
      </c>
      <c r="H8" s="15">
        <f>'ค่า 1.8'!L82</f>
        <v>4.957142857</v>
      </c>
    </row>
    <row r="9">
      <c r="A9" s="15">
        <f>'ค่า 1.9'!E82</f>
        <v>4.95</v>
      </c>
      <c r="B9" s="15">
        <f>'ค่า 1.9'!F82</f>
        <v>4.9</v>
      </c>
      <c r="C9" s="15">
        <f>'ค่า 1.9'!G82</f>
        <v>5</v>
      </c>
      <c r="D9" s="15">
        <f>'ค่า 1.9'!H82</f>
        <v>5</v>
      </c>
      <c r="E9" s="15">
        <f>'ค่า 1.9'!I82</f>
        <v>5</v>
      </c>
      <c r="F9" s="15">
        <f>'ค่า 1.9'!J82</f>
        <v>4.9</v>
      </c>
      <c r="G9" s="15">
        <f>'ค่า 1.9'!K82</f>
        <v>4.925</v>
      </c>
      <c r="H9" s="15">
        <f>'ค่า 1.9'!L82</f>
        <v>4.953571429</v>
      </c>
    </row>
    <row r="10">
      <c r="A10" s="15">
        <f>'ค่า 2.1'!E82</f>
        <v>4.975</v>
      </c>
      <c r="B10" s="15">
        <f>'ค่า 2.1'!F82</f>
        <v>4.975</v>
      </c>
      <c r="C10" s="15">
        <f>'ค่า 2.1'!G82</f>
        <v>4.975</v>
      </c>
      <c r="D10" s="15">
        <f>'ค่า 2.1'!H82</f>
        <v>4.975</v>
      </c>
      <c r="E10" s="15">
        <f>'ค่า 2.1'!I82</f>
        <v>4.95</v>
      </c>
      <c r="F10" s="15">
        <f>'ค่า 2.1'!J82</f>
        <v>4.925</v>
      </c>
      <c r="G10" s="15">
        <f>'ค่า 2.1'!K82</f>
        <v>4.925</v>
      </c>
      <c r="H10" s="15">
        <f>'ค่า 2.1'!L82</f>
        <v>4.957142857</v>
      </c>
    </row>
    <row r="11">
      <c r="A11" s="15">
        <f>'ค่า 2.2'!E82</f>
        <v>4.975</v>
      </c>
      <c r="B11" s="15">
        <f>'ค่า 2.2'!F82</f>
        <v>4.975</v>
      </c>
      <c r="C11" s="15">
        <f>'ค่า 2.2'!G82</f>
        <v>4.975</v>
      </c>
      <c r="D11" s="15">
        <f>'ค่า 2.2'!H82</f>
        <v>4.975</v>
      </c>
      <c r="E11" s="15">
        <f>'ค่า 2.2'!I82</f>
        <v>4.925</v>
      </c>
      <c r="F11" s="15">
        <f>'ค่า 2.2'!J82</f>
        <v>4.95</v>
      </c>
      <c r="G11" s="15">
        <f>'ค่า 2.2'!K82</f>
        <v>4.9</v>
      </c>
      <c r="H11" s="15">
        <f>'ค่า 2.2'!L82</f>
        <v>4.953571429</v>
      </c>
    </row>
    <row r="12">
      <c r="A12" s="15">
        <f>'ค่า 2.3'!E82</f>
        <v>4.975</v>
      </c>
      <c r="B12" s="15">
        <f>'ค่า 2.3'!F82</f>
        <v>4.975</v>
      </c>
      <c r="C12" s="15">
        <f>'ค่า 2.3'!G82</f>
        <v>4.975</v>
      </c>
      <c r="D12" s="15">
        <f>'ค่า 2.3'!H82</f>
        <v>4.95</v>
      </c>
      <c r="E12" s="15">
        <f>'ค่า 2.3'!I82</f>
        <v>4.975</v>
      </c>
      <c r="F12" s="15">
        <f>'ค่า 2.3'!J82</f>
        <v>4.975</v>
      </c>
      <c r="G12" s="15">
        <f>'ค่า 2.3'!K82</f>
        <v>4.95</v>
      </c>
      <c r="H12" s="15">
        <f>'ค่า 2.3'!L82</f>
        <v>4.967857143</v>
      </c>
    </row>
    <row r="13">
      <c r="A13" s="15">
        <f>'ค่า 2.4'!E82</f>
        <v>4.975</v>
      </c>
      <c r="B13" s="15">
        <f>'ค่า 2.4'!F82</f>
        <v>4.975</v>
      </c>
      <c r="C13" s="15">
        <f>'ค่า 2.4'!G82</f>
        <v>4.95</v>
      </c>
      <c r="D13" s="15">
        <f>'ค่า 2.4'!H82</f>
        <v>4.975</v>
      </c>
      <c r="E13" s="15">
        <f>'ค่า 2.4'!I82</f>
        <v>4.95</v>
      </c>
      <c r="F13" s="15">
        <f>'ค่า 2.4'!J82</f>
        <v>4.975</v>
      </c>
      <c r="G13" s="15">
        <f>'ค่า 2.4'!K82</f>
        <v>4.95</v>
      </c>
      <c r="H13" s="15">
        <f>'ค่า 2.4'!L82</f>
        <v>4.964285714</v>
      </c>
    </row>
    <row r="14">
      <c r="A14" s="15">
        <f>'ค่า 3.1'!E82</f>
        <v>4.95</v>
      </c>
      <c r="B14" s="15">
        <f>'ค่า 3.1'!F82</f>
        <v>4.975</v>
      </c>
      <c r="C14" s="15">
        <f>'ค่า 3.1'!G82</f>
        <v>4.975</v>
      </c>
      <c r="D14" s="15">
        <f>'ค่า 3.1'!H82</f>
        <v>4.975</v>
      </c>
      <c r="E14" s="15">
        <f>'ค่า 3.1'!I82</f>
        <v>4.95</v>
      </c>
      <c r="F14" s="15">
        <f>'ค่า 3.1'!J82</f>
        <v>4.95</v>
      </c>
      <c r="G14" s="15">
        <f>'ค่า 3.1'!K82</f>
        <v>4.95</v>
      </c>
      <c r="H14" s="15">
        <f>'ค่า 3.1'!L82</f>
        <v>4.960714286</v>
      </c>
    </row>
    <row r="15">
      <c r="A15" s="15">
        <f>'ค่า 3.2'!E82</f>
        <v>4.975</v>
      </c>
      <c r="B15" s="15">
        <f>'ค่า 3.2'!F82</f>
        <v>4.95</v>
      </c>
      <c r="C15" s="15">
        <f>'ค่า 3.2'!G82</f>
        <v>4.975</v>
      </c>
      <c r="D15" s="15">
        <f>'ค่า 3.2'!H82</f>
        <v>4.975</v>
      </c>
      <c r="E15" s="15">
        <f>'ค่า 3.2'!I82</f>
        <v>4.975</v>
      </c>
      <c r="F15" s="15">
        <f>'ค่า 3.2'!J82</f>
        <v>4.95</v>
      </c>
      <c r="G15" s="15">
        <f>'ค่า 3.2'!K82</f>
        <v>4.975</v>
      </c>
      <c r="H15" s="15">
        <f>'ค่า 3.2'!L82</f>
        <v>4.967857143</v>
      </c>
    </row>
    <row r="16">
      <c r="A16" s="15">
        <f>'ค่า 4.1'!E82</f>
        <v>4.975</v>
      </c>
      <c r="B16" s="15">
        <f>'ค่า 4.1'!F82</f>
        <v>4.95</v>
      </c>
      <c r="C16" s="15">
        <f>'ค่า 4.1'!G82</f>
        <v>4.975</v>
      </c>
      <c r="D16" s="15">
        <f>'ค่า 4.1'!H82</f>
        <v>4.975</v>
      </c>
      <c r="E16" s="15">
        <f>'ค่า 4.1'!I82</f>
        <v>4.9</v>
      </c>
      <c r="F16" s="15">
        <f>'ค่า 4.1'!J82</f>
        <v>4.9</v>
      </c>
      <c r="G16" s="15">
        <f>'ค่า 4.1'!K82</f>
        <v>4.95</v>
      </c>
      <c r="H16" s="15">
        <f>'ค่า 4.1'!L82</f>
        <v>4.946428571</v>
      </c>
    </row>
  </sheetData>
  <drawing r:id="rId1"/>
</worksheet>
</file>